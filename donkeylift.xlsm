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/>
  </bookViews>
  <sheets>
    <sheet name="Schema" sheetId="115" r:id="rId1"/>
    <sheet name="orders.rows" sheetId="117" r:id="rId2"/>
    <sheet name="customers.rows" sheetId="118" r:id="rId3"/>
    <sheet name="products_in_orders.rows" sheetId="121" r:id="rId4"/>
    <sheet name="products.rows" sheetId="122" r:id="rId5"/>
  </sheets>
  <functionGroups builtInGroupCount="18"/>
  <definedNames>
    <definedName name="id" localSheetId="2">customers.rows!$E$1</definedName>
    <definedName name="id" localSheetId="1">orders.rows!$E$1</definedName>
    <definedName name="id" localSheetId="4">products.rows!$E$1</definedName>
    <definedName name="id" localSheetId="3">products_in_orders.rows!$E$1</definedName>
    <definedName name="modified_by" localSheetId="4">products.rows!$H$1</definedName>
    <definedName name="modified_by" localSheetId="3">products_in_orders.rows!$J$1</definedName>
    <definedName name="modified_on" localSheetId="4">products.rows!$I$1</definedName>
    <definedName name="modified_on" localSheetId="3">products_in_orders.rows!$K$1</definedName>
    <definedName name="Options__customer_id" localSheetId="1">customers.rows!$D$2:INDEX(customers.rows!$D:$D,COUNTA(customers.rows!$D:$D))</definedName>
    <definedName name="Options__order_id" localSheetId="3">orders.rows!$D$2:INDEX(orders.rows!$D:$D,COUNTA(orders.rows!$D:$D))</definedName>
    <definedName name="Options__product_id" localSheetId="3">products.rows!$D$2:INDEX(products.rows!$D:$D,COUNTA(products.rows!$D:$D))</definedName>
    <definedName name="ref" localSheetId="2">customers.rows!$D$1</definedName>
    <definedName name="ref" localSheetId="1">orders.rows!$D$1</definedName>
    <definedName name="ref" localSheetId="4">products.rows!$D$1</definedName>
    <definedName name="ref" localSheetId="3">products_in_orders.rows!$D$1</definedName>
    <definedName name="status" localSheetId="2">customers.rows!$C$1</definedName>
    <definedName name="status" localSheetId="1">orders.rows!$C$1</definedName>
    <definedName name="status" localSheetId="4">products.rows!$C$1</definedName>
    <definedName name="status" localSheetId="3">products_in_orders.rows!$C$1</definedName>
  </definedNames>
  <calcPr calcId="152511"/>
</workbook>
</file>

<file path=xl/calcChain.xml><?xml version="1.0" encoding="utf-8"?>
<calcChain xmlns="http://schemas.openxmlformats.org/spreadsheetml/2006/main">
  <c r="C12" i="121" l="1"/>
  <c r="C11" i="121"/>
  <c r="C7" i="121"/>
  <c r="C3" i="121"/>
  <c r="C4" i="121"/>
  <c r="C10" i="121"/>
  <c r="C6" i="121"/>
  <c r="C2" i="121"/>
  <c r="C9" i="121"/>
  <c r="C5" i="121"/>
  <c r="C8" i="121"/>
  <c r="C11" i="117"/>
  <c r="C7" i="117"/>
  <c r="C3" i="117"/>
  <c r="C10" i="117"/>
  <c r="C6" i="117"/>
  <c r="C2" i="117"/>
  <c r="C9" i="117"/>
  <c r="C5" i="117"/>
  <c r="C8" i="117"/>
  <c r="C4" i="117"/>
  <c r="C6" i="122"/>
  <c r="C2" i="122"/>
  <c r="C5" i="122"/>
  <c r="C4" i="122"/>
  <c r="C3" i="122"/>
  <c r="C2" i="118"/>
  <c r="C3" i="118"/>
</calcChain>
</file>

<file path=xl/comments1.xml><?xml version="1.0" encoding="utf-8"?>
<comments xmlns="http://schemas.openxmlformats.org/spreadsheetml/2006/main">
  <authors>
    <author>daniel kottow</author>
  </authors>
  <commentList>
    <comment ref="G1" authorId="0" shapeId="0">
      <text>
        <r>
          <rPr>
            <sz val="9"/>
            <color indexed="81"/>
            <rFont val="Tahoma"/>
            <family val="2"/>
          </rPr>
          <t>foreignkey customers.rows</t>
        </r>
      </text>
    </comment>
  </commentList>
</comments>
</file>

<file path=xl/comments2.xml><?xml version="1.0" encoding="utf-8"?>
<comments xmlns="http://schemas.openxmlformats.org/spreadsheetml/2006/main">
  <authors>
    <author>daniel kottow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foreignkey orders.rows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foreignkey products.rows</t>
        </r>
      </text>
    </comment>
  </commentList>
</comments>
</file>

<file path=xl/sharedStrings.xml><?xml version="1.0" encoding="utf-8"?>
<sst xmlns="http://schemas.openxmlformats.org/spreadsheetml/2006/main" count="199" uniqueCount="98">
  <si>
    <t>Reload</t>
  </si>
  <si>
    <t>Tables</t>
  </si>
  <si>
    <t>Parents</t>
  </si>
  <si>
    <t>Children</t>
  </si>
  <si>
    <t>Joined Tables</t>
  </si>
  <si>
    <t>Table Fields</t>
  </si>
  <si>
    <t>Schemas</t>
  </si>
  <si>
    <t>status</t>
  </si>
  <si>
    <t>id</t>
  </si>
  <si>
    <t>name</t>
  </si>
  <si>
    <t>email</t>
  </si>
  <si>
    <t>modified_by</t>
  </si>
  <si>
    <t>modified_on</t>
  </si>
  <si>
    <t>dkott_000</t>
  </si>
  <si>
    <t>price</t>
  </si>
  <si>
    <t>customers</t>
  </si>
  <si>
    <t>orders</t>
  </si>
  <si>
    <t>products</t>
  </si>
  <si>
    <t>products_in_orders</t>
  </si>
  <si>
    <t>products_x000D_
orders</t>
  </si>
  <si>
    <t>customers_x000D_
products_x000D_
orders_x000D_
products_in_orders</t>
  </si>
  <si>
    <t>products.name</t>
  </si>
  <si>
    <t>VARCHAR</t>
  </si>
  <si>
    <t>products.price</t>
  </si>
  <si>
    <t>NUMERIC(8,2)</t>
  </si>
  <si>
    <t>products.modified_by</t>
  </si>
  <si>
    <t>VARCHAR(64)</t>
  </si>
  <si>
    <t>products.modified_on</t>
  </si>
  <si>
    <t>DATETIME</t>
  </si>
  <si>
    <t>customers.id</t>
  </si>
  <si>
    <t>INTEGER</t>
  </si>
  <si>
    <t>customers.name</t>
  </si>
  <si>
    <t>customers.email</t>
  </si>
  <si>
    <t>VARCHAR(256)</t>
  </si>
  <si>
    <t>customers.modified_by</t>
  </si>
  <si>
    <t>customers.modified_on</t>
  </si>
  <si>
    <t>products.id</t>
  </si>
  <si>
    <t>orders.id</t>
  </si>
  <si>
    <t>orders.order_date</t>
  </si>
  <si>
    <t>DATE</t>
  </si>
  <si>
    <t>orders.customer_id</t>
  </si>
  <si>
    <t>orders.total_amount</t>
  </si>
  <si>
    <t>orders.modified_by</t>
  </si>
  <si>
    <t>orders.modified_on</t>
  </si>
  <si>
    <t>products_in_orders.id</t>
  </si>
  <si>
    <t>products_in_orders.order_id</t>
  </si>
  <si>
    <t>products_in_orders.product_id</t>
  </si>
  <si>
    <t>products_in_orders.unit_price</t>
  </si>
  <si>
    <t>products_in_orders.quantity</t>
  </si>
  <si>
    <t>products_in_orders.modified_by</t>
  </si>
  <si>
    <t>products_in_orders.modified_on</t>
  </si>
  <si>
    <t>order_date</t>
  </si>
  <si>
    <t>customer_id</t>
  </si>
  <si>
    <t>total_amount</t>
  </si>
  <si>
    <t>Soledad</t>
  </si>
  <si>
    <t>sgaspar@foo.mail</t>
  </si>
  <si>
    <t>Daniel</t>
  </si>
  <si>
    <t>dkottow@gmail.com</t>
  </si>
  <si>
    <t>ref</t>
  </si>
  <si>
    <t>Soledad sgaspar@foo.mail(2)</t>
  </si>
  <si>
    <t>Daniel dkottow@gmail.com(1)</t>
  </si>
  <si>
    <t>order_id</t>
  </si>
  <si>
    <t>product_id</t>
  </si>
  <si>
    <t>unit_price</t>
  </si>
  <si>
    <t>quantity</t>
  </si>
  <si>
    <t>2015-01-02 Daniel(10)</t>
  </si>
  <si>
    <t>mocha</t>
  </si>
  <si>
    <t>2015-01-02 Daniel(9)</t>
  </si>
  <si>
    <t>2015-01-02 Daniel(8)</t>
  </si>
  <si>
    <t>2015-01-02 Daniel(7)</t>
  </si>
  <si>
    <t>2015-01-02 Daniel(6)</t>
  </si>
  <si>
    <t>2015-01-02 Daniel(5)</t>
  </si>
  <si>
    <t>2015-01-15 Soledad(4)</t>
  </si>
  <si>
    <t>2015-01-12 Daniel(3)</t>
  </si>
  <si>
    <t>2015-01-13 Daniel(2)</t>
  </si>
  <si>
    <t>2015-01-16 Daniel(1)</t>
  </si>
  <si>
    <t>Doll(3)</t>
  </si>
  <si>
    <t>Car(1)</t>
  </si>
  <si>
    <t>Apple(2)</t>
  </si>
  <si>
    <t>Book(4)</t>
  </si>
  <si>
    <t>Book</t>
  </si>
  <si>
    <t>Doll</t>
  </si>
  <si>
    <t>Apple</t>
  </si>
  <si>
    <t>Car</t>
  </si>
  <si>
    <t>(10)</t>
  </si>
  <si>
    <t>(9)</t>
  </si>
  <si>
    <t>(8)</t>
  </si>
  <si>
    <t>(7)</t>
  </si>
  <si>
    <t>(6)</t>
  </si>
  <si>
    <t>(5)</t>
  </si>
  <si>
    <t>(4)</t>
  </si>
  <si>
    <t>(3)</t>
  </si>
  <si>
    <t>(2)</t>
  </si>
  <si>
    <t>(1)</t>
  </si>
  <si>
    <t>Actions</t>
  </si>
  <si>
    <t>Save</t>
  </si>
  <si>
    <t>Orange</t>
  </si>
  <si>
    <t>Orange(5)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</si>
</sst>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yy\ hh:mm:ss"/>
    <numFmt numFmtId="165" formatCode="dd\-mm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1"/>
    <xf numFmtId="1" fontId="0" fillId="0" borderId="0" xfId="0" applyNumberFormat="1"/>
    <xf numFmtId="1" fontId="1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2" fontId="0" fillId="0" borderId="0" xfId="0" applyNumberFormat="1"/>
    <xf numFmtId="2" fontId="1" fillId="0" borderId="0" xfId="0" applyNumberFormat="1" applyFont="1"/>
    <xf numFmtId="0" fontId="0" fillId="0" borderId="0" xfId="0" applyAlignment="1">
      <alignment wrapText="1"/>
    </xf>
    <xf numFmtId="0" fontId="2" fillId="0" borderId="0" xfId="1" applyAlignment="1">
      <alignment wrapText="1"/>
    </xf>
    <xf numFmtId="165" fontId="0" fillId="0" borderId="0" xfId="0" applyNumberFormat="1"/>
    <xf numFmtId="165" fontId="1" fillId="0" borderId="0" xfId="0" applyNumberFormat="1" applyFont="1"/>
    <xf numFmtId="0" fontId="2" fillId="0" borderId="0" xfId="0" applyFont="1"/>
  </cellXfs>
  <cellStyles count="2">
    <cellStyle name="Hipervínculo" xfId="1" builtinId="8"/>
    <cellStyle name="Normal" xfId="0" builtinId="0"/>
  </cellStyles>
  <dxfs count="414"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33"/>
  <sheetViews>
    <sheetView tabSelected="1" workbookViewId="0">
      <selection activeCell="A2" sqref="A2"/>
    </sheetView>
  </sheetViews>
  <sheetFormatPr baseColWidth="10" defaultRowHeight="15" x14ac:dyDescent="0.25"/>
  <cols>
    <col min="3" max="3" width="30.5703125" bestFit="1" customWidth="1"/>
    <col min="4" max="4" width="14" bestFit="1" customWidth="1"/>
  </cols>
  <sheetData>
    <row r="1" spans="1:6" x14ac:dyDescent="0.25">
      <c r="A1" s="1" t="s">
        <v>94</v>
      </c>
      <c r="C1" s="1" t="s">
        <v>1</v>
      </c>
      <c r="D1" s="1" t="s">
        <v>2</v>
      </c>
      <c r="E1" s="1" t="s">
        <v>3</v>
      </c>
      <c r="F1" s="2"/>
    </row>
    <row r="2" spans="1:6" x14ac:dyDescent="0.25">
      <c r="A2" s="2" t="s">
        <v>0</v>
      </c>
      <c r="C2" s="2" t="s">
        <v>15</v>
      </c>
      <c r="E2" t="s">
        <v>16</v>
      </c>
    </row>
    <row r="3" spans="1:6" x14ac:dyDescent="0.25">
      <c r="A3" s="2" t="s">
        <v>6</v>
      </c>
      <c r="C3" s="2" t="s">
        <v>17</v>
      </c>
      <c r="E3" t="s">
        <v>18</v>
      </c>
      <c r="F3" s="2"/>
    </row>
    <row r="4" spans="1:6" x14ac:dyDescent="0.25">
      <c r="C4" s="2" t="s">
        <v>16</v>
      </c>
      <c r="D4" t="s">
        <v>15</v>
      </c>
      <c r="E4" t="s">
        <v>18</v>
      </c>
    </row>
    <row r="5" spans="1:6" ht="30" x14ac:dyDescent="0.25">
      <c r="C5" s="2" t="s">
        <v>18</v>
      </c>
      <c r="D5" s="11" t="s">
        <v>19</v>
      </c>
      <c r="F5" s="15"/>
    </row>
    <row r="7" spans="1:6" x14ac:dyDescent="0.25">
      <c r="C7" s="1" t="s">
        <v>4</v>
      </c>
    </row>
    <row r="8" spans="1:6" ht="60" x14ac:dyDescent="0.25">
      <c r="C8" s="12" t="s">
        <v>20</v>
      </c>
    </row>
    <row r="10" spans="1:6" x14ac:dyDescent="0.25">
      <c r="C10" s="1" t="s">
        <v>5</v>
      </c>
    </row>
    <row r="11" spans="1:6" x14ac:dyDescent="0.25">
      <c r="C11" t="s">
        <v>29</v>
      </c>
      <c r="D11" t="s">
        <v>30</v>
      </c>
    </row>
    <row r="12" spans="1:6" x14ac:dyDescent="0.25">
      <c r="C12" t="s">
        <v>31</v>
      </c>
      <c r="D12" t="s">
        <v>22</v>
      </c>
    </row>
    <row r="13" spans="1:6" x14ac:dyDescent="0.25">
      <c r="C13" t="s">
        <v>32</v>
      </c>
      <c r="D13" t="s">
        <v>33</v>
      </c>
    </row>
    <row r="14" spans="1:6" x14ac:dyDescent="0.25">
      <c r="C14" t="s">
        <v>34</v>
      </c>
      <c r="D14" t="s">
        <v>26</v>
      </c>
    </row>
    <row r="15" spans="1:6" x14ac:dyDescent="0.25">
      <c r="C15" t="s">
        <v>35</v>
      </c>
      <c r="D15" t="s">
        <v>28</v>
      </c>
    </row>
    <row r="16" spans="1:6" x14ac:dyDescent="0.25">
      <c r="C16" t="s">
        <v>36</v>
      </c>
      <c r="D16" t="s">
        <v>30</v>
      </c>
    </row>
    <row r="17" spans="3:4" x14ac:dyDescent="0.25">
      <c r="C17" t="s">
        <v>21</v>
      </c>
      <c r="D17" t="s">
        <v>22</v>
      </c>
    </row>
    <row r="18" spans="3:4" x14ac:dyDescent="0.25">
      <c r="C18" t="s">
        <v>23</v>
      </c>
      <c r="D18" t="s">
        <v>24</v>
      </c>
    </row>
    <row r="19" spans="3:4" x14ac:dyDescent="0.25">
      <c r="C19" t="s">
        <v>25</v>
      </c>
      <c r="D19" t="s">
        <v>26</v>
      </c>
    </row>
    <row r="20" spans="3:4" x14ac:dyDescent="0.25">
      <c r="C20" t="s">
        <v>27</v>
      </c>
      <c r="D20" t="s">
        <v>28</v>
      </c>
    </row>
    <row r="21" spans="3:4" x14ac:dyDescent="0.25">
      <c r="C21" t="s">
        <v>37</v>
      </c>
      <c r="D21" t="s">
        <v>30</v>
      </c>
    </row>
    <row r="22" spans="3:4" x14ac:dyDescent="0.25">
      <c r="C22" t="s">
        <v>38</v>
      </c>
      <c r="D22" t="s">
        <v>39</v>
      </c>
    </row>
    <row r="23" spans="3:4" x14ac:dyDescent="0.25">
      <c r="C23" t="s">
        <v>40</v>
      </c>
      <c r="D23" t="s">
        <v>30</v>
      </c>
    </row>
    <row r="24" spans="3:4" x14ac:dyDescent="0.25">
      <c r="C24" t="s">
        <v>41</v>
      </c>
      <c r="D24" t="s">
        <v>24</v>
      </c>
    </row>
    <row r="25" spans="3:4" x14ac:dyDescent="0.25">
      <c r="C25" t="s">
        <v>42</v>
      </c>
      <c r="D25" t="s">
        <v>33</v>
      </c>
    </row>
    <row r="26" spans="3:4" x14ac:dyDescent="0.25">
      <c r="C26" t="s">
        <v>43</v>
      </c>
      <c r="D26" t="s">
        <v>28</v>
      </c>
    </row>
    <row r="27" spans="3:4" x14ac:dyDescent="0.25">
      <c r="C27" t="s">
        <v>44</v>
      </c>
      <c r="D27" t="s">
        <v>30</v>
      </c>
    </row>
    <row r="28" spans="3:4" x14ac:dyDescent="0.25">
      <c r="C28" t="s">
        <v>45</v>
      </c>
      <c r="D28" t="s">
        <v>30</v>
      </c>
    </row>
    <row r="29" spans="3:4" x14ac:dyDescent="0.25">
      <c r="C29" t="s">
        <v>46</v>
      </c>
      <c r="D29" t="s">
        <v>30</v>
      </c>
    </row>
    <row r="30" spans="3:4" x14ac:dyDescent="0.25">
      <c r="C30" t="s">
        <v>47</v>
      </c>
      <c r="D30" t="s">
        <v>24</v>
      </c>
    </row>
    <row r="31" spans="3:4" x14ac:dyDescent="0.25">
      <c r="C31" t="s">
        <v>48</v>
      </c>
      <c r="D31" t="s">
        <v>30</v>
      </c>
    </row>
    <row r="32" spans="3:4" x14ac:dyDescent="0.25">
      <c r="C32" t="s">
        <v>49</v>
      </c>
      <c r="D32" t="s">
        <v>33</v>
      </c>
    </row>
    <row r="33" spans="3:4" x14ac:dyDescent="0.25">
      <c r="C33" t="s">
        <v>50</v>
      </c>
      <c r="D33" t="s">
        <v>28</v>
      </c>
    </row>
  </sheetData>
  <dataValidations count="6"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C7">
      <formula1>"False"</formula1>
    </dataValidation>
    <dataValidation type="custom" allowBlank="1" showInputMessage="1" showErrorMessage="1" error="Column Headers are read-only" sqref="C10">
      <formula1>"False"</formula1>
    </dataValidation>
    <dataValidation type="custom" allowBlank="1" showInputMessage="1" showErrorMessage="1" error="Column Headers are read-only" sqref="A1">
      <formula1>"False"</formula1>
    </dataValidation>
  </dataValidations>
  <hyperlinks>
    <hyperlink ref="C2" tooltip="/demo/sales/customers.rows" display="customers"/>
    <hyperlink ref="C3" tooltip="/demo/sales/products.rows" display="products"/>
    <hyperlink ref="C4" tooltip="/demo/sales/orders.rows" display="orders"/>
    <hyperlink ref="C5" tooltip="/demo/sales/products_in_orders.rows" display="products_in_orders"/>
    <hyperlink ref="C8" tooltip="/demo/sales/customers.rows_x000d__x000a_/demo/sales/products.rows_x000d__x000a_/demo/sales/orders.rows_x000d__x000a_/demo/sales/products_in_orders.rows" display="customers_x000d__x000a_products_x000d__x000a_orders_x000d__x000a_products_in_orders"/>
    <hyperlink ref="A2" tooltip="http://api.donkeylift.com/demo/sales.db" display="Reload"/>
    <hyperlink ref="A3" tooltip="http://api.donkeylift.com/demo" display="Schema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J11"/>
  <sheetViews>
    <sheetView workbookViewId="0">
      <selection activeCell="F7" sqref="F7"/>
    </sheetView>
  </sheetViews>
  <sheetFormatPr baseColWidth="10" defaultRowHeight="15" x14ac:dyDescent="0.25"/>
  <cols>
    <col min="1" max="1" width="11.42578125" customWidth="1"/>
    <col min="2" max="2" width="3.85546875" customWidth="1"/>
    <col min="4" max="4" width="11.42578125" style="5"/>
    <col min="5" max="5" width="11.42578125" style="3"/>
    <col min="6" max="6" width="11.42578125" style="13"/>
    <col min="7" max="7" width="28.42578125" bestFit="1" customWidth="1"/>
    <col min="8" max="8" width="11.42578125" style="9"/>
    <col min="9" max="9" width="11.42578125" style="5"/>
    <col min="10" max="10" width="19.42578125" style="7" customWidth="1"/>
  </cols>
  <sheetData>
    <row r="1" spans="1:10" x14ac:dyDescent="0.25">
      <c r="A1" s="1" t="s">
        <v>94</v>
      </c>
      <c r="C1" s="1" t="s">
        <v>7</v>
      </c>
      <c r="D1" s="6" t="s">
        <v>58</v>
      </c>
      <c r="E1" s="4" t="s">
        <v>8</v>
      </c>
      <c r="F1" s="14" t="s">
        <v>51</v>
      </c>
      <c r="G1" s="1" t="s">
        <v>52</v>
      </c>
      <c r="H1" s="10" t="s">
        <v>53</v>
      </c>
      <c r="I1" s="6" t="s">
        <v>11</v>
      </c>
      <c r="J1" s="8" t="s">
        <v>12</v>
      </c>
    </row>
    <row r="2" spans="1:10" x14ac:dyDescent="0.25">
      <c r="A2" s="2" t="s">
        <v>0</v>
      </c>
      <c r="C2" t="str">
        <f>IF(COUNTBLANK(E2:J2) = 6,"",IF(AND(NOT(ISBLANK(E2)),COUNTBLANK(E2:J2) = 5),"3 Delete",IF(ISBLANK(E2),"2 Add",IF(SHA1Range(E2:J2) = "a78dd15d47ae4cb2ab5d3f60c4380fbfd9eaaf6b","0 Original","1 Modify"))))</f>
        <v>0 Original</v>
      </c>
      <c r="D2" s="5" t="s">
        <v>65</v>
      </c>
      <c r="E2" s="3">
        <v>10</v>
      </c>
      <c r="F2" s="13">
        <v>42006</v>
      </c>
      <c r="G2" t="s">
        <v>60</v>
      </c>
      <c r="H2" s="9">
        <v>100.5</v>
      </c>
      <c r="I2" s="5" t="s">
        <v>66</v>
      </c>
      <c r="J2" s="7">
        <v>36892</v>
      </c>
    </row>
    <row r="3" spans="1:10" x14ac:dyDescent="0.25">
      <c r="A3" s="2" t="s">
        <v>95</v>
      </c>
      <c r="C3" t="str">
        <f>IF(COUNTBLANK(E3:J3) = 6,"",IF(AND(NOT(ISBLANK(E3)),COUNTBLANK(E3:J3) = 5),"3 Delete",IF(ISBLANK(E3),"2 Add",IF(SHA1Range(E3:J3) = "97b827f51d245746f302e9193b422ef3e6757ce5","0 Original","1 Modify"))))</f>
        <v>0 Original</v>
      </c>
      <c r="D3" s="5" t="s">
        <v>67</v>
      </c>
      <c r="E3" s="3">
        <v>9</v>
      </c>
      <c r="F3" s="13">
        <v>42006</v>
      </c>
      <c r="G3" t="s">
        <v>60</v>
      </c>
      <c r="H3" s="9">
        <v>90.5</v>
      </c>
      <c r="I3" s="5" t="s">
        <v>66</v>
      </c>
      <c r="J3" s="7">
        <v>36892</v>
      </c>
    </row>
    <row r="4" spans="1:10" x14ac:dyDescent="0.25">
      <c r="C4" t="str">
        <f>IF(COUNTBLANK(E4:J4) = 6,"",IF(AND(NOT(ISBLANK(E4)),COUNTBLANK(E4:J4) = 5),"3 Delete",IF(ISBLANK(E4),"2 Add",IF(SHA1Range(E4:J4) = "18e0e97822cda01b05d65e70771873424d11980f","0 Original","1 Modify"))))</f>
        <v>0 Original</v>
      </c>
      <c r="D4" s="5" t="s">
        <v>68</v>
      </c>
      <c r="E4" s="3">
        <v>8</v>
      </c>
      <c r="F4" s="13">
        <v>42006</v>
      </c>
      <c r="G4" t="s">
        <v>60</v>
      </c>
      <c r="H4" s="9">
        <v>80.5</v>
      </c>
      <c r="I4" s="5" t="s">
        <v>66</v>
      </c>
      <c r="J4" s="7">
        <v>36892</v>
      </c>
    </row>
    <row r="5" spans="1:10" x14ac:dyDescent="0.25">
      <c r="C5" t="str">
        <f>IF(COUNTBLANK(E5:J5) = 6,"",IF(AND(NOT(ISBLANK(E5)),COUNTBLANK(E5:J5) = 5),"3 Delete",IF(ISBLANK(E5),"2 Add",IF(SHA1Range(E5:J5) = "4d1833a12dfc6d503e6126edd49e5807bdcd2a6b","0 Original","1 Modify"))))</f>
        <v>0 Original</v>
      </c>
      <c r="D5" s="5" t="s">
        <v>69</v>
      </c>
      <c r="E5" s="3">
        <v>7</v>
      </c>
      <c r="F5" s="13">
        <v>42006</v>
      </c>
      <c r="G5" t="s">
        <v>60</v>
      </c>
      <c r="H5" s="9">
        <v>70.5</v>
      </c>
      <c r="I5" s="5" t="s">
        <v>66</v>
      </c>
      <c r="J5" s="7">
        <v>36892</v>
      </c>
    </row>
    <row r="6" spans="1:10" x14ac:dyDescent="0.25">
      <c r="C6" t="str">
        <f>IF(COUNTBLANK(E6:J6) = 6,"",IF(AND(NOT(ISBLANK(E6)),COUNTBLANK(E6:J6) = 5),"3 Delete",IF(ISBLANK(E6),"2 Add",IF(SHA1Range(E6:J6) = "d23696156d8cfc8834855ce711164cdf3d00b07e","0 Original","1 Modify"))))</f>
        <v>0 Original</v>
      </c>
      <c r="D6" s="5" t="s">
        <v>70</v>
      </c>
      <c r="E6" s="3">
        <v>6</v>
      </c>
      <c r="F6" s="13">
        <v>42006</v>
      </c>
      <c r="G6" t="s">
        <v>60</v>
      </c>
      <c r="H6" s="9">
        <v>60.5</v>
      </c>
      <c r="I6" s="5" t="s">
        <v>66</v>
      </c>
      <c r="J6" s="7">
        <v>36892</v>
      </c>
    </row>
    <row r="7" spans="1:10" x14ac:dyDescent="0.25">
      <c r="C7" t="str">
        <f>IF(COUNTBLANK(E7:J7) = 6,"",IF(AND(NOT(ISBLANK(E7)),COUNTBLANK(E7:J7) = 5),"3 Delete",IF(ISBLANK(E7),"2 Add",IF(SHA1Range(E7:J7) = "2cc9755b7e3b60276943a4f0e41f09b60e76bc1e","0 Original","1 Modify"))))</f>
        <v>0 Original</v>
      </c>
      <c r="D7" s="5" t="s">
        <v>71</v>
      </c>
      <c r="E7" s="3">
        <v>5</v>
      </c>
      <c r="F7" s="13">
        <v>42006</v>
      </c>
      <c r="G7" t="s">
        <v>60</v>
      </c>
      <c r="H7" s="9">
        <v>50.5</v>
      </c>
      <c r="I7" s="5" t="s">
        <v>66</v>
      </c>
      <c r="J7" s="7">
        <v>36892</v>
      </c>
    </row>
    <row r="8" spans="1:10" x14ac:dyDescent="0.25">
      <c r="C8" t="str">
        <f>IF(COUNTBLANK(E8:J8) = 6,"",IF(AND(NOT(ISBLANK(E8)),COUNTBLANK(E8:J8) = 5),"3 Delete",IF(ISBLANK(E8),"2 Add",IF(SHA1Range(E8:J8) = "197fc1b16454e236c3e3e85981fd39d26b997be1","0 Original","1 Modify"))))</f>
        <v>0 Original</v>
      </c>
      <c r="D8" s="5" t="s">
        <v>72</v>
      </c>
      <c r="E8" s="3">
        <v>4</v>
      </c>
      <c r="F8" s="13">
        <v>42019</v>
      </c>
      <c r="G8" t="s">
        <v>59</v>
      </c>
      <c r="H8" s="9">
        <v>18031.48</v>
      </c>
      <c r="I8" s="5" t="s">
        <v>13</v>
      </c>
      <c r="J8" s="7">
        <v>42020.845370370371</v>
      </c>
    </row>
    <row r="9" spans="1:10" x14ac:dyDescent="0.25">
      <c r="C9" t="str">
        <f>IF(COUNTBLANK(E9:J9) = 6,"",IF(AND(NOT(ISBLANK(E9)),COUNTBLANK(E9:J9) = 5),"3 Delete",IF(ISBLANK(E9),"2 Add",IF(SHA1Range(E9:J9) = "f75e6e927bbadc936055e4f6cd2b1f3ebaff1d6e","0 Original","1 Modify"))))</f>
        <v>0 Original</v>
      </c>
      <c r="D9" s="5" t="s">
        <v>73</v>
      </c>
      <c r="E9" s="3">
        <v>3</v>
      </c>
      <c r="F9" s="13">
        <v>42016</v>
      </c>
      <c r="G9" t="s">
        <v>60</v>
      </c>
      <c r="H9" s="9">
        <v>9000</v>
      </c>
      <c r="I9" s="5" t="s">
        <v>13</v>
      </c>
      <c r="J9" s="7">
        <v>42020.837187500001</v>
      </c>
    </row>
    <row r="10" spans="1:10" x14ac:dyDescent="0.25">
      <c r="C10" t="str">
        <f>IF(COUNTBLANK(E10:J10) = 6,"",IF(AND(NOT(ISBLANK(E10)),COUNTBLANK(E10:J10) = 5),"3 Delete",IF(ISBLANK(E10),"2 Add",IF(SHA1Range(E10:J10) = "49d0e3c9109722a3da81e396ebd03872d28d4675","0 Original","1 Modify"))))</f>
        <v>0 Original</v>
      </c>
      <c r="D10" s="5" t="s">
        <v>74</v>
      </c>
      <c r="E10" s="3">
        <v>2</v>
      </c>
      <c r="F10" s="13">
        <v>42017</v>
      </c>
      <c r="G10" t="s">
        <v>60</v>
      </c>
      <c r="H10" s="9">
        <v>29.5</v>
      </c>
      <c r="I10" s="5" t="s">
        <v>13</v>
      </c>
      <c r="J10" s="7">
        <v>42020.837187500001</v>
      </c>
    </row>
    <row r="11" spans="1:10" x14ac:dyDescent="0.25">
      <c r="C11" t="str">
        <f>IF(COUNTBLANK(E11:J11) = 6,"",IF(AND(NOT(ISBLANK(E11)),COUNTBLANK(E11:J11) = 5),"3 Delete",IF(ISBLANK(E11),"2 Add",IF(SHA1Range(E11:J11) = "0fd7a35d2c076129ce2c1aaa2731a0e43a03cb2f","0 Original","1 Modify"))))</f>
        <v>0 Original</v>
      </c>
      <c r="D11" s="5" t="s">
        <v>75</v>
      </c>
      <c r="E11" s="3">
        <v>1</v>
      </c>
      <c r="F11" s="13">
        <v>42020</v>
      </c>
      <c r="G11" t="s">
        <v>60</v>
      </c>
      <c r="H11" s="9">
        <v>113.28</v>
      </c>
      <c r="I11" s="5" t="s">
        <v>13</v>
      </c>
      <c r="J11" s="7">
        <v>42020.837187500001</v>
      </c>
    </row>
  </sheetData>
  <conditionalFormatting sqref="C2">
    <cfRule type="cellIs" dxfId="122" priority="1" stopIfTrue="1" operator="equal">
      <formula>"1 Modify"</formula>
    </cfRule>
    <cfRule type="cellIs" dxfId="121" priority="2" stopIfTrue="1" operator="equal">
      <formula>"2 Add"</formula>
    </cfRule>
    <cfRule type="cellIs" dxfId="120" priority="3" stopIfTrue="1" operator="equal">
      <formula>"3 Delete"</formula>
    </cfRule>
  </conditionalFormatting>
  <conditionalFormatting sqref="C3">
    <cfRule type="cellIs" dxfId="119" priority="4" stopIfTrue="1" operator="equal">
      <formula>"1 Modify"</formula>
    </cfRule>
    <cfRule type="cellIs" dxfId="118" priority="5" stopIfTrue="1" operator="equal">
      <formula>"2 Add"</formula>
    </cfRule>
    <cfRule type="cellIs" dxfId="117" priority="6" stopIfTrue="1" operator="equal">
      <formula>"3 Delete"</formula>
    </cfRule>
  </conditionalFormatting>
  <conditionalFormatting sqref="C4">
    <cfRule type="cellIs" dxfId="116" priority="7" stopIfTrue="1" operator="equal">
      <formula>"1 Modify"</formula>
    </cfRule>
    <cfRule type="cellIs" dxfId="115" priority="8" stopIfTrue="1" operator="equal">
      <formula>"2 Add"</formula>
    </cfRule>
    <cfRule type="cellIs" dxfId="114" priority="9" stopIfTrue="1" operator="equal">
      <formula>"3 Delete"</formula>
    </cfRule>
  </conditionalFormatting>
  <conditionalFormatting sqref="C5">
    <cfRule type="cellIs" dxfId="113" priority="10" stopIfTrue="1" operator="equal">
      <formula>"1 Modify"</formula>
    </cfRule>
    <cfRule type="cellIs" dxfId="112" priority="11" stopIfTrue="1" operator="equal">
      <formula>"2 Add"</formula>
    </cfRule>
    <cfRule type="cellIs" dxfId="111" priority="12" stopIfTrue="1" operator="equal">
      <formula>"3 Delete"</formula>
    </cfRule>
  </conditionalFormatting>
  <conditionalFormatting sqref="C6">
    <cfRule type="cellIs" dxfId="110" priority="13" stopIfTrue="1" operator="equal">
      <formula>"1 Modify"</formula>
    </cfRule>
    <cfRule type="cellIs" dxfId="109" priority="14" stopIfTrue="1" operator="equal">
      <formula>"2 Add"</formula>
    </cfRule>
    <cfRule type="cellIs" dxfId="108" priority="15" stopIfTrue="1" operator="equal">
      <formula>"3 Delete"</formula>
    </cfRule>
  </conditionalFormatting>
  <conditionalFormatting sqref="C7">
    <cfRule type="cellIs" dxfId="107" priority="16" stopIfTrue="1" operator="equal">
      <formula>"1 Modify"</formula>
    </cfRule>
    <cfRule type="cellIs" dxfId="106" priority="17" stopIfTrue="1" operator="equal">
      <formula>"2 Add"</formula>
    </cfRule>
    <cfRule type="cellIs" dxfId="105" priority="18" stopIfTrue="1" operator="equal">
      <formula>"3 Delete"</formula>
    </cfRule>
  </conditionalFormatting>
  <conditionalFormatting sqref="C8">
    <cfRule type="cellIs" dxfId="104" priority="19" stopIfTrue="1" operator="equal">
      <formula>"1 Modify"</formula>
    </cfRule>
    <cfRule type="cellIs" dxfId="103" priority="20" stopIfTrue="1" operator="equal">
      <formula>"2 Add"</formula>
    </cfRule>
    <cfRule type="cellIs" dxfId="102" priority="21" stopIfTrue="1" operator="equal">
      <formula>"3 Delete"</formula>
    </cfRule>
  </conditionalFormatting>
  <conditionalFormatting sqref="C9">
    <cfRule type="cellIs" dxfId="101" priority="22" stopIfTrue="1" operator="equal">
      <formula>"1 Modify"</formula>
    </cfRule>
    <cfRule type="cellIs" dxfId="100" priority="23" stopIfTrue="1" operator="equal">
      <formula>"2 Add"</formula>
    </cfRule>
    <cfRule type="cellIs" dxfId="99" priority="24" stopIfTrue="1" operator="equal">
      <formula>"3 Delete"</formula>
    </cfRule>
  </conditionalFormatting>
  <conditionalFormatting sqref="C10">
    <cfRule type="cellIs" dxfId="98" priority="25" stopIfTrue="1" operator="equal">
      <formula>"1 Modify"</formula>
    </cfRule>
    <cfRule type="cellIs" dxfId="97" priority="26" stopIfTrue="1" operator="equal">
      <formula>"2 Add"</formula>
    </cfRule>
    <cfRule type="cellIs" dxfId="96" priority="27" stopIfTrue="1" operator="equal">
      <formula>"3 Delete"</formula>
    </cfRule>
  </conditionalFormatting>
  <conditionalFormatting sqref="C11">
    <cfRule type="cellIs" dxfId="95" priority="28" stopIfTrue="1" operator="equal">
      <formula>"1 Modify"</formula>
    </cfRule>
    <cfRule type="cellIs" dxfId="94" priority="29" stopIfTrue="1" operator="equal">
      <formula>"2 Add"</formula>
    </cfRule>
    <cfRule type="cellIs" dxfId="93" priority="30" stopIfTrue="1" operator="equal">
      <formula>"3 Delete"</formula>
    </cfRule>
  </conditionalFormatting>
  <dataValidations count="16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date" operator="greaterThan" allowBlank="1" showInputMessage="1" showErrorMessage="1" error="Value must be a Date" sqref="F2:F1048576">
      <formula1>1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Options__customer_id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custom" allowBlank="1" showInputMessage="1" showErrorMessage="1" error="Column Headers are read-only" sqref="I1">
      <formula1>FALSE</formula1>
    </dataValidation>
    <dataValidation type="date" operator="greaterThan" allowBlank="1" showInputMessage="1" showErrorMessage="1" error="Value must be a Date" sqref="J2:J1048576">
      <formula1>1</formula1>
    </dataValidation>
    <dataValidation type="custom" allowBlank="1" showInputMessage="1" showErrorMessage="1" error="Column Headers are read-only" sqref="J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orders.rows" display="Reload"/>
    <hyperlink ref="A3" tooltip="macro:SaveActiveSheet" display="Save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3"/>
  <sheetViews>
    <sheetView workbookViewId="0">
      <selection activeCell="E2" sqref="E2"/>
    </sheetView>
  </sheetViews>
  <sheetFormatPr baseColWidth="10" defaultRowHeight="15" x14ac:dyDescent="0.25"/>
  <cols>
    <col min="2" max="2" width="3.7109375" customWidth="1"/>
    <col min="4" max="4" width="11.42578125" style="5"/>
    <col min="5" max="5" width="11.42578125" style="3"/>
    <col min="6" max="8" width="11.42578125" style="5"/>
    <col min="9" max="9" width="11.42578125" style="7"/>
  </cols>
  <sheetData>
    <row r="1" spans="1:9" x14ac:dyDescent="0.25">
      <c r="A1" s="1" t="s">
        <v>94</v>
      </c>
      <c r="C1" s="1" t="s">
        <v>7</v>
      </c>
      <c r="D1" s="6" t="s">
        <v>58</v>
      </c>
      <c r="E1" s="4" t="s">
        <v>8</v>
      </c>
      <c r="F1" s="6" t="s">
        <v>9</v>
      </c>
      <c r="G1" s="6" t="s">
        <v>10</v>
      </c>
      <c r="H1" s="6" t="s">
        <v>11</v>
      </c>
      <c r="I1" s="8" t="s">
        <v>12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"00befa0b2673a0ffce7a6e7c41c698cc3477ec6f","0 Original","1 Modify"))))</f>
        <v>0 Original</v>
      </c>
      <c r="D2" s="5" t="s">
        <v>59</v>
      </c>
      <c r="E2" s="3">
        <v>2</v>
      </c>
      <c r="F2" s="5" t="s">
        <v>54</v>
      </c>
      <c r="G2" s="5" t="s">
        <v>55</v>
      </c>
      <c r="H2" s="5" t="s">
        <v>13</v>
      </c>
      <c r="I2" s="7">
        <v>42020.843773148146</v>
      </c>
    </row>
    <row r="3" spans="1:9" x14ac:dyDescent="0.25">
      <c r="C3" t="str">
        <f>IF(COUNTBLANK(E3:I3) = 5,"",IF(AND(NOT(ISBLANK(E3)),COUNTBLANK(E3:I3) = 4),"3 Delete",IF(ISBLANK(E3),"2 Add",IF(SHA1Range(E3:I3) = "6b5efd94812f6107d037a04dfbbd054e73a64116","0 Original","1 Modify"))))</f>
        <v>0 Original</v>
      </c>
      <c r="D3" s="5" t="s">
        <v>60</v>
      </c>
      <c r="E3" s="3">
        <v>1</v>
      </c>
      <c r="F3" s="5" t="s">
        <v>56</v>
      </c>
      <c r="G3" s="5" t="s">
        <v>57</v>
      </c>
      <c r="H3" s="5" t="s">
        <v>13</v>
      </c>
      <c r="I3" s="7">
        <v>42020.803020833337</v>
      </c>
    </row>
  </sheetData>
  <conditionalFormatting sqref="C2">
    <cfRule type="cellIs" dxfId="350" priority="1" stopIfTrue="1" operator="equal">
      <formula>"1 Modify"</formula>
    </cfRule>
    <cfRule type="cellIs" dxfId="349" priority="2" stopIfTrue="1" operator="equal">
      <formula>"2 Add"</formula>
    </cfRule>
    <cfRule type="cellIs" dxfId="348" priority="3" stopIfTrue="1" operator="equal">
      <formula>"3 Delete"</formula>
    </cfRule>
  </conditionalFormatting>
  <conditionalFormatting sqref="C3">
    <cfRule type="cellIs" dxfId="347" priority="4" stopIfTrue="1" operator="equal">
      <formula>"1 Modify"</formula>
    </cfRule>
    <cfRule type="cellIs" dxfId="346" priority="5" stopIfTrue="1" operator="equal">
      <formula>"2 Add"</formula>
    </cfRule>
    <cfRule type="cellIs" dxfId="345" priority="6" stopIfTrue="1" operator="equal">
      <formula>"3 Delete"</formula>
    </cfRule>
  </conditionalFormatting>
  <dataValidations count="12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customers.rows" display="Reload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12"/>
  <sheetViews>
    <sheetView workbookViewId="0">
      <selection activeCell="C12" sqref="C12"/>
    </sheetView>
  </sheetViews>
  <sheetFormatPr baseColWidth="10" defaultRowHeight="15" x14ac:dyDescent="0.25"/>
  <cols>
    <col min="2" max="2" width="4.7109375" customWidth="1"/>
    <col min="4" max="4" width="5.140625" style="5" customWidth="1"/>
    <col min="5" max="5" width="11.42578125" style="3"/>
    <col min="8" max="8" width="11.42578125" style="9"/>
    <col min="9" max="9" width="11.42578125" style="3"/>
    <col min="10" max="10" width="11.42578125" style="5"/>
    <col min="11" max="11" width="11.42578125" style="7"/>
  </cols>
  <sheetData>
    <row r="1" spans="1:11" x14ac:dyDescent="0.25">
      <c r="A1" s="1" t="s">
        <v>94</v>
      </c>
      <c r="C1" s="1" t="s">
        <v>7</v>
      </c>
      <c r="D1" s="6" t="s">
        <v>58</v>
      </c>
      <c r="E1" s="4" t="s">
        <v>8</v>
      </c>
      <c r="F1" s="1" t="s">
        <v>61</v>
      </c>
      <c r="G1" s="1" t="s">
        <v>62</v>
      </c>
      <c r="H1" s="10" t="s">
        <v>63</v>
      </c>
      <c r="I1" s="4" t="s">
        <v>64</v>
      </c>
      <c r="J1" s="6" t="s">
        <v>11</v>
      </c>
      <c r="K1" s="8" t="s">
        <v>12</v>
      </c>
    </row>
    <row r="2" spans="1:11" x14ac:dyDescent="0.25">
      <c r="A2" s="2" t="s">
        <v>0</v>
      </c>
      <c r="C2" t="str">
        <f>IF(COUNTBLANK(E2:K2) = 7,"",IF(AND(NOT(ISBLANK(E2)),COUNTBLANK(E2:K2) = 6),"3 Delete",IF(ISBLANK(E2),"2 Add",IF(SHA1Range(E2:K2) = "1dec003db9799f42d5fb09e7ccee150f08c8a37e","0 Original","1 Modify"))))</f>
        <v>0 Original</v>
      </c>
      <c r="D2" s="5" t="s">
        <v>84</v>
      </c>
      <c r="E2" s="3">
        <v>10</v>
      </c>
      <c r="F2" t="s">
        <v>72</v>
      </c>
      <c r="G2" t="s">
        <v>76</v>
      </c>
      <c r="H2" s="9">
        <v>29.5</v>
      </c>
      <c r="I2" s="3">
        <v>1</v>
      </c>
      <c r="J2" s="5" t="s">
        <v>13</v>
      </c>
      <c r="K2" s="7">
        <v>42020.841331018521</v>
      </c>
    </row>
    <row r="3" spans="1:11" x14ac:dyDescent="0.25">
      <c r="A3" s="2" t="s">
        <v>95</v>
      </c>
      <c r="C3" t="str">
        <f>IF(COUNTBLANK(E3:K3) = 7,"",IF(AND(NOT(ISBLANK(E3)),COUNTBLANK(E3:K3) = 6),"3 Delete",IF(ISBLANK(E3),"2 Add",IF(SHA1Range(E3:K3) = "4e91dac8879f307fe96a247c061969f6562ffca7","0 Original","1 Modify"))))</f>
        <v>0 Original</v>
      </c>
      <c r="D3" s="5" t="s">
        <v>85</v>
      </c>
      <c r="E3" s="3">
        <v>9</v>
      </c>
      <c r="F3" t="s">
        <v>72</v>
      </c>
      <c r="G3" t="s">
        <v>77</v>
      </c>
      <c r="H3" s="9">
        <v>9000</v>
      </c>
      <c r="I3" s="3">
        <v>2</v>
      </c>
      <c r="J3" s="5" t="s">
        <v>13</v>
      </c>
      <c r="K3" s="7">
        <v>42020.841331018521</v>
      </c>
    </row>
    <row r="4" spans="1:11" x14ac:dyDescent="0.25">
      <c r="C4" t="str">
        <f>IF(COUNTBLANK(E4:K4) = 7,"",IF(AND(NOT(ISBLANK(E4)),COUNTBLANK(E4:K4) = 6),"3 Delete",IF(ISBLANK(E4),"2 Add",IF(SHA1Range(E4:K4) = "df5660fb8e8fdc5797b411f99fac3633f42dcb8d","0 Original","1 Modify"))))</f>
        <v>0 Original</v>
      </c>
      <c r="D4" s="5" t="s">
        <v>86</v>
      </c>
      <c r="E4" s="3">
        <v>8</v>
      </c>
      <c r="F4" t="s">
        <v>72</v>
      </c>
      <c r="G4" t="s">
        <v>78</v>
      </c>
      <c r="H4" s="9">
        <v>0.99</v>
      </c>
      <c r="I4" s="3">
        <v>2</v>
      </c>
      <c r="J4" s="5" t="s">
        <v>13</v>
      </c>
      <c r="K4" s="7">
        <v>42020.841331018521</v>
      </c>
    </row>
    <row r="5" spans="1:11" x14ac:dyDescent="0.25">
      <c r="C5" t="str">
        <f>IF(COUNTBLANK(E5:K5) = 7,"",IF(AND(NOT(ISBLANK(E5)),COUNTBLANK(E5:K5) = 6),"3 Delete",IF(ISBLANK(E5),"2 Add",IF(SHA1Range(E5:K5) = "0a9ba2536c3ba933057b58ee01710cacc9b2a880","0 Original","1 Modify"))))</f>
        <v>0 Original</v>
      </c>
      <c r="D5" s="5" t="s">
        <v>87</v>
      </c>
      <c r="E5" s="3">
        <v>7</v>
      </c>
      <c r="F5" t="s">
        <v>75</v>
      </c>
      <c r="G5" t="s">
        <v>76</v>
      </c>
      <c r="H5" s="9">
        <v>19.989999999999998</v>
      </c>
      <c r="I5" s="3">
        <v>2</v>
      </c>
      <c r="J5" s="5" t="s">
        <v>13</v>
      </c>
      <c r="K5" s="7">
        <v>42020.808854166666</v>
      </c>
    </row>
    <row r="6" spans="1:11" x14ac:dyDescent="0.25">
      <c r="C6" t="str">
        <f>IF(COUNTBLANK(E6:K6) = 7,"",IF(AND(NOT(ISBLANK(E6)),COUNTBLANK(E6:K6) = 6),"3 Delete",IF(ISBLANK(E6),"2 Add",IF(SHA1Range(E6:K6) = "18e072b045efd829282d782cc00ab897a4f3f075","0 Original","1 Modify"))))</f>
        <v>0 Original</v>
      </c>
      <c r="D6" s="5" t="s">
        <v>88</v>
      </c>
      <c r="E6" s="3">
        <v>6</v>
      </c>
      <c r="F6" t="s">
        <v>75</v>
      </c>
      <c r="G6" t="s">
        <v>78</v>
      </c>
      <c r="H6" s="9">
        <v>0.99</v>
      </c>
      <c r="I6" s="3">
        <v>20</v>
      </c>
      <c r="J6" s="5" t="s">
        <v>13</v>
      </c>
      <c r="K6" s="7">
        <v>42020.808854166666</v>
      </c>
    </row>
    <row r="7" spans="1:11" x14ac:dyDescent="0.25">
      <c r="C7" t="str">
        <f>IF(COUNTBLANK(E7:K7) = 7,"",IF(AND(NOT(ISBLANK(E7)),COUNTBLANK(E7:K7) = 6),"3 Delete",IF(ISBLANK(E7),"2 Add",IF(SHA1Range(E7:K7) = "89998f1ab50a4b2d436bf80750b854808a8c352d","0 Original","1 Modify"))))</f>
        <v>0 Original</v>
      </c>
      <c r="D7" s="5" t="s">
        <v>89</v>
      </c>
      <c r="E7" s="3">
        <v>5</v>
      </c>
      <c r="F7" t="s">
        <v>74</v>
      </c>
      <c r="G7" t="s">
        <v>97</v>
      </c>
      <c r="H7" s="9">
        <v>0.99</v>
      </c>
      <c r="I7" s="3">
        <v>10</v>
      </c>
      <c r="J7" s="5" t="s">
        <v>13</v>
      </c>
      <c r="K7" s="7">
        <v>42326.02484953704</v>
      </c>
    </row>
    <row r="8" spans="1:11" x14ac:dyDescent="0.25">
      <c r="C8" t="str">
        <f>IF(COUNTBLANK(E8:K8) = 7,"",IF(AND(NOT(ISBLANK(E8)),COUNTBLANK(E8:K8) = 6),"3 Delete",IF(ISBLANK(E8),"2 Add",IF(SHA1Range(E8:K8) = "718e32d385a49e8b65402b3cdbd017e1a8abb3da","0 Original","1 Modify"))))</f>
        <v>0 Original</v>
      </c>
      <c r="D8" s="5" t="s">
        <v>90</v>
      </c>
      <c r="E8" s="3">
        <v>4</v>
      </c>
      <c r="F8" t="s">
        <v>74</v>
      </c>
      <c r="G8" t="s">
        <v>79</v>
      </c>
      <c r="H8" s="9">
        <v>9.8000000000000007</v>
      </c>
      <c r="I8" s="3">
        <v>2</v>
      </c>
      <c r="J8" s="5" t="s">
        <v>13</v>
      </c>
      <c r="K8" s="7">
        <v>42020.808854166666</v>
      </c>
    </row>
    <row r="9" spans="1:11" x14ac:dyDescent="0.25">
      <c r="C9" t="str">
        <f>IF(COUNTBLANK(E9:K9) = 7,"",IF(AND(NOT(ISBLANK(E9)),COUNTBLANK(E9:K9) = 6),"3 Delete",IF(ISBLANK(E9),"2 Add",IF(SHA1Range(E9:K9) = "75b8644ef1570a8af5a7eb20d2b4967e2ab03b4d","0 Original","1 Modify"))))</f>
        <v>0 Original</v>
      </c>
      <c r="D9" s="5" t="s">
        <v>91</v>
      </c>
      <c r="E9" s="3">
        <v>3</v>
      </c>
      <c r="F9" t="s">
        <v>73</v>
      </c>
      <c r="G9" t="s">
        <v>77</v>
      </c>
      <c r="H9" s="9">
        <v>9000</v>
      </c>
      <c r="I9" s="3">
        <v>1</v>
      </c>
      <c r="J9" s="5" t="s">
        <v>13</v>
      </c>
      <c r="K9" s="7">
        <v>42020.808854166666</v>
      </c>
    </row>
    <row r="10" spans="1:11" x14ac:dyDescent="0.25">
      <c r="C10" t="str">
        <f>IF(COUNTBLANK(E10:K10) = 7,"",IF(AND(NOT(ISBLANK(E10)),COUNTBLANK(E10:K10) = 6),"3 Delete",IF(ISBLANK(E10),"2 Add",IF(SHA1Range(E10:K10) = "5686c6582576be9c24e4732d76bd2140384c565c","0 Original","1 Modify"))))</f>
        <v>0 Original</v>
      </c>
      <c r="D10" s="5" t="s">
        <v>92</v>
      </c>
      <c r="E10" s="3">
        <v>2</v>
      </c>
      <c r="F10" t="s">
        <v>75</v>
      </c>
      <c r="G10" t="s">
        <v>76</v>
      </c>
      <c r="H10" s="9">
        <v>29.5</v>
      </c>
      <c r="I10" s="3">
        <v>1</v>
      </c>
      <c r="J10" s="5" t="s">
        <v>13</v>
      </c>
      <c r="K10" s="7">
        <v>42020.808854166666</v>
      </c>
    </row>
    <row r="11" spans="1:11" x14ac:dyDescent="0.25">
      <c r="C11" t="str">
        <f>IF(COUNTBLANK(E11:K11) = 7,"",IF(AND(NOT(ISBLANK(E11)),COUNTBLANK(E11:K11) = 6),"3 Delete",IF(ISBLANK(E11),"2 Add",IF(SHA1Range(E11:K11) = "b40696999097834ae951ba5a0e777329e43ebeb5","0 Original","1 Modify"))))</f>
        <v>0 Original</v>
      </c>
      <c r="D11" s="5" t="s">
        <v>93</v>
      </c>
      <c r="E11" s="3">
        <v>1</v>
      </c>
      <c r="F11" t="s">
        <v>75</v>
      </c>
      <c r="G11" t="s">
        <v>79</v>
      </c>
      <c r="H11" s="9">
        <v>12</v>
      </c>
      <c r="I11" s="3">
        <v>2</v>
      </c>
      <c r="J11" s="5" t="s">
        <v>13</v>
      </c>
      <c r="K11" s="7">
        <v>42020.808854166666</v>
      </c>
    </row>
    <row r="12" spans="1:11" x14ac:dyDescent="0.25">
      <c r="C12" t="str">
        <f>IF(COUNTBLANK(E12:K12) = 7,"",IF(AND(NOT(ISBLANK(E12)),COUNTBLANK(E12:K12) = 6),"3 Delete",IF(ISBLANK(E12),"2 Add",IF(SHA1Range(E12:K12) = "b858cb282617fb0956d960215c8e84d1ccf909c6","0 Original","1 Modify"))))</f>
        <v/>
      </c>
    </row>
  </sheetData>
  <conditionalFormatting sqref="C2">
    <cfRule type="cellIs" dxfId="32" priority="1" stopIfTrue="1" operator="equal">
      <formula>"1 Modify"</formula>
    </cfRule>
    <cfRule type="cellIs" dxfId="31" priority="2" stopIfTrue="1" operator="equal">
      <formula>"2 Add"</formula>
    </cfRule>
    <cfRule type="cellIs" dxfId="30" priority="3" stopIfTrue="1" operator="equal">
      <formula>"3 Delete"</formula>
    </cfRule>
  </conditionalFormatting>
  <conditionalFormatting sqref="C3">
    <cfRule type="cellIs" dxfId="29" priority="4" stopIfTrue="1" operator="equal">
      <formula>"1 Modify"</formula>
    </cfRule>
    <cfRule type="cellIs" dxfId="28" priority="5" stopIfTrue="1" operator="equal">
      <formula>"2 Add"</formula>
    </cfRule>
    <cfRule type="cellIs" dxfId="27" priority="6" stopIfTrue="1" operator="equal">
      <formula>"3 Delete"</formula>
    </cfRule>
  </conditionalFormatting>
  <conditionalFormatting sqref="C4">
    <cfRule type="cellIs" dxfId="26" priority="7" stopIfTrue="1" operator="equal">
      <formula>"1 Modify"</formula>
    </cfRule>
    <cfRule type="cellIs" dxfId="25" priority="8" stopIfTrue="1" operator="equal">
      <formula>"2 Add"</formula>
    </cfRule>
    <cfRule type="cellIs" dxfId="24" priority="9" stopIfTrue="1" operator="equal">
      <formula>"3 Delete"</formula>
    </cfRule>
  </conditionalFormatting>
  <conditionalFormatting sqref="C5">
    <cfRule type="cellIs" dxfId="23" priority="10" stopIfTrue="1" operator="equal">
      <formula>"1 Modify"</formula>
    </cfRule>
    <cfRule type="cellIs" dxfId="22" priority="11" stopIfTrue="1" operator="equal">
      <formula>"2 Add"</formula>
    </cfRule>
    <cfRule type="cellIs" dxfId="21" priority="12" stopIfTrue="1" operator="equal">
      <formula>"3 Delete"</formula>
    </cfRule>
  </conditionalFormatting>
  <conditionalFormatting sqref="C6">
    <cfRule type="cellIs" dxfId="20" priority="13" stopIfTrue="1" operator="equal">
      <formula>"1 Modify"</formula>
    </cfRule>
    <cfRule type="cellIs" dxfId="19" priority="14" stopIfTrue="1" operator="equal">
      <formula>"2 Add"</formula>
    </cfRule>
    <cfRule type="cellIs" dxfId="18" priority="15" stopIfTrue="1" operator="equal">
      <formula>"3 Delete"</formula>
    </cfRule>
  </conditionalFormatting>
  <conditionalFormatting sqref="C7">
    <cfRule type="cellIs" dxfId="17" priority="16" stopIfTrue="1" operator="equal">
      <formula>"1 Modify"</formula>
    </cfRule>
    <cfRule type="cellIs" dxfId="16" priority="17" stopIfTrue="1" operator="equal">
      <formula>"2 Add"</formula>
    </cfRule>
    <cfRule type="cellIs" dxfId="15" priority="18" stopIfTrue="1" operator="equal">
      <formula>"3 Delete"</formula>
    </cfRule>
  </conditionalFormatting>
  <conditionalFormatting sqref="C8">
    <cfRule type="cellIs" dxfId="14" priority="19" stopIfTrue="1" operator="equal">
      <formula>"1 Modify"</formula>
    </cfRule>
    <cfRule type="cellIs" dxfId="13" priority="20" stopIfTrue="1" operator="equal">
      <formula>"2 Add"</formula>
    </cfRule>
    <cfRule type="cellIs" dxfId="12" priority="21" stopIfTrue="1" operator="equal">
      <formula>"3 Delete"</formula>
    </cfRule>
  </conditionalFormatting>
  <conditionalFormatting sqref="C9">
    <cfRule type="cellIs" dxfId="11" priority="22" stopIfTrue="1" operator="equal">
      <formula>"1 Modify"</formula>
    </cfRule>
    <cfRule type="cellIs" dxfId="10" priority="23" stopIfTrue="1" operator="equal">
      <formula>"2 Add"</formula>
    </cfRule>
    <cfRule type="cellIs" dxfId="9" priority="24" stopIfTrue="1" operator="equal">
      <formula>"3 Delete"</formula>
    </cfRule>
  </conditionalFormatting>
  <conditionalFormatting sqref="C10">
    <cfRule type="cellIs" dxfId="8" priority="25" stopIfTrue="1" operator="equal">
      <formula>"1 Modify"</formula>
    </cfRule>
    <cfRule type="cellIs" dxfId="7" priority="26" stopIfTrue="1" operator="equal">
      <formula>"2 Add"</formula>
    </cfRule>
    <cfRule type="cellIs" dxfId="6" priority="27" stopIfTrue="1" operator="equal">
      <formula>"3 Delete"</formula>
    </cfRule>
  </conditionalFormatting>
  <conditionalFormatting sqref="C11">
    <cfRule type="cellIs" dxfId="5" priority="28" stopIfTrue="1" operator="equal">
      <formula>"1 Modify"</formula>
    </cfRule>
    <cfRule type="cellIs" dxfId="4" priority="29" stopIfTrue="1" operator="equal">
      <formula>"2 Add"</formula>
    </cfRule>
    <cfRule type="cellIs" dxfId="3" priority="30" stopIfTrue="1" operator="equal">
      <formula>"3 Delete"</formula>
    </cfRule>
  </conditionalFormatting>
  <conditionalFormatting sqref="C12">
    <cfRule type="cellIs" dxfId="2" priority="31" stopIfTrue="1" operator="equal">
      <formula>"1 Modify"</formula>
    </cfRule>
    <cfRule type="cellIs" dxfId="1" priority="32" stopIfTrue="1" operator="equal">
      <formula>"2 Add"</formula>
    </cfRule>
    <cfRule type="cellIs" dxfId="0" priority="33" stopIfTrue="1" operator="equal">
      <formula>"3 Delete"</formula>
    </cfRule>
  </conditionalFormatting>
  <dataValidations count="18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list" allowBlank="1" showInputMessage="1" showErrorMessage="1" error="Value is a foreign key" sqref="F2:F1048576">
      <formula1>Options__order_id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Options__product_id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whole" operator="greaterThan" allowBlank="1" showInputMessage="1" showErrorMessage="1" error="Value must be an Integer" sqref="I2:I1048576">
      <formula1>-999999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J1">
      <formula1>FALSE</formula1>
    </dataValidation>
    <dataValidation type="date" operator="greaterThan" allowBlank="1" showInputMessage="1" showErrorMessage="1" error="Value must be a Date" sqref="K2:K1048576">
      <formula1>1</formula1>
    </dataValidation>
    <dataValidation type="custom" allowBlank="1" showInputMessage="1" showErrorMessage="1" error="Column Headers are read-only" sqref="K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products_in_orders.rows" display="Reload"/>
    <hyperlink ref="A3" tooltip="macro:SaveActiveSheet" display="Save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6"/>
  <sheetViews>
    <sheetView workbookViewId="0">
      <selection activeCell="D3" sqref="D3"/>
    </sheetView>
  </sheetViews>
  <sheetFormatPr baseColWidth="10" defaultRowHeight="15" x14ac:dyDescent="0.25"/>
  <cols>
    <col min="2" max="2" width="5.28515625" customWidth="1"/>
    <col min="4" max="4" width="11.42578125" style="5"/>
    <col min="5" max="5" width="11.42578125" style="3"/>
    <col min="6" max="6" width="11.42578125" style="5"/>
    <col min="7" max="7" width="11.42578125" style="9"/>
    <col min="8" max="8" width="11.42578125" style="5"/>
    <col min="9" max="9" width="11.42578125" style="7"/>
  </cols>
  <sheetData>
    <row r="1" spans="1:9" x14ac:dyDescent="0.25">
      <c r="A1" s="1" t="s">
        <v>94</v>
      </c>
      <c r="C1" s="1" t="s">
        <v>7</v>
      </c>
      <c r="D1" s="6" t="s">
        <v>58</v>
      </c>
      <c r="E1" s="4" t="s">
        <v>8</v>
      </c>
      <c r="F1" s="6" t="s">
        <v>9</v>
      </c>
      <c r="G1" s="10" t="s">
        <v>14</v>
      </c>
      <c r="H1" s="6" t="s">
        <v>11</v>
      </c>
      <c r="I1" s="8" t="s">
        <v>12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"0798d1b16786a23d9b285ebfc81a0a3423d3fecd","0 Original","1 Modify"))))</f>
        <v>0 Original</v>
      </c>
      <c r="D2" s="5" t="s">
        <v>97</v>
      </c>
      <c r="E2" s="3">
        <v>5</v>
      </c>
      <c r="F2" s="5" t="s">
        <v>96</v>
      </c>
      <c r="G2" s="9">
        <v>1.79</v>
      </c>
      <c r="H2" s="5" t="s">
        <v>13</v>
      </c>
      <c r="I2" s="7">
        <v>42326.016030092593</v>
      </c>
    </row>
    <row r="3" spans="1:9" x14ac:dyDescent="0.25">
      <c r="A3" s="2" t="s">
        <v>95</v>
      </c>
      <c r="C3" t="str">
        <f>IF(COUNTBLANK(E3:I3) = 5,"",IF(AND(NOT(ISBLANK(E3)),COUNTBLANK(E3:I3) = 4),"3 Delete",IF(ISBLANK(E3),"2 Add",IF(SHA1Range(E3:I3) = "1f06bab286c2f2818e91e6f7ed26b03c5e95ecef","0 Original","1 Modify"))))</f>
        <v>0 Original</v>
      </c>
      <c r="D3" s="5" t="s">
        <v>79</v>
      </c>
      <c r="E3" s="3">
        <v>4</v>
      </c>
      <c r="F3" s="5" t="s">
        <v>80</v>
      </c>
      <c r="G3" s="9">
        <v>12</v>
      </c>
      <c r="H3" s="5" t="s">
        <v>13</v>
      </c>
      <c r="I3" s="7">
        <v>42020.804895833331</v>
      </c>
    </row>
    <row r="4" spans="1:9" x14ac:dyDescent="0.25">
      <c r="C4" t="str">
        <f>IF(COUNTBLANK(E4:I4) = 5,"",IF(AND(NOT(ISBLANK(E4)),COUNTBLANK(E4:I4) = 4),"3 Delete",IF(ISBLANK(E4),"2 Add",IF(SHA1Range(E4:I4) = "78a4daa648b709f738d5a57f0ce64c53cae8112c","0 Original","1 Modify"))))</f>
        <v>0 Original</v>
      </c>
      <c r="D4" s="5" t="s">
        <v>76</v>
      </c>
      <c r="E4" s="3">
        <v>3</v>
      </c>
      <c r="F4" s="5" t="s">
        <v>81</v>
      </c>
      <c r="G4" s="9">
        <v>29.5</v>
      </c>
      <c r="H4" s="5" t="s">
        <v>13</v>
      </c>
      <c r="I4" s="7">
        <v>42020.804895833331</v>
      </c>
    </row>
    <row r="5" spans="1:9" x14ac:dyDescent="0.25">
      <c r="C5" t="str">
        <f>IF(COUNTBLANK(E5:I5) = 5,"",IF(AND(NOT(ISBLANK(E5)),COUNTBLANK(E5:I5) = 4),"3 Delete",IF(ISBLANK(E5),"2 Add",IF(SHA1Range(E5:I5) = "1a0783cf075c21bc5e99fdac887c1dc85c21484a","0 Original","1 Modify"))))</f>
        <v>0 Original</v>
      </c>
      <c r="D5" s="5" t="s">
        <v>78</v>
      </c>
      <c r="E5" s="3">
        <v>2</v>
      </c>
      <c r="F5" s="5" t="s">
        <v>82</v>
      </c>
      <c r="G5" s="9">
        <v>0.99</v>
      </c>
      <c r="H5" s="5" t="s">
        <v>13</v>
      </c>
      <c r="I5" s="7">
        <v>42326.018900462965</v>
      </c>
    </row>
    <row r="6" spans="1:9" x14ac:dyDescent="0.25">
      <c r="C6" t="str">
        <f>IF(COUNTBLANK(E6:I6) = 5,"",IF(AND(NOT(ISBLANK(E6)),COUNTBLANK(E6:I6) = 4),"3 Delete",IF(ISBLANK(E6),"2 Add",IF(SHA1Range(E6:I6) = "541d4140f7aaf2618ee6d1017888e5df18cbe5ab","0 Original","1 Modify"))))</f>
        <v>0 Original</v>
      </c>
      <c r="D6" s="5" t="s">
        <v>77</v>
      </c>
      <c r="E6" s="3">
        <v>1</v>
      </c>
      <c r="F6" s="5" t="s">
        <v>83</v>
      </c>
      <c r="G6" s="9">
        <v>9000</v>
      </c>
      <c r="H6" s="5" t="s">
        <v>13</v>
      </c>
      <c r="I6" s="7">
        <v>42020.804895833331</v>
      </c>
    </row>
  </sheetData>
  <dataConsolidate/>
  <conditionalFormatting sqref="C2">
    <cfRule type="cellIs" dxfId="137" priority="1" stopIfTrue="1" operator="equal">
      <formula>"1 Modify"</formula>
    </cfRule>
    <cfRule type="cellIs" dxfId="136" priority="2" stopIfTrue="1" operator="equal">
      <formula>"2 Add"</formula>
    </cfRule>
    <cfRule type="cellIs" dxfId="135" priority="3" stopIfTrue="1" operator="equal">
      <formula>"3 Delete"</formula>
    </cfRule>
  </conditionalFormatting>
  <conditionalFormatting sqref="C3">
    <cfRule type="cellIs" dxfId="134" priority="4" stopIfTrue="1" operator="equal">
      <formula>"1 Modify"</formula>
    </cfRule>
    <cfRule type="cellIs" dxfId="133" priority="5" stopIfTrue="1" operator="equal">
      <formula>"2 Add"</formula>
    </cfRule>
    <cfRule type="cellIs" dxfId="132" priority="6" stopIfTrue="1" operator="equal">
      <formula>"3 Delete"</formula>
    </cfRule>
  </conditionalFormatting>
  <conditionalFormatting sqref="C4">
    <cfRule type="cellIs" dxfId="131" priority="7" stopIfTrue="1" operator="equal">
      <formula>"1 Modify"</formula>
    </cfRule>
    <cfRule type="cellIs" dxfId="130" priority="8" stopIfTrue="1" operator="equal">
      <formula>"2 Add"</formula>
    </cfRule>
    <cfRule type="cellIs" dxfId="129" priority="9" stopIfTrue="1" operator="equal">
      <formula>"3 Delete"</formula>
    </cfRule>
  </conditionalFormatting>
  <conditionalFormatting sqref="C5">
    <cfRule type="cellIs" dxfId="128" priority="10" stopIfTrue="1" operator="equal">
      <formula>"1 Modify"</formula>
    </cfRule>
    <cfRule type="cellIs" dxfId="127" priority="11" stopIfTrue="1" operator="equal">
      <formula>"2 Add"</formula>
    </cfRule>
    <cfRule type="cellIs" dxfId="126" priority="12" stopIfTrue="1" operator="equal">
      <formula>"3 Delete"</formula>
    </cfRule>
  </conditionalFormatting>
  <conditionalFormatting sqref="C6">
    <cfRule type="cellIs" dxfId="125" priority="13" stopIfTrue="1" operator="equal">
      <formula>"1 Modify"</formula>
    </cfRule>
    <cfRule type="cellIs" dxfId="124" priority="14" stopIfTrue="1" operator="equal">
      <formula>"2 Add"</formula>
    </cfRule>
    <cfRule type="cellIs" dxfId="123" priority="15" stopIfTrue="1" operator="equal">
      <formula>"3 Delete"</formula>
    </cfRule>
  </conditionalFormatting>
  <dataValidations count="13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ecimal" operator="greaterThan" allowBlank="1" showInputMessage="1" showErrorMessage="1" error="Value must be a Decimal Number" sqref="G2:G1048576">
      <formula1>-999999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products.rows" display="Reload"/>
    <hyperlink ref="A3" tooltip="macro:SaveActiveSheet" display="Save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16</vt:i4>
      </vt:variant>
    </vt:vector>
  </HeadingPairs>
  <TitlesOfParts>
    <vt:vector size="21" baseType="lpstr">
      <vt:lpstr>Schema</vt:lpstr>
      <vt:lpstr>orders.rows</vt:lpstr>
      <vt:lpstr>customers.rows</vt:lpstr>
      <vt:lpstr>products_in_orders.rows</vt:lpstr>
      <vt:lpstr>products.rows</vt:lpstr>
      <vt:lpstr>customers.rows!id</vt:lpstr>
      <vt:lpstr>orders.rows!id</vt:lpstr>
      <vt:lpstr>products.rows!id</vt:lpstr>
      <vt:lpstr>products_in_orders.rows!id</vt:lpstr>
      <vt:lpstr>products.rows!modified_by</vt:lpstr>
      <vt:lpstr>products_in_orders.rows!modified_by</vt:lpstr>
      <vt:lpstr>products.rows!modified_on</vt:lpstr>
      <vt:lpstr>products_in_orders.rows!modified_on</vt:lpstr>
      <vt:lpstr>customers.rows!ref</vt:lpstr>
      <vt:lpstr>orders.rows!ref</vt:lpstr>
      <vt:lpstr>products.rows!ref</vt:lpstr>
      <vt:lpstr>products_in_orders.rows!ref</vt:lpstr>
      <vt:lpstr>customers.rows!status</vt:lpstr>
      <vt:lpstr>orders.rows!status</vt:lpstr>
      <vt:lpstr>products.rows!status</vt:lpstr>
      <vt:lpstr>products_in_orders.rows!status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 Hall</dc:creator>
  <cp:keywords/>
  <dc:description/>
  <cp:lastModifiedBy>daniel kottow</cp:lastModifiedBy>
  <cp:revision/>
  <dcterms:created xsi:type="dcterms:W3CDTF">2011-08-25T14:29:57Z</dcterms:created>
  <dcterms:modified xsi:type="dcterms:W3CDTF">2015-11-18T03:45:00Z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