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 firstSheet="1" activeTab="5"/>
  </bookViews>
  <sheets>
    <sheet name="Hoja1" sheetId="83" r:id="rId1"/>
    <sheet name="Schema" sheetId="84" r:id="rId2"/>
    <sheet name="customers.rows" sheetId="85" r:id="rId3"/>
    <sheet name="products_in_orders.rows" sheetId="86" r:id="rId4"/>
    <sheet name="orders.rows" sheetId="87" r:id="rId5"/>
    <sheet name="products.rows" sheetId="88" r:id="rId6"/>
  </sheets>
  <functionGroups builtInGroupCount="18"/>
  <definedNames>
    <definedName name="_xlnm._FilterDatabase" localSheetId="0" hidden="1">Hoja1!$I$1:$L$21</definedName>
    <definedName name="id" localSheetId="2">customers.rows!$C$1</definedName>
    <definedName name="id" localSheetId="4">orders.rows!$C$1</definedName>
    <definedName name="id" localSheetId="5">products.rows!$C$1</definedName>
    <definedName name="id" localSheetId="3">products_in_orders.rows!$C$1</definedName>
    <definedName name="Options__customer_id" localSheetId="4">customers.rows!$B$2:INDEX(customers.rows!$B:$B,COUNTA(customers.rows!$B:$B))</definedName>
    <definedName name="Options__order_id" localSheetId="3">orders.rows!$B$2:INDEX(orders.rows!$B:$B,COUNTA(orders.rows!$B:$B))</definedName>
    <definedName name="Options__product_id" localSheetId="3">products.rows!$B$2:INDEX(products.rows!$B:$B,COUNTA(products.rows!$B:$B))</definedName>
    <definedName name="Reload" localSheetId="2">customers.rows!$H$1</definedName>
    <definedName name="Reload" localSheetId="4">orders.rows!$I$1</definedName>
    <definedName name="Reload" localSheetId="5">products.rows!$H$1</definedName>
    <definedName name="Reload" localSheetId="3">products_in_orders.rows!$J$1</definedName>
    <definedName name="row_name" localSheetId="2">customers.rows!$B$1</definedName>
    <definedName name="row_name" localSheetId="4">orders.rows!$B$1</definedName>
    <definedName name="row_name" localSheetId="5">products.rows!$B$1</definedName>
    <definedName name="row_name" localSheetId="3">products_in_orders.rows!$B$1</definedName>
    <definedName name="status" localSheetId="2">customers.rows!$A$1</definedName>
    <definedName name="status" localSheetId="4">orders.rows!$A$1</definedName>
    <definedName name="status" localSheetId="5">products.rows!$A$1</definedName>
    <definedName name="status" localSheetId="3">products_in_orders.rows!$A$1</definedName>
  </definedNames>
  <calcPr calcId="152511"/>
</workbook>
</file>

<file path=xl/calcChain.xml><?xml version="1.0" encoding="utf-8"?>
<calcChain xmlns="http://schemas.openxmlformats.org/spreadsheetml/2006/main">
  <c r="A10" i="87" l="1"/>
  <c r="A6" i="87"/>
  <c r="A2" i="87"/>
  <c r="A9" i="87"/>
  <c r="A5" i="87"/>
  <c r="A3" i="87"/>
  <c r="A8" i="87"/>
  <c r="A4" i="87"/>
  <c r="A7" i="87"/>
  <c r="A12" i="85"/>
  <c r="A8" i="85"/>
  <c r="A4" i="85"/>
  <c r="A11" i="85"/>
  <c r="A7" i="85"/>
  <c r="A3" i="85"/>
  <c r="A10" i="85"/>
  <c r="A6" i="85"/>
  <c r="A2" i="85"/>
  <c r="A9" i="85"/>
  <c r="A5" i="85"/>
  <c r="A49" i="86"/>
  <c r="A45" i="86"/>
  <c r="A41" i="86"/>
  <c r="A37" i="86"/>
  <c r="A33" i="86"/>
  <c r="A29" i="86"/>
  <c r="A25" i="86"/>
  <c r="A21" i="86"/>
  <c r="A17" i="86"/>
  <c r="A13" i="86"/>
  <c r="A9" i="86"/>
  <c r="A5" i="86"/>
  <c r="A46" i="86"/>
  <c r="A34" i="86"/>
  <c r="A22" i="86"/>
  <c r="A10" i="86"/>
  <c r="A48" i="86"/>
  <c r="A44" i="86"/>
  <c r="A40" i="86"/>
  <c r="A36" i="86"/>
  <c r="A32" i="86"/>
  <c r="A28" i="86"/>
  <c r="A24" i="86"/>
  <c r="A20" i="86"/>
  <c r="A16" i="86"/>
  <c r="A12" i="86"/>
  <c r="A8" i="86"/>
  <c r="A4" i="86"/>
  <c r="A42" i="86"/>
  <c r="A30" i="86"/>
  <c r="A18" i="86"/>
  <c r="A6" i="86"/>
  <c r="A47" i="86"/>
  <c r="A43" i="86"/>
  <c r="A39" i="86"/>
  <c r="A35" i="86"/>
  <c r="A31" i="86"/>
  <c r="A27" i="86"/>
  <c r="A23" i="86"/>
  <c r="A19" i="86"/>
  <c r="A15" i="86"/>
  <c r="A11" i="86"/>
  <c r="A7" i="86"/>
  <c r="A3" i="86"/>
  <c r="A38" i="86"/>
  <c r="A26" i="86"/>
  <c r="A14" i="86"/>
  <c r="A2" i="86"/>
  <c r="A45" i="88"/>
  <c r="A41" i="88"/>
  <c r="A37" i="88"/>
  <c r="A33" i="88"/>
  <c r="A29" i="88"/>
  <c r="A25" i="88"/>
  <c r="A21" i="88"/>
  <c r="A17" i="88"/>
  <c r="A13" i="88"/>
  <c r="A9" i="88"/>
  <c r="A5" i="88"/>
  <c r="A44" i="88"/>
  <c r="A40" i="88"/>
  <c r="A36" i="88"/>
  <c r="A32" i="88"/>
  <c r="A28" i="88"/>
  <c r="A24" i="88"/>
  <c r="A20" i="88"/>
  <c r="A16" i="88"/>
  <c r="A12" i="88"/>
  <c r="A8" i="88"/>
  <c r="A4" i="88"/>
  <c r="A43" i="88"/>
  <c r="A39" i="88"/>
  <c r="A35" i="88"/>
  <c r="A31" i="88"/>
  <c r="A27" i="88"/>
  <c r="A23" i="88"/>
  <c r="A19" i="88"/>
  <c r="A15" i="88"/>
  <c r="A11" i="88"/>
  <c r="A7" i="88"/>
  <c r="A3" i="88"/>
  <c r="A42" i="88"/>
  <c r="A38" i="88"/>
  <c r="A34" i="88"/>
  <c r="A30" i="88"/>
  <c r="A26" i="88"/>
  <c r="A22" i="88"/>
  <c r="A18" i="88"/>
  <c r="A14" i="88"/>
  <c r="A10" i="88"/>
  <c r="A6" i="88"/>
  <c r="A2" i="88"/>
</calcChain>
</file>

<file path=xl/comments1.xml><?xml version="1.0" encoding="utf-8"?>
<comments xmlns="http://schemas.openxmlformats.org/spreadsheetml/2006/main">
  <authors>
    <author>daniel kottow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foreignkey customers.rows</t>
        </r>
      </text>
    </comment>
  </commentList>
</comments>
</file>

<file path=xl/comments2.xml><?xml version="1.0" encoding="utf-8"?>
<comments xmlns="http://schemas.openxmlformats.org/spreadsheetml/2006/main">
  <authors>
    <author>daniel kottow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foreignkey orders.rows</t>
        </r>
      </text>
    </comment>
    <comment ref="E1" authorId="0" shapeId="0">
      <text>
        <r>
          <rPr>
            <sz val="9"/>
            <color indexed="81"/>
            <rFont val="Tahoma"/>
            <family val="2"/>
          </rPr>
          <t>foreignkey products.rows</t>
        </r>
      </text>
    </comment>
  </commentList>
</comments>
</file>

<file path=xl/comments3.xml><?xml version="1.0" encoding="utf-8"?>
<comments xmlns="http://schemas.openxmlformats.org/spreadsheetml/2006/main">
  <authors>
    <author>daniel kottow</author>
  </authors>
  <commentList>
    <comment ref="E1" authorId="0" shapeId="0">
      <text>
        <r>
          <rPr>
            <sz val="9"/>
            <color indexed="81"/>
            <rFont val="Tahoma"/>
            <family val="2"/>
          </rPr>
          <t>foreignkey customers.rows</t>
        </r>
      </text>
    </comment>
  </commentList>
</comments>
</file>

<file path=xl/sharedStrings.xml><?xml version="1.0" encoding="utf-8"?>
<sst xmlns="http://schemas.openxmlformats.org/spreadsheetml/2006/main" count="506" uniqueCount="260">
  <si>
    <t>Links</t>
  </si>
  <si>
    <t>Reload</t>
  </si>
  <si>
    <t>http://mapu-dkottow.rhcloud.com/</t>
  </si>
  <si>
    <t>Tables</t>
  </si>
  <si>
    <t>Rows</t>
  </si>
  <si>
    <t>Parents</t>
  </si>
  <si>
    <t>Children</t>
  </si>
  <si>
    <t>customers</t>
  </si>
  <si>
    <t>/stores/custorder/customers.rows</t>
  </si>
  <si>
    <t>orders</t>
  </si>
  <si>
    <t>/stores/custorder/orders.rows</t>
  </si>
  <si>
    <t>products_in_orders</t>
  </si>
  <si>
    <t>products</t>
  </si>
  <si>
    <t>/stores/custorder/products.rows</t>
  </si>
  <si>
    <t>/stores/custorder/products_in_orders.rows</t>
  </si>
  <si>
    <t>orders_x000D_
products</t>
  </si>
  <si>
    <t>Joined Tables</t>
  </si>
  <si>
    <t>customers_x000D_
orders_x000D_
products_x000D_
products_in_orders</t>
  </si>
  <si>
    <t>/stores/custorder/customers.rows_x000D_
/stores/custorder/orders.rows_x000D_
/stores/custorder/products.rows_x000D_
/stores/custorder/products_in_orders.rows</t>
  </si>
  <si>
    <t>Table Fields</t>
  </si>
  <si>
    <t>customers.id</t>
  </si>
  <si>
    <t>INTEGER</t>
  </si>
  <si>
    <t>customers.name</t>
  </si>
  <si>
    <t>VARCHAR</t>
  </si>
  <si>
    <t>customers.email</t>
  </si>
  <si>
    <t>VARCHAR(256)</t>
  </si>
  <si>
    <t>customers.modified_by</t>
  </si>
  <si>
    <t>VARCHAR(64)</t>
  </si>
  <si>
    <t>customers.modified_on</t>
  </si>
  <si>
    <t>DATETIME</t>
  </si>
  <si>
    <t>orders.id</t>
  </si>
  <si>
    <t>orders.order_date</t>
  </si>
  <si>
    <t>DATE</t>
  </si>
  <si>
    <t>orders.customer_id</t>
  </si>
  <si>
    <t>orders.total_amount</t>
  </si>
  <si>
    <t>NUMERIC(8,2)</t>
  </si>
  <si>
    <t>orders.modified_by</t>
  </si>
  <si>
    <t>orders.modified_on</t>
  </si>
  <si>
    <t>products.id</t>
  </si>
  <si>
    <t>products.name</t>
  </si>
  <si>
    <t>products.price</t>
  </si>
  <si>
    <t>products.modified_by</t>
  </si>
  <si>
    <t>products.modified_on</t>
  </si>
  <si>
    <t>products_in_orders.id</t>
  </si>
  <si>
    <t>products_in_orders.order_id</t>
  </si>
  <si>
    <t>products_in_orders.product_id</t>
  </si>
  <si>
    <t>products_in_orders.unit_price</t>
  </si>
  <si>
    <t>products_in_orders.quantity</t>
  </si>
  <si>
    <t>products_in_orders.modified_by</t>
  </si>
  <si>
    <t>products_in_orders.modified_on</t>
  </si>
  <si>
    <t>http://mapu-dkottow.rhcloud.com/stores/custorder.db</t>
  </si>
  <si>
    <t>Schemas</t>
  </si>
  <si>
    <t>status</t>
  </si>
  <si>
    <t>row_name</t>
  </si>
  <si>
    <t>id</t>
  </si>
  <si>
    <t>name</t>
  </si>
  <si>
    <t>email</t>
  </si>
  <si>
    <t>modified_by</t>
  </si>
  <si>
    <t>modified_on</t>
  </si>
  <si>
    <t>dkott_000</t>
  </si>
  <si>
    <t>dkottow</t>
  </si>
  <si>
    <t>esledge@fake.me [30]</t>
  </si>
  <si>
    <t>Elliott Sledge</t>
  </si>
  <si>
    <t>esledge@fake.me</t>
  </si>
  <si>
    <t>lglass@fake.me [29]</t>
  </si>
  <si>
    <t>Landon Glass</t>
  </si>
  <si>
    <t>lglass@fake.me</t>
  </si>
  <si>
    <t>icobble@fake.me [28]</t>
  </si>
  <si>
    <t>Iraida Cobble</t>
  </si>
  <si>
    <t>icobble@fake.me</t>
  </si>
  <si>
    <t>adewberry@fake.me [27]</t>
  </si>
  <si>
    <t>Ahmad Dewberry</t>
  </si>
  <si>
    <t>adewberry@fake.me</t>
  </si>
  <si>
    <t>dkeltner@fake.me [26]</t>
  </si>
  <si>
    <t>Delmy Keltner</t>
  </si>
  <si>
    <t>dkeltner@fake.me</t>
  </si>
  <si>
    <t>cmccormick@fake.me [25]</t>
  </si>
  <si>
    <t>Cammie Mccormick</t>
  </si>
  <si>
    <t>cmccormick@fake.me</t>
  </si>
  <si>
    <t>jquiros@fake.me [24]</t>
  </si>
  <si>
    <t>Jesus Quiros</t>
  </si>
  <si>
    <t>jquiros@fake.me</t>
  </si>
  <si>
    <t>ddurio@fake.me [23]</t>
  </si>
  <si>
    <t>Dedra Durio</t>
  </si>
  <si>
    <t>ddurio@fake.me</t>
  </si>
  <si>
    <t>elatson@fake.me [22]</t>
  </si>
  <si>
    <t>Emilia Latson</t>
  </si>
  <si>
    <t>elatson@fake.me</t>
  </si>
  <si>
    <t>salvarenga@fake.me [21]</t>
  </si>
  <si>
    <t>Shantay Alvarenga</t>
  </si>
  <si>
    <t>salvarenga@fake.me</t>
  </si>
  <si>
    <t>azeller@fake.me [20]</t>
  </si>
  <si>
    <t>Abbie Zeller</t>
  </si>
  <si>
    <t>azeller@fake.me</t>
  </si>
  <si>
    <t>order_id</t>
  </si>
  <si>
    <t>product_id</t>
  </si>
  <si>
    <t>unit_price</t>
  </si>
  <si>
    <t>quantity</t>
  </si>
  <si>
    <t xml:space="preserve"> [1508]</t>
  </si>
  <si>
    <t xml:space="preserve"> [1396]</t>
  </si>
  <si>
    <t xml:space="preserve"> [1384]</t>
  </si>
  <si>
    <t xml:space="preserve"> [1279]</t>
  </si>
  <si>
    <t xml:space="preserve"> [1258]</t>
  </si>
  <si>
    <t xml:space="preserve"> [1224]</t>
  </si>
  <si>
    <t xml:space="preserve"> [1214]</t>
  </si>
  <si>
    <t xml:space="preserve"> [1212]</t>
  </si>
  <si>
    <t xml:space="preserve"> [1203]</t>
  </si>
  <si>
    <t xml:space="preserve"> [1194]</t>
  </si>
  <si>
    <t xml:space="preserve"> [1187]</t>
  </si>
  <si>
    <t xml:space="preserve"> [1185]</t>
  </si>
  <si>
    <t xml:space="preserve"> [1177]</t>
  </si>
  <si>
    <t xml:space="preserve"> [1128]</t>
  </si>
  <si>
    <t xml:space="preserve"> [1102]</t>
  </si>
  <si>
    <t xml:space="preserve"> [1061]</t>
  </si>
  <si>
    <t xml:space="preserve"> [1050]</t>
  </si>
  <si>
    <t xml:space="preserve"> [962]</t>
  </si>
  <si>
    <t xml:space="preserve"> [937]</t>
  </si>
  <si>
    <t xml:space="preserve"> [923]</t>
  </si>
  <si>
    <t xml:space="preserve"> [845]</t>
  </si>
  <si>
    <t xml:space="preserve"> [843]</t>
  </si>
  <si>
    <t xml:space="preserve"> [759]</t>
  </si>
  <si>
    <t>order_date</t>
  </si>
  <si>
    <t>customer_id</t>
  </si>
  <si>
    <t>total_amount</t>
  </si>
  <si>
    <t>2014-08-03 Ahmad Dewberry [259]</t>
  </si>
  <si>
    <t>2014-08-02 Emilia Latson [255]</t>
  </si>
  <si>
    <t>2014-07-06 Elliott Sledge [218]</t>
  </si>
  <si>
    <t>2014-07-05 Jesus Quiros [213]</t>
  </si>
  <si>
    <t>2014-07-02 Abbie Zeller [137]</t>
  </si>
  <si>
    <t>2014-07-01 Delmy Keltner [124]</t>
  </si>
  <si>
    <t>2014-06-05 Elliott Sledge [104]</t>
  </si>
  <si>
    <t>2014-06-03 Elliott Sledge [56]</t>
  </si>
  <si>
    <t>2014-06-02 Iraida Cobble [38]</t>
  </si>
  <si>
    <t>price</t>
  </si>
  <si>
    <t>zucchini [673]</t>
  </si>
  <si>
    <t>zucchini</t>
  </si>
  <si>
    <t>waffles [650]</t>
  </si>
  <si>
    <t>waffles</t>
  </si>
  <si>
    <t>unpasteurized milk [628]</t>
  </si>
  <si>
    <t>unpasteurized milk</t>
  </si>
  <si>
    <t>tahini [619]</t>
  </si>
  <si>
    <t>tahini</t>
  </si>
  <si>
    <t>tamale [604]</t>
  </si>
  <si>
    <t>tamale</t>
  </si>
  <si>
    <t>shepherd's pie [581]</t>
  </si>
  <si>
    <t>shepherd's pie</t>
  </si>
  <si>
    <t>sloppy joes [575]</t>
  </si>
  <si>
    <t>sloppy joes</t>
  </si>
  <si>
    <t>scones [571]</t>
  </si>
  <si>
    <t>scones</t>
  </si>
  <si>
    <t>sweet potato [561]</t>
  </si>
  <si>
    <t>sweet potato</t>
  </si>
  <si>
    <t>satsuma [542]</t>
  </si>
  <si>
    <t>satsuma</t>
  </si>
  <si>
    <t>sunflower seeds [540]</t>
  </si>
  <si>
    <t>sunflower seeds</t>
  </si>
  <si>
    <t>succotash [531]</t>
  </si>
  <si>
    <t>succotash</t>
  </si>
  <si>
    <t>sauce [530]</t>
  </si>
  <si>
    <t>sauce</t>
  </si>
  <si>
    <t>spaghetti [521]</t>
  </si>
  <si>
    <t>spaghetti</t>
  </si>
  <si>
    <t>quick oats [480]</t>
  </si>
  <si>
    <t>quick oats</t>
  </si>
  <si>
    <t>pancetta [472]</t>
  </si>
  <si>
    <t>pancetta</t>
  </si>
  <si>
    <t>popsicles [437]</t>
  </si>
  <si>
    <t>popsicles</t>
  </si>
  <si>
    <t>pie [421]</t>
  </si>
  <si>
    <t>pie</t>
  </si>
  <si>
    <t>peas [411]</t>
  </si>
  <si>
    <t>peas</t>
  </si>
  <si>
    <t>omelet [396]</t>
  </si>
  <si>
    <t>omelet</t>
  </si>
  <si>
    <t>Nutter-Butter Cookies [383]</t>
  </si>
  <si>
    <t>Nutter-Butter Cookies</t>
  </si>
  <si>
    <t>Mars bar [371]</t>
  </si>
  <si>
    <t>Mars bar</t>
  </si>
  <si>
    <t>mayonnaise [364]</t>
  </si>
  <si>
    <t>mayonnaise</t>
  </si>
  <si>
    <t>mushroom [350]</t>
  </si>
  <si>
    <t>mushroom</t>
  </si>
  <si>
    <t>liver [332]</t>
  </si>
  <si>
    <t>liver</t>
  </si>
  <si>
    <t>Kraft dressing [327]</t>
  </si>
  <si>
    <t>Kraft dressing</t>
  </si>
  <si>
    <t>Jujubes [312]</t>
  </si>
  <si>
    <t>Jujubes</t>
  </si>
  <si>
    <t>goulash [262]</t>
  </si>
  <si>
    <t>goulash</t>
  </si>
  <si>
    <t>green beans [242]</t>
  </si>
  <si>
    <t>green beans</t>
  </si>
  <si>
    <t>falafal [219]</t>
  </si>
  <si>
    <t>falafal</t>
  </si>
  <si>
    <t>fruit [201]</t>
  </si>
  <si>
    <t>fruit</t>
  </si>
  <si>
    <t>edamame [198]</t>
  </si>
  <si>
    <t>edamame</t>
  </si>
  <si>
    <t>chapatis [156]</t>
  </si>
  <si>
    <t>chapatis</t>
  </si>
  <si>
    <t>Chop suey [155]</t>
  </si>
  <si>
    <t>Chop suey</t>
  </si>
  <si>
    <t>chocolate [146]</t>
  </si>
  <si>
    <t>chocolate</t>
  </si>
  <si>
    <t>cabbage rolls [110]</t>
  </si>
  <si>
    <t>cabbage rolls</t>
  </si>
  <si>
    <t>butter chicken [72]</t>
  </si>
  <si>
    <t>butter chicken</t>
  </si>
  <si>
    <t>borscht [68]</t>
  </si>
  <si>
    <t>borscht</t>
  </si>
  <si>
    <t>black forest cake [67]</t>
  </si>
  <si>
    <t>black forest cake</t>
  </si>
  <si>
    <t>black eyed peas [65]</t>
  </si>
  <si>
    <t>black eyed peas</t>
  </si>
  <si>
    <t>boysenberry [41]</t>
  </si>
  <si>
    <t>boysenberry</t>
  </si>
  <si>
    <t>blueberry [40]</t>
  </si>
  <si>
    <t>blueberry</t>
  </si>
  <si>
    <t>broccoli [27]</t>
  </si>
  <si>
    <t>broccoli</t>
  </si>
  <si>
    <t>almonds [13]</t>
  </si>
  <si>
    <t>almonds</t>
  </si>
  <si>
    <t>[259]</t>
  </si>
  <si>
    <t>[255]</t>
  </si>
  <si>
    <t>[213]</t>
  </si>
  <si>
    <t>[218]</t>
  </si>
  <si>
    <t>[124]</t>
  </si>
  <si>
    <t>[137]</t>
  </si>
  <si>
    <t>[38]</t>
  </si>
  <si>
    <t>[104]</t>
  </si>
  <si>
    <t xml:space="preserve"> [556]</t>
  </si>
  <si>
    <t xml:space="preserve"> [553]</t>
  </si>
  <si>
    <t xml:space="preserve"> [552]</t>
  </si>
  <si>
    <t xml:space="preserve"> [551]</t>
  </si>
  <si>
    <t xml:space="preserve"> [473]</t>
  </si>
  <si>
    <t xml:space="preserve"> [471]</t>
  </si>
  <si>
    <t xml:space="preserve"> [449]</t>
  </si>
  <si>
    <t xml:space="preserve"> [434]</t>
  </si>
  <si>
    <t xml:space="preserve"> [280]</t>
  </si>
  <si>
    <t xml:space="preserve"> [259]</t>
  </si>
  <si>
    <t xml:space="preserve"> [191]</t>
  </si>
  <si>
    <t>[56]</t>
  </si>
  <si>
    <t>http://mapu-dkottow.rhcloud.com/stores/custorder/products.rows?$filter=customers.id ge 20 and customers.id le 30</t>
  </si>
  <si>
    <t xml:space="preserve"> [558]</t>
  </si>
  <si>
    <t xml:space="preserve"> [557]</t>
  </si>
  <si>
    <t xml:space="preserve"> [555]</t>
  </si>
  <si>
    <t xml:space="preserve"> [554]</t>
  </si>
  <si>
    <t xml:space="preserve"> [423]</t>
  </si>
  <si>
    <t xml:space="preserve"> [305]</t>
  </si>
  <si>
    <t xml:space="preserve"> [289]</t>
  </si>
  <si>
    <t xml:space="preserve"> [224]</t>
  </si>
  <si>
    <t xml:space="preserve"> [182]</t>
  </si>
  <si>
    <t xml:space="preserve"> [166]</t>
  </si>
  <si>
    <t xml:space="preserve"> [147]</t>
  </si>
  <si>
    <t xml:space="preserve"> [136]</t>
  </si>
  <si>
    <t xml:space="preserve"> [134]</t>
  </si>
  <si>
    <t xml:space="preserve"> [131]</t>
  </si>
  <si>
    <t>http://mapu-dkottow.rhcloud.com/stores/custorder/products_in_orders.rows?$filter=customers.id ge 20 and customers.id le 30</t>
  </si>
  <si>
    <t>http://mapu-dkottow.rhcloud.com/stores/custorder/customers.rows?$filter=customers.id ge 20 and customers.id le 30</t>
  </si>
  <si>
    <t>http://mapu-dkottow.rhcloud.com/stores/custorder/orders.rows?$filter=customers.id ge 20 and customers.id le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</si>
</sst>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yy\ hh:mm:ss"/>
    <numFmt numFmtId="165" formatCode="dd\-mm\-yyyy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1"/>
    <xf numFmtId="0" fontId="0" fillId="0" borderId="0" xfId="0" applyAlignment="1">
      <alignment wrapText="1"/>
    </xf>
    <xf numFmtId="0" fontId="3" fillId="0" borderId="0" xfId="1" applyAlignment="1">
      <alignment wrapText="1"/>
    </xf>
    <xf numFmtId="1" fontId="0" fillId="0" borderId="0" xfId="0" applyNumberFormat="1"/>
    <xf numFmtId="1" fontId="2" fillId="0" borderId="0" xfId="0" applyNumberFormat="1" applyFont="1"/>
    <xf numFmtId="49" fontId="0" fillId="0" borderId="0" xfId="0" applyNumberFormat="1"/>
    <xf numFmtId="49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2" fontId="0" fillId="0" borderId="0" xfId="0" applyNumberFormat="1"/>
    <xf numFmtId="2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</cellXfs>
  <cellStyles count="2">
    <cellStyle name="Hipervínculo" xfId="1" builtinId="8"/>
    <cellStyle name="Normal" xfId="0" builtinId="0"/>
  </cellStyles>
  <dxfs count="29139"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F1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1.85546875" bestFit="1" customWidth="1"/>
    <col min="2" max="2" width="11.42578125" customWidth="1"/>
    <col min="9" max="9" width="11.85546875" bestFit="1" customWidth="1"/>
    <col min="12" max="12" width="11.85546875" bestFit="1" customWidth="1"/>
    <col min="14" max="14" width="11.85546875" bestFit="1" customWidth="1"/>
  </cols>
  <sheetData>
    <row r="1" spans="6:6" x14ac:dyDescent="0.25"/>
  </sheetData>
  <dataValidations disablePrompts="1" count="1">
    <dataValidation type="custom" allowBlank="1" showInputMessage="1" showErrorMessage="1" error="Column Headers are read-only" sqref="L1:M1 E1:G1">
      <formula1>FALSE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3"/>
  <sheetViews>
    <sheetView workbookViewId="0">
      <selection activeCell="B8" sqref="B8"/>
    </sheetView>
  </sheetViews>
  <sheetFormatPr baseColWidth="10" defaultRowHeight="15" x14ac:dyDescent="0.25"/>
  <cols>
    <col min="2" max="2" width="40.140625" bestFit="1" customWidth="1"/>
  </cols>
  <sheetData>
    <row r="1" spans="1:6" x14ac:dyDescent="0.25">
      <c r="A1" s="1" t="s">
        <v>3</v>
      </c>
      <c r="B1" s="1" t="s">
        <v>0</v>
      </c>
      <c r="C1" s="1" t="s">
        <v>4</v>
      </c>
      <c r="D1" s="1" t="s">
        <v>5</v>
      </c>
      <c r="E1" s="1" t="s">
        <v>6</v>
      </c>
      <c r="F1" s="1" t="s">
        <v>1</v>
      </c>
    </row>
    <row r="2" spans="1:6" x14ac:dyDescent="0.25">
      <c r="A2" t="s">
        <v>7</v>
      </c>
      <c r="B2" s="2" t="s">
        <v>8</v>
      </c>
      <c r="C2">
        <v>402</v>
      </c>
      <c r="E2" t="s">
        <v>9</v>
      </c>
      <c r="F2" s="2" t="s">
        <v>50</v>
      </c>
    </row>
    <row r="3" spans="1:6" x14ac:dyDescent="0.25">
      <c r="A3" t="s">
        <v>9</v>
      </c>
      <c r="B3" s="2" t="s">
        <v>10</v>
      </c>
      <c r="C3">
        <v>327</v>
      </c>
      <c r="D3" t="s">
        <v>7</v>
      </c>
      <c r="E3" t="s">
        <v>11</v>
      </c>
      <c r="F3" s="1" t="s">
        <v>51</v>
      </c>
    </row>
    <row r="4" spans="1:6" x14ac:dyDescent="0.25">
      <c r="A4" t="s">
        <v>12</v>
      </c>
      <c r="B4" s="2" t="s">
        <v>13</v>
      </c>
      <c r="C4">
        <v>677</v>
      </c>
      <c r="E4" t="s">
        <v>11</v>
      </c>
      <c r="F4" s="2" t="s">
        <v>2</v>
      </c>
    </row>
    <row r="5" spans="1:6" ht="30" x14ac:dyDescent="0.25">
      <c r="A5" t="s">
        <v>11</v>
      </c>
      <c r="B5" s="2" t="s">
        <v>14</v>
      </c>
      <c r="C5">
        <v>1715</v>
      </c>
      <c r="D5" s="3" t="s">
        <v>15</v>
      </c>
    </row>
    <row r="7" spans="1:6" x14ac:dyDescent="0.25">
      <c r="A7" s="1" t="s">
        <v>16</v>
      </c>
    </row>
    <row r="8" spans="1:6" ht="195" x14ac:dyDescent="0.25">
      <c r="A8" s="3" t="s">
        <v>17</v>
      </c>
      <c r="B8" s="4" t="s">
        <v>18</v>
      </c>
    </row>
    <row r="10" spans="1:6" x14ac:dyDescent="0.25">
      <c r="A10" s="1" t="s">
        <v>19</v>
      </c>
    </row>
    <row r="11" spans="1:6" x14ac:dyDescent="0.25">
      <c r="A11" t="s">
        <v>20</v>
      </c>
      <c r="B11" t="s">
        <v>21</v>
      </c>
    </row>
    <row r="12" spans="1:6" x14ac:dyDescent="0.25">
      <c r="A12" t="s">
        <v>22</v>
      </c>
      <c r="B12" t="s">
        <v>23</v>
      </c>
    </row>
    <row r="13" spans="1:6" x14ac:dyDescent="0.25">
      <c r="A13" t="s">
        <v>24</v>
      </c>
      <c r="B13" t="s">
        <v>25</v>
      </c>
    </row>
    <row r="14" spans="1:6" x14ac:dyDescent="0.25">
      <c r="A14" t="s">
        <v>26</v>
      </c>
      <c r="B14" t="s">
        <v>27</v>
      </c>
    </row>
    <row r="15" spans="1:6" x14ac:dyDescent="0.25">
      <c r="A15" t="s">
        <v>28</v>
      </c>
      <c r="B15" t="s">
        <v>29</v>
      </c>
    </row>
    <row r="16" spans="1:6" x14ac:dyDescent="0.25">
      <c r="A16" t="s">
        <v>30</v>
      </c>
      <c r="B16" t="s">
        <v>21</v>
      </c>
    </row>
    <row r="17" spans="1:2" x14ac:dyDescent="0.25">
      <c r="A17" t="s">
        <v>31</v>
      </c>
      <c r="B17" t="s">
        <v>32</v>
      </c>
    </row>
    <row r="18" spans="1:2" x14ac:dyDescent="0.25">
      <c r="A18" t="s">
        <v>33</v>
      </c>
      <c r="B18" t="s">
        <v>21</v>
      </c>
    </row>
    <row r="19" spans="1:2" x14ac:dyDescent="0.25">
      <c r="A19" t="s">
        <v>34</v>
      </c>
      <c r="B19" t="s">
        <v>35</v>
      </c>
    </row>
    <row r="20" spans="1:2" x14ac:dyDescent="0.25">
      <c r="A20" t="s">
        <v>36</v>
      </c>
      <c r="B20" t="s">
        <v>25</v>
      </c>
    </row>
    <row r="21" spans="1:2" x14ac:dyDescent="0.25">
      <c r="A21" t="s">
        <v>37</v>
      </c>
      <c r="B21" t="s">
        <v>29</v>
      </c>
    </row>
    <row r="22" spans="1:2" x14ac:dyDescent="0.25">
      <c r="A22" t="s">
        <v>38</v>
      </c>
      <c r="B22" t="s">
        <v>21</v>
      </c>
    </row>
    <row r="23" spans="1:2" x14ac:dyDescent="0.25">
      <c r="A23" t="s">
        <v>39</v>
      </c>
      <c r="B23" t="s">
        <v>23</v>
      </c>
    </row>
    <row r="24" spans="1:2" x14ac:dyDescent="0.25">
      <c r="A24" t="s">
        <v>40</v>
      </c>
      <c r="B24" t="s">
        <v>35</v>
      </c>
    </row>
    <row r="25" spans="1:2" x14ac:dyDescent="0.25">
      <c r="A25" t="s">
        <v>41</v>
      </c>
      <c r="B25" t="s">
        <v>27</v>
      </c>
    </row>
    <row r="26" spans="1:2" x14ac:dyDescent="0.25">
      <c r="A26" t="s">
        <v>42</v>
      </c>
      <c r="B26" t="s">
        <v>29</v>
      </c>
    </row>
    <row r="27" spans="1:2" x14ac:dyDescent="0.25">
      <c r="A27" t="s">
        <v>43</v>
      </c>
      <c r="B27" t="s">
        <v>21</v>
      </c>
    </row>
    <row r="28" spans="1:2" x14ac:dyDescent="0.25">
      <c r="A28" t="s">
        <v>44</v>
      </c>
      <c r="B28" t="s">
        <v>21</v>
      </c>
    </row>
    <row r="29" spans="1:2" x14ac:dyDescent="0.25">
      <c r="A29" t="s">
        <v>45</v>
      </c>
      <c r="B29" t="s">
        <v>21</v>
      </c>
    </row>
    <row r="30" spans="1:2" x14ac:dyDescent="0.25">
      <c r="A30" t="s">
        <v>46</v>
      </c>
      <c r="B30" t="s">
        <v>35</v>
      </c>
    </row>
    <row r="31" spans="1:2" x14ac:dyDescent="0.25">
      <c r="A31" t="s">
        <v>47</v>
      </c>
      <c r="B31" t="s">
        <v>21</v>
      </c>
    </row>
    <row r="32" spans="1:2" x14ac:dyDescent="0.25">
      <c r="A32" t="s">
        <v>48</v>
      </c>
      <c r="B32" t="s">
        <v>25</v>
      </c>
    </row>
    <row r="33" spans="1:2" x14ac:dyDescent="0.25">
      <c r="A33" t="s">
        <v>49</v>
      </c>
      <c r="B33" t="s">
        <v>29</v>
      </c>
    </row>
  </sheetData>
  <dataValidations count="9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B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A7">
      <formula1>"False"</formula1>
    </dataValidation>
    <dataValidation type="custom" allowBlank="1" showInputMessage="1" showErrorMessage="1" error="Column Headers are read-only" sqref="A10">
      <formula1>"False"</formula1>
    </dataValidation>
    <dataValidation type="custom" allowBlank="1" showInputMessage="1" showErrorMessage="1" error="Column Headers are read-only" sqref="F1">
      <formula1>"False"</formula1>
    </dataValidation>
    <dataValidation type="custom" allowBlank="1" showInputMessage="1" showErrorMessage="1" error="Column Headers are read-only" sqref="F3">
      <formula1>"False"</formula1>
    </dataValidation>
  </dataValidations>
  <hyperlinks>
    <hyperlink ref="F2" display="http://mapu-dkottow.rhcloud.com/stores/custorder.db"/>
    <hyperlink ref="B2" display="/stores/custorder/customers.rows"/>
    <hyperlink ref="B3" display="/stores/custorder/orders.rows"/>
    <hyperlink ref="B4" display="/stores/custorder/products.rows"/>
    <hyperlink ref="B5" display="/stores/custorder/products_in_orders.rows"/>
    <hyperlink ref="B8" display="/stores/custorder/customers.rows_x000d__x000a_/stores/custorder/orders.rows_x000d__x000a_/stores/custorder/products.rows_x000d__x000a_/stores/custorder/products_in_orders.rows"/>
    <hyperlink ref="F4" display="http://mapu-dkottow.rhcloud.com/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12"/>
  <sheetViews>
    <sheetView workbookViewId="0">
      <selection activeCell="C3" sqref="C3"/>
    </sheetView>
  </sheetViews>
  <sheetFormatPr baseColWidth="10" defaultRowHeight="15" x14ac:dyDescent="0.25"/>
  <cols>
    <col min="3" max="3" width="11.42578125" style="5"/>
    <col min="4" max="6" width="11.42578125" style="7"/>
    <col min="7" max="7" width="11.42578125" style="9"/>
  </cols>
  <sheetData>
    <row r="1" spans="1:8" x14ac:dyDescent="0.25">
      <c r="A1" s="1" t="s">
        <v>52</v>
      </c>
      <c r="B1" s="1" t="s">
        <v>53</v>
      </c>
      <c r="C1" s="6" t="s">
        <v>54</v>
      </c>
      <c r="D1" s="8" t="s">
        <v>55</v>
      </c>
      <c r="E1" s="8" t="s">
        <v>56</v>
      </c>
      <c r="F1" s="8" t="s">
        <v>57</v>
      </c>
      <c r="G1" s="10" t="s">
        <v>58</v>
      </c>
      <c r="H1" s="1" t="s">
        <v>1</v>
      </c>
    </row>
    <row r="2" spans="1:8" x14ac:dyDescent="0.25">
      <c r="A2" t="str">
        <f>IF(COUNTBLANK(C2:G2) = 5,"",IF(AND(NOT(ISBLANK(C2)),COUNTBLANK(C2:G2) = 4),"3 Delete",IF(ISBLANK(C2),"2 Add",IF(SHA1Range(C2:G2) = "ae10bf01dd4a7735cc7a714a894b8df2f7908dec","0 Original","1 Modify"))))</f>
        <v>0 Original</v>
      </c>
      <c r="B2" t="s">
        <v>61</v>
      </c>
      <c r="C2" s="5">
        <v>30</v>
      </c>
      <c r="D2" s="7" t="s">
        <v>62</v>
      </c>
      <c r="E2" s="7" t="s">
        <v>63</v>
      </c>
      <c r="F2" s="7" t="s">
        <v>59</v>
      </c>
      <c r="G2" s="9">
        <v>42023.873645833337</v>
      </c>
      <c r="H2" s="2" t="s">
        <v>258</v>
      </c>
    </row>
    <row r="3" spans="1:8" x14ac:dyDescent="0.25">
      <c r="A3" t="str">
        <f>IF(COUNTBLANK(C3:G3) = 5,"",IF(AND(NOT(ISBLANK(C3)),COUNTBLANK(C3:G3) = 4),"3 Delete",IF(ISBLANK(C3),"2 Add",IF(SHA1Range(C3:G3) = "ec0e71a330b7c4f4cddfa23e00d23705530312b9","0 Original","1 Modify"))))</f>
        <v>0 Original</v>
      </c>
      <c r="B3" t="s">
        <v>64</v>
      </c>
      <c r="C3" s="5">
        <v>29</v>
      </c>
      <c r="D3" s="7" t="s">
        <v>65</v>
      </c>
      <c r="E3" s="7" t="s">
        <v>66</v>
      </c>
      <c r="F3" s="7" t="s">
        <v>59</v>
      </c>
      <c r="G3" s="9">
        <v>42023.87363425926</v>
      </c>
    </row>
    <row r="4" spans="1:8" x14ac:dyDescent="0.25">
      <c r="A4" t="str">
        <f>IF(COUNTBLANK(C4:G4) = 5,"",IF(AND(NOT(ISBLANK(C4)),COUNTBLANK(C4:G4) = 4),"3 Delete",IF(ISBLANK(C4),"2 Add",IF(SHA1Range(C4:G4) = "e03d7b4f4b06f238aa66233aab7f93425c631b4b","0 Original","1 Modify"))))</f>
        <v>0 Original</v>
      </c>
      <c r="B4" t="s">
        <v>67</v>
      </c>
      <c r="C4" s="5">
        <v>28</v>
      </c>
      <c r="D4" s="7" t="s">
        <v>68</v>
      </c>
      <c r="E4" s="7" t="s">
        <v>69</v>
      </c>
      <c r="F4" s="7" t="s">
        <v>59</v>
      </c>
      <c r="G4" s="9">
        <v>42023.873622685183</v>
      </c>
    </row>
    <row r="5" spans="1:8" x14ac:dyDescent="0.25">
      <c r="A5" t="str">
        <f>IF(COUNTBLANK(C5:G5) = 5,"",IF(AND(NOT(ISBLANK(C5)),COUNTBLANK(C5:G5) = 4),"3 Delete",IF(ISBLANK(C5),"2 Add",IF(SHA1Range(C5:G5) = "498bfc07fc6405695103e5b20b3aaa8351ed38fa","0 Original","1 Modify"))))</f>
        <v>0 Original</v>
      </c>
      <c r="B5" t="s">
        <v>70</v>
      </c>
      <c r="C5" s="5">
        <v>27</v>
      </c>
      <c r="D5" s="7" t="s">
        <v>71</v>
      </c>
      <c r="E5" s="7" t="s">
        <v>72</v>
      </c>
      <c r="F5" s="7" t="s">
        <v>59</v>
      </c>
      <c r="G5" s="9">
        <v>42023.873611111114</v>
      </c>
    </row>
    <row r="6" spans="1:8" x14ac:dyDescent="0.25">
      <c r="A6" t="str">
        <f>IF(COUNTBLANK(C6:G6) = 5,"",IF(AND(NOT(ISBLANK(C6)),COUNTBLANK(C6:G6) = 4),"3 Delete",IF(ISBLANK(C6),"2 Add",IF(SHA1Range(C6:G6) = "f8942d20ff526c68b467d2c6f053ceb3f6633527","0 Original","1 Modify"))))</f>
        <v>0 Original</v>
      </c>
      <c r="B6" t="s">
        <v>73</v>
      </c>
      <c r="C6" s="5">
        <v>26</v>
      </c>
      <c r="D6" s="7" t="s">
        <v>74</v>
      </c>
      <c r="E6" s="7" t="s">
        <v>75</v>
      </c>
      <c r="F6" s="7" t="s">
        <v>59</v>
      </c>
      <c r="G6" s="9">
        <v>42023.873611111114</v>
      </c>
    </row>
    <row r="7" spans="1:8" x14ac:dyDescent="0.25">
      <c r="A7" t="str">
        <f>IF(COUNTBLANK(C7:G7) = 5,"",IF(AND(NOT(ISBLANK(C7)),COUNTBLANK(C7:G7) = 4),"3 Delete",IF(ISBLANK(C7),"2 Add",IF(SHA1Range(C7:G7) = "06d90e86fda1520a03dc40ff50aaa376cb62dd22","0 Original","1 Modify"))))</f>
        <v>0 Original</v>
      </c>
      <c r="B7" t="s">
        <v>76</v>
      </c>
      <c r="C7" s="5">
        <v>25</v>
      </c>
      <c r="D7" s="7" t="s">
        <v>77</v>
      </c>
      <c r="E7" s="7" t="s">
        <v>78</v>
      </c>
      <c r="F7" s="7" t="s">
        <v>59</v>
      </c>
      <c r="G7" s="9">
        <v>42023.873599537037</v>
      </c>
    </row>
    <row r="8" spans="1:8" x14ac:dyDescent="0.25">
      <c r="A8" t="str">
        <f>IF(COUNTBLANK(C8:G8) = 5,"",IF(AND(NOT(ISBLANK(C8)),COUNTBLANK(C8:G8) = 4),"3 Delete",IF(ISBLANK(C8),"2 Add",IF(SHA1Range(C8:G8) = "fe27f710454211e42ac247f3f75579f32076221b","0 Original","1 Modify"))))</f>
        <v>0 Original</v>
      </c>
      <c r="B8" t="s">
        <v>79</v>
      </c>
      <c r="C8" s="5">
        <v>24</v>
      </c>
      <c r="D8" s="7" t="s">
        <v>80</v>
      </c>
      <c r="E8" s="7" t="s">
        <v>81</v>
      </c>
      <c r="F8" s="7" t="s">
        <v>59</v>
      </c>
      <c r="G8" s="9">
        <v>42023.87358796296</v>
      </c>
    </row>
    <row r="9" spans="1:8" x14ac:dyDescent="0.25">
      <c r="A9" t="str">
        <f>IF(COUNTBLANK(C9:G9) = 5,"",IF(AND(NOT(ISBLANK(C9)),COUNTBLANK(C9:G9) = 4),"3 Delete",IF(ISBLANK(C9),"2 Add",IF(SHA1Range(C9:G9) = "a7b14a476a9c6bc14afd4dff24b2cd737e4bacc9","0 Original","1 Modify"))))</f>
        <v>0 Original</v>
      </c>
      <c r="B9" t="s">
        <v>82</v>
      </c>
      <c r="C9" s="5">
        <v>23</v>
      </c>
      <c r="D9" s="7" t="s">
        <v>83</v>
      </c>
      <c r="E9" s="7" t="s">
        <v>84</v>
      </c>
      <c r="F9" s="7" t="s">
        <v>59</v>
      </c>
      <c r="G9" s="9">
        <v>42023.873576388891</v>
      </c>
    </row>
    <row r="10" spans="1:8" x14ac:dyDescent="0.25">
      <c r="A10" t="str">
        <f>IF(COUNTBLANK(C10:G10) = 5,"",IF(AND(NOT(ISBLANK(C10)),COUNTBLANK(C10:G10) = 4),"3 Delete",IF(ISBLANK(C10),"2 Add",IF(SHA1Range(C10:G10) = "265e5084fafe1a2524f4f0e089e56ad85206244a","0 Original","1 Modify"))))</f>
        <v>0 Original</v>
      </c>
      <c r="B10" t="s">
        <v>85</v>
      </c>
      <c r="C10" s="5">
        <v>22</v>
      </c>
      <c r="D10" s="7" t="s">
        <v>86</v>
      </c>
      <c r="E10" s="7" t="s">
        <v>87</v>
      </c>
      <c r="F10" s="7" t="s">
        <v>59</v>
      </c>
      <c r="G10" s="9">
        <v>42023.873564814814</v>
      </c>
    </row>
    <row r="11" spans="1:8" x14ac:dyDescent="0.25">
      <c r="A11" t="str">
        <f>IF(COUNTBLANK(C11:G11) = 5,"",IF(AND(NOT(ISBLANK(C11)),COUNTBLANK(C11:G11) = 4),"3 Delete",IF(ISBLANK(C11),"2 Add",IF(SHA1Range(C11:G11) = "7cf9ab35b31057bc153f685608db3a3691cfb5d4","0 Original","1 Modify"))))</f>
        <v>0 Original</v>
      </c>
      <c r="B11" t="s">
        <v>88</v>
      </c>
      <c r="C11" s="5">
        <v>21</v>
      </c>
      <c r="D11" s="7" t="s">
        <v>89</v>
      </c>
      <c r="E11" s="7" t="s">
        <v>90</v>
      </c>
      <c r="F11" s="7" t="s">
        <v>59</v>
      </c>
      <c r="G11" s="9">
        <v>42023.873564814814</v>
      </c>
    </row>
    <row r="12" spans="1:8" x14ac:dyDescent="0.25">
      <c r="A12" t="str">
        <f>IF(COUNTBLANK(C12:G12) = 5,"",IF(AND(NOT(ISBLANK(C12)),COUNTBLANK(C12:G12) = 4),"3 Delete",IF(ISBLANK(C12),"2 Add",IF(SHA1Range(C12:G12) = "f64224758da443e92dfbad35efbebc382115d7ce","0 Original","1 Modify"))))</f>
        <v>0 Original</v>
      </c>
      <c r="B12" t="s">
        <v>91</v>
      </c>
      <c r="C12" s="5">
        <v>20</v>
      </c>
      <c r="D12" s="7" t="s">
        <v>92</v>
      </c>
      <c r="E12" s="7" t="s">
        <v>93</v>
      </c>
      <c r="F12" s="7" t="s">
        <v>59</v>
      </c>
      <c r="G12" s="9">
        <v>42023.873553240737</v>
      </c>
    </row>
  </sheetData>
  <conditionalFormatting sqref="A2">
    <cfRule type="cellIs" dxfId="59" priority="1" stopIfTrue="1" operator="equal">
      <formula>"1 Modify"</formula>
    </cfRule>
    <cfRule type="cellIs" dxfId="58" priority="2" stopIfTrue="1" operator="equal">
      <formula>"2 Add"</formula>
    </cfRule>
    <cfRule type="cellIs" dxfId="57" priority="3" stopIfTrue="1" operator="equal">
      <formula>"3 Delete"</formula>
    </cfRule>
  </conditionalFormatting>
  <conditionalFormatting sqref="A3">
    <cfRule type="cellIs" dxfId="56" priority="4" stopIfTrue="1" operator="equal">
      <formula>"1 Modify"</formula>
    </cfRule>
    <cfRule type="cellIs" dxfId="55" priority="5" stopIfTrue="1" operator="equal">
      <formula>"2 Add"</formula>
    </cfRule>
    <cfRule type="cellIs" dxfId="54" priority="6" stopIfTrue="1" operator="equal">
      <formula>"3 Delete"</formula>
    </cfRule>
  </conditionalFormatting>
  <conditionalFormatting sqref="A4">
    <cfRule type="cellIs" dxfId="53" priority="7" stopIfTrue="1" operator="equal">
      <formula>"1 Modify"</formula>
    </cfRule>
    <cfRule type="cellIs" dxfId="52" priority="8" stopIfTrue="1" operator="equal">
      <formula>"2 Add"</formula>
    </cfRule>
    <cfRule type="cellIs" dxfId="51" priority="9" stopIfTrue="1" operator="equal">
      <formula>"3 Delete"</formula>
    </cfRule>
  </conditionalFormatting>
  <conditionalFormatting sqref="A5">
    <cfRule type="cellIs" dxfId="50" priority="10" stopIfTrue="1" operator="equal">
      <formula>"1 Modify"</formula>
    </cfRule>
    <cfRule type="cellIs" dxfId="49" priority="11" stopIfTrue="1" operator="equal">
      <formula>"2 Add"</formula>
    </cfRule>
    <cfRule type="cellIs" dxfId="48" priority="12" stopIfTrue="1" operator="equal">
      <formula>"3 Delete"</formula>
    </cfRule>
  </conditionalFormatting>
  <conditionalFormatting sqref="A6">
    <cfRule type="cellIs" dxfId="47" priority="13" stopIfTrue="1" operator="equal">
      <formula>"1 Modify"</formula>
    </cfRule>
    <cfRule type="cellIs" dxfId="46" priority="14" stopIfTrue="1" operator="equal">
      <formula>"2 Add"</formula>
    </cfRule>
    <cfRule type="cellIs" dxfId="45" priority="15" stopIfTrue="1" operator="equal">
      <formula>"3 Delete"</formula>
    </cfRule>
  </conditionalFormatting>
  <conditionalFormatting sqref="A7">
    <cfRule type="cellIs" dxfId="44" priority="16" stopIfTrue="1" operator="equal">
      <formula>"1 Modify"</formula>
    </cfRule>
    <cfRule type="cellIs" dxfId="43" priority="17" stopIfTrue="1" operator="equal">
      <formula>"2 Add"</formula>
    </cfRule>
    <cfRule type="cellIs" dxfId="42" priority="18" stopIfTrue="1" operator="equal">
      <formula>"3 Delete"</formula>
    </cfRule>
  </conditionalFormatting>
  <conditionalFormatting sqref="A8">
    <cfRule type="cellIs" dxfId="41" priority="19" stopIfTrue="1" operator="equal">
      <formula>"1 Modify"</formula>
    </cfRule>
    <cfRule type="cellIs" dxfId="40" priority="20" stopIfTrue="1" operator="equal">
      <formula>"2 Add"</formula>
    </cfRule>
    <cfRule type="cellIs" dxfId="39" priority="21" stopIfTrue="1" operator="equal">
      <formula>"3 Delete"</formula>
    </cfRule>
  </conditionalFormatting>
  <conditionalFormatting sqref="A9">
    <cfRule type="cellIs" dxfId="38" priority="22" stopIfTrue="1" operator="equal">
      <formula>"1 Modify"</formula>
    </cfRule>
    <cfRule type="cellIs" dxfId="37" priority="23" stopIfTrue="1" operator="equal">
      <formula>"2 Add"</formula>
    </cfRule>
    <cfRule type="cellIs" dxfId="36" priority="24" stopIfTrue="1" operator="equal">
      <formula>"3 Delete"</formula>
    </cfRule>
  </conditionalFormatting>
  <conditionalFormatting sqref="A10">
    <cfRule type="cellIs" dxfId="35" priority="25" stopIfTrue="1" operator="equal">
      <formula>"1 Modify"</formula>
    </cfRule>
    <cfRule type="cellIs" dxfId="34" priority="26" stopIfTrue="1" operator="equal">
      <formula>"2 Add"</formula>
    </cfRule>
    <cfRule type="cellIs" dxfId="33" priority="27" stopIfTrue="1" operator="equal">
      <formula>"3 Delete"</formula>
    </cfRule>
  </conditionalFormatting>
  <conditionalFormatting sqref="A11">
    <cfRule type="cellIs" dxfId="32" priority="28" stopIfTrue="1" operator="equal">
      <formula>"1 Modify"</formula>
    </cfRule>
    <cfRule type="cellIs" dxfId="31" priority="29" stopIfTrue="1" operator="equal">
      <formula>"2 Add"</formula>
    </cfRule>
    <cfRule type="cellIs" dxfId="30" priority="30" stopIfTrue="1" operator="equal">
      <formula>"3 Delete"</formula>
    </cfRule>
  </conditionalFormatting>
  <conditionalFormatting sqref="A12">
    <cfRule type="cellIs" dxfId="29" priority="31" stopIfTrue="1" operator="equal">
      <formula>"1 Modify"</formula>
    </cfRule>
    <cfRule type="cellIs" dxfId="28" priority="32" stopIfTrue="1" operator="equal">
      <formula>"2 Add"</formula>
    </cfRule>
    <cfRule type="cellIs" dxfId="27" priority="33" stopIfTrue="1" operator="equal">
      <formula>"3 Delete"</formula>
    </cfRule>
  </conditionalFormatting>
  <dataValidations count="12">
    <dataValidation type="custom" allowBlank="1" showInputMessage="1" showErrorMessage="1" error="Column is read-only" sqref="A2:A1048576">
      <formula1>FALSE</formula1>
    </dataValidation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is read-only" sqref="B2:B1048576">
      <formula1>FALSE</formula1>
    </dataValidation>
    <dataValidation type="custom" allowBlank="1" showInputMessage="1" showErrorMessage="1" error="Column Headers are read-only" sqref="B1">
      <formula1>FALSE</formula1>
    </dataValidation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ate" operator="greaterThan" allowBlank="1" showInputMessage="1" showErrorMessage="1" error="Value must be a Date" sqref="G2:G1048576">
      <formula1>1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</dataValidations>
  <hyperlinks>
    <hyperlink ref="H2" display="http://mapu-dkottow.rhcloud.com/stores/custorder/customers.rows?$filter=customers.id ge 20 and customers.id le 3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49"/>
  <sheetViews>
    <sheetView topLeftCell="A25" workbookViewId="0">
      <selection activeCell="E37" sqref="E37"/>
    </sheetView>
  </sheetViews>
  <sheetFormatPr baseColWidth="10" defaultRowHeight="15" x14ac:dyDescent="0.25"/>
  <cols>
    <col min="3" max="3" width="11.42578125" style="5"/>
    <col min="6" max="6" width="11.42578125" style="11"/>
    <col min="7" max="7" width="11.42578125" style="5"/>
    <col min="8" max="8" width="11.42578125" style="7"/>
    <col min="9" max="9" width="11.42578125" style="9"/>
  </cols>
  <sheetData>
    <row r="1" spans="1:10" x14ac:dyDescent="0.25">
      <c r="A1" s="1" t="s">
        <v>52</v>
      </c>
      <c r="B1" s="1" t="s">
        <v>53</v>
      </c>
      <c r="C1" s="6" t="s">
        <v>54</v>
      </c>
      <c r="D1" s="1" t="s">
        <v>94</v>
      </c>
      <c r="E1" s="1" t="s">
        <v>95</v>
      </c>
      <c r="F1" s="12" t="s">
        <v>96</v>
      </c>
      <c r="G1" s="6" t="s">
        <v>97</v>
      </c>
      <c r="H1" s="8" t="s">
        <v>57</v>
      </c>
      <c r="I1" s="10" t="s">
        <v>58</v>
      </c>
      <c r="J1" s="1" t="s">
        <v>1</v>
      </c>
    </row>
    <row r="2" spans="1:10" x14ac:dyDescent="0.25">
      <c r="A2" t="str">
        <f>IF(COUNTBLANK(C2:I2) = 7,"",IF(AND(NOT(ISBLANK(C2)),COUNTBLANK(C2:I2) = 6),"3 Delete",IF(ISBLANK(C2),"2 Add",IF(SHA1Range(C2:I2) = "4fc47f2923fbd8ff8e157890a03ffbf070d43880","0 Original","1 Modify"))))</f>
        <v>0 Original</v>
      </c>
      <c r="B2" t="s">
        <v>98</v>
      </c>
      <c r="C2" s="5">
        <v>1508</v>
      </c>
      <c r="D2" t="s">
        <v>222</v>
      </c>
      <c r="E2" t="s">
        <v>204</v>
      </c>
      <c r="F2" s="11">
        <v>8.99</v>
      </c>
      <c r="G2" s="5">
        <v>12</v>
      </c>
      <c r="H2" s="7" t="s">
        <v>60</v>
      </c>
      <c r="I2" s="9">
        <v>42025.707037037035</v>
      </c>
      <c r="J2" s="2" t="s">
        <v>257</v>
      </c>
    </row>
    <row r="3" spans="1:10" x14ac:dyDescent="0.25">
      <c r="A3" t="str">
        <f>IF(COUNTBLANK(C3:I3) = 7,"",IF(AND(NOT(ISBLANK(C3)),COUNTBLANK(C3:I3) = 6),"3 Delete",IF(ISBLANK(C3),"2 Add",IF(SHA1Range(C3:I3) = "c2bfbc9f284e2c51ae3630153cd13da48e41097f","0 Original","1 Modify"))))</f>
        <v>0 Original</v>
      </c>
      <c r="B3" t="s">
        <v>99</v>
      </c>
      <c r="C3" s="5">
        <v>1396</v>
      </c>
      <c r="D3" t="s">
        <v>223</v>
      </c>
      <c r="E3" t="s">
        <v>158</v>
      </c>
      <c r="F3" s="11">
        <v>14.69</v>
      </c>
      <c r="G3" s="5">
        <v>7</v>
      </c>
      <c r="H3" s="7" t="s">
        <v>60</v>
      </c>
      <c r="I3" s="9">
        <v>42025.705439814818</v>
      </c>
    </row>
    <row r="4" spans="1:10" x14ac:dyDescent="0.25">
      <c r="A4" t="str">
        <f>IF(COUNTBLANK(C4:I4) = 7,"",IF(AND(NOT(ISBLANK(C4)),COUNTBLANK(C4:I4) = 6),"3 Delete",IF(ISBLANK(C4),"2 Add",IF(SHA1Range(C4:I4) = "583bf55141940cb953f975073d076dd0b89235e0","0 Original","1 Modify"))))</f>
        <v>0 Original</v>
      </c>
      <c r="B4" t="s">
        <v>100</v>
      </c>
      <c r="C4" s="5">
        <v>1384</v>
      </c>
      <c r="D4" t="s">
        <v>222</v>
      </c>
      <c r="E4" t="s">
        <v>180</v>
      </c>
      <c r="F4" s="11">
        <v>7.19</v>
      </c>
      <c r="G4" s="5">
        <v>14</v>
      </c>
      <c r="H4" s="7" t="s">
        <v>60</v>
      </c>
      <c r="I4" s="9">
        <v>42025.705405092594</v>
      </c>
    </row>
    <row r="5" spans="1:10" x14ac:dyDescent="0.25">
      <c r="A5" t="str">
        <f>IF(COUNTBLANK(C5:I5) = 7,"",IF(AND(NOT(ISBLANK(C5)),COUNTBLANK(C5:I5) = 6),"3 Delete",IF(ISBLANK(C5),"2 Add",IF(SHA1Range(C5:I5) = "c7989b8dd2f2386f72b5193a96e69e77db33d1a9","0 Original","1 Modify"))))</f>
        <v>0 Original</v>
      </c>
      <c r="B5" t="s">
        <v>101</v>
      </c>
      <c r="C5" s="5">
        <v>1279</v>
      </c>
      <c r="D5" t="s">
        <v>223</v>
      </c>
      <c r="E5" t="s">
        <v>202</v>
      </c>
      <c r="F5" s="11">
        <v>19.89</v>
      </c>
      <c r="G5" s="5">
        <v>7</v>
      </c>
      <c r="H5" s="7" t="s">
        <v>60</v>
      </c>
      <c r="I5" s="9">
        <v>42025.705034722225</v>
      </c>
    </row>
    <row r="6" spans="1:10" x14ac:dyDescent="0.25">
      <c r="A6" t="str">
        <f>IF(COUNTBLANK(C6:I6) = 7,"",IF(AND(NOT(ISBLANK(C6)),COUNTBLANK(C6:I6) = 6),"3 Delete",IF(ISBLANK(C6),"2 Add",IF(SHA1Range(C6:I6) = "82d734cf88e7c6f09c0da32d65cfc0fdd97399f9","0 Original","1 Modify"))))</f>
        <v>0 Original</v>
      </c>
      <c r="B6" t="s">
        <v>102</v>
      </c>
      <c r="C6" s="5">
        <v>1258</v>
      </c>
      <c r="D6" t="s">
        <v>222</v>
      </c>
      <c r="E6" t="s">
        <v>160</v>
      </c>
      <c r="F6" s="11">
        <v>5.29</v>
      </c>
      <c r="G6" s="5">
        <v>14</v>
      </c>
      <c r="H6" s="7" t="s">
        <v>60</v>
      </c>
      <c r="I6" s="9">
        <v>42025.704965277779</v>
      </c>
    </row>
    <row r="7" spans="1:10" x14ac:dyDescent="0.25">
      <c r="A7" t="str">
        <f>IF(COUNTBLANK(C7:I7) = 7,"",IF(AND(NOT(ISBLANK(C7)),COUNTBLANK(C7:I7) = 6),"3 Delete",IF(ISBLANK(C7),"2 Add",IF(SHA1Range(C7:I7) = "c256ca59e36d182864cf9bcc395a03db2d711f51","0 Original","1 Modify"))))</f>
        <v>0 Original</v>
      </c>
      <c r="B7" t="s">
        <v>103</v>
      </c>
      <c r="C7" s="5">
        <v>1224</v>
      </c>
      <c r="D7" t="s">
        <v>223</v>
      </c>
      <c r="E7" t="s">
        <v>154</v>
      </c>
      <c r="F7" s="11">
        <v>6.89</v>
      </c>
      <c r="G7" s="5">
        <v>10</v>
      </c>
      <c r="H7" s="7" t="s">
        <v>60</v>
      </c>
      <c r="I7" s="9">
        <v>42025.70484953704</v>
      </c>
    </row>
    <row r="8" spans="1:10" x14ac:dyDescent="0.25">
      <c r="A8" t="str">
        <f>IF(COUNTBLANK(C8:I8) = 7,"",IF(AND(NOT(ISBLANK(C8)),COUNTBLANK(C8:I8) = 6),"3 Delete",IF(ISBLANK(C8),"2 Add",IF(SHA1Range(C8:I8) = "7fb817df6a3b30c73757c1054b117b8cb34b9c24","0 Original","1 Modify"))))</f>
        <v>0 Original</v>
      </c>
      <c r="B8" t="s">
        <v>104</v>
      </c>
      <c r="C8" s="5">
        <v>1214</v>
      </c>
      <c r="D8" t="s">
        <v>224</v>
      </c>
      <c r="E8" t="s">
        <v>190</v>
      </c>
      <c r="F8" s="11">
        <v>16.190000000000001</v>
      </c>
      <c r="G8" s="5">
        <v>8</v>
      </c>
      <c r="H8" s="7" t="s">
        <v>60</v>
      </c>
      <c r="I8" s="9">
        <v>42025.699490740742</v>
      </c>
    </row>
    <row r="9" spans="1:10" x14ac:dyDescent="0.25">
      <c r="A9" t="str">
        <f>IF(COUNTBLANK(C9:I9) = 7,"",IF(AND(NOT(ISBLANK(C9)),COUNTBLANK(C9:I9) = 6),"3 Delete",IF(ISBLANK(C9),"2 Add",IF(SHA1Range(C9:I9) = "e7f571340758c1a0f2de6656e72e062e76c86613","0 Original","1 Modify"))))</f>
        <v>0 Original</v>
      </c>
      <c r="B9" t="s">
        <v>105</v>
      </c>
      <c r="C9" s="5">
        <v>1212</v>
      </c>
      <c r="D9" t="s">
        <v>225</v>
      </c>
      <c r="E9" t="s">
        <v>192</v>
      </c>
      <c r="F9" s="11">
        <v>12.59</v>
      </c>
      <c r="G9" s="5">
        <v>11</v>
      </c>
      <c r="H9" s="7" t="s">
        <v>60</v>
      </c>
      <c r="I9" s="9">
        <v>42025.699490740742</v>
      </c>
    </row>
    <row r="10" spans="1:10" x14ac:dyDescent="0.25">
      <c r="A10" t="str">
        <f>IF(COUNTBLANK(C10:I10) = 7,"",IF(AND(NOT(ISBLANK(C10)),COUNTBLANK(C10:I10) = 6),"3 Delete",IF(ISBLANK(C10),"2 Add",IF(SHA1Range(C10:I10) = "368889a9927a302d46b5b11103a567f31ca6ad87","0 Original","1 Modify"))))</f>
        <v>0 Original</v>
      </c>
      <c r="B10" t="s">
        <v>106</v>
      </c>
      <c r="C10" s="5">
        <v>1203</v>
      </c>
      <c r="D10" t="s">
        <v>225</v>
      </c>
      <c r="E10" t="s">
        <v>138</v>
      </c>
      <c r="F10" s="11">
        <v>10.29</v>
      </c>
      <c r="G10" s="5">
        <v>9</v>
      </c>
      <c r="H10" s="7" t="s">
        <v>60</v>
      </c>
      <c r="I10" s="9">
        <v>42025.699456018519</v>
      </c>
    </row>
    <row r="11" spans="1:10" x14ac:dyDescent="0.25">
      <c r="A11" t="str">
        <f>IF(COUNTBLANK(C11:I11) = 7,"",IF(AND(NOT(ISBLANK(C11)),COUNTBLANK(C11:I11) = 6),"3 Delete",IF(ISBLANK(C11),"2 Add",IF(SHA1Range(C11:I11) = "409d3229a47bddbdc1b4368152e3eac4550c20eb","0 Original","1 Modify"))))</f>
        <v>0 Original</v>
      </c>
      <c r="B11" t="s">
        <v>107</v>
      </c>
      <c r="C11" s="5">
        <v>1194</v>
      </c>
      <c r="D11" t="s">
        <v>224</v>
      </c>
      <c r="E11" t="s">
        <v>206</v>
      </c>
      <c r="F11" s="11">
        <v>4.3899999999999997</v>
      </c>
      <c r="G11" s="5">
        <v>9</v>
      </c>
      <c r="H11" s="7" t="s">
        <v>60</v>
      </c>
      <c r="I11" s="9">
        <v>42025.699421296296</v>
      </c>
    </row>
    <row r="12" spans="1:10" x14ac:dyDescent="0.25">
      <c r="A12" t="str">
        <f>IF(COUNTBLANK(C12:I12) = 7,"",IF(AND(NOT(ISBLANK(C12)),COUNTBLANK(C12:I12) = 6),"3 Delete",IF(ISBLANK(C12),"2 Add",IF(SHA1Range(C12:I12) = "5504fdf62f511d8b8b73f67eb87d95fcf151e1c8","0 Original","1 Modify"))))</f>
        <v>0 Original</v>
      </c>
      <c r="B12" t="s">
        <v>108</v>
      </c>
      <c r="C12" s="5">
        <v>1187</v>
      </c>
      <c r="D12" t="s">
        <v>224</v>
      </c>
      <c r="E12" t="s">
        <v>174</v>
      </c>
      <c r="F12" s="11">
        <v>9.99</v>
      </c>
      <c r="G12" s="5">
        <v>15</v>
      </c>
      <c r="H12" s="7" t="s">
        <v>60</v>
      </c>
      <c r="I12" s="9">
        <v>42025.699386574073</v>
      </c>
    </row>
    <row r="13" spans="1:10" x14ac:dyDescent="0.25">
      <c r="A13" t="str">
        <f>IF(COUNTBLANK(C13:I13) = 7,"",IF(AND(NOT(ISBLANK(C13)),COUNTBLANK(C13:I13) = 6),"3 Delete",IF(ISBLANK(C13),"2 Add",IF(SHA1Range(C13:I13) = "79e6a27a3692fd2e93855478b54fe599ba1a9685","0 Original","1 Modify"))))</f>
        <v>0 Original</v>
      </c>
      <c r="B13" t="s">
        <v>109</v>
      </c>
      <c r="C13" s="5">
        <v>1185</v>
      </c>
      <c r="D13" t="s">
        <v>225</v>
      </c>
      <c r="E13" t="s">
        <v>176</v>
      </c>
      <c r="F13" s="11">
        <v>7.69</v>
      </c>
      <c r="G13" s="5">
        <v>5</v>
      </c>
      <c r="H13" s="7" t="s">
        <v>60</v>
      </c>
      <c r="I13" s="9">
        <v>42025.699386574073</v>
      </c>
    </row>
    <row r="14" spans="1:10" x14ac:dyDescent="0.25">
      <c r="A14" t="str">
        <f>IF(COUNTBLANK(C14:I14) = 7,"",IF(AND(NOT(ISBLANK(C14)),COUNTBLANK(C14:I14) = 6),"3 Delete",IF(ISBLANK(C14),"2 Add",IF(SHA1Range(C14:I14) = "8f31e2b0458120b2a44a233a52d52074e49591eb","0 Original","1 Modify"))))</f>
        <v>0 Original</v>
      </c>
      <c r="B14" t="s">
        <v>110</v>
      </c>
      <c r="C14" s="5">
        <v>1177</v>
      </c>
      <c r="D14" t="s">
        <v>224</v>
      </c>
      <c r="E14" t="s">
        <v>142</v>
      </c>
      <c r="F14" s="11">
        <v>4.99</v>
      </c>
      <c r="G14" s="5">
        <v>4</v>
      </c>
      <c r="H14" s="7" t="s">
        <v>60</v>
      </c>
      <c r="I14" s="9">
        <v>42025.699363425927</v>
      </c>
    </row>
    <row r="15" spans="1:10" x14ac:dyDescent="0.25">
      <c r="A15" t="str">
        <f>IF(COUNTBLANK(C15:I15) = 7,"",IF(AND(NOT(ISBLANK(C15)),COUNTBLANK(C15:I15) = 6),"3 Delete",IF(ISBLANK(C15),"2 Add",IF(SHA1Range(C15:I15) = "94df467f99654d90a0ef4007554478af71ab9d6a","0 Original","1 Modify"))))</f>
        <v>0 Original</v>
      </c>
      <c r="B15" t="s">
        <v>111</v>
      </c>
      <c r="C15" s="5">
        <v>1128</v>
      </c>
      <c r="D15" t="s">
        <v>224</v>
      </c>
      <c r="E15" t="s">
        <v>168</v>
      </c>
      <c r="F15" s="11">
        <v>15.59</v>
      </c>
      <c r="G15" s="5">
        <v>15</v>
      </c>
      <c r="H15" s="7" t="s">
        <v>60</v>
      </c>
      <c r="I15" s="9">
        <v>42025.699178240742</v>
      </c>
    </row>
    <row r="16" spans="1:10" x14ac:dyDescent="0.25">
      <c r="A16" t="str">
        <f>IF(COUNTBLANK(C16:I16) = 7,"",IF(AND(NOT(ISBLANK(C16)),COUNTBLANK(C16:I16) = 6),"3 Delete",IF(ISBLANK(C16),"2 Add",IF(SHA1Range(C16:I16) = "183d8b2c9ffb76cc5fa900b591a4cd2b1f8a4016","0 Original","1 Modify"))))</f>
        <v>0 Original</v>
      </c>
      <c r="B16" t="s">
        <v>112</v>
      </c>
      <c r="C16" s="5">
        <v>1102</v>
      </c>
      <c r="D16" t="s">
        <v>224</v>
      </c>
      <c r="E16" t="s">
        <v>164</v>
      </c>
      <c r="F16" s="11">
        <v>11.09</v>
      </c>
      <c r="G16" s="5">
        <v>1</v>
      </c>
      <c r="H16" s="7" t="s">
        <v>60</v>
      </c>
      <c r="I16" s="9">
        <v>42025.69908564815</v>
      </c>
    </row>
    <row r="17" spans="1:9" x14ac:dyDescent="0.25">
      <c r="A17" t="str">
        <f>IF(COUNTBLANK(C17:I17) = 7,"",IF(AND(NOT(ISBLANK(C17)),COUNTBLANK(C17:I17) = 6),"3 Delete",IF(ISBLANK(C17),"2 Add",IF(SHA1Range(C17:I17) = "244cb41564fcf637e36c25f63d3146fbc98a4a37","0 Original","1 Modify"))))</f>
        <v>0 Original</v>
      </c>
      <c r="B17" t="s">
        <v>113</v>
      </c>
      <c r="C17" s="5">
        <v>1061</v>
      </c>
      <c r="D17" t="s">
        <v>224</v>
      </c>
      <c r="E17" t="s">
        <v>182</v>
      </c>
      <c r="F17" s="11">
        <v>11.19</v>
      </c>
      <c r="G17" s="5">
        <v>11</v>
      </c>
      <c r="H17" s="7" t="s">
        <v>60</v>
      </c>
      <c r="I17" s="9">
        <v>42025.698946759258</v>
      </c>
    </row>
    <row r="18" spans="1:9" x14ac:dyDescent="0.25">
      <c r="A18" t="str">
        <f>IF(COUNTBLANK(C18:I18) = 7,"",IF(AND(NOT(ISBLANK(C18)),COUNTBLANK(C18:I18) = 6),"3 Delete",IF(ISBLANK(C18),"2 Add",IF(SHA1Range(C18:I18) = "eeabbf66bf258a22d8f6b172333515f3ab398942","0 Original","1 Modify"))))</f>
        <v>0 Original</v>
      </c>
      <c r="B18" t="s">
        <v>114</v>
      </c>
      <c r="C18" s="5">
        <v>1050</v>
      </c>
      <c r="D18" t="s">
        <v>224</v>
      </c>
      <c r="E18" t="s">
        <v>162</v>
      </c>
      <c r="F18" s="11">
        <v>12.19</v>
      </c>
      <c r="G18" s="5">
        <v>8</v>
      </c>
      <c r="H18" s="7" t="s">
        <v>60</v>
      </c>
      <c r="I18" s="9">
        <v>42025.698900462965</v>
      </c>
    </row>
    <row r="19" spans="1:9" x14ac:dyDescent="0.25">
      <c r="A19" t="str">
        <f>IF(COUNTBLANK(C19:I19) = 7,"",IF(AND(NOT(ISBLANK(C19)),COUNTBLANK(C19:I19) = 6),"3 Delete",IF(ISBLANK(C19),"2 Add",IF(SHA1Range(C19:I19) = "6f406f5e564c01315777e1986c47255d9567f7b7","0 Original","1 Modify"))))</f>
        <v>0 Original</v>
      </c>
      <c r="B19" t="s">
        <v>115</v>
      </c>
      <c r="C19" s="5">
        <v>962</v>
      </c>
      <c r="D19" t="s">
        <v>224</v>
      </c>
      <c r="E19" t="s">
        <v>208</v>
      </c>
      <c r="F19" s="11">
        <v>0.69</v>
      </c>
      <c r="G19" s="5">
        <v>10</v>
      </c>
      <c r="H19" s="7" t="s">
        <v>60</v>
      </c>
      <c r="I19" s="9">
        <v>42025.698599537034</v>
      </c>
    </row>
    <row r="20" spans="1:9" x14ac:dyDescent="0.25">
      <c r="A20" t="str">
        <f>IF(COUNTBLANK(C20:I20) = 7,"",IF(AND(NOT(ISBLANK(C20)),COUNTBLANK(C20:I20) = 6),"3 Delete",IF(ISBLANK(C20),"2 Add",IF(SHA1Range(C20:I20) = "f5d873fbd6c27d113553dd9eea70de19613725e6","0 Original","1 Modify"))))</f>
        <v>0 Original</v>
      </c>
      <c r="B20" t="s">
        <v>116</v>
      </c>
      <c r="C20" s="5">
        <v>937</v>
      </c>
      <c r="D20" t="s">
        <v>225</v>
      </c>
      <c r="E20" t="s">
        <v>146</v>
      </c>
      <c r="F20" s="11">
        <v>4.09</v>
      </c>
      <c r="G20" s="5">
        <v>6</v>
      </c>
      <c r="H20" s="7" t="s">
        <v>60</v>
      </c>
      <c r="I20" s="9">
        <v>42025.698518518519</v>
      </c>
    </row>
    <row r="21" spans="1:9" x14ac:dyDescent="0.25">
      <c r="A21" t="str">
        <f>IF(COUNTBLANK(C21:I21) = 7,"",IF(AND(NOT(ISBLANK(C21)),COUNTBLANK(C21:I21) = 6),"3 Delete",IF(ISBLANK(C21),"2 Add",IF(SHA1Range(C21:I21) = "c983f3e5664b8f170aa836ff49b45d7b8708e723","0 Original","1 Modify"))))</f>
        <v>0 Original</v>
      </c>
      <c r="B21" t="s">
        <v>117</v>
      </c>
      <c r="C21" s="5">
        <v>923</v>
      </c>
      <c r="D21" t="s">
        <v>225</v>
      </c>
      <c r="E21" t="s">
        <v>220</v>
      </c>
      <c r="F21" s="11">
        <v>5.89</v>
      </c>
      <c r="G21" s="5">
        <v>12</v>
      </c>
      <c r="H21" s="7" t="s">
        <v>60</v>
      </c>
      <c r="I21" s="9">
        <v>42025.698472222219</v>
      </c>
    </row>
    <row r="22" spans="1:9" x14ac:dyDescent="0.25">
      <c r="A22" t="str">
        <f>IF(COUNTBLANK(C22:I22) = 7,"",IF(AND(NOT(ISBLANK(C22)),COUNTBLANK(C22:I22) = 6),"3 Delete",IF(ISBLANK(C22),"2 Add",IF(SHA1Range(C22:I22) = "5008dd12ee269627b5b8ccfb734cdae478972128","0 Original","1 Modify"))))</f>
        <v>0 Original</v>
      </c>
      <c r="B22" t="s">
        <v>118</v>
      </c>
      <c r="C22" s="5">
        <v>845</v>
      </c>
      <c r="D22" t="s">
        <v>226</v>
      </c>
      <c r="E22" t="s">
        <v>152</v>
      </c>
      <c r="F22" s="11">
        <v>4.79</v>
      </c>
      <c r="G22" s="5">
        <v>7</v>
      </c>
      <c r="H22" s="7" t="s">
        <v>60</v>
      </c>
      <c r="I22" s="9">
        <v>42025.694293981483</v>
      </c>
    </row>
    <row r="23" spans="1:9" x14ac:dyDescent="0.25">
      <c r="A23" t="str">
        <f>IF(COUNTBLANK(C23:I23) = 7,"",IF(AND(NOT(ISBLANK(C23)),COUNTBLANK(C23:I23) = 6),"3 Delete",IF(ISBLANK(C23),"2 Add",IF(SHA1Range(C23:I23) = "3284d14a5144f6e9a39d8e3484f9018fc27278a6","0 Original","1 Modify"))))</f>
        <v>0 Original</v>
      </c>
      <c r="B23" t="s">
        <v>119</v>
      </c>
      <c r="C23" s="5">
        <v>843</v>
      </c>
      <c r="D23" t="s">
        <v>227</v>
      </c>
      <c r="E23" t="s">
        <v>148</v>
      </c>
      <c r="F23" s="11">
        <v>13.79</v>
      </c>
      <c r="G23" s="5">
        <v>10</v>
      </c>
      <c r="H23" s="7" t="s">
        <v>60</v>
      </c>
      <c r="I23" s="9">
        <v>42025.694282407407</v>
      </c>
    </row>
    <row r="24" spans="1:9" x14ac:dyDescent="0.25">
      <c r="A24" t="str">
        <f>IF(COUNTBLANK(C24:I24) = 7,"",IF(AND(NOT(ISBLANK(C24)),COUNTBLANK(C24:I24) = 6),"3 Delete",IF(ISBLANK(C24),"2 Add",IF(SHA1Range(C24:I24) = "9f16e5dc19acfe18f637009dd8635dbf1453b0ae","0 Original","1 Modify"))))</f>
        <v>0 Original</v>
      </c>
      <c r="B24" t="s">
        <v>120</v>
      </c>
      <c r="C24" s="5">
        <v>759</v>
      </c>
      <c r="D24" t="s">
        <v>226</v>
      </c>
      <c r="E24" t="s">
        <v>140</v>
      </c>
      <c r="F24" s="11">
        <v>12.39</v>
      </c>
      <c r="G24" s="5">
        <v>14</v>
      </c>
      <c r="H24" s="7" t="s">
        <v>60</v>
      </c>
      <c r="I24" s="9">
        <v>42025.694027777776</v>
      </c>
    </row>
    <row r="25" spans="1:9" x14ac:dyDescent="0.25">
      <c r="A25" t="str">
        <f>IF(COUNTBLANK(C25:I25) = 7,"",IF(AND(NOT(ISBLANK(C25)),COUNTBLANK(C25:I25) = 6),"3 Delete",IF(ISBLANK(C25),"2 Add",IF(SHA1Range(C25:I25) = "c4aef1742d851c37e71ac422d929bce29d4796a8","0 Original","1 Modify"))))</f>
        <v>0 Original</v>
      </c>
      <c r="B25" t="s">
        <v>243</v>
      </c>
      <c r="C25" s="5">
        <v>558</v>
      </c>
      <c r="D25" t="s">
        <v>229</v>
      </c>
      <c r="E25" t="s">
        <v>196</v>
      </c>
      <c r="F25" s="11">
        <v>19.39</v>
      </c>
      <c r="G25" s="5">
        <v>9</v>
      </c>
      <c r="H25" s="7" t="s">
        <v>60</v>
      </c>
      <c r="I25" s="9">
        <v>42025.491180555553</v>
      </c>
    </row>
    <row r="26" spans="1:9" x14ac:dyDescent="0.25">
      <c r="A26" t="str">
        <f>IF(COUNTBLANK(C26:I26) = 7,"",IF(AND(NOT(ISBLANK(C26)),COUNTBLANK(C26:I26) = 6),"3 Delete",IF(ISBLANK(C26),"2 Add",IF(SHA1Range(C26:I26) = "4ed40f33a2d2d8edbc724b77aee96efd82011de8","0 Original","1 Modify"))))</f>
        <v>0 Original</v>
      </c>
      <c r="B26" t="s">
        <v>244</v>
      </c>
      <c r="C26" s="5">
        <v>557</v>
      </c>
      <c r="D26" t="s">
        <v>229</v>
      </c>
      <c r="E26" t="s">
        <v>212</v>
      </c>
      <c r="F26" s="11">
        <v>1.99</v>
      </c>
      <c r="G26" s="5">
        <v>4</v>
      </c>
      <c r="H26" s="7" t="s">
        <v>60</v>
      </c>
      <c r="I26" s="9">
        <v>42025.491180555553</v>
      </c>
    </row>
    <row r="27" spans="1:9" x14ac:dyDescent="0.25">
      <c r="A27" t="str">
        <f>IF(COUNTBLANK(C27:I27) = 7,"",IF(AND(NOT(ISBLANK(C27)),COUNTBLANK(C27:I27) = 6),"3 Delete",IF(ISBLANK(C27),"2 Add",IF(SHA1Range(C27:I27) = "e42ca7aeaff015bce90c065b91121e132f9b0902","0 Original","1 Modify"))))</f>
        <v>0 Original</v>
      </c>
      <c r="B27" t="s">
        <v>230</v>
      </c>
      <c r="C27" s="5">
        <v>556</v>
      </c>
      <c r="D27" t="s">
        <v>229</v>
      </c>
      <c r="E27" t="s">
        <v>162</v>
      </c>
      <c r="F27" s="11">
        <v>12.19</v>
      </c>
      <c r="G27" s="5">
        <v>6</v>
      </c>
      <c r="H27" s="7" t="s">
        <v>60</v>
      </c>
      <c r="I27" s="9">
        <v>42025.491180555553</v>
      </c>
    </row>
    <row r="28" spans="1:9" x14ac:dyDescent="0.25">
      <c r="A28" t="str">
        <f>IF(COUNTBLANK(C28:I28) = 7,"",IF(AND(NOT(ISBLANK(C28)),COUNTBLANK(C28:I28) = 6),"3 Delete",IF(ISBLANK(C28),"2 Add",IF(SHA1Range(C28:I28) = "09a217977cdc9f29e0971110209ae4ba7578b169","0 Original","1 Modify"))))</f>
        <v>0 Original</v>
      </c>
      <c r="B28" t="s">
        <v>245</v>
      </c>
      <c r="C28" s="5">
        <v>555</v>
      </c>
      <c r="D28" t="s">
        <v>229</v>
      </c>
      <c r="E28" t="s">
        <v>208</v>
      </c>
      <c r="F28" s="11">
        <v>0.69</v>
      </c>
      <c r="G28" s="5">
        <v>7</v>
      </c>
      <c r="H28" s="7" t="s">
        <v>60</v>
      </c>
      <c r="I28" s="9">
        <v>42025.491168981483</v>
      </c>
    </row>
    <row r="29" spans="1:9" x14ac:dyDescent="0.25">
      <c r="A29" t="str">
        <f>IF(COUNTBLANK(C29:I29) = 7,"",IF(AND(NOT(ISBLANK(C29)),COUNTBLANK(C29:I29) = 6),"3 Delete",IF(ISBLANK(C29),"2 Add",IF(SHA1Range(C29:I29) = "df0dc482bb97f2abde7d0ece0fc086e3ead3cf3b","0 Original","1 Modify"))))</f>
        <v>0 Original</v>
      </c>
      <c r="B29" t="s">
        <v>246</v>
      </c>
      <c r="C29" s="5">
        <v>554</v>
      </c>
      <c r="D29" t="s">
        <v>229</v>
      </c>
      <c r="E29" t="s">
        <v>216</v>
      </c>
      <c r="F29" s="11">
        <v>4.8899999999999997</v>
      </c>
      <c r="G29" s="5">
        <v>6</v>
      </c>
      <c r="H29" s="7" t="s">
        <v>60</v>
      </c>
      <c r="I29" s="9">
        <v>42025.491168981483</v>
      </c>
    </row>
    <row r="30" spans="1:9" x14ac:dyDescent="0.25">
      <c r="A30" t="str">
        <f>IF(COUNTBLANK(C30:I30) = 7,"",IF(AND(NOT(ISBLANK(C30)),COUNTBLANK(C30:I30) = 6),"3 Delete",IF(ISBLANK(C30),"2 Add",IF(SHA1Range(C30:I30) = "579f0b4a942bd7ad27ddfa6dacc388f3f4d7d989","0 Original","1 Modify"))))</f>
        <v>0 Original</v>
      </c>
      <c r="B30" t="s">
        <v>231</v>
      </c>
      <c r="C30" s="5">
        <v>553</v>
      </c>
      <c r="D30" t="s">
        <v>229</v>
      </c>
      <c r="E30" t="s">
        <v>186</v>
      </c>
      <c r="F30" s="11">
        <v>10.09</v>
      </c>
      <c r="G30" s="5">
        <v>2</v>
      </c>
      <c r="H30" s="7" t="s">
        <v>60</v>
      </c>
      <c r="I30" s="9">
        <v>42025.491168981483</v>
      </c>
    </row>
    <row r="31" spans="1:9" x14ac:dyDescent="0.25">
      <c r="A31" t="str">
        <f>IF(COUNTBLANK(C31:I31) = 7,"",IF(AND(NOT(ISBLANK(C31)),COUNTBLANK(C31:I31) = 6),"3 Delete",IF(ISBLANK(C31),"2 Add",IF(SHA1Range(C31:I31) = "9ae29fcb70ab3bb21c777bd1e709baaefa7f9b19","0 Original","1 Modify"))))</f>
        <v>0 Original</v>
      </c>
      <c r="B31" t="s">
        <v>232</v>
      </c>
      <c r="C31" s="5">
        <v>552</v>
      </c>
      <c r="D31" t="s">
        <v>229</v>
      </c>
      <c r="E31" t="s">
        <v>156</v>
      </c>
      <c r="F31" s="11">
        <v>19.59</v>
      </c>
      <c r="G31" s="5">
        <v>3</v>
      </c>
      <c r="H31" s="7" t="s">
        <v>60</v>
      </c>
      <c r="I31" s="9">
        <v>42025.491168981483</v>
      </c>
    </row>
    <row r="32" spans="1:9" x14ac:dyDescent="0.25">
      <c r="A32" t="str">
        <f>IF(COUNTBLANK(C32:I32) = 7,"",IF(AND(NOT(ISBLANK(C32)),COUNTBLANK(C32:I32) = 6),"3 Delete",IF(ISBLANK(C32),"2 Add",IF(SHA1Range(C32:I32) = "6c5fe20a7982ae352386ffe7f800c93b37f0bce7","0 Original","1 Modify"))))</f>
        <v>0 Original</v>
      </c>
      <c r="B32" t="s">
        <v>233</v>
      </c>
      <c r="C32" s="5">
        <v>551</v>
      </c>
      <c r="D32" t="s">
        <v>229</v>
      </c>
      <c r="E32" t="s">
        <v>150</v>
      </c>
      <c r="F32" s="11">
        <v>17.989999999999998</v>
      </c>
      <c r="G32" s="5">
        <v>10</v>
      </c>
      <c r="H32" s="7" t="s">
        <v>60</v>
      </c>
      <c r="I32" s="9">
        <v>42025.491157407407</v>
      </c>
    </row>
    <row r="33" spans="1:9" x14ac:dyDescent="0.25">
      <c r="A33" t="str">
        <f>IF(COUNTBLANK(C33:I33) = 7,"",IF(AND(NOT(ISBLANK(C33)),COUNTBLANK(C33:I33) = 6),"3 Delete",IF(ISBLANK(C33),"2 Add",IF(SHA1Range(C33:I33) = "e0a526a89dba544c54c530ef75111fdd0bb71225","0 Original","1 Modify"))))</f>
        <v>0 Original</v>
      </c>
      <c r="B33" t="s">
        <v>234</v>
      </c>
      <c r="C33" s="5">
        <v>473</v>
      </c>
      <c r="D33" t="s">
        <v>229</v>
      </c>
      <c r="E33" t="s">
        <v>194</v>
      </c>
      <c r="F33" s="11">
        <v>7.29</v>
      </c>
      <c r="G33" s="5">
        <v>7</v>
      </c>
      <c r="H33" s="7" t="s">
        <v>59</v>
      </c>
      <c r="I33" s="9">
        <v>42025.334120370368</v>
      </c>
    </row>
    <row r="34" spans="1:9" x14ac:dyDescent="0.25">
      <c r="A34" t="str">
        <f>IF(COUNTBLANK(C34:I34) = 7,"",IF(AND(NOT(ISBLANK(C34)),COUNTBLANK(C34:I34) = 6),"3 Delete",IF(ISBLANK(C34),"2 Add",IF(SHA1Range(C34:I34) = "f1f91ddeba76916a40bfba4f73c8cbc370d2dea2","0 Original","1 Modify"))))</f>
        <v>0 Original</v>
      </c>
      <c r="B34" t="s">
        <v>235</v>
      </c>
      <c r="C34" s="5">
        <v>471</v>
      </c>
      <c r="D34" t="s">
        <v>229</v>
      </c>
      <c r="E34" t="s">
        <v>166</v>
      </c>
      <c r="F34" s="11">
        <v>17.29</v>
      </c>
      <c r="G34" s="5">
        <v>9</v>
      </c>
      <c r="H34" s="7" t="s">
        <v>59</v>
      </c>
      <c r="I34" s="9">
        <v>42025.334097222221</v>
      </c>
    </row>
    <row r="35" spans="1:9" x14ac:dyDescent="0.25">
      <c r="A35" t="str">
        <f>IF(COUNTBLANK(C35:I35) = 7,"",IF(AND(NOT(ISBLANK(C35)),COUNTBLANK(C35:I35) = 6),"3 Delete",IF(ISBLANK(C35),"2 Add",IF(SHA1Range(C35:I35) = "e890419913aa318d3a3477b4bdc532530fbfb7f3","0 Original","1 Modify"))))</f>
        <v>0 Original</v>
      </c>
      <c r="B35" t="s">
        <v>236</v>
      </c>
      <c r="C35" s="5">
        <v>449</v>
      </c>
      <c r="D35" t="s">
        <v>229</v>
      </c>
      <c r="E35" t="s">
        <v>184</v>
      </c>
      <c r="F35" s="11">
        <v>6.29</v>
      </c>
      <c r="G35" s="5">
        <v>1</v>
      </c>
      <c r="H35" s="7" t="s">
        <v>59</v>
      </c>
      <c r="I35" s="9">
        <v>42025.333865740744</v>
      </c>
    </row>
    <row r="36" spans="1:9" x14ac:dyDescent="0.25">
      <c r="A36" t="str">
        <f>IF(COUNTBLANK(C36:I36) = 7,"",IF(AND(NOT(ISBLANK(C36)),COUNTBLANK(C36:I36) = 6),"3 Delete",IF(ISBLANK(C36),"2 Add",IF(SHA1Range(C36:I36) = "ba45c136773a53a3e498f20c8648def3d6dd8210","0 Original","1 Modify"))))</f>
        <v>0 Original</v>
      </c>
      <c r="B36" t="s">
        <v>237</v>
      </c>
      <c r="C36" s="5">
        <v>434</v>
      </c>
      <c r="D36" t="s">
        <v>229</v>
      </c>
      <c r="E36" t="s">
        <v>150</v>
      </c>
      <c r="F36" s="11">
        <v>17.989999999999998</v>
      </c>
      <c r="G36" s="5">
        <v>1</v>
      </c>
      <c r="H36" s="7" t="s">
        <v>59</v>
      </c>
      <c r="I36" s="9">
        <v>42025.333726851852</v>
      </c>
    </row>
    <row r="37" spans="1:9" x14ac:dyDescent="0.25">
      <c r="A37" t="str">
        <f>IF(COUNTBLANK(C37:I37) = 7,"",IF(AND(NOT(ISBLANK(C37)),COUNTBLANK(C37:I37) = 6),"3 Delete",IF(ISBLANK(C37),"2 Add",IF(SHA1Range(C37:I37) = "0c56cc0a089650ed7f9d57eaf23fced37d2d58db","0 Original","1 Modify"))))</f>
        <v>0 Original</v>
      </c>
      <c r="B37" t="s">
        <v>247</v>
      </c>
      <c r="C37" s="5">
        <v>423</v>
      </c>
      <c r="D37" t="s">
        <v>229</v>
      </c>
      <c r="E37" t="s">
        <v>218</v>
      </c>
      <c r="F37" s="11">
        <v>10.09</v>
      </c>
      <c r="G37" s="5">
        <v>10</v>
      </c>
      <c r="H37" s="7" t="s">
        <v>59</v>
      </c>
      <c r="I37" s="9">
        <v>42025.333622685182</v>
      </c>
    </row>
    <row r="38" spans="1:9" x14ac:dyDescent="0.25">
      <c r="A38" t="str">
        <f>IF(COUNTBLANK(C38:I38) = 7,"",IF(AND(NOT(ISBLANK(C38)),COUNTBLANK(C38:I38) = 6),"3 Delete",IF(ISBLANK(C38),"2 Add",IF(SHA1Range(C38:I38) = "81a2f2dc1f03018fe892009a0ca050f820a1bd5e","0 Original","1 Modify"))))</f>
        <v>0 Original</v>
      </c>
      <c r="B38" t="s">
        <v>248</v>
      </c>
      <c r="C38" s="5">
        <v>305</v>
      </c>
      <c r="D38" t="s">
        <v>241</v>
      </c>
      <c r="E38" t="s">
        <v>188</v>
      </c>
      <c r="F38" s="11">
        <v>15.79</v>
      </c>
      <c r="G38" s="5">
        <v>3</v>
      </c>
      <c r="H38" s="7" t="s">
        <v>59</v>
      </c>
      <c r="I38" s="9">
        <v>42024.987407407411</v>
      </c>
    </row>
    <row r="39" spans="1:9" x14ac:dyDescent="0.25">
      <c r="A39" t="str">
        <f>IF(COUNTBLANK(C39:I39) = 7,"",IF(AND(NOT(ISBLANK(C39)),COUNTBLANK(C39:I39) = 6),"3 Delete",IF(ISBLANK(C39),"2 Add",IF(SHA1Range(C39:I39) = "a0f164cbaefb5d3424adfbafe7db17fbe8131554","0 Original","1 Modify"))))</f>
        <v>0 Original</v>
      </c>
      <c r="B39" t="s">
        <v>249</v>
      </c>
      <c r="C39" s="5">
        <v>289</v>
      </c>
      <c r="D39" t="s">
        <v>241</v>
      </c>
      <c r="E39" t="s">
        <v>200</v>
      </c>
      <c r="F39" s="11">
        <v>15.69</v>
      </c>
      <c r="G39" s="5">
        <v>8</v>
      </c>
      <c r="H39" s="7" t="s">
        <v>59</v>
      </c>
      <c r="I39" s="9">
        <v>42024.987199074072</v>
      </c>
    </row>
    <row r="40" spans="1:9" x14ac:dyDescent="0.25">
      <c r="A40" t="str">
        <f>IF(COUNTBLANK(C40:I40) = 7,"",IF(AND(NOT(ISBLANK(C40)),COUNTBLANK(C40:I40) = 6),"3 Delete",IF(ISBLANK(C40),"2 Add",IF(SHA1Range(C40:I40) = "953fc423978f7c67829d7490cddc1c571659cfbe","0 Original","1 Modify"))))</f>
        <v>0 Original</v>
      </c>
      <c r="B40" t="s">
        <v>238</v>
      </c>
      <c r="C40" s="5">
        <v>280</v>
      </c>
      <c r="D40" t="s">
        <v>241</v>
      </c>
      <c r="E40" t="s">
        <v>136</v>
      </c>
      <c r="F40" s="11">
        <v>12.59</v>
      </c>
      <c r="G40" s="5">
        <v>4</v>
      </c>
      <c r="H40" s="7" t="s">
        <v>59</v>
      </c>
      <c r="I40" s="9">
        <v>42024.987083333333</v>
      </c>
    </row>
    <row r="41" spans="1:9" x14ac:dyDescent="0.25">
      <c r="A41" t="str">
        <f>IF(COUNTBLANK(C41:I41) = 7,"",IF(AND(NOT(ISBLANK(C41)),COUNTBLANK(C41:I41) = 6),"3 Delete",IF(ISBLANK(C41),"2 Add",IF(SHA1Range(C41:I41) = "e5192d13828865996721615274e600d6b96890fa","0 Original","1 Modify"))))</f>
        <v>0 Original</v>
      </c>
      <c r="B41" t="s">
        <v>239</v>
      </c>
      <c r="C41" s="5">
        <v>259</v>
      </c>
      <c r="D41" t="s">
        <v>241</v>
      </c>
      <c r="E41" t="s">
        <v>134</v>
      </c>
      <c r="F41" s="11">
        <v>14.19</v>
      </c>
      <c r="G41" s="5">
        <v>10</v>
      </c>
      <c r="H41" s="7" t="s">
        <v>59</v>
      </c>
      <c r="I41" s="9">
        <v>42024.986875000002</v>
      </c>
    </row>
    <row r="42" spans="1:9" x14ac:dyDescent="0.25">
      <c r="A42" t="str">
        <f>IF(COUNTBLANK(C42:I42) = 7,"",IF(AND(NOT(ISBLANK(C42)),COUNTBLANK(C42:I42) = 6),"3 Delete",IF(ISBLANK(C42),"2 Add",IF(SHA1Range(C42:I42) = "dabf86aa04523f6f4f922b5155c21ae7d11e8e62","0 Original","1 Modify"))))</f>
        <v>0 Original</v>
      </c>
      <c r="B42" t="s">
        <v>250</v>
      </c>
      <c r="C42" s="5">
        <v>224</v>
      </c>
      <c r="D42" t="s">
        <v>241</v>
      </c>
      <c r="E42" t="s">
        <v>214</v>
      </c>
      <c r="F42" s="11">
        <v>8.99</v>
      </c>
      <c r="G42" s="5">
        <v>4</v>
      </c>
      <c r="H42" s="7" t="s">
        <v>59</v>
      </c>
      <c r="I42" s="9">
        <v>42024.986527777779</v>
      </c>
    </row>
    <row r="43" spans="1:9" x14ac:dyDescent="0.25">
      <c r="A43" t="str">
        <f>IF(COUNTBLANK(C43:I43) = 7,"",IF(AND(NOT(ISBLANK(C43)),COUNTBLANK(C43:I43) = 6),"3 Delete",IF(ISBLANK(C43),"2 Add",IF(SHA1Range(C43:I43) = "6a1256c7c8406c5829343c6f502ddef7698cdb97","0 Original","1 Modify"))))</f>
        <v>0 Original</v>
      </c>
      <c r="B43" t="s">
        <v>240</v>
      </c>
      <c r="C43" s="5">
        <v>191</v>
      </c>
      <c r="D43" t="s">
        <v>228</v>
      </c>
      <c r="E43" t="s">
        <v>144</v>
      </c>
      <c r="F43" s="11">
        <v>3.99</v>
      </c>
      <c r="G43" s="5">
        <v>17</v>
      </c>
      <c r="H43" s="7" t="s">
        <v>59</v>
      </c>
      <c r="I43" s="9">
        <v>42024.94840277778</v>
      </c>
    </row>
    <row r="44" spans="1:9" x14ac:dyDescent="0.25">
      <c r="A44" t="str">
        <f>IF(COUNTBLANK(C44:I44) = 7,"",IF(AND(NOT(ISBLANK(C44)),COUNTBLANK(C44:I44) = 6),"3 Delete",IF(ISBLANK(C44),"2 Add",IF(SHA1Range(C44:I44) = "d87af32506cdd1b3fa5c6cb6954cef6810ed8915","0 Original","1 Modify"))))</f>
        <v>0 Original</v>
      </c>
      <c r="B44" t="s">
        <v>251</v>
      </c>
      <c r="C44" s="5">
        <v>182</v>
      </c>
      <c r="D44" t="s">
        <v>228</v>
      </c>
      <c r="E44" t="s">
        <v>182</v>
      </c>
      <c r="F44" s="11">
        <v>11.19</v>
      </c>
      <c r="G44" s="5">
        <v>9</v>
      </c>
      <c r="H44" s="7" t="s">
        <v>59</v>
      </c>
      <c r="I44" s="9">
        <v>42024.948321759257</v>
      </c>
    </row>
    <row r="45" spans="1:9" x14ac:dyDescent="0.25">
      <c r="A45" t="str">
        <f>IF(COUNTBLANK(C45:I45) = 7,"",IF(AND(NOT(ISBLANK(C45)),COUNTBLANK(C45:I45) = 6),"3 Delete",IF(ISBLANK(C45),"2 Add",IF(SHA1Range(C45:I45) = "e10303a1d9f83c93fd60b7bcc3496ace44f1b88d","0 Original","1 Modify"))))</f>
        <v>0 Original</v>
      </c>
      <c r="B45" t="s">
        <v>252</v>
      </c>
      <c r="C45" s="5">
        <v>166</v>
      </c>
      <c r="D45" t="s">
        <v>228</v>
      </c>
      <c r="E45" t="s">
        <v>198</v>
      </c>
      <c r="F45" s="11">
        <v>5.19</v>
      </c>
      <c r="G45" s="5">
        <v>3</v>
      </c>
      <c r="H45" s="7" t="s">
        <v>59</v>
      </c>
      <c r="I45" s="9">
        <v>42024.948171296295</v>
      </c>
    </row>
    <row r="46" spans="1:9" x14ac:dyDescent="0.25">
      <c r="A46" t="str">
        <f>IF(COUNTBLANK(C46:I46) = 7,"",IF(AND(NOT(ISBLANK(C46)),COUNTBLANK(C46:I46) = 6),"3 Delete",IF(ISBLANK(C46),"2 Add",IF(SHA1Range(C46:I46) = "0a64c44ea24265ee8e7ac44102524353ca14dba9","0 Original","1 Modify"))))</f>
        <v>0 Original</v>
      </c>
      <c r="B46" t="s">
        <v>253</v>
      </c>
      <c r="C46" s="5">
        <v>147</v>
      </c>
      <c r="D46" t="s">
        <v>228</v>
      </c>
      <c r="E46" t="s">
        <v>170</v>
      </c>
      <c r="F46" s="11">
        <v>12.99</v>
      </c>
      <c r="G46" s="5">
        <v>15</v>
      </c>
      <c r="H46" s="7" t="s">
        <v>59</v>
      </c>
      <c r="I46" s="9">
        <v>42024.947997685187</v>
      </c>
    </row>
    <row r="47" spans="1:9" x14ac:dyDescent="0.25">
      <c r="A47" t="str">
        <f>IF(COUNTBLANK(C47:I47) = 7,"",IF(AND(NOT(ISBLANK(C47)),COUNTBLANK(C47:I47) = 6),"3 Delete",IF(ISBLANK(C47),"2 Add",IF(SHA1Range(C47:I47) = "368414978da516e9a4d2de034578224eb0ee813b","0 Original","1 Modify"))))</f>
        <v>0 Original</v>
      </c>
      <c r="B47" t="s">
        <v>254</v>
      </c>
      <c r="C47" s="5">
        <v>136</v>
      </c>
      <c r="D47" t="s">
        <v>228</v>
      </c>
      <c r="E47" t="s">
        <v>178</v>
      </c>
      <c r="F47" s="11">
        <v>16.39</v>
      </c>
      <c r="G47" s="5">
        <v>6</v>
      </c>
      <c r="H47" s="7" t="s">
        <v>59</v>
      </c>
      <c r="I47" s="9">
        <v>42024.947893518518</v>
      </c>
    </row>
    <row r="48" spans="1:9" x14ac:dyDescent="0.25">
      <c r="A48" t="str">
        <f>IF(COUNTBLANK(C48:I48) = 7,"",IF(AND(NOT(ISBLANK(C48)),COUNTBLANK(C48:I48) = 6),"3 Delete",IF(ISBLANK(C48),"2 Add",IF(SHA1Range(C48:I48) = "88a78600038ac3a9c28e1383774bd4425208ed9e","0 Original","1 Modify"))))</f>
        <v>0 Original</v>
      </c>
      <c r="B48" t="s">
        <v>255</v>
      </c>
      <c r="C48" s="5">
        <v>134</v>
      </c>
      <c r="D48" t="s">
        <v>228</v>
      </c>
      <c r="E48" t="s">
        <v>210</v>
      </c>
      <c r="F48" s="11">
        <v>8.7899999999999991</v>
      </c>
      <c r="G48" s="5">
        <v>5</v>
      </c>
      <c r="H48" s="7" t="s">
        <v>59</v>
      </c>
      <c r="I48" s="9">
        <v>42024.947881944441</v>
      </c>
    </row>
    <row r="49" spans="1:9" x14ac:dyDescent="0.25">
      <c r="A49" t="str">
        <f>IF(COUNTBLANK(C49:I49) = 7,"",IF(AND(NOT(ISBLANK(C49)),COUNTBLANK(C49:I49) = 6),"3 Delete",IF(ISBLANK(C49),"2 Add",IF(SHA1Range(C49:I49) = "e31afc94bece64274e5b5db758661672dd963c70","0 Original","1 Modify"))))</f>
        <v>0 Original</v>
      </c>
      <c r="B49" t="s">
        <v>256</v>
      </c>
      <c r="C49" s="5">
        <v>131</v>
      </c>
      <c r="D49" t="s">
        <v>228</v>
      </c>
      <c r="E49" t="s">
        <v>172</v>
      </c>
      <c r="F49" s="11">
        <v>0.49</v>
      </c>
      <c r="G49" s="5">
        <v>15</v>
      </c>
      <c r="H49" s="7" t="s">
        <v>59</v>
      </c>
      <c r="I49" s="9">
        <v>42024.947847222225</v>
      </c>
    </row>
  </sheetData>
  <conditionalFormatting sqref="A2">
    <cfRule type="cellIs" dxfId="203" priority="1" stopIfTrue="1" operator="equal">
      <formula>"1 Modify"</formula>
    </cfRule>
    <cfRule type="cellIs" dxfId="202" priority="2" stopIfTrue="1" operator="equal">
      <formula>"2 Add"</formula>
    </cfRule>
    <cfRule type="cellIs" dxfId="201" priority="3" stopIfTrue="1" operator="equal">
      <formula>"3 Delete"</formula>
    </cfRule>
  </conditionalFormatting>
  <conditionalFormatting sqref="A3">
    <cfRule type="cellIs" dxfId="200" priority="4" stopIfTrue="1" operator="equal">
      <formula>"1 Modify"</formula>
    </cfRule>
    <cfRule type="cellIs" dxfId="199" priority="5" stopIfTrue="1" operator="equal">
      <formula>"2 Add"</formula>
    </cfRule>
    <cfRule type="cellIs" dxfId="198" priority="6" stopIfTrue="1" operator="equal">
      <formula>"3 Delete"</formula>
    </cfRule>
  </conditionalFormatting>
  <conditionalFormatting sqref="A4">
    <cfRule type="cellIs" dxfId="197" priority="7" stopIfTrue="1" operator="equal">
      <formula>"1 Modify"</formula>
    </cfRule>
    <cfRule type="cellIs" dxfId="196" priority="8" stopIfTrue="1" operator="equal">
      <formula>"2 Add"</formula>
    </cfRule>
    <cfRule type="cellIs" dxfId="195" priority="9" stopIfTrue="1" operator="equal">
      <formula>"3 Delete"</formula>
    </cfRule>
  </conditionalFormatting>
  <conditionalFormatting sqref="A5">
    <cfRule type="cellIs" dxfId="194" priority="10" stopIfTrue="1" operator="equal">
      <formula>"1 Modify"</formula>
    </cfRule>
    <cfRule type="cellIs" dxfId="193" priority="11" stopIfTrue="1" operator="equal">
      <formula>"2 Add"</formula>
    </cfRule>
    <cfRule type="cellIs" dxfId="192" priority="12" stopIfTrue="1" operator="equal">
      <formula>"3 Delete"</formula>
    </cfRule>
  </conditionalFormatting>
  <conditionalFormatting sqref="A6">
    <cfRule type="cellIs" dxfId="191" priority="13" stopIfTrue="1" operator="equal">
      <formula>"1 Modify"</formula>
    </cfRule>
    <cfRule type="cellIs" dxfId="190" priority="14" stopIfTrue="1" operator="equal">
      <formula>"2 Add"</formula>
    </cfRule>
    <cfRule type="cellIs" dxfId="189" priority="15" stopIfTrue="1" operator="equal">
      <formula>"3 Delete"</formula>
    </cfRule>
  </conditionalFormatting>
  <conditionalFormatting sqref="A7">
    <cfRule type="cellIs" dxfId="188" priority="16" stopIfTrue="1" operator="equal">
      <formula>"1 Modify"</formula>
    </cfRule>
    <cfRule type="cellIs" dxfId="187" priority="17" stopIfTrue="1" operator="equal">
      <formula>"2 Add"</formula>
    </cfRule>
    <cfRule type="cellIs" dxfId="186" priority="18" stopIfTrue="1" operator="equal">
      <formula>"3 Delete"</formula>
    </cfRule>
  </conditionalFormatting>
  <conditionalFormatting sqref="A8">
    <cfRule type="cellIs" dxfId="185" priority="19" stopIfTrue="1" operator="equal">
      <formula>"1 Modify"</formula>
    </cfRule>
    <cfRule type="cellIs" dxfId="184" priority="20" stopIfTrue="1" operator="equal">
      <formula>"2 Add"</formula>
    </cfRule>
    <cfRule type="cellIs" dxfId="183" priority="21" stopIfTrue="1" operator="equal">
      <formula>"3 Delete"</formula>
    </cfRule>
  </conditionalFormatting>
  <conditionalFormatting sqref="A9">
    <cfRule type="cellIs" dxfId="182" priority="22" stopIfTrue="1" operator="equal">
      <formula>"1 Modify"</formula>
    </cfRule>
    <cfRule type="cellIs" dxfId="181" priority="23" stopIfTrue="1" operator="equal">
      <formula>"2 Add"</formula>
    </cfRule>
    <cfRule type="cellIs" dxfId="180" priority="24" stopIfTrue="1" operator="equal">
      <formula>"3 Delete"</formula>
    </cfRule>
  </conditionalFormatting>
  <conditionalFormatting sqref="A10">
    <cfRule type="cellIs" dxfId="179" priority="25" stopIfTrue="1" operator="equal">
      <formula>"1 Modify"</formula>
    </cfRule>
    <cfRule type="cellIs" dxfId="178" priority="26" stopIfTrue="1" operator="equal">
      <formula>"2 Add"</formula>
    </cfRule>
    <cfRule type="cellIs" dxfId="177" priority="27" stopIfTrue="1" operator="equal">
      <formula>"3 Delete"</formula>
    </cfRule>
  </conditionalFormatting>
  <conditionalFormatting sqref="A11">
    <cfRule type="cellIs" dxfId="176" priority="28" stopIfTrue="1" operator="equal">
      <formula>"1 Modify"</formula>
    </cfRule>
    <cfRule type="cellIs" dxfId="175" priority="29" stopIfTrue="1" operator="equal">
      <formula>"2 Add"</formula>
    </cfRule>
    <cfRule type="cellIs" dxfId="174" priority="30" stopIfTrue="1" operator="equal">
      <formula>"3 Delete"</formula>
    </cfRule>
  </conditionalFormatting>
  <conditionalFormatting sqref="A12">
    <cfRule type="cellIs" dxfId="173" priority="31" stopIfTrue="1" operator="equal">
      <formula>"1 Modify"</formula>
    </cfRule>
    <cfRule type="cellIs" dxfId="172" priority="32" stopIfTrue="1" operator="equal">
      <formula>"2 Add"</formula>
    </cfRule>
    <cfRule type="cellIs" dxfId="171" priority="33" stopIfTrue="1" operator="equal">
      <formula>"3 Delete"</formula>
    </cfRule>
  </conditionalFormatting>
  <conditionalFormatting sqref="A13">
    <cfRule type="cellIs" dxfId="170" priority="34" stopIfTrue="1" operator="equal">
      <formula>"1 Modify"</formula>
    </cfRule>
    <cfRule type="cellIs" dxfId="169" priority="35" stopIfTrue="1" operator="equal">
      <formula>"2 Add"</formula>
    </cfRule>
    <cfRule type="cellIs" dxfId="168" priority="36" stopIfTrue="1" operator="equal">
      <formula>"3 Delete"</formula>
    </cfRule>
  </conditionalFormatting>
  <conditionalFormatting sqref="A14">
    <cfRule type="cellIs" dxfId="167" priority="37" stopIfTrue="1" operator="equal">
      <formula>"1 Modify"</formula>
    </cfRule>
    <cfRule type="cellIs" dxfId="166" priority="38" stopIfTrue="1" operator="equal">
      <formula>"2 Add"</formula>
    </cfRule>
    <cfRule type="cellIs" dxfId="165" priority="39" stopIfTrue="1" operator="equal">
      <formula>"3 Delete"</formula>
    </cfRule>
  </conditionalFormatting>
  <conditionalFormatting sqref="A15">
    <cfRule type="cellIs" dxfId="164" priority="40" stopIfTrue="1" operator="equal">
      <formula>"1 Modify"</formula>
    </cfRule>
    <cfRule type="cellIs" dxfId="163" priority="41" stopIfTrue="1" operator="equal">
      <formula>"2 Add"</formula>
    </cfRule>
    <cfRule type="cellIs" dxfId="162" priority="42" stopIfTrue="1" operator="equal">
      <formula>"3 Delete"</formula>
    </cfRule>
  </conditionalFormatting>
  <conditionalFormatting sqref="A16">
    <cfRule type="cellIs" dxfId="161" priority="43" stopIfTrue="1" operator="equal">
      <formula>"1 Modify"</formula>
    </cfRule>
    <cfRule type="cellIs" dxfId="160" priority="44" stopIfTrue="1" operator="equal">
      <formula>"2 Add"</formula>
    </cfRule>
    <cfRule type="cellIs" dxfId="159" priority="45" stopIfTrue="1" operator="equal">
      <formula>"3 Delete"</formula>
    </cfRule>
  </conditionalFormatting>
  <conditionalFormatting sqref="A17">
    <cfRule type="cellIs" dxfId="158" priority="46" stopIfTrue="1" operator="equal">
      <formula>"1 Modify"</formula>
    </cfRule>
    <cfRule type="cellIs" dxfId="157" priority="47" stopIfTrue="1" operator="equal">
      <formula>"2 Add"</formula>
    </cfRule>
    <cfRule type="cellIs" dxfId="156" priority="48" stopIfTrue="1" operator="equal">
      <formula>"3 Delete"</formula>
    </cfRule>
  </conditionalFormatting>
  <conditionalFormatting sqref="A18">
    <cfRule type="cellIs" dxfId="155" priority="49" stopIfTrue="1" operator="equal">
      <formula>"1 Modify"</formula>
    </cfRule>
    <cfRule type="cellIs" dxfId="154" priority="50" stopIfTrue="1" operator="equal">
      <formula>"2 Add"</formula>
    </cfRule>
    <cfRule type="cellIs" dxfId="153" priority="51" stopIfTrue="1" operator="equal">
      <formula>"3 Delete"</formula>
    </cfRule>
  </conditionalFormatting>
  <conditionalFormatting sqref="A19">
    <cfRule type="cellIs" dxfId="152" priority="52" stopIfTrue="1" operator="equal">
      <formula>"1 Modify"</formula>
    </cfRule>
    <cfRule type="cellIs" dxfId="151" priority="53" stopIfTrue="1" operator="equal">
      <formula>"2 Add"</formula>
    </cfRule>
    <cfRule type="cellIs" dxfId="150" priority="54" stopIfTrue="1" operator="equal">
      <formula>"3 Delete"</formula>
    </cfRule>
  </conditionalFormatting>
  <conditionalFormatting sqref="A20">
    <cfRule type="cellIs" dxfId="149" priority="55" stopIfTrue="1" operator="equal">
      <formula>"1 Modify"</formula>
    </cfRule>
    <cfRule type="cellIs" dxfId="148" priority="56" stopIfTrue="1" operator="equal">
      <formula>"2 Add"</formula>
    </cfRule>
    <cfRule type="cellIs" dxfId="147" priority="57" stopIfTrue="1" operator="equal">
      <formula>"3 Delete"</formula>
    </cfRule>
  </conditionalFormatting>
  <conditionalFormatting sqref="A21">
    <cfRule type="cellIs" dxfId="146" priority="58" stopIfTrue="1" operator="equal">
      <formula>"1 Modify"</formula>
    </cfRule>
    <cfRule type="cellIs" dxfId="145" priority="59" stopIfTrue="1" operator="equal">
      <formula>"2 Add"</formula>
    </cfRule>
    <cfRule type="cellIs" dxfId="144" priority="60" stopIfTrue="1" operator="equal">
      <formula>"3 Delete"</formula>
    </cfRule>
  </conditionalFormatting>
  <conditionalFormatting sqref="A22">
    <cfRule type="cellIs" dxfId="143" priority="61" stopIfTrue="1" operator="equal">
      <formula>"1 Modify"</formula>
    </cfRule>
  </conditionalFormatting>
  <conditionalFormatting sqref="A22">
    <cfRule type="cellIs" dxfId="142" priority="62" stopIfTrue="1" operator="equal">
      <formula>"2 Add"</formula>
    </cfRule>
  </conditionalFormatting>
  <conditionalFormatting sqref="A22">
    <cfRule type="cellIs" dxfId="141" priority="63" stopIfTrue="1" operator="equal">
      <formula>"3 Delete"</formula>
    </cfRule>
  </conditionalFormatting>
  <conditionalFormatting sqref="A23">
    <cfRule type="cellIs" dxfId="140" priority="64" stopIfTrue="1" operator="equal">
      <formula>"1 Modify"</formula>
    </cfRule>
  </conditionalFormatting>
  <conditionalFormatting sqref="A23">
    <cfRule type="cellIs" dxfId="139" priority="65" stopIfTrue="1" operator="equal">
      <formula>"2 Add"</formula>
    </cfRule>
  </conditionalFormatting>
  <conditionalFormatting sqref="A23">
    <cfRule type="cellIs" dxfId="138" priority="66" stopIfTrue="1" operator="equal">
      <formula>"3 Delete"</formula>
    </cfRule>
  </conditionalFormatting>
  <conditionalFormatting sqref="A24">
    <cfRule type="cellIs" dxfId="137" priority="67" stopIfTrue="1" operator="equal">
      <formula>"1 Modify"</formula>
    </cfRule>
  </conditionalFormatting>
  <conditionalFormatting sqref="A24">
    <cfRule type="cellIs" dxfId="136" priority="68" stopIfTrue="1" operator="equal">
      <formula>"2 Add"</formula>
    </cfRule>
  </conditionalFormatting>
  <conditionalFormatting sqref="A24">
    <cfRule type="cellIs" dxfId="135" priority="69" stopIfTrue="1" operator="equal">
      <formula>"3 Delete"</formula>
    </cfRule>
  </conditionalFormatting>
  <conditionalFormatting sqref="A25">
    <cfRule type="cellIs" dxfId="134" priority="70" stopIfTrue="1" operator="equal">
      <formula>"1 Modify"</formula>
    </cfRule>
  </conditionalFormatting>
  <conditionalFormatting sqref="A25">
    <cfRule type="cellIs" dxfId="133" priority="71" stopIfTrue="1" operator="equal">
      <formula>"2 Add"</formula>
    </cfRule>
  </conditionalFormatting>
  <conditionalFormatting sqref="A25">
    <cfRule type="cellIs" dxfId="132" priority="72" stopIfTrue="1" operator="equal">
      <formula>"3 Delete"</formula>
    </cfRule>
  </conditionalFormatting>
  <conditionalFormatting sqref="A26">
    <cfRule type="cellIs" dxfId="131" priority="73" stopIfTrue="1" operator="equal">
      <formula>"1 Modify"</formula>
    </cfRule>
  </conditionalFormatting>
  <conditionalFormatting sqref="A26">
    <cfRule type="cellIs" dxfId="130" priority="74" stopIfTrue="1" operator="equal">
      <formula>"2 Add"</formula>
    </cfRule>
  </conditionalFormatting>
  <conditionalFormatting sqref="A26">
    <cfRule type="cellIs" dxfId="129" priority="75" stopIfTrue="1" operator="equal">
      <formula>"3 Delete"</formula>
    </cfRule>
  </conditionalFormatting>
  <conditionalFormatting sqref="A27">
    <cfRule type="cellIs" dxfId="128" priority="76" stopIfTrue="1" operator="equal">
      <formula>"1 Modify"</formula>
    </cfRule>
  </conditionalFormatting>
  <conditionalFormatting sqref="A27">
    <cfRule type="cellIs" dxfId="127" priority="77" stopIfTrue="1" operator="equal">
      <formula>"2 Add"</formula>
    </cfRule>
  </conditionalFormatting>
  <conditionalFormatting sqref="A27">
    <cfRule type="cellIs" dxfId="126" priority="78" stopIfTrue="1" operator="equal">
      <formula>"3 Delete"</formula>
    </cfRule>
  </conditionalFormatting>
  <conditionalFormatting sqref="A28">
    <cfRule type="cellIs" dxfId="125" priority="79" stopIfTrue="1" operator="equal">
      <formula>"1 Modify"</formula>
    </cfRule>
  </conditionalFormatting>
  <conditionalFormatting sqref="A28">
    <cfRule type="cellIs" dxfId="124" priority="80" stopIfTrue="1" operator="equal">
      <formula>"2 Add"</formula>
    </cfRule>
  </conditionalFormatting>
  <conditionalFormatting sqref="A28">
    <cfRule type="cellIs" dxfId="123" priority="81" stopIfTrue="1" operator="equal">
      <formula>"3 Delete"</formula>
    </cfRule>
  </conditionalFormatting>
  <conditionalFormatting sqref="A29">
    <cfRule type="cellIs" dxfId="122" priority="82" stopIfTrue="1" operator="equal">
      <formula>"1 Modify"</formula>
    </cfRule>
  </conditionalFormatting>
  <conditionalFormatting sqref="A29">
    <cfRule type="cellIs" dxfId="121" priority="83" stopIfTrue="1" operator="equal">
      <formula>"2 Add"</formula>
    </cfRule>
  </conditionalFormatting>
  <conditionalFormatting sqref="A29">
    <cfRule type="cellIs" dxfId="120" priority="84" stopIfTrue="1" operator="equal">
      <formula>"3 Delete"</formula>
    </cfRule>
  </conditionalFormatting>
  <conditionalFormatting sqref="A30">
    <cfRule type="cellIs" dxfId="119" priority="85" stopIfTrue="1" operator="equal">
      <formula>"1 Modify"</formula>
    </cfRule>
  </conditionalFormatting>
  <conditionalFormatting sqref="A30">
    <cfRule type="cellIs" dxfId="118" priority="86" stopIfTrue="1" operator="equal">
      <formula>"2 Add"</formula>
    </cfRule>
  </conditionalFormatting>
  <conditionalFormatting sqref="A30">
    <cfRule type="cellIs" dxfId="117" priority="87" stopIfTrue="1" operator="equal">
      <formula>"3 Delete"</formula>
    </cfRule>
  </conditionalFormatting>
  <conditionalFormatting sqref="A31">
    <cfRule type="cellIs" dxfId="116" priority="88" stopIfTrue="1" operator="equal">
      <formula>"1 Modify"</formula>
    </cfRule>
  </conditionalFormatting>
  <conditionalFormatting sqref="A31">
    <cfRule type="cellIs" dxfId="115" priority="89" stopIfTrue="1" operator="equal">
      <formula>"2 Add"</formula>
    </cfRule>
  </conditionalFormatting>
  <conditionalFormatting sqref="A31">
    <cfRule type="cellIs" dxfId="114" priority="90" stopIfTrue="1" operator="equal">
      <formula>"3 Delete"</formula>
    </cfRule>
  </conditionalFormatting>
  <conditionalFormatting sqref="A32">
    <cfRule type="cellIs" dxfId="113" priority="91" stopIfTrue="1" operator="equal">
      <formula>"1 Modify"</formula>
    </cfRule>
  </conditionalFormatting>
  <conditionalFormatting sqref="A32">
    <cfRule type="cellIs" dxfId="112" priority="92" stopIfTrue="1" operator="equal">
      <formula>"2 Add"</formula>
    </cfRule>
  </conditionalFormatting>
  <conditionalFormatting sqref="A32">
    <cfRule type="cellIs" dxfId="111" priority="93" stopIfTrue="1" operator="equal">
      <formula>"3 Delete"</formula>
    </cfRule>
  </conditionalFormatting>
  <conditionalFormatting sqref="A33">
    <cfRule type="cellIs" dxfId="110" priority="94" stopIfTrue="1" operator="equal">
      <formula>"1 Modify"</formula>
    </cfRule>
  </conditionalFormatting>
  <conditionalFormatting sqref="A33">
    <cfRule type="cellIs" dxfId="109" priority="95" stopIfTrue="1" operator="equal">
      <formula>"2 Add"</formula>
    </cfRule>
  </conditionalFormatting>
  <conditionalFormatting sqref="A33">
    <cfRule type="cellIs" dxfId="108" priority="96" stopIfTrue="1" operator="equal">
      <formula>"3 Delete"</formula>
    </cfRule>
  </conditionalFormatting>
  <conditionalFormatting sqref="A34">
    <cfRule type="cellIs" dxfId="107" priority="97" stopIfTrue="1" operator="equal">
      <formula>"1 Modify"</formula>
    </cfRule>
  </conditionalFormatting>
  <conditionalFormatting sqref="A34">
    <cfRule type="cellIs" dxfId="106" priority="98" stopIfTrue="1" operator="equal">
      <formula>"2 Add"</formula>
    </cfRule>
  </conditionalFormatting>
  <conditionalFormatting sqref="A34">
    <cfRule type="cellIs" dxfId="105" priority="99" stopIfTrue="1" operator="equal">
      <formula>"3 Delete"</formula>
    </cfRule>
  </conditionalFormatting>
  <conditionalFormatting sqref="A35">
    <cfRule type="cellIs" dxfId="104" priority="100" stopIfTrue="1" operator="equal">
      <formula>"1 Modify"</formula>
    </cfRule>
  </conditionalFormatting>
  <conditionalFormatting sqref="A35">
    <cfRule type="cellIs" dxfId="103" priority="101" stopIfTrue="1" operator="equal">
      <formula>"2 Add"</formula>
    </cfRule>
  </conditionalFormatting>
  <conditionalFormatting sqref="A35">
    <cfRule type="cellIs" dxfId="102" priority="102" stopIfTrue="1" operator="equal">
      <formula>"3 Delete"</formula>
    </cfRule>
  </conditionalFormatting>
  <conditionalFormatting sqref="A36">
    <cfRule type="cellIs" dxfId="101" priority="103" stopIfTrue="1" operator="equal">
      <formula>"1 Modify"</formula>
    </cfRule>
  </conditionalFormatting>
  <conditionalFormatting sqref="A36">
    <cfRule type="cellIs" dxfId="100" priority="104" stopIfTrue="1" operator="equal">
      <formula>"2 Add"</formula>
    </cfRule>
  </conditionalFormatting>
  <conditionalFormatting sqref="A36">
    <cfRule type="cellIs" dxfId="99" priority="105" stopIfTrue="1" operator="equal">
      <formula>"3 Delete"</formula>
    </cfRule>
  </conditionalFormatting>
  <conditionalFormatting sqref="A37">
    <cfRule type="cellIs" dxfId="98" priority="106" stopIfTrue="1" operator="equal">
      <formula>"1 Modify"</formula>
    </cfRule>
  </conditionalFormatting>
  <conditionalFormatting sqref="A37">
    <cfRule type="cellIs" dxfId="97" priority="107" stopIfTrue="1" operator="equal">
      <formula>"2 Add"</formula>
    </cfRule>
  </conditionalFormatting>
  <conditionalFormatting sqref="A37">
    <cfRule type="cellIs" dxfId="96" priority="108" stopIfTrue="1" operator="equal">
      <formula>"3 Delete"</formula>
    </cfRule>
  </conditionalFormatting>
  <conditionalFormatting sqref="A38">
    <cfRule type="cellIs" dxfId="95" priority="109" stopIfTrue="1" operator="equal">
      <formula>"1 Modify"</formula>
    </cfRule>
  </conditionalFormatting>
  <conditionalFormatting sqref="A38">
    <cfRule type="cellIs" dxfId="94" priority="110" stopIfTrue="1" operator="equal">
      <formula>"2 Add"</formula>
    </cfRule>
  </conditionalFormatting>
  <conditionalFormatting sqref="A38">
    <cfRule type="cellIs" dxfId="93" priority="111" stopIfTrue="1" operator="equal">
      <formula>"3 Delete"</formula>
    </cfRule>
  </conditionalFormatting>
  <conditionalFormatting sqref="A39">
    <cfRule type="cellIs" dxfId="92" priority="112" stopIfTrue="1" operator="equal">
      <formula>"1 Modify"</formula>
    </cfRule>
  </conditionalFormatting>
  <conditionalFormatting sqref="A39">
    <cfRule type="cellIs" dxfId="91" priority="113" stopIfTrue="1" operator="equal">
      <formula>"2 Add"</formula>
    </cfRule>
  </conditionalFormatting>
  <conditionalFormatting sqref="A39">
    <cfRule type="cellIs" dxfId="90" priority="114" stopIfTrue="1" operator="equal">
      <formula>"3 Delete"</formula>
    </cfRule>
  </conditionalFormatting>
  <conditionalFormatting sqref="A40">
    <cfRule type="cellIs" dxfId="89" priority="115" stopIfTrue="1" operator="equal">
      <formula>"1 Modify"</formula>
    </cfRule>
  </conditionalFormatting>
  <conditionalFormatting sqref="A40">
    <cfRule type="cellIs" dxfId="88" priority="116" stopIfTrue="1" operator="equal">
      <formula>"2 Add"</formula>
    </cfRule>
  </conditionalFormatting>
  <conditionalFormatting sqref="A40">
    <cfRule type="cellIs" dxfId="87" priority="117" stopIfTrue="1" operator="equal">
      <formula>"3 Delete"</formula>
    </cfRule>
  </conditionalFormatting>
  <conditionalFormatting sqref="A41">
    <cfRule type="cellIs" dxfId="86" priority="118" stopIfTrue="1" operator="equal">
      <formula>"1 Modify"</formula>
    </cfRule>
  </conditionalFormatting>
  <conditionalFormatting sqref="A41">
    <cfRule type="cellIs" dxfId="85" priority="119" stopIfTrue="1" operator="equal">
      <formula>"2 Add"</formula>
    </cfRule>
  </conditionalFormatting>
  <conditionalFormatting sqref="A41">
    <cfRule type="cellIs" dxfId="84" priority="120" stopIfTrue="1" operator="equal">
      <formula>"3 Delete"</formula>
    </cfRule>
  </conditionalFormatting>
  <conditionalFormatting sqref="A42">
    <cfRule type="cellIs" dxfId="83" priority="121" stopIfTrue="1" operator="equal">
      <formula>"1 Modify"</formula>
    </cfRule>
  </conditionalFormatting>
  <conditionalFormatting sqref="A42">
    <cfRule type="cellIs" dxfId="82" priority="122" stopIfTrue="1" operator="equal">
      <formula>"2 Add"</formula>
    </cfRule>
  </conditionalFormatting>
  <conditionalFormatting sqref="A42">
    <cfRule type="cellIs" dxfId="81" priority="123" stopIfTrue="1" operator="equal">
      <formula>"3 Delete"</formula>
    </cfRule>
  </conditionalFormatting>
  <conditionalFormatting sqref="A43">
    <cfRule type="cellIs" dxfId="80" priority="124" stopIfTrue="1" operator="equal">
      <formula>"1 Modify"</formula>
    </cfRule>
  </conditionalFormatting>
  <conditionalFormatting sqref="A43">
    <cfRule type="cellIs" dxfId="79" priority="125" stopIfTrue="1" operator="equal">
      <formula>"2 Add"</formula>
    </cfRule>
  </conditionalFormatting>
  <conditionalFormatting sqref="A43">
    <cfRule type="cellIs" dxfId="78" priority="126" stopIfTrue="1" operator="equal">
      <formula>"3 Delete"</formula>
    </cfRule>
  </conditionalFormatting>
  <conditionalFormatting sqref="A44">
    <cfRule type="cellIs" dxfId="77" priority="127" stopIfTrue="1" operator="equal">
      <formula>"1 Modify"</formula>
    </cfRule>
  </conditionalFormatting>
  <conditionalFormatting sqref="A44">
    <cfRule type="cellIs" dxfId="76" priority="128" stopIfTrue="1" operator="equal">
      <formula>"2 Add"</formula>
    </cfRule>
  </conditionalFormatting>
  <conditionalFormatting sqref="A44">
    <cfRule type="cellIs" dxfId="75" priority="129" stopIfTrue="1" operator="equal">
      <formula>"3 Delete"</formula>
    </cfRule>
  </conditionalFormatting>
  <conditionalFormatting sqref="A45">
    <cfRule type="cellIs" dxfId="74" priority="130" stopIfTrue="1" operator="equal">
      <formula>"1 Modify"</formula>
    </cfRule>
  </conditionalFormatting>
  <conditionalFormatting sqref="A45">
    <cfRule type="cellIs" dxfId="73" priority="131" stopIfTrue="1" operator="equal">
      <formula>"2 Add"</formula>
    </cfRule>
  </conditionalFormatting>
  <conditionalFormatting sqref="A45">
    <cfRule type="cellIs" dxfId="72" priority="132" stopIfTrue="1" operator="equal">
      <formula>"3 Delete"</formula>
    </cfRule>
  </conditionalFormatting>
  <conditionalFormatting sqref="A46">
    <cfRule type="cellIs" dxfId="71" priority="133" stopIfTrue="1" operator="equal">
      <formula>"1 Modify"</formula>
    </cfRule>
  </conditionalFormatting>
  <conditionalFormatting sqref="A46">
    <cfRule type="cellIs" dxfId="70" priority="134" stopIfTrue="1" operator="equal">
      <formula>"2 Add"</formula>
    </cfRule>
  </conditionalFormatting>
  <conditionalFormatting sqref="A46">
    <cfRule type="cellIs" dxfId="69" priority="135" stopIfTrue="1" operator="equal">
      <formula>"3 Delete"</formula>
    </cfRule>
  </conditionalFormatting>
  <conditionalFormatting sqref="A47">
    <cfRule type="cellIs" dxfId="68" priority="136" stopIfTrue="1" operator="equal">
      <formula>"1 Modify"</formula>
    </cfRule>
  </conditionalFormatting>
  <conditionalFormatting sqref="A47">
    <cfRule type="cellIs" dxfId="67" priority="137" stopIfTrue="1" operator="equal">
      <formula>"2 Add"</formula>
    </cfRule>
  </conditionalFormatting>
  <conditionalFormatting sqref="A47">
    <cfRule type="cellIs" dxfId="66" priority="138" stopIfTrue="1" operator="equal">
      <formula>"3 Delete"</formula>
    </cfRule>
  </conditionalFormatting>
  <conditionalFormatting sqref="A48">
    <cfRule type="cellIs" dxfId="65" priority="139" stopIfTrue="1" operator="equal">
      <formula>"1 Modify"</formula>
    </cfRule>
  </conditionalFormatting>
  <conditionalFormatting sqref="A48">
    <cfRule type="cellIs" dxfId="64" priority="140" stopIfTrue="1" operator="equal">
      <formula>"2 Add"</formula>
    </cfRule>
  </conditionalFormatting>
  <conditionalFormatting sqref="A48">
    <cfRule type="cellIs" dxfId="63" priority="141" stopIfTrue="1" operator="equal">
      <formula>"3 Delete"</formula>
    </cfRule>
  </conditionalFormatting>
  <conditionalFormatting sqref="A49">
    <cfRule type="cellIs" dxfId="62" priority="142" stopIfTrue="1" operator="equal">
      <formula>"1 Modify"</formula>
    </cfRule>
  </conditionalFormatting>
  <conditionalFormatting sqref="A49">
    <cfRule type="cellIs" dxfId="61" priority="143" stopIfTrue="1" operator="equal">
      <formula>"2 Add"</formula>
    </cfRule>
  </conditionalFormatting>
  <conditionalFormatting sqref="A49">
    <cfRule type="cellIs" dxfId="60" priority="144" stopIfTrue="1" operator="equal">
      <formula>"3 Delete"</formula>
    </cfRule>
  </conditionalFormatting>
  <dataValidations count="18">
    <dataValidation type="custom" allowBlank="1" showInputMessage="1" showErrorMessage="1" error="Column is read-only" sqref="A2:A1048576">
      <formula1>FALSE</formula1>
    </dataValidation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is read-only" sqref="B2:B1048576">
      <formula1>FALSE</formula1>
    </dataValidation>
    <dataValidation type="custom" allowBlank="1" showInputMessage="1" showErrorMessage="1" error="Column Headers are read-only" sqref="B1">
      <formula1>FALSE</formula1>
    </dataValidation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list" allowBlank="1" showInputMessage="1" showErrorMessage="1" error="Value is a foreign key" sqref="D2:D1048576">
      <formula1>Options__order_id</formula1>
    </dataValidation>
    <dataValidation type="custom" allowBlank="1" showInputMessage="1" showErrorMessage="1" error="Column Headers are read-only" sqref="D1">
      <formula1>FALSE</formula1>
    </dataValidation>
    <dataValidation type="list" allowBlank="1" showInputMessage="1" showErrorMessage="1" error="Value is a foreign key" sqref="E2:E1048576">
      <formula1>Options__product_id</formula1>
    </dataValidation>
    <dataValidation type="custom" allowBlank="1" showInputMessage="1" showErrorMessage="1" error="Column Headers are read-only" sqref="E1">
      <formula1>FALSE</formula1>
    </dataValidation>
    <dataValidation type="decimal" operator="greaterThan" allowBlank="1" showInputMessage="1" showErrorMessage="1" error="Value must be a Decimal Number" sqref="F2:F1048576">
      <formula1>-999999</formula1>
    </dataValidation>
    <dataValidation type="custom" allowBlank="1" showInputMessage="1" showErrorMessage="1" error="Column Headers are read-only" sqref="F1">
      <formula1>FALSE</formula1>
    </dataValidation>
    <dataValidation type="whole" operator="greaterThan" allowBlank="1" showInputMessage="1" showErrorMessage="1" error="Value must be an Integer" sqref="G2:G1048576">
      <formula1>-999999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J1">
      <formula1>FALSE</formula1>
    </dataValidation>
  </dataValidations>
  <hyperlinks>
    <hyperlink ref="J2" display="http://mapu-dkottow.rhcloud.com/stores/custorder/products_in_orders.rows?$filter=customers.id ge 20 and customers.id le 30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I10"/>
  <sheetViews>
    <sheetView workbookViewId="0">
      <selection activeCell="D8" sqref="D8"/>
    </sheetView>
  </sheetViews>
  <sheetFormatPr baseColWidth="10" defaultRowHeight="15" x14ac:dyDescent="0.25"/>
  <cols>
    <col min="3" max="3" width="11.42578125" style="5"/>
    <col min="4" max="4" width="11.42578125" style="13"/>
    <col min="6" max="6" width="11.42578125" style="11"/>
    <col min="7" max="7" width="11.42578125" style="7"/>
    <col min="8" max="8" width="11.42578125" style="9"/>
  </cols>
  <sheetData>
    <row r="1" spans="1:9" x14ac:dyDescent="0.25">
      <c r="A1" s="1" t="s">
        <v>52</v>
      </c>
      <c r="B1" s="1" t="s">
        <v>53</v>
      </c>
      <c r="C1" s="6" t="s">
        <v>54</v>
      </c>
      <c r="D1" s="14" t="s">
        <v>121</v>
      </c>
      <c r="E1" s="1" t="s">
        <v>122</v>
      </c>
      <c r="F1" s="12" t="s">
        <v>123</v>
      </c>
      <c r="G1" s="8" t="s">
        <v>57</v>
      </c>
      <c r="H1" s="10" t="s">
        <v>58</v>
      </c>
      <c r="I1" s="1" t="s">
        <v>1</v>
      </c>
    </row>
    <row r="2" spans="1:9" x14ac:dyDescent="0.25">
      <c r="A2" t="str">
        <f>IF(COUNTBLANK(C2:H2) = 6,"",IF(AND(NOT(ISBLANK(C2)),COUNTBLANK(C2:H2) = 5),"3 Delete",IF(ISBLANK(C2),"2 Add",IF(SHA1Range(C2:H2) = "da047d3dce33211fd3983663d9b9d85db51c93c2","0 Original","1 Modify"))))</f>
        <v>0 Original</v>
      </c>
      <c r="B2" t="s">
        <v>124</v>
      </c>
      <c r="C2" s="5">
        <v>259</v>
      </c>
      <c r="D2" s="13">
        <v>41854</v>
      </c>
      <c r="E2" t="s">
        <v>70</v>
      </c>
      <c r="F2" s="11">
        <v>0</v>
      </c>
      <c r="G2" s="7" t="s">
        <v>60</v>
      </c>
      <c r="H2" s="9">
        <v>42025.704444444447</v>
      </c>
      <c r="I2" s="2" t="s">
        <v>259</v>
      </c>
    </row>
    <row r="3" spans="1:9" x14ac:dyDescent="0.25">
      <c r="A3" t="str">
        <f>IF(COUNTBLANK(C3:H3) = 6,"",IF(AND(NOT(ISBLANK(C3)),COUNTBLANK(C3:H3) = 5),"3 Delete",IF(ISBLANK(C3),"2 Add",IF(SHA1Range(C3:H3) = "89764e5e5716168a5fc2efa7ea7d2a99febd73ec","0 Original","1 Modify"))))</f>
        <v>0 Original</v>
      </c>
      <c r="B3" t="s">
        <v>125</v>
      </c>
      <c r="C3" s="5">
        <v>255</v>
      </c>
      <c r="D3" s="13">
        <v>41853</v>
      </c>
      <c r="E3" t="s">
        <v>85</v>
      </c>
      <c r="F3" s="11">
        <v>10.32</v>
      </c>
      <c r="G3" s="7" t="s">
        <v>60</v>
      </c>
      <c r="H3" s="9">
        <v>42025.704432870371</v>
      </c>
    </row>
    <row r="4" spans="1:9" x14ac:dyDescent="0.25">
      <c r="A4" t="str">
        <f>IF(COUNTBLANK(C4:H4) = 6,"",IF(AND(NOT(ISBLANK(C4)),COUNTBLANK(C4:H4) = 5),"3 Delete",IF(ISBLANK(C4),"2 Add",IF(SHA1Range(C4:H4) = "9a28063011bfaebeaac3dcba734dc765fd8fb3c9","0 Original","1 Modify"))))</f>
        <v>0 Original</v>
      </c>
      <c r="B4" t="s">
        <v>126</v>
      </c>
      <c r="C4" s="5">
        <v>218</v>
      </c>
      <c r="D4" s="13">
        <v>41826</v>
      </c>
      <c r="E4" t="s">
        <v>61</v>
      </c>
      <c r="F4" s="11">
        <v>95.22</v>
      </c>
      <c r="G4" s="7" t="s">
        <v>60</v>
      </c>
      <c r="H4" s="9">
        <v>42025.698217592595</v>
      </c>
    </row>
    <row r="5" spans="1:9" x14ac:dyDescent="0.25">
      <c r="A5" t="str">
        <f>IF(COUNTBLANK(C5:H5) = 6,"",IF(AND(NOT(ISBLANK(C5)),COUNTBLANK(C5:H5) = 5),"3 Delete",IF(ISBLANK(C5),"2 Add",IF(SHA1Range(C5:H5) = "c51af1225db6c97b8184d53af0d32e928327dee2","0 Original","1 Modify"))))</f>
        <v>0 Original</v>
      </c>
      <c r="B5" t="s">
        <v>127</v>
      </c>
      <c r="C5" s="5">
        <v>213</v>
      </c>
      <c r="D5" s="13">
        <v>41825</v>
      </c>
      <c r="E5" t="s">
        <v>79</v>
      </c>
      <c r="F5" s="11">
        <v>6.9</v>
      </c>
      <c r="G5" s="7" t="s">
        <v>60</v>
      </c>
      <c r="H5" s="9">
        <v>42025.698206018518</v>
      </c>
    </row>
    <row r="6" spans="1:9" x14ac:dyDescent="0.25">
      <c r="A6" t="str">
        <f>IF(COUNTBLANK(C6:H6) = 6,"",IF(AND(NOT(ISBLANK(C6)),COUNTBLANK(C6:H6) = 5),"3 Delete",IF(ISBLANK(C6),"2 Add",IF(SHA1Range(C6:H6) = "4a74e443e93f07be3bdaed996a558977c59338bd","0 Original","1 Modify"))))</f>
        <v>0 Original</v>
      </c>
      <c r="B6" t="s">
        <v>128</v>
      </c>
      <c r="C6" s="5">
        <v>137</v>
      </c>
      <c r="D6" s="13">
        <v>41822</v>
      </c>
      <c r="E6" t="s">
        <v>91</v>
      </c>
      <c r="F6" s="11">
        <v>0</v>
      </c>
      <c r="G6" s="7" t="s">
        <v>60</v>
      </c>
      <c r="H6" s="9">
        <v>42025.693298611113</v>
      </c>
    </row>
    <row r="7" spans="1:9" x14ac:dyDescent="0.25">
      <c r="A7" t="str">
        <f>IF(COUNTBLANK(C7:H7) = 6,"",IF(AND(NOT(ISBLANK(C7)),COUNTBLANK(C7:H7) = 5),"3 Delete",IF(ISBLANK(C7),"2 Add",IF(SHA1Range(C7:H7) = "16df519cbbf2251cf31d755445fe421dc6654a65","0 Original","1 Modify"))))</f>
        <v>0 Original</v>
      </c>
      <c r="B7" t="s">
        <v>129</v>
      </c>
      <c r="C7" s="5">
        <v>124</v>
      </c>
      <c r="D7" s="13">
        <v>41821</v>
      </c>
      <c r="E7" t="s">
        <v>73</v>
      </c>
      <c r="F7" s="11">
        <v>0</v>
      </c>
      <c r="G7" s="7" t="s">
        <v>60</v>
      </c>
      <c r="H7" s="9">
        <v>42025.69326388889</v>
      </c>
    </row>
    <row r="8" spans="1:9" x14ac:dyDescent="0.25">
      <c r="A8" t="str">
        <f>IF(COUNTBLANK(C8:H8) = 6,"",IF(AND(NOT(ISBLANK(C8)),COUNTBLANK(C8:H8) = 5),"3 Delete",IF(ISBLANK(C8),"2 Add",IF(SHA1Range(C8:H8) = "2e61daa0ce5def64f5c253f6f349ca867966ac89","0 Original","1 Modify"))))</f>
        <v>0 Original</v>
      </c>
      <c r="B8" t="s">
        <v>130</v>
      </c>
      <c r="C8" s="5">
        <v>104</v>
      </c>
      <c r="D8" s="13">
        <v>41795</v>
      </c>
      <c r="E8" t="s">
        <v>61</v>
      </c>
      <c r="F8" s="11">
        <v>331.82</v>
      </c>
      <c r="G8" s="7" t="s">
        <v>59</v>
      </c>
      <c r="H8" s="9">
        <v>42025.331967592596</v>
      </c>
    </row>
    <row r="9" spans="1:9" x14ac:dyDescent="0.25">
      <c r="A9" t="str">
        <f>IF(COUNTBLANK(C9:H9) = 6,"",IF(AND(NOT(ISBLANK(C9)),COUNTBLANK(C9:H9) = 5),"3 Delete",IF(ISBLANK(C9),"2 Add",IF(SHA1Range(C9:H9) = "7b6eef07a6b833ff02734fcdd4dc921bdf8cfb41","0 Original","1 Modify"))))</f>
        <v>0 Original</v>
      </c>
      <c r="B9" t="s">
        <v>131</v>
      </c>
      <c r="C9" s="5">
        <v>56</v>
      </c>
      <c r="D9" s="13">
        <v>41793</v>
      </c>
      <c r="E9" t="s">
        <v>61</v>
      </c>
      <c r="F9" s="11">
        <v>401.11</v>
      </c>
      <c r="G9" s="7" t="s">
        <v>59</v>
      </c>
      <c r="H9" s="9">
        <v>42024.985393518517</v>
      </c>
    </row>
    <row r="10" spans="1:9" x14ac:dyDescent="0.25">
      <c r="A10" t="str">
        <f>IF(COUNTBLANK(C10:H10) = 6,"",IF(AND(NOT(ISBLANK(C10)),COUNTBLANK(C10:H10) = 5),"3 Delete",IF(ISBLANK(C10),"2 Add",IF(SHA1Range(C10:H10) = "2ccd9ef8dbab9c7d76274e25bc38aa1cdd33f4f0","0 Original","1 Modify"))))</f>
        <v>0 Original</v>
      </c>
      <c r="B10" t="s">
        <v>132</v>
      </c>
      <c r="C10" s="5">
        <v>38</v>
      </c>
      <c r="D10" s="13">
        <v>41792</v>
      </c>
      <c r="E10" t="s">
        <v>67</v>
      </c>
      <c r="F10" s="11">
        <v>473.56</v>
      </c>
      <c r="G10" s="7" t="s">
        <v>59</v>
      </c>
      <c r="H10" s="9">
        <v>42024.983854166669</v>
      </c>
    </row>
  </sheetData>
  <conditionalFormatting sqref="A2">
    <cfRule type="cellIs" dxfId="26" priority="1" stopIfTrue="1" operator="equal">
      <formula>"1 Modify"</formula>
    </cfRule>
    <cfRule type="cellIs" dxfId="25" priority="2" stopIfTrue="1" operator="equal">
      <formula>"2 Add"</formula>
    </cfRule>
    <cfRule type="cellIs" dxfId="24" priority="3" stopIfTrue="1" operator="equal">
      <formula>"3 Delete"</formula>
    </cfRule>
  </conditionalFormatting>
  <conditionalFormatting sqref="A3">
    <cfRule type="cellIs" dxfId="23" priority="4" stopIfTrue="1" operator="equal">
      <formula>"1 Modify"</formula>
    </cfRule>
    <cfRule type="cellIs" dxfId="22" priority="5" stopIfTrue="1" operator="equal">
      <formula>"2 Add"</formula>
    </cfRule>
    <cfRule type="cellIs" dxfId="21" priority="6" stopIfTrue="1" operator="equal">
      <formula>"3 Delete"</formula>
    </cfRule>
  </conditionalFormatting>
  <conditionalFormatting sqref="A4">
    <cfRule type="cellIs" dxfId="20" priority="7" stopIfTrue="1" operator="equal">
      <formula>"1 Modify"</formula>
    </cfRule>
    <cfRule type="cellIs" dxfId="19" priority="8" stopIfTrue="1" operator="equal">
      <formula>"2 Add"</formula>
    </cfRule>
    <cfRule type="cellIs" dxfId="18" priority="9" stopIfTrue="1" operator="equal">
      <formula>"3 Delete"</formula>
    </cfRule>
  </conditionalFormatting>
  <conditionalFormatting sqref="A5">
    <cfRule type="cellIs" dxfId="17" priority="10" stopIfTrue="1" operator="equal">
      <formula>"1 Modify"</formula>
    </cfRule>
    <cfRule type="cellIs" dxfId="16" priority="11" stopIfTrue="1" operator="equal">
      <formula>"2 Add"</formula>
    </cfRule>
    <cfRule type="cellIs" dxfId="15" priority="12" stopIfTrue="1" operator="equal">
      <formula>"3 Delete"</formula>
    </cfRule>
  </conditionalFormatting>
  <conditionalFormatting sqref="A6">
    <cfRule type="cellIs" dxfId="14" priority="13" stopIfTrue="1" operator="equal">
      <formula>"1 Modify"</formula>
    </cfRule>
    <cfRule type="cellIs" dxfId="13" priority="14" stopIfTrue="1" operator="equal">
      <formula>"2 Add"</formula>
    </cfRule>
    <cfRule type="cellIs" dxfId="12" priority="15" stopIfTrue="1" operator="equal">
      <formula>"3 Delete"</formula>
    </cfRule>
  </conditionalFormatting>
  <conditionalFormatting sqref="A7">
    <cfRule type="cellIs" dxfId="11" priority="16" stopIfTrue="1" operator="equal">
      <formula>"1 Modify"</formula>
    </cfRule>
    <cfRule type="cellIs" dxfId="10" priority="17" stopIfTrue="1" operator="equal">
      <formula>"2 Add"</formula>
    </cfRule>
    <cfRule type="cellIs" dxfId="9" priority="18" stopIfTrue="1" operator="equal">
      <formula>"3 Delete"</formula>
    </cfRule>
  </conditionalFormatting>
  <conditionalFormatting sqref="A8">
    <cfRule type="cellIs" dxfId="8" priority="19" stopIfTrue="1" operator="equal">
      <formula>"1 Modify"</formula>
    </cfRule>
    <cfRule type="cellIs" dxfId="7" priority="20" stopIfTrue="1" operator="equal">
      <formula>"2 Add"</formula>
    </cfRule>
    <cfRule type="cellIs" dxfId="6" priority="21" stopIfTrue="1" operator="equal">
      <formula>"3 Delete"</formula>
    </cfRule>
  </conditionalFormatting>
  <conditionalFormatting sqref="A9">
    <cfRule type="cellIs" dxfId="5" priority="22" stopIfTrue="1" operator="equal">
      <formula>"1 Modify"</formula>
    </cfRule>
    <cfRule type="cellIs" dxfId="4" priority="23" stopIfTrue="1" operator="equal">
      <formula>"2 Add"</formula>
    </cfRule>
    <cfRule type="cellIs" dxfId="3" priority="24" stopIfTrue="1" operator="equal">
      <formula>"3 Delete"</formula>
    </cfRule>
  </conditionalFormatting>
  <conditionalFormatting sqref="A10">
    <cfRule type="cellIs" dxfId="2" priority="25" stopIfTrue="1" operator="equal">
      <formula>"1 Modify"</formula>
    </cfRule>
    <cfRule type="cellIs" dxfId="1" priority="26" stopIfTrue="1" operator="equal">
      <formula>"2 Add"</formula>
    </cfRule>
    <cfRule type="cellIs" dxfId="0" priority="27" stopIfTrue="1" operator="equal">
      <formula>"3 Delete"</formula>
    </cfRule>
  </conditionalFormatting>
  <dataValidations count="16">
    <dataValidation type="custom" allowBlank="1" showInputMessage="1" showErrorMessage="1" error="Column is read-only" sqref="A2:A1048576">
      <formula1>FALSE</formula1>
    </dataValidation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is read-only" sqref="B2:B1048576">
      <formula1>FALSE</formula1>
    </dataValidation>
    <dataValidation type="custom" allowBlank="1" showInputMessage="1" showErrorMessage="1" error="Column Headers are read-only" sqref="B1">
      <formula1>FALSE</formula1>
    </dataValidation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date" operator="greaterThan" allowBlank="1" showInputMessage="1" showErrorMessage="1" error="Value must be a Date" sqref="D2:D1048576">
      <formula1>1</formula1>
    </dataValidation>
    <dataValidation type="custom" allowBlank="1" showInputMessage="1" showErrorMessage="1" error="Column Headers are read-only" sqref="D1">
      <formula1>FALSE</formula1>
    </dataValidation>
    <dataValidation type="list" allowBlank="1" showInputMessage="1" showErrorMessage="1" error="Value is a foreign key" sqref="E2:E1048576">
      <formula1>Options__customer_id</formula1>
    </dataValidation>
    <dataValidation type="custom" allowBlank="1" showInputMessage="1" showErrorMessage="1" error="Column Headers are read-only" sqref="E1">
      <formula1>FALSE</formula1>
    </dataValidation>
    <dataValidation type="decimal" operator="greaterThan" allowBlank="1" showInputMessage="1" showErrorMessage="1" error="Value must be a Decimal Number" sqref="F2:F1048576">
      <formula1>-999999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G1">
      <formula1>FALSE</formula1>
    </dataValidation>
    <dataValidation type="date" operator="greaterThan" allowBlank="1" showInputMessage="1" showErrorMessage="1" error="Value must be a Date" sqref="H2:H1048576">
      <formula1>1</formula1>
    </dataValidation>
    <dataValidation type="custom" allowBlank="1" showInputMessage="1" showErrorMessage="1" error="Column Headers are read-only" sqref="H1">
      <formula1>FALSE</formula1>
    </dataValidation>
    <dataValidation type="custom" allowBlank="1" showInputMessage="1" showErrorMessage="1" error="Column Headers are read-only" sqref="I1">
      <formula1>FALSE</formula1>
    </dataValidation>
  </dataValidations>
  <hyperlinks>
    <hyperlink ref="I2" display="http://mapu-dkottow.rhcloud.com/stores/custorder/orders.rows?$filter=customers.id ge 20 and customers.id le 30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45"/>
  <sheetViews>
    <sheetView tabSelected="1" workbookViewId="0">
      <selection activeCell="D1" sqref="D1"/>
    </sheetView>
  </sheetViews>
  <sheetFormatPr baseColWidth="10" defaultRowHeight="15" x14ac:dyDescent="0.25"/>
  <cols>
    <col min="3" max="3" width="11.42578125" style="5"/>
    <col min="4" max="4" width="11.42578125" style="7"/>
    <col min="5" max="5" width="11.42578125" style="11"/>
    <col min="6" max="6" width="11.42578125" style="7"/>
    <col min="7" max="7" width="11.42578125" style="9"/>
  </cols>
  <sheetData>
    <row r="1" spans="1:8" x14ac:dyDescent="0.25">
      <c r="A1" s="1" t="s">
        <v>52</v>
      </c>
      <c r="B1" s="1" t="s">
        <v>53</v>
      </c>
      <c r="C1" s="6" t="s">
        <v>54</v>
      </c>
      <c r="D1" s="8" t="s">
        <v>55</v>
      </c>
      <c r="E1" s="12" t="s">
        <v>133</v>
      </c>
      <c r="F1" s="8" t="s">
        <v>57</v>
      </c>
      <c r="G1" s="10" t="s">
        <v>58</v>
      </c>
      <c r="H1" s="1" t="s">
        <v>1</v>
      </c>
    </row>
    <row r="2" spans="1:8" x14ac:dyDescent="0.25">
      <c r="A2" t="str">
        <f>IF(COUNTBLANK(C2:G2) = 5,"",IF(AND(NOT(ISBLANK(C2)),COUNTBLANK(C2:G2) = 4),"3 Delete",IF(ISBLANK(C2),"2 Add",IF(SHA1Range(C2:G2) = "ea2b8ea06c4758bcb67d2552cf2cece69382112d","0 Original","1 Modify"))))</f>
        <v>0 Original</v>
      </c>
      <c r="B2" t="s">
        <v>134</v>
      </c>
      <c r="C2" s="5">
        <v>673</v>
      </c>
      <c r="D2" s="7" t="s">
        <v>135</v>
      </c>
      <c r="E2" s="11">
        <v>14.19</v>
      </c>
      <c r="F2" s="7" t="s">
        <v>59</v>
      </c>
      <c r="G2" s="9">
        <v>42023.923425925925</v>
      </c>
      <c r="H2" s="2" t="s">
        <v>242</v>
      </c>
    </row>
    <row r="3" spans="1:8" x14ac:dyDescent="0.25">
      <c r="A3" t="str">
        <f>IF(COUNTBLANK(C3:G3) = 5,"",IF(AND(NOT(ISBLANK(C3)),COUNTBLANK(C3:G3) = 4),"3 Delete",IF(ISBLANK(C3),"2 Add",IF(SHA1Range(C3:G3) = "aaa921d6175ed9aab5fb0e01067353d63ac9da98","0 Original","1 Modify"))))</f>
        <v>0 Original</v>
      </c>
      <c r="B3" t="s">
        <v>136</v>
      </c>
      <c r="C3" s="5">
        <v>650</v>
      </c>
      <c r="D3" s="7" t="s">
        <v>137</v>
      </c>
      <c r="E3" s="11">
        <v>12.59</v>
      </c>
      <c r="F3" s="7" t="s">
        <v>59</v>
      </c>
      <c r="G3" s="9">
        <v>42023.923090277778</v>
      </c>
    </row>
    <row r="4" spans="1:8" x14ac:dyDescent="0.25">
      <c r="A4" t="str">
        <f>IF(COUNTBLANK(C4:G4) = 5,"",IF(AND(NOT(ISBLANK(C4)),COUNTBLANK(C4:G4) = 4),"3 Delete",IF(ISBLANK(C4),"2 Add",IF(SHA1Range(C4:G4) = "9d820505ad7d03162d77336b03f77ad2099ad796","0 Original","1 Modify"))))</f>
        <v>0 Original</v>
      </c>
      <c r="B4" t="s">
        <v>138</v>
      </c>
      <c r="C4" s="5">
        <v>628</v>
      </c>
      <c r="D4" s="7" t="s">
        <v>139</v>
      </c>
      <c r="E4" s="11">
        <v>10.29</v>
      </c>
      <c r="F4" s="7" t="s">
        <v>59</v>
      </c>
      <c r="G4" s="9">
        <v>42023.922766203701</v>
      </c>
    </row>
    <row r="5" spans="1:8" x14ac:dyDescent="0.25">
      <c r="A5" t="str">
        <f>IF(COUNTBLANK(C5:G5) = 5,"",IF(AND(NOT(ISBLANK(C5)),COUNTBLANK(C5:G5) = 4),"3 Delete",IF(ISBLANK(C5),"2 Add",IF(SHA1Range(C5:G5) = "eab8cb79228bf33b017a0296e955822d904f5fdd","0 Original","1 Modify"))))</f>
        <v>0 Original</v>
      </c>
      <c r="B5" t="s">
        <v>140</v>
      </c>
      <c r="C5" s="5">
        <v>619</v>
      </c>
      <c r="D5" s="7" t="s">
        <v>141</v>
      </c>
      <c r="E5" s="11">
        <v>12.39</v>
      </c>
      <c r="F5" s="7" t="s">
        <v>59</v>
      </c>
      <c r="G5" s="9">
        <v>42023.922650462962</v>
      </c>
    </row>
    <row r="6" spans="1:8" x14ac:dyDescent="0.25">
      <c r="A6" t="str">
        <f>IF(COUNTBLANK(C6:G6) = 5,"",IF(AND(NOT(ISBLANK(C6)),COUNTBLANK(C6:G6) = 4),"3 Delete",IF(ISBLANK(C6),"2 Add",IF(SHA1Range(C6:G6) = "98507ffc65f944152f8c06a8f952d3df6643b027","0 Original","1 Modify"))))</f>
        <v>0 Original</v>
      </c>
      <c r="B6" t="s">
        <v>142</v>
      </c>
      <c r="C6" s="5">
        <v>604</v>
      </c>
      <c r="D6" s="7" t="s">
        <v>143</v>
      </c>
      <c r="E6" s="11">
        <v>4.99</v>
      </c>
      <c r="F6" s="7" t="s">
        <v>59</v>
      </c>
      <c r="G6" s="9">
        <v>42023.922430555554</v>
      </c>
    </row>
    <row r="7" spans="1:8" x14ac:dyDescent="0.25">
      <c r="A7" t="str">
        <f>IF(COUNTBLANK(C7:G7) = 5,"",IF(AND(NOT(ISBLANK(C7)),COUNTBLANK(C7:G7) = 4),"3 Delete",IF(ISBLANK(C7),"2 Add",IF(SHA1Range(C7:G7) = "477e6b69e7c31ae485efe54a6104d0bdcd59a3ed","0 Original","1 Modify"))))</f>
        <v>0 Original</v>
      </c>
      <c r="B7" t="s">
        <v>144</v>
      </c>
      <c r="C7" s="5">
        <v>581</v>
      </c>
      <c r="D7" s="7" t="s">
        <v>145</v>
      </c>
      <c r="E7" s="11">
        <v>3.99</v>
      </c>
      <c r="F7" s="7" t="s">
        <v>59</v>
      </c>
      <c r="G7" s="9">
        <v>42023.922118055554</v>
      </c>
    </row>
    <row r="8" spans="1:8" x14ac:dyDescent="0.25">
      <c r="A8" t="str">
        <f>IF(COUNTBLANK(C8:G8) = 5,"",IF(AND(NOT(ISBLANK(C8)),COUNTBLANK(C8:G8) = 4),"3 Delete",IF(ISBLANK(C8),"2 Add",IF(SHA1Range(C8:G8) = "6107ddb1dd517d4f7909127a2bd47d07ee3bd410","0 Original","1 Modify"))))</f>
        <v>0 Original</v>
      </c>
      <c r="B8" t="s">
        <v>146</v>
      </c>
      <c r="C8" s="5">
        <v>575</v>
      </c>
      <c r="D8" s="7" t="s">
        <v>147</v>
      </c>
      <c r="E8" s="11">
        <v>4.09</v>
      </c>
      <c r="F8" s="7" t="s">
        <v>59</v>
      </c>
      <c r="G8" s="9">
        <v>42023.922037037039</v>
      </c>
    </row>
    <row r="9" spans="1:8" x14ac:dyDescent="0.25">
      <c r="A9" t="str">
        <f>IF(COUNTBLANK(C9:G9) = 5,"",IF(AND(NOT(ISBLANK(C9)),COUNTBLANK(C9:G9) = 4),"3 Delete",IF(ISBLANK(C9),"2 Add",IF(SHA1Range(C9:G9) = "4cca90b79bef3a108be0f1f5de462a7d1bb00ffb","0 Original","1 Modify"))))</f>
        <v>0 Original</v>
      </c>
      <c r="B9" t="s">
        <v>148</v>
      </c>
      <c r="C9" s="5">
        <v>571</v>
      </c>
      <c r="D9" s="7" t="s">
        <v>149</v>
      </c>
      <c r="E9" s="11">
        <v>13.79</v>
      </c>
      <c r="F9" s="7" t="s">
        <v>59</v>
      </c>
      <c r="G9" s="9">
        <v>42023.921979166669</v>
      </c>
    </row>
    <row r="10" spans="1:8" x14ac:dyDescent="0.25">
      <c r="A10" t="str">
        <f>IF(COUNTBLANK(C10:G10) = 5,"",IF(AND(NOT(ISBLANK(C10)),COUNTBLANK(C10:G10) = 4),"3 Delete",IF(ISBLANK(C10),"2 Add",IF(SHA1Range(C10:G10) = "ae151b16157e197991f5ebd0cdede9e56e86651c","0 Original","1 Modify"))))</f>
        <v>0 Original</v>
      </c>
      <c r="B10" t="s">
        <v>150</v>
      </c>
      <c r="C10" s="5">
        <v>561</v>
      </c>
      <c r="D10" s="7" t="s">
        <v>151</v>
      </c>
      <c r="E10" s="11">
        <v>17.989999999999998</v>
      </c>
      <c r="F10" s="7" t="s">
        <v>59</v>
      </c>
      <c r="G10" s="9">
        <v>42023.921840277777</v>
      </c>
    </row>
    <row r="11" spans="1:8" x14ac:dyDescent="0.25">
      <c r="A11" t="str">
        <f>IF(COUNTBLANK(C11:G11) = 5,"",IF(AND(NOT(ISBLANK(C11)),COUNTBLANK(C11:G11) = 4),"3 Delete",IF(ISBLANK(C11),"2 Add",IF(SHA1Range(C11:G11) = "940fcfd4995b4d32ffc960efb6cf1247f43dd9b8","0 Original","1 Modify"))))</f>
        <v>0 Original</v>
      </c>
      <c r="B11" t="s">
        <v>152</v>
      </c>
      <c r="C11" s="5">
        <v>542</v>
      </c>
      <c r="D11" s="7" t="s">
        <v>153</v>
      </c>
      <c r="E11" s="11">
        <v>4.79</v>
      </c>
      <c r="F11" s="7" t="s">
        <v>59</v>
      </c>
      <c r="G11" s="9">
        <v>42023.921597222223</v>
      </c>
    </row>
    <row r="12" spans="1:8" x14ac:dyDescent="0.25">
      <c r="A12" t="str">
        <f>IF(COUNTBLANK(C12:G12) = 5,"",IF(AND(NOT(ISBLANK(C12)),COUNTBLANK(C12:G12) = 4),"3 Delete",IF(ISBLANK(C12),"2 Add",IF(SHA1Range(C12:G12) = "cd2d79f874552c7a1d54c12cef9124fae0189f3a","0 Original","1 Modify"))))</f>
        <v>0 Original</v>
      </c>
      <c r="B12" t="s">
        <v>154</v>
      </c>
      <c r="C12" s="5">
        <v>540</v>
      </c>
      <c r="D12" s="7" t="s">
        <v>155</v>
      </c>
      <c r="E12" s="11">
        <v>6.89</v>
      </c>
      <c r="F12" s="7" t="s">
        <v>59</v>
      </c>
      <c r="G12" s="9">
        <v>42023.921574074076</v>
      </c>
    </row>
    <row r="13" spans="1:8" x14ac:dyDescent="0.25">
      <c r="A13" t="str">
        <f>IF(COUNTBLANK(C13:G13) = 5,"",IF(AND(NOT(ISBLANK(C13)),COUNTBLANK(C13:G13) = 4),"3 Delete",IF(ISBLANK(C13),"2 Add",IF(SHA1Range(C13:G13) = "df7bfae9cab220654629f6cae3f7931a192a0460","0 Original","1 Modify"))))</f>
        <v>0 Original</v>
      </c>
      <c r="B13" t="s">
        <v>156</v>
      </c>
      <c r="C13" s="5">
        <v>531</v>
      </c>
      <c r="D13" s="7" t="s">
        <v>157</v>
      </c>
      <c r="E13" s="11">
        <v>19.59</v>
      </c>
      <c r="F13" s="7" t="s">
        <v>59</v>
      </c>
      <c r="G13" s="9">
        <v>42023.921446759261</v>
      </c>
    </row>
    <row r="14" spans="1:8" x14ac:dyDescent="0.25">
      <c r="A14" t="str">
        <f>IF(COUNTBLANK(C14:G14) = 5,"",IF(AND(NOT(ISBLANK(C14)),COUNTBLANK(C14:G14) = 4),"3 Delete",IF(ISBLANK(C14),"2 Add",IF(SHA1Range(C14:G14) = "45aa9b424568d615ee888364630f3259e539b1aa","0 Original","1 Modify"))))</f>
        <v>0 Original</v>
      </c>
      <c r="B14" t="s">
        <v>158</v>
      </c>
      <c r="C14" s="5">
        <v>530</v>
      </c>
      <c r="D14" s="7" t="s">
        <v>159</v>
      </c>
      <c r="E14" s="11">
        <v>14.69</v>
      </c>
      <c r="F14" s="7" t="s">
        <v>59</v>
      </c>
      <c r="G14" s="9">
        <v>42023.921435185184</v>
      </c>
    </row>
    <row r="15" spans="1:8" x14ac:dyDescent="0.25">
      <c r="A15" t="str">
        <f>IF(COUNTBLANK(C15:G15) = 5,"",IF(AND(NOT(ISBLANK(C15)),COUNTBLANK(C15:G15) = 4),"3 Delete",IF(ISBLANK(C15),"2 Add",IF(SHA1Range(C15:G15) = "425e9c938411c70f5e9b77b69b0a50e600b41641","0 Original","1 Modify"))))</f>
        <v>0 Original</v>
      </c>
      <c r="B15" t="s">
        <v>160</v>
      </c>
      <c r="C15" s="5">
        <v>521</v>
      </c>
      <c r="D15" s="7" t="s">
        <v>161</v>
      </c>
      <c r="E15" s="11">
        <v>5.29</v>
      </c>
      <c r="F15" s="7" t="s">
        <v>59</v>
      </c>
      <c r="G15" s="9">
        <v>42023.921319444446</v>
      </c>
    </row>
    <row r="16" spans="1:8" x14ac:dyDescent="0.25">
      <c r="A16" t="str">
        <f>IF(COUNTBLANK(C16:G16) = 5,"",IF(AND(NOT(ISBLANK(C16)),COUNTBLANK(C16:G16) = 4),"3 Delete",IF(ISBLANK(C16),"2 Add",IF(SHA1Range(C16:G16) = "89d4b0d58fd78fe27654c9f024727930343a02f8","0 Original","1 Modify"))))</f>
        <v>0 Original</v>
      </c>
      <c r="B16" t="s">
        <v>162</v>
      </c>
      <c r="C16" s="5">
        <v>480</v>
      </c>
      <c r="D16" s="7" t="s">
        <v>163</v>
      </c>
      <c r="E16" s="11">
        <v>12.19</v>
      </c>
      <c r="F16" s="7" t="s">
        <v>59</v>
      </c>
      <c r="G16" s="9">
        <v>42023.920775462961</v>
      </c>
    </row>
    <row r="17" spans="1:7" x14ac:dyDescent="0.25">
      <c r="A17" t="str">
        <f>IF(COUNTBLANK(C17:G17) = 5,"",IF(AND(NOT(ISBLANK(C17)),COUNTBLANK(C17:G17) = 4),"3 Delete",IF(ISBLANK(C17),"2 Add",IF(SHA1Range(C17:G17) = "f3ae5b0cbd14de959984becb8f447c53aba4013f","0 Original","1 Modify"))))</f>
        <v>0 Original</v>
      </c>
      <c r="B17" t="s">
        <v>164</v>
      </c>
      <c r="C17" s="5">
        <v>472</v>
      </c>
      <c r="D17" s="7" t="s">
        <v>165</v>
      </c>
      <c r="E17" s="11">
        <v>11.09</v>
      </c>
      <c r="F17" s="7" t="s">
        <v>59</v>
      </c>
      <c r="G17" s="9">
        <v>42023.920671296299</v>
      </c>
    </row>
    <row r="18" spans="1:7" x14ac:dyDescent="0.25">
      <c r="A18" t="str">
        <f>IF(COUNTBLANK(C18:G18) = 5,"",IF(AND(NOT(ISBLANK(C18)),COUNTBLANK(C18:G18) = 4),"3 Delete",IF(ISBLANK(C18),"2 Add",IF(SHA1Range(C18:G18) = "0d923ae257a0217c81ed12cb411c80c2cc4ab8e6","0 Original","1 Modify"))))</f>
        <v>0 Original</v>
      </c>
      <c r="B18" t="s">
        <v>166</v>
      </c>
      <c r="C18" s="5">
        <v>437</v>
      </c>
      <c r="D18" s="7" t="s">
        <v>167</v>
      </c>
      <c r="E18" s="11">
        <v>17.29</v>
      </c>
      <c r="F18" s="7" t="s">
        <v>59</v>
      </c>
      <c r="G18" s="9">
        <v>42023.920219907406</v>
      </c>
    </row>
    <row r="19" spans="1:7" x14ac:dyDescent="0.25">
      <c r="A19" t="str">
        <f>IF(COUNTBLANK(C19:G19) = 5,"",IF(AND(NOT(ISBLANK(C19)),COUNTBLANK(C19:G19) = 4),"3 Delete",IF(ISBLANK(C19),"2 Add",IF(SHA1Range(C19:G19) = "a9e226252cbaf22afd3cb27ac410ba25e54da623","0 Original","1 Modify"))))</f>
        <v>0 Original</v>
      </c>
      <c r="B19" t="s">
        <v>168</v>
      </c>
      <c r="C19" s="5">
        <v>421</v>
      </c>
      <c r="D19" s="7" t="s">
        <v>169</v>
      </c>
      <c r="E19" s="11">
        <v>15.59</v>
      </c>
      <c r="F19" s="7" t="s">
        <v>59</v>
      </c>
      <c r="G19" s="9">
        <v>42023.920023148145</v>
      </c>
    </row>
    <row r="20" spans="1:7" x14ac:dyDescent="0.25">
      <c r="A20" t="str">
        <f>IF(COUNTBLANK(C20:G20) = 5,"",IF(AND(NOT(ISBLANK(C20)),COUNTBLANK(C20:G20) = 4),"3 Delete",IF(ISBLANK(C20),"2 Add",IF(SHA1Range(C20:G20) = "cc681c9c6c5eb4a4dbf55a1efe914e2be4d7af5e","0 Original","1 Modify"))))</f>
        <v>0 Original</v>
      </c>
      <c r="B20" t="s">
        <v>170</v>
      </c>
      <c r="C20" s="5">
        <v>411</v>
      </c>
      <c r="D20" s="7" t="s">
        <v>171</v>
      </c>
      <c r="E20" s="11">
        <v>12.99</v>
      </c>
      <c r="F20" s="7" t="s">
        <v>59</v>
      </c>
      <c r="G20" s="9">
        <v>42023.919895833336</v>
      </c>
    </row>
    <row r="21" spans="1:7" x14ac:dyDescent="0.25">
      <c r="A21" t="str">
        <f>IF(COUNTBLANK(C21:G21) = 5,"",IF(AND(NOT(ISBLANK(C21)),COUNTBLANK(C21:G21) = 4),"3 Delete",IF(ISBLANK(C21),"2 Add",IF(SHA1Range(C21:G21) = "53dfd401cffb3060e7094f1d43468e59868b8f96","0 Original","1 Modify"))))</f>
        <v>0 Original</v>
      </c>
      <c r="B21" t="s">
        <v>172</v>
      </c>
      <c r="C21" s="5">
        <v>396</v>
      </c>
      <c r="D21" s="7" t="s">
        <v>173</v>
      </c>
      <c r="E21" s="11">
        <v>0.49</v>
      </c>
      <c r="F21" s="7" t="s">
        <v>59</v>
      </c>
      <c r="G21" s="9">
        <v>42023.919699074075</v>
      </c>
    </row>
    <row r="22" spans="1:7" x14ac:dyDescent="0.25">
      <c r="A22" t="str">
        <f>IF(COUNTBLANK(C22:G22) = 5,"",IF(AND(NOT(ISBLANK(C22)),COUNTBLANK(C22:G22) = 4),"3 Delete",IF(ISBLANK(C22),"2 Add",IF(SHA1Range(C22:G22) = "6930d9fd4c612a9ad3d1fcfe7cdcbc7ef499769b","0 Original","1 Modify"))))</f>
        <v>0 Original</v>
      </c>
      <c r="B22" t="s">
        <v>174</v>
      </c>
      <c r="C22" s="5">
        <v>383</v>
      </c>
      <c r="D22" s="7" t="s">
        <v>175</v>
      </c>
      <c r="E22" s="11">
        <v>9.99</v>
      </c>
      <c r="F22" s="7" t="s">
        <v>59</v>
      </c>
      <c r="G22" s="9">
        <v>42023.919548611113</v>
      </c>
    </row>
    <row r="23" spans="1:7" x14ac:dyDescent="0.25">
      <c r="A23" t="str">
        <f>IF(COUNTBLANK(C23:G23) = 5,"",IF(AND(NOT(ISBLANK(C23)),COUNTBLANK(C23:G23) = 4),"3 Delete",IF(ISBLANK(C23),"2 Add",IF(SHA1Range(C23:G23) = "2ee55ab2ec378277bc3597f32786485a311a4c98","0 Original","1 Modify"))))</f>
        <v>0 Original</v>
      </c>
      <c r="B23" t="s">
        <v>176</v>
      </c>
      <c r="C23" s="5">
        <v>371</v>
      </c>
      <c r="D23" s="7" t="s">
        <v>177</v>
      </c>
      <c r="E23" s="11">
        <v>7.69</v>
      </c>
      <c r="F23" s="7" t="s">
        <v>59</v>
      </c>
      <c r="G23" s="9">
        <v>42023.919409722221</v>
      </c>
    </row>
    <row r="24" spans="1:7" x14ac:dyDescent="0.25">
      <c r="A24" t="str">
        <f>IF(COUNTBLANK(C24:G24) = 5,"",IF(AND(NOT(ISBLANK(C24)),COUNTBLANK(C24:G24) = 4),"3 Delete",IF(ISBLANK(C24),"2 Add",IF(SHA1Range(C24:G24) = "75be6b0f03b36e6e79c7dc2be99123e4ce846163","0 Original","1 Modify"))))</f>
        <v>0 Original</v>
      </c>
      <c r="B24" t="s">
        <v>178</v>
      </c>
      <c r="C24" s="5">
        <v>364</v>
      </c>
      <c r="D24" s="7" t="s">
        <v>179</v>
      </c>
      <c r="E24" s="11">
        <v>16.39</v>
      </c>
      <c r="F24" s="7" t="s">
        <v>59</v>
      </c>
      <c r="G24" s="9">
        <v>42023.919317129628</v>
      </c>
    </row>
    <row r="25" spans="1:7" x14ac:dyDescent="0.25">
      <c r="A25" t="str">
        <f>IF(COUNTBLANK(C25:G25) = 5,"",IF(AND(NOT(ISBLANK(C25)),COUNTBLANK(C25:G25) = 4),"3 Delete",IF(ISBLANK(C25),"2 Add",IF(SHA1Range(C25:G25) = "42c3209f7557b3fee6af500619ea5a98eb253243","0 Original","1 Modify"))))</f>
        <v>0 Original</v>
      </c>
      <c r="B25" t="s">
        <v>180</v>
      </c>
      <c r="C25" s="5">
        <v>350</v>
      </c>
      <c r="D25" s="7" t="s">
        <v>181</v>
      </c>
      <c r="E25" s="11">
        <v>7.19</v>
      </c>
      <c r="F25" s="7" t="s">
        <v>59</v>
      </c>
      <c r="G25" s="9">
        <v>42023.91915509259</v>
      </c>
    </row>
    <row r="26" spans="1:7" x14ac:dyDescent="0.25">
      <c r="A26" t="str">
        <f>IF(COUNTBLANK(C26:G26) = 5,"",IF(AND(NOT(ISBLANK(C26)),COUNTBLANK(C26:G26) = 4),"3 Delete",IF(ISBLANK(C26),"2 Add",IF(SHA1Range(C26:G26) = "c5bb2bc95812191a6e967b60cc0c82000e82f3e3","0 Original","1 Modify"))))</f>
        <v>0 Original</v>
      </c>
      <c r="B26" t="s">
        <v>182</v>
      </c>
      <c r="C26" s="5">
        <v>332</v>
      </c>
      <c r="D26" s="7" t="s">
        <v>183</v>
      </c>
      <c r="E26" s="11">
        <v>11.19</v>
      </c>
      <c r="F26" s="7" t="s">
        <v>59</v>
      </c>
      <c r="G26" s="9">
        <v>42023.918935185182</v>
      </c>
    </row>
    <row r="27" spans="1:7" x14ac:dyDescent="0.25">
      <c r="A27" t="str">
        <f>IF(COUNTBLANK(C27:G27) = 5,"",IF(AND(NOT(ISBLANK(C27)),COUNTBLANK(C27:G27) = 4),"3 Delete",IF(ISBLANK(C27),"2 Add",IF(SHA1Range(C27:G27) = "2513d3c3a7e1869844c4ddd814ac86e8e47d81e9","0 Original","1 Modify"))))</f>
        <v>0 Original</v>
      </c>
      <c r="B27" t="s">
        <v>184</v>
      </c>
      <c r="C27" s="5">
        <v>327</v>
      </c>
      <c r="D27" s="7" t="s">
        <v>185</v>
      </c>
      <c r="E27" s="11">
        <v>6.29</v>
      </c>
      <c r="F27" s="7" t="s">
        <v>59</v>
      </c>
      <c r="G27" s="9">
        <v>42023.918877314813</v>
      </c>
    </row>
    <row r="28" spans="1:7" x14ac:dyDescent="0.25">
      <c r="A28" t="str">
        <f>IF(COUNTBLANK(C28:G28) = 5,"",IF(AND(NOT(ISBLANK(C28)),COUNTBLANK(C28:G28) = 4),"3 Delete",IF(ISBLANK(C28),"2 Add",IF(SHA1Range(C28:G28) = "c9b6479d4e4e801d500158c22788aa21398fb7b1","0 Original","1 Modify"))))</f>
        <v>0 Original</v>
      </c>
      <c r="B28" t="s">
        <v>186</v>
      </c>
      <c r="C28" s="5">
        <v>312</v>
      </c>
      <c r="D28" s="7" t="s">
        <v>187</v>
      </c>
      <c r="E28" s="11">
        <v>10.09</v>
      </c>
      <c r="F28" s="7" t="s">
        <v>59</v>
      </c>
      <c r="G28" s="9">
        <v>42023.918703703705</v>
      </c>
    </row>
    <row r="29" spans="1:7" x14ac:dyDescent="0.25">
      <c r="A29" t="str">
        <f>IF(COUNTBLANK(C29:G29) = 5,"",IF(AND(NOT(ISBLANK(C29)),COUNTBLANK(C29:G29) = 4),"3 Delete",IF(ISBLANK(C29),"2 Add",IF(SHA1Range(C29:G29) = "1ce76424ddab9554d2f3caf0b86311338640f494","0 Original","1 Modify"))))</f>
        <v>0 Original</v>
      </c>
      <c r="B29" t="s">
        <v>188</v>
      </c>
      <c r="C29" s="5">
        <v>262</v>
      </c>
      <c r="D29" s="7" t="s">
        <v>189</v>
      </c>
      <c r="E29" s="11">
        <v>15.79</v>
      </c>
      <c r="F29" s="7" t="s">
        <v>59</v>
      </c>
      <c r="G29" s="9">
        <v>42023.918113425927</v>
      </c>
    </row>
    <row r="30" spans="1:7" x14ac:dyDescent="0.25">
      <c r="A30" t="str">
        <f>IF(COUNTBLANK(C30:G30) = 5,"",IF(AND(NOT(ISBLANK(C30)),COUNTBLANK(C30:G30) = 4),"3 Delete",IF(ISBLANK(C30),"2 Add",IF(SHA1Range(C30:G30) = "e83a0725582e80977e85ea744506d496f8760a9f","0 Original","1 Modify"))))</f>
        <v>0 Original</v>
      </c>
      <c r="B30" t="s">
        <v>190</v>
      </c>
      <c r="C30" s="5">
        <v>242</v>
      </c>
      <c r="D30" s="7" t="s">
        <v>191</v>
      </c>
      <c r="E30" s="11">
        <v>16.190000000000001</v>
      </c>
      <c r="F30" s="7" t="s">
        <v>59</v>
      </c>
      <c r="G30" s="9">
        <v>42023.917893518519</v>
      </c>
    </row>
    <row r="31" spans="1:7" x14ac:dyDescent="0.25">
      <c r="A31" t="str">
        <f>IF(COUNTBLANK(C31:G31) = 5,"",IF(AND(NOT(ISBLANK(C31)),COUNTBLANK(C31:G31) = 4),"3 Delete",IF(ISBLANK(C31),"2 Add",IF(SHA1Range(C31:G31) = "f4812cdb2aa62140711ee17374f76d89bae9df9a","0 Original","1 Modify"))))</f>
        <v>0 Original</v>
      </c>
      <c r="B31" t="s">
        <v>192</v>
      </c>
      <c r="C31" s="5">
        <v>219</v>
      </c>
      <c r="D31" s="7" t="s">
        <v>193</v>
      </c>
      <c r="E31" s="11">
        <v>12.59</v>
      </c>
      <c r="F31" s="7" t="s">
        <v>59</v>
      </c>
      <c r="G31" s="9">
        <v>42023.917638888888</v>
      </c>
    </row>
    <row r="32" spans="1:7" x14ac:dyDescent="0.25">
      <c r="A32" t="str">
        <f>IF(COUNTBLANK(C32:G32) = 5,"",IF(AND(NOT(ISBLANK(C32)),COUNTBLANK(C32:G32) = 4),"3 Delete",IF(ISBLANK(C32),"2 Add",IF(SHA1Range(C32:G32) = "5a31c3327640830c660a0fa5d48dbbfb1add8e3e","0 Original","1 Modify"))))</f>
        <v>0 Original</v>
      </c>
      <c r="B32" t="s">
        <v>194</v>
      </c>
      <c r="C32" s="5">
        <v>201</v>
      </c>
      <c r="D32" s="7" t="s">
        <v>195</v>
      </c>
      <c r="E32" s="11">
        <v>7.29</v>
      </c>
      <c r="F32" s="7" t="s">
        <v>59</v>
      </c>
      <c r="G32" s="9">
        <v>42023.917442129627</v>
      </c>
    </row>
    <row r="33" spans="1:7" x14ac:dyDescent="0.25">
      <c r="A33" t="str">
        <f>IF(COUNTBLANK(C33:G33) = 5,"",IF(AND(NOT(ISBLANK(C33)),COUNTBLANK(C33:G33) = 4),"3 Delete",IF(ISBLANK(C33),"2 Add",IF(SHA1Range(C33:G33) = "963c5fa7e1dab4c3c3ecc59fd79e48a2a2b50308","0 Original","1 Modify"))))</f>
        <v>0 Original</v>
      </c>
      <c r="B33" t="s">
        <v>196</v>
      </c>
      <c r="C33" s="5">
        <v>198</v>
      </c>
      <c r="D33" s="7" t="s">
        <v>197</v>
      </c>
      <c r="E33" s="11">
        <v>19.39</v>
      </c>
      <c r="F33" s="7" t="s">
        <v>59</v>
      </c>
      <c r="G33" s="9">
        <v>42023.917407407411</v>
      </c>
    </row>
    <row r="34" spans="1:7" x14ac:dyDescent="0.25">
      <c r="A34" t="str">
        <f>IF(COUNTBLANK(C34:G34) = 5,"",IF(AND(NOT(ISBLANK(C34)),COUNTBLANK(C34:G34) = 4),"3 Delete",IF(ISBLANK(C34),"2 Add",IF(SHA1Range(C34:G34) = "04b288e8f2b7374e7fcd0a066e3433b32ba66b2b","0 Original","1 Modify"))))</f>
        <v>0 Original</v>
      </c>
      <c r="B34" t="s">
        <v>198</v>
      </c>
      <c r="C34" s="5">
        <v>156</v>
      </c>
      <c r="D34" s="7" t="s">
        <v>199</v>
      </c>
      <c r="E34" s="11">
        <v>5.19</v>
      </c>
      <c r="F34" s="7" t="s">
        <v>59</v>
      </c>
      <c r="G34" s="9">
        <v>42023.916967592595</v>
      </c>
    </row>
    <row r="35" spans="1:7" x14ac:dyDescent="0.25">
      <c r="A35" t="str">
        <f>IF(COUNTBLANK(C35:G35) = 5,"",IF(AND(NOT(ISBLANK(C35)),COUNTBLANK(C35:G35) = 4),"3 Delete",IF(ISBLANK(C35),"2 Add",IF(SHA1Range(C35:G35) = "008becd43e41c246ceaa77f8d1a809dba32cc4c2","0 Original","1 Modify"))))</f>
        <v>0 Original</v>
      </c>
      <c r="B35" t="s">
        <v>200</v>
      </c>
      <c r="C35" s="5">
        <v>155</v>
      </c>
      <c r="D35" s="7" t="s">
        <v>201</v>
      </c>
      <c r="E35" s="11">
        <v>15.69</v>
      </c>
      <c r="F35" s="7" t="s">
        <v>59</v>
      </c>
      <c r="G35" s="9">
        <v>42023.916956018518</v>
      </c>
    </row>
    <row r="36" spans="1:7" x14ac:dyDescent="0.25">
      <c r="A36" t="str">
        <f>IF(COUNTBLANK(C36:G36) = 5,"",IF(AND(NOT(ISBLANK(C36)),COUNTBLANK(C36:G36) = 4),"3 Delete",IF(ISBLANK(C36),"2 Add",IF(SHA1Range(C36:G36) = "685aee87b8e71147c20421d335268f2631ec3c03","0 Original","1 Modify"))))</f>
        <v>0 Original</v>
      </c>
      <c r="B36" t="s">
        <v>202</v>
      </c>
      <c r="C36" s="5">
        <v>146</v>
      </c>
      <c r="D36" s="7" t="s">
        <v>203</v>
      </c>
      <c r="E36" s="11">
        <v>19.89</v>
      </c>
      <c r="F36" s="7" t="s">
        <v>59</v>
      </c>
      <c r="G36" s="9">
        <v>42023.916863425926</v>
      </c>
    </row>
    <row r="37" spans="1:7" x14ac:dyDescent="0.25">
      <c r="A37" t="str">
        <f>IF(COUNTBLANK(C37:G37) = 5,"",IF(AND(NOT(ISBLANK(C37)),COUNTBLANK(C37:G37) = 4),"3 Delete",IF(ISBLANK(C37),"2 Add",IF(SHA1Range(C37:G37) = "3b4ad60eadc82e2d98faeca682ec2b7c197036d2","0 Original","1 Modify"))))</f>
        <v>0 Original</v>
      </c>
      <c r="B37" t="s">
        <v>204</v>
      </c>
      <c r="C37" s="5">
        <v>110</v>
      </c>
      <c r="D37" s="7" t="s">
        <v>205</v>
      </c>
      <c r="E37" s="11">
        <v>8.99</v>
      </c>
      <c r="F37" s="7" t="s">
        <v>59</v>
      </c>
      <c r="G37" s="9">
        <v>42023.916504629633</v>
      </c>
    </row>
    <row r="38" spans="1:7" x14ac:dyDescent="0.25">
      <c r="A38" t="str">
        <f>IF(COUNTBLANK(C38:G38) = 5,"",IF(AND(NOT(ISBLANK(C38)),COUNTBLANK(C38:G38) = 4),"3 Delete",IF(ISBLANK(C38),"2 Add",IF(SHA1Range(C38:G38) = "8973473411b61ac7b712b5613385da1999e2b371","0 Original","1 Modify"))))</f>
        <v>0 Original</v>
      </c>
      <c r="B38" t="s">
        <v>206</v>
      </c>
      <c r="C38" s="5">
        <v>72</v>
      </c>
      <c r="D38" s="7" t="s">
        <v>207</v>
      </c>
      <c r="E38" s="11">
        <v>4.3899999999999997</v>
      </c>
      <c r="F38" s="7" t="s">
        <v>59</v>
      </c>
      <c r="G38" s="9">
        <v>42023.916122685187</v>
      </c>
    </row>
    <row r="39" spans="1:7" x14ac:dyDescent="0.25">
      <c r="A39" t="str">
        <f>IF(COUNTBLANK(C39:G39) = 5,"",IF(AND(NOT(ISBLANK(C39)),COUNTBLANK(C39:G39) = 4),"3 Delete",IF(ISBLANK(C39),"2 Add",IF(SHA1Range(C39:G39) = "ed013aa5b38aa8f70d7b24958d4525501fc13c96","0 Original","1 Modify"))))</f>
        <v>0 Original</v>
      </c>
      <c r="B39" t="s">
        <v>208</v>
      </c>
      <c r="C39" s="5">
        <v>68</v>
      </c>
      <c r="D39" s="7" t="s">
        <v>209</v>
      </c>
      <c r="E39" s="11">
        <v>0.69</v>
      </c>
      <c r="F39" s="7" t="s">
        <v>59</v>
      </c>
      <c r="G39" s="9">
        <v>42023.916087962964</v>
      </c>
    </row>
    <row r="40" spans="1:7" x14ac:dyDescent="0.25">
      <c r="A40" t="str">
        <f>IF(COUNTBLANK(C40:G40) = 5,"",IF(AND(NOT(ISBLANK(C40)),COUNTBLANK(C40:G40) = 4),"3 Delete",IF(ISBLANK(C40),"2 Add",IF(SHA1Range(C40:G40) = "053eb7c45b81d4116e50e23f93d943645ee3a33f","0 Original","1 Modify"))))</f>
        <v>0 Original</v>
      </c>
      <c r="B40" t="s">
        <v>210</v>
      </c>
      <c r="C40" s="5">
        <v>67</v>
      </c>
      <c r="D40" s="7" t="s">
        <v>211</v>
      </c>
      <c r="E40" s="11">
        <v>8.7899999999999991</v>
      </c>
      <c r="F40" s="7" t="s">
        <v>59</v>
      </c>
      <c r="G40" s="9">
        <v>42023.916076388887</v>
      </c>
    </row>
    <row r="41" spans="1:7" x14ac:dyDescent="0.25">
      <c r="A41" t="str">
        <f>IF(COUNTBLANK(C41:G41) = 5,"",IF(AND(NOT(ISBLANK(C41)),COUNTBLANK(C41:G41) = 4),"3 Delete",IF(ISBLANK(C41),"2 Add",IF(SHA1Range(C41:G41) = "8e37b5f4f8a4e97bdd2be15094a7ce9ce92a590a","0 Original","1 Modify"))))</f>
        <v>0 Original</v>
      </c>
      <c r="B41" t="s">
        <v>212</v>
      </c>
      <c r="C41" s="5">
        <v>65</v>
      </c>
      <c r="D41" s="7" t="s">
        <v>213</v>
      </c>
      <c r="E41" s="11">
        <v>1.99</v>
      </c>
      <c r="F41" s="7" t="s">
        <v>59</v>
      </c>
      <c r="G41" s="9">
        <v>42023.91605324074</v>
      </c>
    </row>
    <row r="42" spans="1:7" x14ac:dyDescent="0.25">
      <c r="A42" t="str">
        <f>IF(COUNTBLANK(C42:G42) = 5,"",IF(AND(NOT(ISBLANK(C42)),COUNTBLANK(C42:G42) = 4),"3 Delete",IF(ISBLANK(C42),"2 Add",IF(SHA1Range(C42:G42) = "ca78084df0f7a5efb0e18b5455b0f9aa6dfa2135","0 Original","1 Modify"))))</f>
        <v>0 Original</v>
      </c>
      <c r="B42" t="s">
        <v>214</v>
      </c>
      <c r="C42" s="5">
        <v>41</v>
      </c>
      <c r="D42" s="7" t="s">
        <v>215</v>
      </c>
      <c r="E42" s="11">
        <v>8.99</v>
      </c>
      <c r="F42" s="7" t="s">
        <v>59</v>
      </c>
      <c r="G42" s="9">
        <v>42023.915821759256</v>
      </c>
    </row>
    <row r="43" spans="1:7" x14ac:dyDescent="0.25">
      <c r="A43" t="str">
        <f>IF(COUNTBLANK(C43:G43) = 5,"",IF(AND(NOT(ISBLANK(C43)),COUNTBLANK(C43:G43) = 4),"3 Delete",IF(ISBLANK(C43),"2 Add",IF(SHA1Range(C43:G43) = "61ee8dfe52e5332814aca3a39cc1c93063f379e2","0 Original","1 Modify"))))</f>
        <v>0 Original</v>
      </c>
      <c r="B43" t="s">
        <v>216</v>
      </c>
      <c r="C43" s="5">
        <v>40</v>
      </c>
      <c r="D43" s="7" t="s">
        <v>217</v>
      </c>
      <c r="E43" s="11">
        <v>4.8899999999999997</v>
      </c>
      <c r="F43" s="7" t="s">
        <v>59</v>
      </c>
      <c r="G43" s="9">
        <v>42023.915810185186</v>
      </c>
    </row>
    <row r="44" spans="1:7" x14ac:dyDescent="0.25">
      <c r="A44" t="str">
        <f>IF(COUNTBLANK(C44:G44) = 5,"",IF(AND(NOT(ISBLANK(C44)),COUNTBLANK(C44:G44) = 4),"3 Delete",IF(ISBLANK(C44),"2 Add",IF(SHA1Range(C44:G44) = "8913a90e03eaa846c1858e9c9d42cdc0e181c68e","0 Original","1 Modify"))))</f>
        <v>0 Original</v>
      </c>
      <c r="B44" t="s">
        <v>218</v>
      </c>
      <c r="C44" s="5">
        <v>27</v>
      </c>
      <c r="D44" s="7" t="s">
        <v>219</v>
      </c>
      <c r="E44" s="11">
        <v>10.09</v>
      </c>
      <c r="F44" s="7" t="s">
        <v>59</v>
      </c>
      <c r="G44" s="9">
        <v>42023.915682870371</v>
      </c>
    </row>
    <row r="45" spans="1:7" x14ac:dyDescent="0.25">
      <c r="A45" t="str">
        <f>IF(COUNTBLANK(C45:G45) = 5,"",IF(AND(NOT(ISBLANK(C45)),COUNTBLANK(C45:G45) = 4),"3 Delete",IF(ISBLANK(C45),"2 Add",IF(SHA1Range(C45:G45) = "2bf1cfc5b1fdd2cd9577896de556e82285b2c1ad","0 Original","1 Modify"))))</f>
        <v>0 Original</v>
      </c>
      <c r="B45" t="s">
        <v>220</v>
      </c>
      <c r="C45" s="5">
        <v>13</v>
      </c>
      <c r="D45" s="7" t="s">
        <v>221</v>
      </c>
      <c r="E45" s="11">
        <v>5.89</v>
      </c>
      <c r="F45" s="7" t="s">
        <v>59</v>
      </c>
      <c r="G45" s="9">
        <v>42023.915543981479</v>
      </c>
    </row>
  </sheetData>
  <conditionalFormatting sqref="A2">
    <cfRule type="cellIs" dxfId="335" priority="1" stopIfTrue="1" operator="equal">
      <formula>"1 Modify"</formula>
    </cfRule>
    <cfRule type="cellIs" dxfId="334" priority="2" stopIfTrue="1" operator="equal">
      <formula>"2 Add"</formula>
    </cfRule>
    <cfRule type="cellIs" dxfId="333" priority="3" stopIfTrue="1" operator="equal">
      <formula>"3 Delete"</formula>
    </cfRule>
  </conditionalFormatting>
  <conditionalFormatting sqref="A3">
    <cfRule type="cellIs" dxfId="332" priority="4" stopIfTrue="1" operator="equal">
      <formula>"1 Modify"</formula>
    </cfRule>
    <cfRule type="cellIs" dxfId="331" priority="5" stopIfTrue="1" operator="equal">
      <formula>"2 Add"</formula>
    </cfRule>
    <cfRule type="cellIs" dxfId="330" priority="6" stopIfTrue="1" operator="equal">
      <formula>"3 Delete"</formula>
    </cfRule>
  </conditionalFormatting>
  <conditionalFormatting sqref="A4">
    <cfRule type="cellIs" dxfId="329" priority="7" stopIfTrue="1" operator="equal">
      <formula>"1 Modify"</formula>
    </cfRule>
    <cfRule type="cellIs" dxfId="328" priority="8" stopIfTrue="1" operator="equal">
      <formula>"2 Add"</formula>
    </cfRule>
    <cfRule type="cellIs" dxfId="327" priority="9" stopIfTrue="1" operator="equal">
      <formula>"3 Delete"</formula>
    </cfRule>
  </conditionalFormatting>
  <conditionalFormatting sqref="A5">
    <cfRule type="cellIs" dxfId="326" priority="10" stopIfTrue="1" operator="equal">
      <formula>"1 Modify"</formula>
    </cfRule>
    <cfRule type="cellIs" dxfId="325" priority="11" stopIfTrue="1" operator="equal">
      <formula>"2 Add"</formula>
    </cfRule>
    <cfRule type="cellIs" dxfId="324" priority="12" stopIfTrue="1" operator="equal">
      <formula>"3 Delete"</formula>
    </cfRule>
  </conditionalFormatting>
  <conditionalFormatting sqref="A6">
    <cfRule type="cellIs" dxfId="323" priority="13" stopIfTrue="1" operator="equal">
      <formula>"1 Modify"</formula>
    </cfRule>
    <cfRule type="cellIs" dxfId="322" priority="14" stopIfTrue="1" operator="equal">
      <formula>"2 Add"</formula>
    </cfRule>
    <cfRule type="cellIs" dxfId="321" priority="15" stopIfTrue="1" operator="equal">
      <formula>"3 Delete"</formula>
    </cfRule>
  </conditionalFormatting>
  <conditionalFormatting sqref="A7">
    <cfRule type="cellIs" dxfId="320" priority="16" stopIfTrue="1" operator="equal">
      <formula>"1 Modify"</formula>
    </cfRule>
    <cfRule type="cellIs" dxfId="319" priority="17" stopIfTrue="1" operator="equal">
      <formula>"2 Add"</formula>
    </cfRule>
    <cfRule type="cellIs" dxfId="318" priority="18" stopIfTrue="1" operator="equal">
      <formula>"3 Delete"</formula>
    </cfRule>
  </conditionalFormatting>
  <conditionalFormatting sqref="A8">
    <cfRule type="cellIs" dxfId="317" priority="19" stopIfTrue="1" operator="equal">
      <formula>"1 Modify"</formula>
    </cfRule>
    <cfRule type="cellIs" dxfId="316" priority="20" stopIfTrue="1" operator="equal">
      <formula>"2 Add"</formula>
    </cfRule>
    <cfRule type="cellIs" dxfId="315" priority="21" stopIfTrue="1" operator="equal">
      <formula>"3 Delete"</formula>
    </cfRule>
  </conditionalFormatting>
  <conditionalFormatting sqref="A9">
    <cfRule type="cellIs" dxfId="314" priority="22" stopIfTrue="1" operator="equal">
      <formula>"1 Modify"</formula>
    </cfRule>
    <cfRule type="cellIs" dxfId="313" priority="23" stopIfTrue="1" operator="equal">
      <formula>"2 Add"</formula>
    </cfRule>
    <cfRule type="cellIs" dxfId="312" priority="24" stopIfTrue="1" operator="equal">
      <formula>"3 Delete"</formula>
    </cfRule>
  </conditionalFormatting>
  <conditionalFormatting sqref="A10">
    <cfRule type="cellIs" dxfId="311" priority="25" stopIfTrue="1" operator="equal">
      <formula>"1 Modify"</formula>
    </cfRule>
    <cfRule type="cellIs" dxfId="310" priority="26" stopIfTrue="1" operator="equal">
      <formula>"2 Add"</formula>
    </cfRule>
    <cfRule type="cellIs" dxfId="309" priority="27" stopIfTrue="1" operator="equal">
      <formula>"3 Delete"</formula>
    </cfRule>
  </conditionalFormatting>
  <conditionalFormatting sqref="A11">
    <cfRule type="cellIs" dxfId="308" priority="28" stopIfTrue="1" operator="equal">
      <formula>"1 Modify"</formula>
    </cfRule>
    <cfRule type="cellIs" dxfId="307" priority="29" stopIfTrue="1" operator="equal">
      <formula>"2 Add"</formula>
    </cfRule>
    <cfRule type="cellIs" dxfId="306" priority="30" stopIfTrue="1" operator="equal">
      <formula>"3 Delete"</formula>
    </cfRule>
  </conditionalFormatting>
  <conditionalFormatting sqref="A12">
    <cfRule type="cellIs" dxfId="305" priority="31" stopIfTrue="1" operator="equal">
      <formula>"1 Modify"</formula>
    </cfRule>
    <cfRule type="cellIs" dxfId="304" priority="32" stopIfTrue="1" operator="equal">
      <formula>"2 Add"</formula>
    </cfRule>
    <cfRule type="cellIs" dxfId="303" priority="33" stopIfTrue="1" operator="equal">
      <formula>"3 Delete"</formula>
    </cfRule>
  </conditionalFormatting>
  <conditionalFormatting sqref="A13">
    <cfRule type="cellIs" dxfId="302" priority="34" stopIfTrue="1" operator="equal">
      <formula>"1 Modify"</formula>
    </cfRule>
    <cfRule type="cellIs" dxfId="301" priority="35" stopIfTrue="1" operator="equal">
      <formula>"2 Add"</formula>
    </cfRule>
    <cfRule type="cellIs" dxfId="300" priority="36" stopIfTrue="1" operator="equal">
      <formula>"3 Delete"</formula>
    </cfRule>
  </conditionalFormatting>
  <conditionalFormatting sqref="A14">
    <cfRule type="cellIs" dxfId="299" priority="37" stopIfTrue="1" operator="equal">
      <formula>"1 Modify"</formula>
    </cfRule>
    <cfRule type="cellIs" dxfId="298" priority="38" stopIfTrue="1" operator="equal">
      <formula>"2 Add"</formula>
    </cfRule>
    <cfRule type="cellIs" dxfId="297" priority="39" stopIfTrue="1" operator="equal">
      <formula>"3 Delete"</formula>
    </cfRule>
  </conditionalFormatting>
  <conditionalFormatting sqref="A15">
    <cfRule type="cellIs" dxfId="296" priority="40" stopIfTrue="1" operator="equal">
      <formula>"1 Modify"</formula>
    </cfRule>
    <cfRule type="cellIs" dxfId="295" priority="41" stopIfTrue="1" operator="equal">
      <formula>"2 Add"</formula>
    </cfRule>
    <cfRule type="cellIs" dxfId="294" priority="42" stopIfTrue="1" operator="equal">
      <formula>"3 Delete"</formula>
    </cfRule>
  </conditionalFormatting>
  <conditionalFormatting sqref="A16">
    <cfRule type="cellIs" dxfId="293" priority="43" stopIfTrue="1" operator="equal">
      <formula>"1 Modify"</formula>
    </cfRule>
    <cfRule type="cellIs" dxfId="292" priority="44" stopIfTrue="1" operator="equal">
      <formula>"2 Add"</formula>
    </cfRule>
    <cfRule type="cellIs" dxfId="291" priority="45" stopIfTrue="1" operator="equal">
      <formula>"3 Delete"</formula>
    </cfRule>
  </conditionalFormatting>
  <conditionalFormatting sqref="A17">
    <cfRule type="cellIs" dxfId="290" priority="46" stopIfTrue="1" operator="equal">
      <formula>"1 Modify"</formula>
    </cfRule>
    <cfRule type="cellIs" dxfId="289" priority="47" stopIfTrue="1" operator="equal">
      <formula>"2 Add"</formula>
    </cfRule>
    <cfRule type="cellIs" dxfId="288" priority="48" stopIfTrue="1" operator="equal">
      <formula>"3 Delete"</formula>
    </cfRule>
  </conditionalFormatting>
  <conditionalFormatting sqref="A18">
    <cfRule type="cellIs" dxfId="287" priority="49" stopIfTrue="1" operator="equal">
      <formula>"1 Modify"</formula>
    </cfRule>
    <cfRule type="cellIs" dxfId="286" priority="50" stopIfTrue="1" operator="equal">
      <formula>"2 Add"</formula>
    </cfRule>
    <cfRule type="cellIs" dxfId="285" priority="51" stopIfTrue="1" operator="equal">
      <formula>"3 Delete"</formula>
    </cfRule>
  </conditionalFormatting>
  <conditionalFormatting sqref="A19">
    <cfRule type="cellIs" dxfId="284" priority="52" stopIfTrue="1" operator="equal">
      <formula>"1 Modify"</formula>
    </cfRule>
    <cfRule type="cellIs" dxfId="283" priority="53" stopIfTrue="1" operator="equal">
      <formula>"2 Add"</formula>
    </cfRule>
    <cfRule type="cellIs" dxfId="282" priority="54" stopIfTrue="1" operator="equal">
      <formula>"3 Delete"</formula>
    </cfRule>
  </conditionalFormatting>
  <conditionalFormatting sqref="A20">
    <cfRule type="cellIs" dxfId="281" priority="55" stopIfTrue="1" operator="equal">
      <formula>"1 Modify"</formula>
    </cfRule>
    <cfRule type="cellIs" dxfId="280" priority="56" stopIfTrue="1" operator="equal">
      <formula>"2 Add"</formula>
    </cfRule>
    <cfRule type="cellIs" dxfId="279" priority="57" stopIfTrue="1" operator="equal">
      <formula>"3 Delete"</formula>
    </cfRule>
  </conditionalFormatting>
  <conditionalFormatting sqref="A21">
    <cfRule type="cellIs" dxfId="278" priority="58" stopIfTrue="1" operator="equal">
      <formula>"1 Modify"</formula>
    </cfRule>
    <cfRule type="cellIs" dxfId="277" priority="59" stopIfTrue="1" operator="equal">
      <formula>"2 Add"</formula>
    </cfRule>
    <cfRule type="cellIs" dxfId="276" priority="60" stopIfTrue="1" operator="equal">
      <formula>"3 Delete"</formula>
    </cfRule>
  </conditionalFormatting>
  <conditionalFormatting sqref="A22">
    <cfRule type="cellIs" dxfId="275" priority="61" stopIfTrue="1" operator="equal">
      <formula>"1 Modify"</formula>
    </cfRule>
  </conditionalFormatting>
  <conditionalFormatting sqref="A22">
    <cfRule type="cellIs" dxfId="274" priority="62" stopIfTrue="1" operator="equal">
      <formula>"2 Add"</formula>
    </cfRule>
  </conditionalFormatting>
  <conditionalFormatting sqref="A22">
    <cfRule type="cellIs" dxfId="273" priority="63" stopIfTrue="1" operator="equal">
      <formula>"3 Delete"</formula>
    </cfRule>
  </conditionalFormatting>
  <conditionalFormatting sqref="A23">
    <cfRule type="cellIs" dxfId="272" priority="64" stopIfTrue="1" operator="equal">
      <formula>"1 Modify"</formula>
    </cfRule>
  </conditionalFormatting>
  <conditionalFormatting sqref="A23">
    <cfRule type="cellIs" dxfId="271" priority="65" stopIfTrue="1" operator="equal">
      <formula>"2 Add"</formula>
    </cfRule>
  </conditionalFormatting>
  <conditionalFormatting sqref="A23">
    <cfRule type="cellIs" dxfId="270" priority="66" stopIfTrue="1" operator="equal">
      <formula>"3 Delete"</formula>
    </cfRule>
  </conditionalFormatting>
  <conditionalFormatting sqref="A24">
    <cfRule type="cellIs" dxfId="269" priority="67" stopIfTrue="1" operator="equal">
      <formula>"1 Modify"</formula>
    </cfRule>
  </conditionalFormatting>
  <conditionalFormatting sqref="A24">
    <cfRule type="cellIs" dxfId="268" priority="68" stopIfTrue="1" operator="equal">
      <formula>"2 Add"</formula>
    </cfRule>
  </conditionalFormatting>
  <conditionalFormatting sqref="A24">
    <cfRule type="cellIs" dxfId="267" priority="69" stopIfTrue="1" operator="equal">
      <formula>"3 Delete"</formula>
    </cfRule>
  </conditionalFormatting>
  <conditionalFormatting sqref="A25">
    <cfRule type="cellIs" dxfId="266" priority="70" stopIfTrue="1" operator="equal">
      <formula>"1 Modify"</formula>
    </cfRule>
  </conditionalFormatting>
  <conditionalFormatting sqref="A25">
    <cfRule type="cellIs" dxfId="265" priority="71" stopIfTrue="1" operator="equal">
      <formula>"2 Add"</formula>
    </cfRule>
  </conditionalFormatting>
  <conditionalFormatting sqref="A25">
    <cfRule type="cellIs" dxfId="264" priority="72" stopIfTrue="1" operator="equal">
      <formula>"3 Delete"</formula>
    </cfRule>
  </conditionalFormatting>
  <conditionalFormatting sqref="A26">
    <cfRule type="cellIs" dxfId="263" priority="73" stopIfTrue="1" operator="equal">
      <formula>"1 Modify"</formula>
    </cfRule>
  </conditionalFormatting>
  <conditionalFormatting sqref="A26">
    <cfRule type="cellIs" dxfId="262" priority="74" stopIfTrue="1" operator="equal">
      <formula>"2 Add"</formula>
    </cfRule>
  </conditionalFormatting>
  <conditionalFormatting sqref="A26">
    <cfRule type="cellIs" dxfId="261" priority="75" stopIfTrue="1" operator="equal">
      <formula>"3 Delete"</formula>
    </cfRule>
  </conditionalFormatting>
  <conditionalFormatting sqref="A27">
    <cfRule type="cellIs" dxfId="260" priority="76" stopIfTrue="1" operator="equal">
      <formula>"1 Modify"</formula>
    </cfRule>
  </conditionalFormatting>
  <conditionalFormatting sqref="A27">
    <cfRule type="cellIs" dxfId="259" priority="77" stopIfTrue="1" operator="equal">
      <formula>"2 Add"</formula>
    </cfRule>
  </conditionalFormatting>
  <conditionalFormatting sqref="A27">
    <cfRule type="cellIs" dxfId="258" priority="78" stopIfTrue="1" operator="equal">
      <formula>"3 Delete"</formula>
    </cfRule>
  </conditionalFormatting>
  <conditionalFormatting sqref="A28">
    <cfRule type="cellIs" dxfId="257" priority="79" stopIfTrue="1" operator="equal">
      <formula>"1 Modify"</formula>
    </cfRule>
  </conditionalFormatting>
  <conditionalFormatting sqref="A28">
    <cfRule type="cellIs" dxfId="256" priority="80" stopIfTrue="1" operator="equal">
      <formula>"2 Add"</formula>
    </cfRule>
  </conditionalFormatting>
  <conditionalFormatting sqref="A28">
    <cfRule type="cellIs" dxfId="255" priority="81" stopIfTrue="1" operator="equal">
      <formula>"3 Delete"</formula>
    </cfRule>
  </conditionalFormatting>
  <conditionalFormatting sqref="A29">
    <cfRule type="cellIs" dxfId="254" priority="82" stopIfTrue="1" operator="equal">
      <formula>"1 Modify"</formula>
    </cfRule>
  </conditionalFormatting>
  <conditionalFormatting sqref="A29">
    <cfRule type="cellIs" dxfId="253" priority="83" stopIfTrue="1" operator="equal">
      <formula>"2 Add"</formula>
    </cfRule>
  </conditionalFormatting>
  <conditionalFormatting sqref="A29">
    <cfRule type="cellIs" dxfId="252" priority="84" stopIfTrue="1" operator="equal">
      <formula>"3 Delete"</formula>
    </cfRule>
  </conditionalFormatting>
  <conditionalFormatting sqref="A30">
    <cfRule type="cellIs" dxfId="251" priority="85" stopIfTrue="1" operator="equal">
      <formula>"1 Modify"</formula>
    </cfRule>
  </conditionalFormatting>
  <conditionalFormatting sqref="A30">
    <cfRule type="cellIs" dxfId="250" priority="86" stopIfTrue="1" operator="equal">
      <formula>"2 Add"</formula>
    </cfRule>
  </conditionalFormatting>
  <conditionalFormatting sqref="A30">
    <cfRule type="cellIs" dxfId="249" priority="87" stopIfTrue="1" operator="equal">
      <formula>"3 Delete"</formula>
    </cfRule>
  </conditionalFormatting>
  <conditionalFormatting sqref="A31">
    <cfRule type="cellIs" dxfId="248" priority="88" stopIfTrue="1" operator="equal">
      <formula>"1 Modify"</formula>
    </cfRule>
  </conditionalFormatting>
  <conditionalFormatting sqref="A31">
    <cfRule type="cellIs" dxfId="247" priority="89" stopIfTrue="1" operator="equal">
      <formula>"2 Add"</formula>
    </cfRule>
  </conditionalFormatting>
  <conditionalFormatting sqref="A31">
    <cfRule type="cellIs" dxfId="246" priority="90" stopIfTrue="1" operator="equal">
      <formula>"3 Delete"</formula>
    </cfRule>
  </conditionalFormatting>
  <conditionalFormatting sqref="A32">
    <cfRule type="cellIs" dxfId="245" priority="91" stopIfTrue="1" operator="equal">
      <formula>"1 Modify"</formula>
    </cfRule>
  </conditionalFormatting>
  <conditionalFormatting sqref="A32">
    <cfRule type="cellIs" dxfId="244" priority="92" stopIfTrue="1" operator="equal">
      <formula>"2 Add"</formula>
    </cfRule>
  </conditionalFormatting>
  <conditionalFormatting sqref="A32">
    <cfRule type="cellIs" dxfId="243" priority="93" stopIfTrue="1" operator="equal">
      <formula>"3 Delete"</formula>
    </cfRule>
  </conditionalFormatting>
  <conditionalFormatting sqref="A33">
    <cfRule type="cellIs" dxfId="242" priority="94" stopIfTrue="1" operator="equal">
      <formula>"1 Modify"</formula>
    </cfRule>
  </conditionalFormatting>
  <conditionalFormatting sqref="A33">
    <cfRule type="cellIs" dxfId="241" priority="95" stopIfTrue="1" operator="equal">
      <formula>"2 Add"</formula>
    </cfRule>
  </conditionalFormatting>
  <conditionalFormatting sqref="A33">
    <cfRule type="cellIs" dxfId="240" priority="96" stopIfTrue="1" operator="equal">
      <formula>"3 Delete"</formula>
    </cfRule>
  </conditionalFormatting>
  <conditionalFormatting sqref="A34">
    <cfRule type="cellIs" dxfId="239" priority="97" stopIfTrue="1" operator="equal">
      <formula>"1 Modify"</formula>
    </cfRule>
  </conditionalFormatting>
  <conditionalFormatting sqref="A34">
    <cfRule type="cellIs" dxfId="238" priority="98" stopIfTrue="1" operator="equal">
      <formula>"2 Add"</formula>
    </cfRule>
  </conditionalFormatting>
  <conditionalFormatting sqref="A34">
    <cfRule type="cellIs" dxfId="237" priority="99" stopIfTrue="1" operator="equal">
      <formula>"3 Delete"</formula>
    </cfRule>
  </conditionalFormatting>
  <conditionalFormatting sqref="A35">
    <cfRule type="cellIs" dxfId="236" priority="100" stopIfTrue="1" operator="equal">
      <formula>"1 Modify"</formula>
    </cfRule>
  </conditionalFormatting>
  <conditionalFormatting sqref="A35">
    <cfRule type="cellIs" dxfId="235" priority="101" stopIfTrue="1" operator="equal">
      <formula>"2 Add"</formula>
    </cfRule>
  </conditionalFormatting>
  <conditionalFormatting sqref="A35">
    <cfRule type="cellIs" dxfId="234" priority="102" stopIfTrue="1" operator="equal">
      <formula>"3 Delete"</formula>
    </cfRule>
  </conditionalFormatting>
  <conditionalFormatting sqref="A36">
    <cfRule type="cellIs" dxfId="233" priority="103" stopIfTrue="1" operator="equal">
      <formula>"1 Modify"</formula>
    </cfRule>
  </conditionalFormatting>
  <conditionalFormatting sqref="A36">
    <cfRule type="cellIs" dxfId="232" priority="104" stopIfTrue="1" operator="equal">
      <formula>"2 Add"</formula>
    </cfRule>
  </conditionalFormatting>
  <conditionalFormatting sqref="A36">
    <cfRule type="cellIs" dxfId="231" priority="105" stopIfTrue="1" operator="equal">
      <formula>"3 Delete"</formula>
    </cfRule>
  </conditionalFormatting>
  <conditionalFormatting sqref="A37">
    <cfRule type="cellIs" dxfId="230" priority="106" stopIfTrue="1" operator="equal">
      <formula>"1 Modify"</formula>
    </cfRule>
  </conditionalFormatting>
  <conditionalFormatting sqref="A37">
    <cfRule type="cellIs" dxfId="229" priority="107" stopIfTrue="1" operator="equal">
      <formula>"2 Add"</formula>
    </cfRule>
  </conditionalFormatting>
  <conditionalFormatting sqref="A37">
    <cfRule type="cellIs" dxfId="228" priority="108" stopIfTrue="1" operator="equal">
      <formula>"3 Delete"</formula>
    </cfRule>
  </conditionalFormatting>
  <conditionalFormatting sqref="A38">
    <cfRule type="cellIs" dxfId="227" priority="109" stopIfTrue="1" operator="equal">
      <formula>"1 Modify"</formula>
    </cfRule>
  </conditionalFormatting>
  <conditionalFormatting sqref="A38">
    <cfRule type="cellIs" dxfId="226" priority="110" stopIfTrue="1" operator="equal">
      <formula>"2 Add"</formula>
    </cfRule>
  </conditionalFormatting>
  <conditionalFormatting sqref="A38">
    <cfRule type="cellIs" dxfId="225" priority="111" stopIfTrue="1" operator="equal">
      <formula>"3 Delete"</formula>
    </cfRule>
  </conditionalFormatting>
  <conditionalFormatting sqref="A39">
    <cfRule type="cellIs" dxfId="224" priority="112" stopIfTrue="1" operator="equal">
      <formula>"1 Modify"</formula>
    </cfRule>
  </conditionalFormatting>
  <conditionalFormatting sqref="A39">
    <cfRule type="cellIs" dxfId="223" priority="113" stopIfTrue="1" operator="equal">
      <formula>"2 Add"</formula>
    </cfRule>
  </conditionalFormatting>
  <conditionalFormatting sqref="A39">
    <cfRule type="cellIs" dxfId="222" priority="114" stopIfTrue="1" operator="equal">
      <formula>"3 Delete"</formula>
    </cfRule>
  </conditionalFormatting>
  <conditionalFormatting sqref="A40">
    <cfRule type="cellIs" dxfId="221" priority="115" stopIfTrue="1" operator="equal">
      <formula>"1 Modify"</formula>
    </cfRule>
  </conditionalFormatting>
  <conditionalFormatting sqref="A40">
    <cfRule type="cellIs" dxfId="220" priority="116" stopIfTrue="1" operator="equal">
      <formula>"2 Add"</formula>
    </cfRule>
  </conditionalFormatting>
  <conditionalFormatting sqref="A40">
    <cfRule type="cellIs" dxfId="219" priority="117" stopIfTrue="1" operator="equal">
      <formula>"3 Delete"</formula>
    </cfRule>
  </conditionalFormatting>
  <conditionalFormatting sqref="A41">
    <cfRule type="cellIs" dxfId="218" priority="118" stopIfTrue="1" operator="equal">
      <formula>"1 Modify"</formula>
    </cfRule>
  </conditionalFormatting>
  <conditionalFormatting sqref="A41">
    <cfRule type="cellIs" dxfId="217" priority="119" stopIfTrue="1" operator="equal">
      <formula>"2 Add"</formula>
    </cfRule>
  </conditionalFormatting>
  <conditionalFormatting sqref="A41">
    <cfRule type="cellIs" dxfId="216" priority="120" stopIfTrue="1" operator="equal">
      <formula>"3 Delete"</formula>
    </cfRule>
  </conditionalFormatting>
  <conditionalFormatting sqref="A42">
    <cfRule type="cellIs" dxfId="215" priority="121" stopIfTrue="1" operator="equal">
      <formula>"1 Modify"</formula>
    </cfRule>
  </conditionalFormatting>
  <conditionalFormatting sqref="A42">
    <cfRule type="cellIs" dxfId="214" priority="122" stopIfTrue="1" operator="equal">
      <formula>"2 Add"</formula>
    </cfRule>
  </conditionalFormatting>
  <conditionalFormatting sqref="A42">
    <cfRule type="cellIs" dxfId="213" priority="123" stopIfTrue="1" operator="equal">
      <formula>"3 Delete"</formula>
    </cfRule>
  </conditionalFormatting>
  <conditionalFormatting sqref="A43">
    <cfRule type="cellIs" dxfId="212" priority="124" stopIfTrue="1" operator="equal">
      <formula>"1 Modify"</formula>
    </cfRule>
  </conditionalFormatting>
  <conditionalFormatting sqref="A43">
    <cfRule type="cellIs" dxfId="211" priority="125" stopIfTrue="1" operator="equal">
      <formula>"2 Add"</formula>
    </cfRule>
  </conditionalFormatting>
  <conditionalFormatting sqref="A43">
    <cfRule type="cellIs" dxfId="210" priority="126" stopIfTrue="1" operator="equal">
      <formula>"3 Delete"</formula>
    </cfRule>
  </conditionalFormatting>
  <conditionalFormatting sqref="A44">
    <cfRule type="cellIs" dxfId="209" priority="127" stopIfTrue="1" operator="equal">
      <formula>"1 Modify"</formula>
    </cfRule>
  </conditionalFormatting>
  <conditionalFormatting sqref="A44">
    <cfRule type="cellIs" dxfId="208" priority="128" stopIfTrue="1" operator="equal">
      <formula>"2 Add"</formula>
    </cfRule>
  </conditionalFormatting>
  <conditionalFormatting sqref="A44">
    <cfRule type="cellIs" dxfId="207" priority="129" stopIfTrue="1" operator="equal">
      <formula>"3 Delete"</formula>
    </cfRule>
  </conditionalFormatting>
  <conditionalFormatting sqref="A45">
    <cfRule type="cellIs" dxfId="206" priority="130" stopIfTrue="1" operator="equal">
      <formula>"1 Modify"</formula>
    </cfRule>
  </conditionalFormatting>
  <conditionalFormatting sqref="A45">
    <cfRule type="cellIs" dxfId="205" priority="131" stopIfTrue="1" operator="equal">
      <formula>"2 Add"</formula>
    </cfRule>
  </conditionalFormatting>
  <conditionalFormatting sqref="A45">
    <cfRule type="cellIs" dxfId="204" priority="132" stopIfTrue="1" operator="equal">
      <formula>"3 Delete"</formula>
    </cfRule>
  </conditionalFormatting>
  <dataValidations count="13">
    <dataValidation type="custom" allowBlank="1" showInputMessage="1" showErrorMessage="1" error="Column is read-only" sqref="A2:A1048576">
      <formula1>FALSE</formula1>
    </dataValidation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is read-only" sqref="B2:B1048576">
      <formula1>FALSE</formula1>
    </dataValidation>
    <dataValidation type="custom" allowBlank="1" showInputMessage="1" showErrorMessage="1" error="Column Headers are read-only" sqref="B1">
      <formula1>FALSE</formula1>
    </dataValidation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decimal" operator="greaterThan" allowBlank="1" showInputMessage="1" showErrorMessage="1" error="Value must be a Decimal Number" sqref="E2:E1048576">
      <formula1>-999999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ate" operator="greaterThan" allowBlank="1" showInputMessage="1" showErrorMessage="1" error="Value must be a Date" sqref="G2:G1048576">
      <formula1>1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</dataValidations>
  <hyperlinks>
    <hyperlink ref="H2" display="http://mapu-dkottow.rhcloud.com/stores/custorder/products.rows?$filter=customers.id ge 20 and customers.id le 30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16</vt:i4>
      </vt:variant>
    </vt:vector>
  </HeadingPairs>
  <TitlesOfParts>
    <vt:vector size="22" baseType="lpstr">
      <vt:lpstr>Hoja1</vt:lpstr>
      <vt:lpstr>Schema</vt:lpstr>
      <vt:lpstr>customers.rows</vt:lpstr>
      <vt:lpstr>products_in_orders.rows</vt:lpstr>
      <vt:lpstr>orders.rows</vt:lpstr>
      <vt:lpstr>products.rows</vt:lpstr>
      <vt:lpstr>customers.rows!id</vt:lpstr>
      <vt:lpstr>orders.rows!id</vt:lpstr>
      <vt:lpstr>products.rows!id</vt:lpstr>
      <vt:lpstr>products_in_orders.rows!id</vt:lpstr>
      <vt:lpstr>customers.rows!Reload</vt:lpstr>
      <vt:lpstr>orders.rows!Reload</vt:lpstr>
      <vt:lpstr>products.rows!Reload</vt:lpstr>
      <vt:lpstr>products_in_orders.rows!Reload</vt:lpstr>
      <vt:lpstr>customers.rows!row_name</vt:lpstr>
      <vt:lpstr>orders.rows!row_name</vt:lpstr>
      <vt:lpstr>products.rows!row_name</vt:lpstr>
      <vt:lpstr>products_in_orders.rows!row_name</vt:lpstr>
      <vt:lpstr>customers.rows!status</vt:lpstr>
      <vt:lpstr>orders.rows!status</vt:lpstr>
      <vt:lpstr>products.rows!status</vt:lpstr>
      <vt:lpstr>products_in_orders.rows!status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 Hall</dc:creator>
  <cp:keywords/>
  <dc:description/>
  <cp:lastModifiedBy>daniel kottow</cp:lastModifiedBy>
  <cp:revision/>
  <dcterms:created xsi:type="dcterms:W3CDTF">2011-08-25T14:29:57Z</dcterms:created>
  <dcterms:modified xsi:type="dcterms:W3CDTF">2015-01-31T04:22:21Z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http://mapu-dkottow.rhcloud.com/</vt:lpwstr>
  </property>
</Properties>
</file>