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kottow\Documents\Golder\IM\Devel\donkeylift\ngen-ko\"/>
    </mc:Choice>
  </mc:AlternateContent>
  <bookViews>
    <workbookView xWindow="0" yWindow="0" windowWidth="20955" windowHeight="8055" tabRatio="799"/>
  </bookViews>
  <sheets>
    <sheet name="Schema" sheetId="115" r:id="rId1"/>
    <sheet name="customers.rows" sheetId="116" r:id="rId2"/>
    <sheet name="sandwiches.rows" sheetId="117" r:id="rId3"/>
    <sheet name="orders.rows" sheetId="118" r:id="rId4"/>
    <sheet name="order_items.rows" sheetId="119" r:id="rId5"/>
    <sheet name="PivotCustomerSales" sheetId="120" r:id="rId6"/>
    <sheet name="PivotProductsSales" sheetId="122" r:id="rId7"/>
  </sheets>
  <functionGroups builtInGroupCount="18"/>
  <definedNames>
    <definedName name="_xlnm._FilterDatabase" localSheetId="4" hidden="1">order_items.rows!$C$1:$P$2906</definedName>
    <definedName name="_xlnm._FilterDatabase" localSheetId="3" hidden="1">orders.rows!$C$1:$N$933</definedName>
    <definedName name="Column__id" localSheetId="1">customers.rows!$E$1</definedName>
    <definedName name="Column__id" localSheetId="4">order_items.rows!$E$1</definedName>
    <definedName name="Column__id" localSheetId="3">orders.rows!$E$1</definedName>
    <definedName name="Column__id" localSheetId="2">sandwiches.rows!$E$1</definedName>
    <definedName name="Column__ref" localSheetId="1">customers.rows!$D$1</definedName>
    <definedName name="Column__ref" localSheetId="4">order_items.rows!$D$1</definedName>
    <definedName name="Column__ref" localSheetId="3">orders.rows!$D$1</definedName>
    <definedName name="Column__ref" localSheetId="2">sandwiches.rows!$D$1</definedName>
    <definedName name="Column__status" localSheetId="1">customers.rows!$C$1</definedName>
    <definedName name="Column__status" localSheetId="4">order_items.rows!$C$1</definedName>
    <definedName name="Column__status" localSheetId="3">orders.rows!$C$1</definedName>
    <definedName name="Column__status" localSheetId="2">sandwiches.rows!$C$1</definedName>
    <definedName name="Options__customer_id" localSheetId="3">customers.rows!$D$2:INDEX(customers.rows!$D:$D,COUNTA(customers.rows!$D:$D))</definedName>
    <definedName name="Options__order_id" localSheetId="4">orders.rows!$D$2:INDEX(orders.rows!$D:$D,COUNTA(orders.rows!$D:$D))</definedName>
    <definedName name="Options__sandwich_id" localSheetId="4">sandwiches.rows!$D$2:INDEX(sandwiches.rows!$D:$D,COUNTA(sandwiches.rows!$D:$D))</definedName>
  </definedNames>
  <calcPr calcId="152511"/>
  <pivotCaches>
    <pivotCache cacheId="102" r:id="rId8"/>
    <pivotCache cacheId="108" r:id="rId9"/>
  </pivotCaches>
</workbook>
</file>

<file path=xl/calcChain.xml><?xml version="1.0" encoding="utf-8"?>
<calcChain xmlns="http://schemas.openxmlformats.org/spreadsheetml/2006/main">
  <c r="C858" i="119" l="1"/>
  <c r="C2" i="118"/>
  <c r="P2906" i="119"/>
  <c r="P2905" i="119"/>
  <c r="P2904" i="119"/>
  <c r="P2903" i="119"/>
  <c r="P2902" i="119"/>
  <c r="P2901" i="119"/>
  <c r="P2900" i="119"/>
  <c r="P2899" i="119"/>
  <c r="P2898" i="119"/>
  <c r="P2897" i="119"/>
  <c r="P2896" i="119"/>
  <c r="P2895" i="119"/>
  <c r="P2894" i="119"/>
  <c r="P2893" i="119"/>
  <c r="P2892" i="119"/>
  <c r="P2891" i="119"/>
  <c r="P2890" i="119"/>
  <c r="P2889" i="119"/>
  <c r="P2888" i="119"/>
  <c r="P2887" i="119"/>
  <c r="P2886" i="119"/>
  <c r="P2885" i="119"/>
  <c r="P2884" i="119"/>
  <c r="P2883" i="119"/>
  <c r="P2882" i="119"/>
  <c r="P2881" i="119"/>
  <c r="P2880" i="119"/>
  <c r="P2879" i="119"/>
  <c r="P2878" i="119"/>
  <c r="P2877" i="119"/>
  <c r="P2876" i="119"/>
  <c r="P2875" i="119"/>
  <c r="P2874" i="119"/>
  <c r="P2873" i="119"/>
  <c r="P2872" i="119"/>
  <c r="P2871" i="119"/>
  <c r="P2870" i="119"/>
  <c r="P2869" i="119"/>
  <c r="P2868" i="119"/>
  <c r="P2867" i="119"/>
  <c r="P2866" i="119"/>
  <c r="P2865" i="119"/>
  <c r="P2864" i="119"/>
  <c r="P2863" i="119"/>
  <c r="P2862" i="119"/>
  <c r="P2861" i="119"/>
  <c r="P2860" i="119"/>
  <c r="P2859" i="119"/>
  <c r="P2858" i="119"/>
  <c r="P2857" i="119"/>
  <c r="P2856" i="119"/>
  <c r="P2855" i="119"/>
  <c r="P2854" i="119"/>
  <c r="P2853" i="119"/>
  <c r="P2852" i="119"/>
  <c r="P2851" i="119"/>
  <c r="P2850" i="119"/>
  <c r="P2849" i="119"/>
  <c r="P2848" i="119"/>
  <c r="P2847" i="119"/>
  <c r="P2846" i="119"/>
  <c r="P2845" i="119"/>
  <c r="P2844" i="119"/>
  <c r="P2843" i="119"/>
  <c r="P2842" i="119"/>
  <c r="P2841" i="119"/>
  <c r="P2840" i="119"/>
  <c r="P2839" i="119"/>
  <c r="P2838" i="119"/>
  <c r="P2837" i="119"/>
  <c r="P2836" i="119"/>
  <c r="P2835" i="119"/>
  <c r="P2834" i="119"/>
  <c r="P2833" i="119"/>
  <c r="P2832" i="119"/>
  <c r="P2831" i="119"/>
  <c r="P2830" i="119"/>
  <c r="P2829" i="119"/>
  <c r="P2828" i="119"/>
  <c r="P2827" i="119"/>
  <c r="P2826" i="119"/>
  <c r="P2825" i="119"/>
  <c r="P2824" i="119"/>
  <c r="P2823" i="119"/>
  <c r="P2822" i="119"/>
  <c r="P2821" i="119"/>
  <c r="P2820" i="119"/>
  <c r="P2819" i="119"/>
  <c r="P2818" i="119"/>
  <c r="P2817" i="119"/>
  <c r="P2816" i="119"/>
  <c r="P2815" i="119"/>
  <c r="P2814" i="119"/>
  <c r="P2813" i="119"/>
  <c r="P2812" i="119"/>
  <c r="P2811" i="119"/>
  <c r="P2810" i="119"/>
  <c r="P2809" i="119"/>
  <c r="P2808" i="119"/>
  <c r="P2807" i="119"/>
  <c r="P2806" i="119"/>
  <c r="P2805" i="119"/>
  <c r="P2804" i="119"/>
  <c r="P2803" i="119"/>
  <c r="P2802" i="119"/>
  <c r="P2801" i="119"/>
  <c r="P2800" i="119"/>
  <c r="P2799" i="119"/>
  <c r="P2798" i="119"/>
  <c r="P2797" i="119"/>
  <c r="P2796" i="119"/>
  <c r="P2795" i="119"/>
  <c r="P2794" i="119"/>
  <c r="P2793" i="119"/>
  <c r="P2792" i="119"/>
  <c r="P2791" i="119"/>
  <c r="P2790" i="119"/>
  <c r="P2789" i="119"/>
  <c r="P2788" i="119"/>
  <c r="P2787" i="119"/>
  <c r="P2786" i="119"/>
  <c r="P2785" i="119"/>
  <c r="P2784" i="119"/>
  <c r="P2783" i="119"/>
  <c r="P2782" i="119"/>
  <c r="P2781" i="119"/>
  <c r="P2780" i="119"/>
  <c r="P2779" i="119"/>
  <c r="P2778" i="119"/>
  <c r="P2777" i="119"/>
  <c r="P2776" i="119"/>
  <c r="P2775" i="119"/>
  <c r="P2774" i="119"/>
  <c r="P2773" i="119"/>
  <c r="P2772" i="119"/>
  <c r="P2771" i="119"/>
  <c r="P2770" i="119"/>
  <c r="P2769" i="119"/>
  <c r="P2768" i="119"/>
  <c r="P2767" i="119"/>
  <c r="P2766" i="119"/>
  <c r="P2765" i="119"/>
  <c r="P2764" i="119"/>
  <c r="P2763" i="119"/>
  <c r="P2762" i="119"/>
  <c r="P2761" i="119"/>
  <c r="P2760" i="119"/>
  <c r="P2759" i="119"/>
  <c r="P2758" i="119"/>
  <c r="P2757" i="119"/>
  <c r="P2756" i="119"/>
  <c r="P2755" i="119"/>
  <c r="P2754" i="119"/>
  <c r="P2753" i="119"/>
  <c r="P2752" i="119"/>
  <c r="P2751" i="119"/>
  <c r="P2750" i="119"/>
  <c r="P2749" i="119"/>
  <c r="P2748" i="119"/>
  <c r="P2747" i="119"/>
  <c r="P2746" i="119"/>
  <c r="P2745" i="119"/>
  <c r="P2744" i="119"/>
  <c r="P2743" i="119"/>
  <c r="P2742" i="119"/>
  <c r="P2741" i="119"/>
  <c r="P2740" i="119"/>
  <c r="P2739" i="119"/>
  <c r="P2738" i="119"/>
  <c r="P2737" i="119"/>
  <c r="P2736" i="119"/>
  <c r="P2735" i="119"/>
  <c r="P2734" i="119"/>
  <c r="P2733" i="119"/>
  <c r="P2732" i="119"/>
  <c r="P2731" i="119"/>
  <c r="P2730" i="119"/>
  <c r="P2729" i="119"/>
  <c r="P2728" i="119"/>
  <c r="P2727" i="119"/>
  <c r="P2726" i="119"/>
  <c r="P2725" i="119"/>
  <c r="P2724" i="119"/>
  <c r="P2723" i="119"/>
  <c r="P2722" i="119"/>
  <c r="P2721" i="119"/>
  <c r="P2720" i="119"/>
  <c r="P2719" i="119"/>
  <c r="P2718" i="119"/>
  <c r="P2717" i="119"/>
  <c r="P2716" i="119"/>
  <c r="P2715" i="119"/>
  <c r="P2714" i="119"/>
  <c r="P2713" i="119"/>
  <c r="P2712" i="119"/>
  <c r="P2711" i="119"/>
  <c r="P2710" i="119"/>
  <c r="P2709" i="119"/>
  <c r="P2708" i="119"/>
  <c r="P2707" i="119"/>
  <c r="P2706" i="119"/>
  <c r="P2705" i="119"/>
  <c r="P2704" i="119"/>
  <c r="P2703" i="119"/>
  <c r="P2702" i="119"/>
  <c r="P2701" i="119"/>
  <c r="P2700" i="119"/>
  <c r="P2699" i="119"/>
  <c r="P2698" i="119"/>
  <c r="P2697" i="119"/>
  <c r="P2696" i="119"/>
  <c r="P2695" i="119"/>
  <c r="P2694" i="119"/>
  <c r="P2693" i="119"/>
  <c r="P2692" i="119"/>
  <c r="P2691" i="119"/>
  <c r="P2690" i="119"/>
  <c r="P2689" i="119"/>
  <c r="P2688" i="119"/>
  <c r="P2687" i="119"/>
  <c r="P2686" i="119"/>
  <c r="P2685" i="119"/>
  <c r="P2684" i="119"/>
  <c r="P2683" i="119"/>
  <c r="P2682" i="119"/>
  <c r="P2681" i="119"/>
  <c r="P2680" i="119"/>
  <c r="P2679" i="119"/>
  <c r="P2678" i="119"/>
  <c r="P2677" i="119"/>
  <c r="P2676" i="119"/>
  <c r="P2675" i="119"/>
  <c r="P2674" i="119"/>
  <c r="P2673" i="119"/>
  <c r="P2672" i="119"/>
  <c r="P2671" i="119"/>
  <c r="P2670" i="119"/>
  <c r="P2669" i="119"/>
  <c r="P2668" i="119"/>
  <c r="P2667" i="119"/>
  <c r="P2666" i="119"/>
  <c r="P2665" i="119"/>
  <c r="P2664" i="119"/>
  <c r="P2663" i="119"/>
  <c r="P2662" i="119"/>
  <c r="P2661" i="119"/>
  <c r="P2660" i="119"/>
  <c r="P2659" i="119"/>
  <c r="P2658" i="119"/>
  <c r="P2657" i="119"/>
  <c r="P2656" i="119"/>
  <c r="P2655" i="119"/>
  <c r="P2654" i="119"/>
  <c r="P2653" i="119"/>
  <c r="P2652" i="119"/>
  <c r="P2651" i="119"/>
  <c r="P2650" i="119"/>
  <c r="P2649" i="119"/>
  <c r="P2648" i="119"/>
  <c r="P2647" i="119"/>
  <c r="P2646" i="119"/>
  <c r="P2645" i="119"/>
  <c r="P2644" i="119"/>
  <c r="P2643" i="119"/>
  <c r="P2642" i="119"/>
  <c r="P2641" i="119"/>
  <c r="P2640" i="119"/>
  <c r="P2639" i="119"/>
  <c r="P2638" i="119"/>
  <c r="P2637" i="119"/>
  <c r="P2636" i="119"/>
  <c r="P2635" i="119"/>
  <c r="P2634" i="119"/>
  <c r="P2633" i="119"/>
  <c r="P2632" i="119"/>
  <c r="P2631" i="119"/>
  <c r="P2630" i="119"/>
  <c r="P2629" i="119"/>
  <c r="P2628" i="119"/>
  <c r="P2627" i="119"/>
  <c r="P2626" i="119"/>
  <c r="P2625" i="119"/>
  <c r="P2624" i="119"/>
  <c r="P2623" i="119"/>
  <c r="P2622" i="119"/>
  <c r="P2621" i="119"/>
  <c r="P2620" i="119"/>
  <c r="P2619" i="119"/>
  <c r="P2618" i="119"/>
  <c r="P2617" i="119"/>
  <c r="P2616" i="119"/>
  <c r="P2615" i="119"/>
  <c r="P2614" i="119"/>
  <c r="P2613" i="119"/>
  <c r="P2612" i="119"/>
  <c r="P2611" i="119"/>
  <c r="P2610" i="119"/>
  <c r="P2609" i="119"/>
  <c r="P2608" i="119"/>
  <c r="P2607" i="119"/>
  <c r="P2606" i="119"/>
  <c r="P2605" i="119"/>
  <c r="P2604" i="119"/>
  <c r="P2603" i="119"/>
  <c r="P2602" i="119"/>
  <c r="P2601" i="119"/>
  <c r="P2600" i="119"/>
  <c r="P2599" i="119"/>
  <c r="P2598" i="119"/>
  <c r="P2597" i="119"/>
  <c r="P2596" i="119"/>
  <c r="P2595" i="119"/>
  <c r="P2594" i="119"/>
  <c r="P2593" i="119"/>
  <c r="P2592" i="119"/>
  <c r="P2591" i="119"/>
  <c r="P2590" i="119"/>
  <c r="P2589" i="119"/>
  <c r="P2588" i="119"/>
  <c r="P2587" i="119"/>
  <c r="P2586" i="119"/>
  <c r="P2585" i="119"/>
  <c r="P2584" i="119"/>
  <c r="P2583" i="119"/>
  <c r="P2582" i="119"/>
  <c r="P2581" i="119"/>
  <c r="P2580" i="119"/>
  <c r="P2579" i="119"/>
  <c r="P2578" i="119"/>
  <c r="P2577" i="119"/>
  <c r="P2576" i="119"/>
  <c r="P2575" i="119"/>
  <c r="P2574" i="119"/>
  <c r="P2573" i="119"/>
  <c r="P2572" i="119"/>
  <c r="P2571" i="119"/>
  <c r="P2570" i="119"/>
  <c r="P2569" i="119"/>
  <c r="P2568" i="119"/>
  <c r="P2567" i="119"/>
  <c r="P2566" i="119"/>
  <c r="P2565" i="119"/>
  <c r="P2564" i="119"/>
  <c r="P2563" i="119"/>
  <c r="P2562" i="119"/>
  <c r="P2561" i="119"/>
  <c r="P2560" i="119"/>
  <c r="P2559" i="119"/>
  <c r="P2558" i="119"/>
  <c r="P2557" i="119"/>
  <c r="P2556" i="119"/>
  <c r="P2555" i="119"/>
  <c r="P2554" i="119"/>
  <c r="P2553" i="119"/>
  <c r="P2552" i="119"/>
  <c r="P2551" i="119"/>
  <c r="P2550" i="119"/>
  <c r="P2549" i="119"/>
  <c r="P2548" i="119"/>
  <c r="P2547" i="119"/>
  <c r="P2546" i="119"/>
  <c r="P2545" i="119"/>
  <c r="P2544" i="119"/>
  <c r="P2543" i="119"/>
  <c r="P2542" i="119"/>
  <c r="P2541" i="119"/>
  <c r="P2540" i="119"/>
  <c r="P2539" i="119"/>
  <c r="P2538" i="119"/>
  <c r="P2537" i="119"/>
  <c r="P2536" i="119"/>
  <c r="P2535" i="119"/>
  <c r="P2534" i="119"/>
  <c r="P2533" i="119"/>
  <c r="P2532" i="119"/>
  <c r="P2531" i="119"/>
  <c r="P2530" i="119"/>
  <c r="P2529" i="119"/>
  <c r="P2528" i="119"/>
  <c r="P2527" i="119"/>
  <c r="P2526" i="119"/>
  <c r="P2525" i="119"/>
  <c r="P2524" i="119"/>
  <c r="P2523" i="119"/>
  <c r="P2522" i="119"/>
  <c r="P2521" i="119"/>
  <c r="P2520" i="119"/>
  <c r="P2519" i="119"/>
  <c r="P2518" i="119"/>
  <c r="P2517" i="119"/>
  <c r="P2516" i="119"/>
  <c r="P2515" i="119"/>
  <c r="P2514" i="119"/>
  <c r="P2513" i="119"/>
  <c r="P2512" i="119"/>
  <c r="P2511" i="119"/>
  <c r="P2510" i="119"/>
  <c r="P2509" i="119"/>
  <c r="P2508" i="119"/>
  <c r="P2507" i="119"/>
  <c r="P2506" i="119"/>
  <c r="P2505" i="119"/>
  <c r="P2504" i="119"/>
  <c r="P2503" i="119"/>
  <c r="P2502" i="119"/>
  <c r="P2501" i="119"/>
  <c r="P2500" i="119"/>
  <c r="P2499" i="119"/>
  <c r="P2498" i="119"/>
  <c r="P2497" i="119"/>
  <c r="P2496" i="119"/>
  <c r="P2495" i="119"/>
  <c r="P2494" i="119"/>
  <c r="P2493" i="119"/>
  <c r="P2492" i="119"/>
  <c r="P2491" i="119"/>
  <c r="P2490" i="119"/>
  <c r="P2489" i="119"/>
  <c r="P2488" i="119"/>
  <c r="P2487" i="119"/>
  <c r="P2486" i="119"/>
  <c r="P2485" i="119"/>
  <c r="P2484" i="119"/>
  <c r="P2483" i="119"/>
  <c r="P2482" i="119"/>
  <c r="P2481" i="119"/>
  <c r="P2480" i="119"/>
  <c r="P2479" i="119"/>
  <c r="P2478" i="119"/>
  <c r="P2477" i="119"/>
  <c r="P2476" i="119"/>
  <c r="P2475" i="119"/>
  <c r="P2474" i="119"/>
  <c r="P2473" i="119"/>
  <c r="P2472" i="119"/>
  <c r="P2471" i="119"/>
  <c r="P2470" i="119"/>
  <c r="P2469" i="119"/>
  <c r="P2468" i="119"/>
  <c r="P2467" i="119"/>
  <c r="P2466" i="119"/>
  <c r="P2465" i="119"/>
  <c r="P2464" i="119"/>
  <c r="P2463" i="119"/>
  <c r="P2462" i="119"/>
  <c r="P2461" i="119"/>
  <c r="P2460" i="119"/>
  <c r="P2459" i="119"/>
  <c r="P2458" i="119"/>
  <c r="P2457" i="119"/>
  <c r="P2456" i="119"/>
  <c r="P2455" i="119"/>
  <c r="P2454" i="119"/>
  <c r="P2453" i="119"/>
  <c r="P2452" i="119"/>
  <c r="P2451" i="119"/>
  <c r="P2450" i="119"/>
  <c r="P2449" i="119"/>
  <c r="P2448" i="119"/>
  <c r="P2447" i="119"/>
  <c r="P2446" i="119"/>
  <c r="P2445" i="119"/>
  <c r="P2444" i="119"/>
  <c r="P2443" i="119"/>
  <c r="P2442" i="119"/>
  <c r="P2441" i="119"/>
  <c r="P2440" i="119"/>
  <c r="P2439" i="119"/>
  <c r="P2438" i="119"/>
  <c r="P2437" i="119"/>
  <c r="P2436" i="119"/>
  <c r="P2435" i="119"/>
  <c r="P2434" i="119"/>
  <c r="P2433" i="119"/>
  <c r="P2432" i="119"/>
  <c r="P2431" i="119"/>
  <c r="P2430" i="119"/>
  <c r="P2429" i="119"/>
  <c r="P2428" i="119"/>
  <c r="P2427" i="119"/>
  <c r="P2426" i="119"/>
  <c r="P2425" i="119"/>
  <c r="P2424" i="119"/>
  <c r="P2423" i="119"/>
  <c r="P2422" i="119"/>
  <c r="P2421" i="119"/>
  <c r="P2420" i="119"/>
  <c r="P2419" i="119"/>
  <c r="P2418" i="119"/>
  <c r="P2417" i="119"/>
  <c r="P2416" i="119"/>
  <c r="P2415" i="119"/>
  <c r="P2414" i="119"/>
  <c r="P2413" i="119"/>
  <c r="P2412" i="119"/>
  <c r="P2411" i="119"/>
  <c r="P2410" i="119"/>
  <c r="P2409" i="119"/>
  <c r="P2408" i="119"/>
  <c r="P2407" i="119"/>
  <c r="P2406" i="119"/>
  <c r="P2405" i="119"/>
  <c r="P2404" i="119"/>
  <c r="P2403" i="119"/>
  <c r="P2402" i="119"/>
  <c r="P2401" i="119"/>
  <c r="P2400" i="119"/>
  <c r="P2399" i="119"/>
  <c r="P2398" i="119"/>
  <c r="P2397" i="119"/>
  <c r="P2396" i="119"/>
  <c r="P2395" i="119"/>
  <c r="P2394" i="119"/>
  <c r="P2393" i="119"/>
  <c r="P2392" i="119"/>
  <c r="P2391" i="119"/>
  <c r="P2390" i="119"/>
  <c r="P2389" i="119"/>
  <c r="P2388" i="119"/>
  <c r="P2387" i="119"/>
  <c r="P2386" i="119"/>
  <c r="P2385" i="119"/>
  <c r="P2384" i="119"/>
  <c r="P2383" i="119"/>
  <c r="P2382" i="119"/>
  <c r="P2381" i="119"/>
  <c r="P2380" i="119"/>
  <c r="P2379" i="119"/>
  <c r="P2378" i="119"/>
  <c r="P2377" i="119"/>
  <c r="P2376" i="119"/>
  <c r="P2375" i="119"/>
  <c r="P2374" i="119"/>
  <c r="P2373" i="119"/>
  <c r="P2372" i="119"/>
  <c r="P2371" i="119"/>
  <c r="P2370" i="119"/>
  <c r="P2369" i="119"/>
  <c r="P2368" i="119"/>
  <c r="P2367" i="119"/>
  <c r="P2366" i="119"/>
  <c r="P2365" i="119"/>
  <c r="P2364" i="119"/>
  <c r="P2363" i="119"/>
  <c r="P2362" i="119"/>
  <c r="P2361" i="119"/>
  <c r="P2360" i="119"/>
  <c r="P2359" i="119"/>
  <c r="P2358" i="119"/>
  <c r="P2357" i="119"/>
  <c r="P2356" i="119"/>
  <c r="P2355" i="119"/>
  <c r="P2354" i="119"/>
  <c r="P2353" i="119"/>
  <c r="P2352" i="119"/>
  <c r="P2351" i="119"/>
  <c r="P2350" i="119"/>
  <c r="P2349" i="119"/>
  <c r="P2348" i="119"/>
  <c r="P2347" i="119"/>
  <c r="P2346" i="119"/>
  <c r="P2345" i="119"/>
  <c r="P2344" i="119"/>
  <c r="P2343" i="119"/>
  <c r="P2342" i="119"/>
  <c r="P2341" i="119"/>
  <c r="P2340" i="119"/>
  <c r="P2339" i="119"/>
  <c r="P2338" i="119"/>
  <c r="P2337" i="119"/>
  <c r="P2336" i="119"/>
  <c r="P2335" i="119"/>
  <c r="P2334" i="119"/>
  <c r="P2333" i="119"/>
  <c r="P2332" i="119"/>
  <c r="P2331" i="119"/>
  <c r="P2330" i="119"/>
  <c r="P2329" i="119"/>
  <c r="P2328" i="119"/>
  <c r="P2327" i="119"/>
  <c r="P2326" i="119"/>
  <c r="P2325" i="119"/>
  <c r="P2324" i="119"/>
  <c r="P2323" i="119"/>
  <c r="P2322" i="119"/>
  <c r="P2321" i="119"/>
  <c r="P2320" i="119"/>
  <c r="P2319" i="119"/>
  <c r="P2318" i="119"/>
  <c r="P2317" i="119"/>
  <c r="P2316" i="119"/>
  <c r="P2315" i="119"/>
  <c r="P2314" i="119"/>
  <c r="P2313" i="119"/>
  <c r="P2312" i="119"/>
  <c r="P2311" i="119"/>
  <c r="P2310" i="119"/>
  <c r="P2309" i="119"/>
  <c r="P2308" i="119"/>
  <c r="P2307" i="119"/>
  <c r="P2306" i="119"/>
  <c r="P2305" i="119"/>
  <c r="P2304" i="119"/>
  <c r="P2303" i="119"/>
  <c r="P2302" i="119"/>
  <c r="P2301" i="119"/>
  <c r="P2300" i="119"/>
  <c r="P2299" i="119"/>
  <c r="P2298" i="119"/>
  <c r="P2297" i="119"/>
  <c r="P2296" i="119"/>
  <c r="P2295" i="119"/>
  <c r="P2294" i="119"/>
  <c r="P2293" i="119"/>
  <c r="P2292" i="119"/>
  <c r="P2291" i="119"/>
  <c r="P2290" i="119"/>
  <c r="P2289" i="119"/>
  <c r="P2288" i="119"/>
  <c r="P2287" i="119"/>
  <c r="P2286" i="119"/>
  <c r="P2285" i="119"/>
  <c r="P2284" i="119"/>
  <c r="P2283" i="119"/>
  <c r="P2282" i="119"/>
  <c r="P2281" i="119"/>
  <c r="P2280" i="119"/>
  <c r="P2279" i="119"/>
  <c r="P2278" i="119"/>
  <c r="P2277" i="119"/>
  <c r="P2276" i="119"/>
  <c r="P2275" i="119"/>
  <c r="P2274" i="119"/>
  <c r="P2273" i="119"/>
  <c r="P2272" i="119"/>
  <c r="P2271" i="119"/>
  <c r="P2270" i="119"/>
  <c r="P2269" i="119"/>
  <c r="P2268" i="119"/>
  <c r="P2267" i="119"/>
  <c r="P2266" i="119"/>
  <c r="P2265" i="119"/>
  <c r="P2264" i="119"/>
  <c r="P2263" i="119"/>
  <c r="P2262" i="119"/>
  <c r="P2261" i="119"/>
  <c r="P2260" i="119"/>
  <c r="P2259" i="119"/>
  <c r="P2258" i="119"/>
  <c r="P2257" i="119"/>
  <c r="P2256" i="119"/>
  <c r="P2255" i="119"/>
  <c r="P2254" i="119"/>
  <c r="P2253" i="119"/>
  <c r="P2252" i="119"/>
  <c r="P2251" i="119"/>
  <c r="P2250" i="119"/>
  <c r="P2249" i="119"/>
  <c r="P2248" i="119"/>
  <c r="P2247" i="119"/>
  <c r="P2246" i="119"/>
  <c r="P2245" i="119"/>
  <c r="P2244" i="119"/>
  <c r="P2243" i="119"/>
  <c r="P2242" i="119"/>
  <c r="P2241" i="119"/>
  <c r="P2240" i="119"/>
  <c r="P2239" i="119"/>
  <c r="P2238" i="119"/>
  <c r="P2237" i="119"/>
  <c r="P2236" i="119"/>
  <c r="P2235" i="119"/>
  <c r="P2234" i="119"/>
  <c r="P2233" i="119"/>
  <c r="P2232" i="119"/>
  <c r="P2231" i="119"/>
  <c r="P2230" i="119"/>
  <c r="P2229" i="119"/>
  <c r="P2228" i="119"/>
  <c r="P2227" i="119"/>
  <c r="P2226" i="119"/>
  <c r="P2225" i="119"/>
  <c r="P2224" i="119"/>
  <c r="P2223" i="119"/>
  <c r="P2222" i="119"/>
  <c r="P2221" i="119"/>
  <c r="P2220" i="119"/>
  <c r="P2219" i="119"/>
  <c r="P2218" i="119"/>
  <c r="P2217" i="119"/>
  <c r="P2216" i="119"/>
  <c r="P2215" i="119"/>
  <c r="P2214" i="119"/>
  <c r="P2213" i="119"/>
  <c r="P2212" i="119"/>
  <c r="P2211" i="119"/>
  <c r="P2210" i="119"/>
  <c r="P2209" i="119"/>
  <c r="P2208" i="119"/>
  <c r="P2207" i="119"/>
  <c r="P2206" i="119"/>
  <c r="P2205" i="119"/>
  <c r="P2204" i="119"/>
  <c r="P2203" i="119"/>
  <c r="P2202" i="119"/>
  <c r="P2201" i="119"/>
  <c r="P2200" i="119"/>
  <c r="P2199" i="119"/>
  <c r="P2198" i="119"/>
  <c r="P2197" i="119"/>
  <c r="P2196" i="119"/>
  <c r="P2195" i="119"/>
  <c r="P2194" i="119"/>
  <c r="P2193" i="119"/>
  <c r="P2192" i="119"/>
  <c r="P2191" i="119"/>
  <c r="P2190" i="119"/>
  <c r="P2189" i="119"/>
  <c r="P2188" i="119"/>
  <c r="P2187" i="119"/>
  <c r="P2186" i="119"/>
  <c r="P2185" i="119"/>
  <c r="P2184" i="119"/>
  <c r="P2183" i="119"/>
  <c r="P2182" i="119"/>
  <c r="P2181" i="119"/>
  <c r="P2180" i="119"/>
  <c r="P2179" i="119"/>
  <c r="P2178" i="119"/>
  <c r="P2177" i="119"/>
  <c r="P2176" i="119"/>
  <c r="P2175" i="119"/>
  <c r="P2174" i="119"/>
  <c r="P2173" i="119"/>
  <c r="P2172" i="119"/>
  <c r="P2171" i="119"/>
  <c r="P2170" i="119"/>
  <c r="P2169" i="119"/>
  <c r="P2168" i="119"/>
  <c r="P2167" i="119"/>
  <c r="P2166" i="119"/>
  <c r="P2165" i="119"/>
  <c r="P2164" i="119"/>
  <c r="P2163" i="119"/>
  <c r="P2162" i="119"/>
  <c r="P2161" i="119"/>
  <c r="P2160" i="119"/>
  <c r="P2159" i="119"/>
  <c r="P2158" i="119"/>
  <c r="P2157" i="119"/>
  <c r="P2156" i="119"/>
  <c r="P2155" i="119"/>
  <c r="P2154" i="119"/>
  <c r="P2153" i="119"/>
  <c r="P2152" i="119"/>
  <c r="P2151" i="119"/>
  <c r="P2150" i="119"/>
  <c r="P2149" i="119"/>
  <c r="P2148" i="119"/>
  <c r="P2147" i="119"/>
  <c r="P2146" i="119"/>
  <c r="P2145" i="119"/>
  <c r="P2144" i="119"/>
  <c r="P2143" i="119"/>
  <c r="P2142" i="119"/>
  <c r="P2141" i="119"/>
  <c r="P2140" i="119"/>
  <c r="P2139" i="119"/>
  <c r="P2138" i="119"/>
  <c r="P2137" i="119"/>
  <c r="P2136" i="119"/>
  <c r="P2135" i="119"/>
  <c r="P2134" i="119"/>
  <c r="P2133" i="119"/>
  <c r="P2132" i="119"/>
  <c r="P2131" i="119"/>
  <c r="P2130" i="119"/>
  <c r="P2129" i="119"/>
  <c r="P2128" i="119"/>
  <c r="P2127" i="119"/>
  <c r="P2126" i="119"/>
  <c r="P2125" i="119"/>
  <c r="P2124" i="119"/>
  <c r="P2123" i="119"/>
  <c r="P2122" i="119"/>
  <c r="P2121" i="119"/>
  <c r="P2120" i="119"/>
  <c r="P2119" i="119"/>
  <c r="P2118" i="119"/>
  <c r="P2117" i="119"/>
  <c r="P2116" i="119"/>
  <c r="P2115" i="119"/>
  <c r="P2114" i="119"/>
  <c r="P2113" i="119"/>
  <c r="P2112" i="119"/>
  <c r="P2111" i="119"/>
  <c r="P2110" i="119"/>
  <c r="P2109" i="119"/>
  <c r="P2108" i="119"/>
  <c r="P2107" i="119"/>
  <c r="P2106" i="119"/>
  <c r="P2105" i="119"/>
  <c r="P2104" i="119"/>
  <c r="P2103" i="119"/>
  <c r="P2102" i="119"/>
  <c r="P2101" i="119"/>
  <c r="P2100" i="119"/>
  <c r="P2099" i="119"/>
  <c r="P2098" i="119"/>
  <c r="P2097" i="119"/>
  <c r="P2096" i="119"/>
  <c r="P2095" i="119"/>
  <c r="P2094" i="119"/>
  <c r="P2093" i="119"/>
  <c r="P2092" i="119"/>
  <c r="P2091" i="119"/>
  <c r="P2090" i="119"/>
  <c r="P2089" i="119"/>
  <c r="P2088" i="119"/>
  <c r="P2087" i="119"/>
  <c r="P2086" i="119"/>
  <c r="P2085" i="119"/>
  <c r="P2084" i="119"/>
  <c r="P2083" i="119"/>
  <c r="P2082" i="119"/>
  <c r="P2081" i="119"/>
  <c r="P2080" i="119"/>
  <c r="P2079" i="119"/>
  <c r="P2078" i="119"/>
  <c r="P2077" i="119"/>
  <c r="P2076" i="119"/>
  <c r="P2075" i="119"/>
  <c r="P2074" i="119"/>
  <c r="P2073" i="119"/>
  <c r="P2072" i="119"/>
  <c r="P2071" i="119"/>
  <c r="P2070" i="119"/>
  <c r="P2069" i="119"/>
  <c r="P2068" i="119"/>
  <c r="P2067" i="119"/>
  <c r="P2066" i="119"/>
  <c r="P2065" i="119"/>
  <c r="P2064" i="119"/>
  <c r="P2063" i="119"/>
  <c r="P2062" i="119"/>
  <c r="P2061" i="119"/>
  <c r="P2060" i="119"/>
  <c r="P2059" i="119"/>
  <c r="P2058" i="119"/>
  <c r="P2057" i="119"/>
  <c r="P2056" i="119"/>
  <c r="P2055" i="119"/>
  <c r="P2054" i="119"/>
  <c r="P2053" i="119"/>
  <c r="P2052" i="119"/>
  <c r="P2051" i="119"/>
  <c r="P2050" i="119"/>
  <c r="P2049" i="119"/>
  <c r="P2048" i="119"/>
  <c r="P2047" i="119"/>
  <c r="P2046" i="119"/>
  <c r="P2045" i="119"/>
  <c r="P2044" i="119"/>
  <c r="P2043" i="119"/>
  <c r="P2042" i="119"/>
  <c r="P2041" i="119"/>
  <c r="P2040" i="119"/>
  <c r="P2039" i="119"/>
  <c r="P2038" i="119"/>
  <c r="P2037" i="119"/>
  <c r="P2036" i="119"/>
  <c r="P2035" i="119"/>
  <c r="P2034" i="119"/>
  <c r="P2033" i="119"/>
  <c r="P2032" i="119"/>
  <c r="P2031" i="119"/>
  <c r="P2030" i="119"/>
  <c r="P2029" i="119"/>
  <c r="P2028" i="119"/>
  <c r="P2027" i="119"/>
  <c r="P2026" i="119"/>
  <c r="P2025" i="119"/>
  <c r="P2024" i="119"/>
  <c r="P2023" i="119"/>
  <c r="P2022" i="119"/>
  <c r="P2021" i="119"/>
  <c r="P2020" i="119"/>
  <c r="P2019" i="119"/>
  <c r="P2018" i="119"/>
  <c r="P2017" i="119"/>
  <c r="P2016" i="119"/>
  <c r="P2015" i="119"/>
  <c r="P2014" i="119"/>
  <c r="P2013" i="119"/>
  <c r="P2012" i="119"/>
  <c r="P2011" i="119"/>
  <c r="P2010" i="119"/>
  <c r="P2009" i="119"/>
  <c r="P2008" i="119"/>
  <c r="P2007" i="119"/>
  <c r="P2006" i="119"/>
  <c r="P2005" i="119"/>
  <c r="P2004" i="119"/>
  <c r="P2003" i="119"/>
  <c r="P2002" i="119"/>
  <c r="P2001" i="119"/>
  <c r="P2000" i="119"/>
  <c r="P1999" i="119"/>
  <c r="P1998" i="119"/>
  <c r="P1997" i="119"/>
  <c r="P1996" i="119"/>
  <c r="P1995" i="119"/>
  <c r="P1994" i="119"/>
  <c r="P1993" i="119"/>
  <c r="P1992" i="119"/>
  <c r="P1991" i="119"/>
  <c r="P1990" i="119"/>
  <c r="P1989" i="119"/>
  <c r="P1988" i="119"/>
  <c r="P1987" i="119"/>
  <c r="P1986" i="119"/>
  <c r="P1985" i="119"/>
  <c r="P1984" i="119"/>
  <c r="P1983" i="119"/>
  <c r="P1982" i="119"/>
  <c r="P1981" i="119"/>
  <c r="P1980" i="119"/>
  <c r="P1979" i="119"/>
  <c r="P1978" i="119"/>
  <c r="P1977" i="119"/>
  <c r="P1976" i="119"/>
  <c r="P1975" i="119"/>
  <c r="P1974" i="119"/>
  <c r="P1973" i="119"/>
  <c r="P1972" i="119"/>
  <c r="P1971" i="119"/>
  <c r="P1970" i="119"/>
  <c r="P1969" i="119"/>
  <c r="P1968" i="119"/>
  <c r="P1967" i="119"/>
  <c r="P1966" i="119"/>
  <c r="P1965" i="119"/>
  <c r="P1964" i="119"/>
  <c r="P1963" i="119"/>
  <c r="P1962" i="119"/>
  <c r="P1961" i="119"/>
  <c r="P1960" i="119"/>
  <c r="P1959" i="119"/>
  <c r="P1958" i="119"/>
  <c r="P1957" i="119"/>
  <c r="P1956" i="119"/>
  <c r="P1955" i="119"/>
  <c r="P1954" i="119"/>
  <c r="P1953" i="119"/>
  <c r="P1952" i="119"/>
  <c r="P1951" i="119"/>
  <c r="P1950" i="119"/>
  <c r="P1949" i="119"/>
  <c r="P1948" i="119"/>
  <c r="P1947" i="119"/>
  <c r="P1946" i="119"/>
  <c r="P1945" i="119"/>
  <c r="P1944" i="119"/>
  <c r="P1943" i="119"/>
  <c r="P1942" i="119"/>
  <c r="P1941" i="119"/>
  <c r="P1940" i="119"/>
  <c r="P1939" i="119"/>
  <c r="P1938" i="119"/>
  <c r="P1937" i="119"/>
  <c r="P1936" i="119"/>
  <c r="P1935" i="119"/>
  <c r="P1934" i="119"/>
  <c r="P1933" i="119"/>
  <c r="P1932" i="119"/>
  <c r="P1931" i="119"/>
  <c r="P1930" i="119"/>
  <c r="P1929" i="119"/>
  <c r="P1928" i="119"/>
  <c r="P1927" i="119"/>
  <c r="P1926" i="119"/>
  <c r="P1925" i="119"/>
  <c r="P1924" i="119"/>
  <c r="P1923" i="119"/>
  <c r="P1922" i="119"/>
  <c r="P1921" i="119"/>
  <c r="P1920" i="119"/>
  <c r="P1919" i="119"/>
  <c r="P1918" i="119"/>
  <c r="P1917" i="119"/>
  <c r="P1916" i="119"/>
  <c r="P1915" i="119"/>
  <c r="P1914" i="119"/>
  <c r="P1913" i="119"/>
  <c r="P1912" i="119"/>
  <c r="P1911" i="119"/>
  <c r="P1910" i="119"/>
  <c r="P1909" i="119"/>
  <c r="P1908" i="119"/>
  <c r="P1907" i="119"/>
  <c r="P1906" i="119"/>
  <c r="P1905" i="119"/>
  <c r="P1904" i="119"/>
  <c r="P1903" i="119"/>
  <c r="P1902" i="119"/>
  <c r="P1901" i="119"/>
  <c r="P1900" i="119"/>
  <c r="P1899" i="119"/>
  <c r="P1898" i="119"/>
  <c r="P1897" i="119"/>
  <c r="P1896" i="119"/>
  <c r="P1895" i="119"/>
  <c r="P1894" i="119"/>
  <c r="P1893" i="119"/>
  <c r="P1892" i="119"/>
  <c r="P1891" i="119"/>
  <c r="P1890" i="119"/>
  <c r="P1889" i="119"/>
  <c r="P1888" i="119"/>
  <c r="P1887" i="119"/>
  <c r="P1886" i="119"/>
  <c r="P1885" i="119"/>
  <c r="P1884" i="119"/>
  <c r="P1883" i="119"/>
  <c r="P1882" i="119"/>
  <c r="P1881" i="119"/>
  <c r="P1880" i="119"/>
  <c r="P1879" i="119"/>
  <c r="P1878" i="119"/>
  <c r="P1877" i="119"/>
  <c r="P1876" i="119"/>
  <c r="P1875" i="119"/>
  <c r="P1874" i="119"/>
  <c r="P1873" i="119"/>
  <c r="P1872" i="119"/>
  <c r="P1871" i="119"/>
  <c r="P1870" i="119"/>
  <c r="P1869" i="119"/>
  <c r="P1868" i="119"/>
  <c r="P1867" i="119"/>
  <c r="P1866" i="119"/>
  <c r="P1865" i="119"/>
  <c r="P1864" i="119"/>
  <c r="P1863" i="119"/>
  <c r="P1862" i="119"/>
  <c r="P1861" i="119"/>
  <c r="P1860" i="119"/>
  <c r="P1859" i="119"/>
  <c r="P1858" i="119"/>
  <c r="P1857" i="119"/>
  <c r="P1856" i="119"/>
  <c r="P1855" i="119"/>
  <c r="P1854" i="119"/>
  <c r="P1853" i="119"/>
  <c r="P1852" i="119"/>
  <c r="P1851" i="119"/>
  <c r="P1850" i="119"/>
  <c r="P1849" i="119"/>
  <c r="P1848" i="119"/>
  <c r="P1847" i="119"/>
  <c r="P1846" i="119"/>
  <c r="P1845" i="119"/>
  <c r="P1844" i="119"/>
  <c r="P1843" i="119"/>
  <c r="P1842" i="119"/>
  <c r="P1841" i="119"/>
  <c r="P1840" i="119"/>
  <c r="P1839" i="119"/>
  <c r="P1838" i="119"/>
  <c r="P1837" i="119"/>
  <c r="P1836" i="119"/>
  <c r="P1835" i="119"/>
  <c r="P1834" i="119"/>
  <c r="P1833" i="119"/>
  <c r="P1832" i="119"/>
  <c r="P1831" i="119"/>
  <c r="P1830" i="119"/>
  <c r="P1829" i="119"/>
  <c r="P1828" i="119"/>
  <c r="P1827" i="119"/>
  <c r="P1826" i="119"/>
  <c r="P1825" i="119"/>
  <c r="P1824" i="119"/>
  <c r="P1823" i="119"/>
  <c r="P1822" i="119"/>
  <c r="P1821" i="119"/>
  <c r="P1820" i="119"/>
  <c r="P1819" i="119"/>
  <c r="P1818" i="119"/>
  <c r="P1817" i="119"/>
  <c r="P1816" i="119"/>
  <c r="P1815" i="119"/>
  <c r="P1814" i="119"/>
  <c r="P1813" i="119"/>
  <c r="P1812" i="119"/>
  <c r="P1811" i="119"/>
  <c r="P1810" i="119"/>
  <c r="P1809" i="119"/>
  <c r="P1808" i="119"/>
  <c r="P1807" i="119"/>
  <c r="P1806" i="119"/>
  <c r="P1805" i="119"/>
  <c r="P1804" i="119"/>
  <c r="P1803" i="119"/>
  <c r="P1802" i="119"/>
  <c r="P1801" i="119"/>
  <c r="P1800" i="119"/>
  <c r="P1799" i="119"/>
  <c r="P1798" i="119"/>
  <c r="P1797" i="119"/>
  <c r="P1796" i="119"/>
  <c r="P1795" i="119"/>
  <c r="P1794" i="119"/>
  <c r="P1793" i="119"/>
  <c r="P1792" i="119"/>
  <c r="P1791" i="119"/>
  <c r="P1790" i="119"/>
  <c r="P1789" i="119"/>
  <c r="P1788" i="119"/>
  <c r="P1787" i="119"/>
  <c r="P1786" i="119"/>
  <c r="P1785" i="119"/>
  <c r="P1784" i="119"/>
  <c r="P1783" i="119"/>
  <c r="P1782" i="119"/>
  <c r="P1781" i="119"/>
  <c r="P1780" i="119"/>
  <c r="P1779" i="119"/>
  <c r="P1778" i="119"/>
  <c r="P1777" i="119"/>
  <c r="P1776" i="119"/>
  <c r="P1775" i="119"/>
  <c r="P1774" i="119"/>
  <c r="P1773" i="119"/>
  <c r="P1772" i="119"/>
  <c r="P1771" i="119"/>
  <c r="P1770" i="119"/>
  <c r="P1769" i="119"/>
  <c r="P1768" i="119"/>
  <c r="P1767" i="119"/>
  <c r="P1766" i="119"/>
  <c r="P1765" i="119"/>
  <c r="P1764" i="119"/>
  <c r="P1763" i="119"/>
  <c r="P1762" i="119"/>
  <c r="P1761" i="119"/>
  <c r="P1760" i="119"/>
  <c r="P1759" i="119"/>
  <c r="P1758" i="119"/>
  <c r="P1757" i="119"/>
  <c r="P1756" i="119"/>
  <c r="P1755" i="119"/>
  <c r="P1754" i="119"/>
  <c r="P1753" i="119"/>
  <c r="P1752" i="119"/>
  <c r="P1751" i="119"/>
  <c r="P1750" i="119"/>
  <c r="P1749" i="119"/>
  <c r="P1748" i="119"/>
  <c r="P1747" i="119"/>
  <c r="P1746" i="119"/>
  <c r="P1745" i="119"/>
  <c r="P1744" i="119"/>
  <c r="P1743" i="119"/>
  <c r="P1742" i="119"/>
  <c r="P1741" i="119"/>
  <c r="P1740" i="119"/>
  <c r="P1739" i="119"/>
  <c r="P1738" i="119"/>
  <c r="P1737" i="119"/>
  <c r="P1736" i="119"/>
  <c r="P1735" i="119"/>
  <c r="P1734" i="119"/>
  <c r="P1733" i="119"/>
  <c r="P1732" i="119"/>
  <c r="P1731" i="119"/>
  <c r="P1730" i="119"/>
  <c r="P1729" i="119"/>
  <c r="P1728" i="119"/>
  <c r="P1727" i="119"/>
  <c r="P1726" i="119"/>
  <c r="P1725" i="119"/>
  <c r="P1724" i="119"/>
  <c r="P1723" i="119"/>
  <c r="P1722" i="119"/>
  <c r="P1721" i="119"/>
  <c r="P1720" i="119"/>
  <c r="P1719" i="119"/>
  <c r="P1718" i="119"/>
  <c r="P1717" i="119"/>
  <c r="P1716" i="119"/>
  <c r="P1715" i="119"/>
  <c r="P1714" i="119"/>
  <c r="P1713" i="119"/>
  <c r="P1712" i="119"/>
  <c r="P1711" i="119"/>
  <c r="P1710" i="119"/>
  <c r="P1709" i="119"/>
  <c r="P1708" i="119"/>
  <c r="P1707" i="119"/>
  <c r="P1706" i="119"/>
  <c r="P1705" i="119"/>
  <c r="P1704" i="119"/>
  <c r="P1703" i="119"/>
  <c r="P1702" i="119"/>
  <c r="P1701" i="119"/>
  <c r="P1700" i="119"/>
  <c r="P1699" i="119"/>
  <c r="P1698" i="119"/>
  <c r="P1697" i="119"/>
  <c r="P1696" i="119"/>
  <c r="P1695" i="119"/>
  <c r="P1694" i="119"/>
  <c r="P1693" i="119"/>
  <c r="P1692" i="119"/>
  <c r="P1691" i="119"/>
  <c r="P1690" i="119"/>
  <c r="P1689" i="119"/>
  <c r="P1688" i="119"/>
  <c r="P1687" i="119"/>
  <c r="P1686" i="119"/>
  <c r="P1685" i="119"/>
  <c r="P1684" i="119"/>
  <c r="P1683" i="119"/>
  <c r="P1682" i="119"/>
  <c r="P1681" i="119"/>
  <c r="P1680" i="119"/>
  <c r="P1679" i="119"/>
  <c r="P1678" i="119"/>
  <c r="P1677" i="119"/>
  <c r="P1676" i="119"/>
  <c r="P1675" i="119"/>
  <c r="P1674" i="119"/>
  <c r="P1673" i="119"/>
  <c r="P1672" i="119"/>
  <c r="P1671" i="119"/>
  <c r="P1670" i="119"/>
  <c r="P1669" i="119"/>
  <c r="P1668" i="119"/>
  <c r="P1667" i="119"/>
  <c r="P1666" i="119"/>
  <c r="P1665" i="119"/>
  <c r="P1664" i="119"/>
  <c r="P1663" i="119"/>
  <c r="P1662" i="119"/>
  <c r="P1661" i="119"/>
  <c r="P1660" i="119"/>
  <c r="P1659" i="119"/>
  <c r="P1658" i="119"/>
  <c r="P1657" i="119"/>
  <c r="P1656" i="119"/>
  <c r="P1655" i="119"/>
  <c r="P1654" i="119"/>
  <c r="P1653" i="119"/>
  <c r="P1652" i="119"/>
  <c r="P1651" i="119"/>
  <c r="P1650" i="119"/>
  <c r="P1649" i="119"/>
  <c r="P1648" i="119"/>
  <c r="P1647" i="119"/>
  <c r="P1646" i="119"/>
  <c r="P1645" i="119"/>
  <c r="P1644" i="119"/>
  <c r="P1643" i="119"/>
  <c r="P1642" i="119"/>
  <c r="P1641" i="119"/>
  <c r="P1640" i="119"/>
  <c r="P1639" i="119"/>
  <c r="P1638" i="119"/>
  <c r="P1637" i="119"/>
  <c r="P1636" i="119"/>
  <c r="P1635" i="119"/>
  <c r="P1634" i="119"/>
  <c r="P1633" i="119"/>
  <c r="P1632" i="119"/>
  <c r="P1631" i="119"/>
  <c r="P1630" i="119"/>
  <c r="P1629" i="119"/>
  <c r="P1628" i="119"/>
  <c r="P1627" i="119"/>
  <c r="P1626" i="119"/>
  <c r="P1625" i="119"/>
  <c r="P1624" i="119"/>
  <c r="P1623" i="119"/>
  <c r="P1622" i="119"/>
  <c r="P1621" i="119"/>
  <c r="P1620" i="119"/>
  <c r="P1619" i="119"/>
  <c r="P1618" i="119"/>
  <c r="P1617" i="119"/>
  <c r="P1616" i="119"/>
  <c r="P1615" i="119"/>
  <c r="P1614" i="119"/>
  <c r="P1613" i="119"/>
  <c r="P1612" i="119"/>
  <c r="P1611" i="119"/>
  <c r="P1610" i="119"/>
  <c r="P1609" i="119"/>
  <c r="P1608" i="119"/>
  <c r="P1607" i="119"/>
  <c r="P1606" i="119"/>
  <c r="P1605" i="119"/>
  <c r="P1604" i="119"/>
  <c r="P1603" i="119"/>
  <c r="P1602" i="119"/>
  <c r="P1601" i="119"/>
  <c r="P1600" i="119"/>
  <c r="P1599" i="119"/>
  <c r="P1598" i="119"/>
  <c r="P1597" i="119"/>
  <c r="P1596" i="119"/>
  <c r="P1595" i="119"/>
  <c r="P1594" i="119"/>
  <c r="P1593" i="119"/>
  <c r="P1592" i="119"/>
  <c r="P1591" i="119"/>
  <c r="P1590" i="119"/>
  <c r="P1589" i="119"/>
  <c r="P1588" i="119"/>
  <c r="P1587" i="119"/>
  <c r="P1586" i="119"/>
  <c r="P1585" i="119"/>
  <c r="P1584" i="119"/>
  <c r="P1583" i="119"/>
  <c r="P1582" i="119"/>
  <c r="P1581" i="119"/>
  <c r="P1580" i="119"/>
  <c r="P1579" i="119"/>
  <c r="P1578" i="119"/>
  <c r="P1577" i="119"/>
  <c r="P1576" i="119"/>
  <c r="P1575" i="119"/>
  <c r="P1574" i="119"/>
  <c r="P1573" i="119"/>
  <c r="P1572" i="119"/>
  <c r="P1571" i="119"/>
  <c r="P1570" i="119"/>
  <c r="P1569" i="119"/>
  <c r="P1568" i="119"/>
  <c r="P1567" i="119"/>
  <c r="P1566" i="119"/>
  <c r="P1565" i="119"/>
  <c r="P1564" i="119"/>
  <c r="P1563" i="119"/>
  <c r="P1562" i="119"/>
  <c r="P1561" i="119"/>
  <c r="P1560" i="119"/>
  <c r="P1559" i="119"/>
  <c r="P1558" i="119"/>
  <c r="P1557" i="119"/>
  <c r="P1556" i="119"/>
  <c r="P1555" i="119"/>
  <c r="P1554" i="119"/>
  <c r="P1553" i="119"/>
  <c r="P1552" i="119"/>
  <c r="P1551" i="119"/>
  <c r="P1550" i="119"/>
  <c r="P1549" i="119"/>
  <c r="P1548" i="119"/>
  <c r="P1547" i="119"/>
  <c r="P1546" i="119"/>
  <c r="P1545" i="119"/>
  <c r="P1544" i="119"/>
  <c r="P1543" i="119"/>
  <c r="P1542" i="119"/>
  <c r="P1541" i="119"/>
  <c r="P1540" i="119"/>
  <c r="P1539" i="119"/>
  <c r="P1538" i="119"/>
  <c r="P1537" i="119"/>
  <c r="P1536" i="119"/>
  <c r="P1535" i="119"/>
  <c r="P1534" i="119"/>
  <c r="P1533" i="119"/>
  <c r="P1532" i="119"/>
  <c r="P1531" i="119"/>
  <c r="P1530" i="119"/>
  <c r="P1529" i="119"/>
  <c r="P1528" i="119"/>
  <c r="P1527" i="119"/>
  <c r="P1526" i="119"/>
  <c r="P1525" i="119"/>
  <c r="P1524" i="119"/>
  <c r="P1523" i="119"/>
  <c r="P1522" i="119"/>
  <c r="P1521" i="119"/>
  <c r="P1520" i="119"/>
  <c r="P1519" i="119"/>
  <c r="P1518" i="119"/>
  <c r="P1517" i="119"/>
  <c r="P1516" i="119"/>
  <c r="P1515" i="119"/>
  <c r="P1514" i="119"/>
  <c r="P1513" i="119"/>
  <c r="P1512" i="119"/>
  <c r="P1511" i="119"/>
  <c r="P1510" i="119"/>
  <c r="P1509" i="119"/>
  <c r="P1508" i="119"/>
  <c r="P1507" i="119"/>
  <c r="P1506" i="119"/>
  <c r="P1505" i="119"/>
  <c r="P1504" i="119"/>
  <c r="P1503" i="119"/>
  <c r="P1502" i="119"/>
  <c r="P1501" i="119"/>
  <c r="P1500" i="119"/>
  <c r="P1499" i="119"/>
  <c r="P1498" i="119"/>
  <c r="P1497" i="119"/>
  <c r="P1496" i="119"/>
  <c r="P1495" i="119"/>
  <c r="P1494" i="119"/>
  <c r="P1493" i="119"/>
  <c r="P1492" i="119"/>
  <c r="P1491" i="119"/>
  <c r="P1490" i="119"/>
  <c r="P1489" i="119"/>
  <c r="P1488" i="119"/>
  <c r="P1487" i="119"/>
  <c r="P1486" i="119"/>
  <c r="P1485" i="119"/>
  <c r="P1484" i="119"/>
  <c r="P1483" i="119"/>
  <c r="P1482" i="119"/>
  <c r="P1481" i="119"/>
  <c r="P1480" i="119"/>
  <c r="P1479" i="119"/>
  <c r="P1478" i="119"/>
  <c r="P1477" i="119"/>
  <c r="P1476" i="119"/>
  <c r="P1475" i="119"/>
  <c r="P1474" i="119"/>
  <c r="P1473" i="119"/>
  <c r="P1472" i="119"/>
  <c r="P1471" i="119"/>
  <c r="P1470" i="119"/>
  <c r="P1469" i="119"/>
  <c r="P1468" i="119"/>
  <c r="P1467" i="119"/>
  <c r="P1466" i="119"/>
  <c r="P1465" i="119"/>
  <c r="P1464" i="119"/>
  <c r="P1463" i="119"/>
  <c r="P1462" i="119"/>
  <c r="P1461" i="119"/>
  <c r="P1460" i="119"/>
  <c r="P1459" i="119"/>
  <c r="P1458" i="119"/>
  <c r="P1457" i="119"/>
  <c r="P1456" i="119"/>
  <c r="P1455" i="119"/>
  <c r="P1454" i="119"/>
  <c r="P1453" i="119"/>
  <c r="P1452" i="119"/>
  <c r="P1451" i="119"/>
  <c r="P1450" i="119"/>
  <c r="P1449" i="119"/>
  <c r="P1448" i="119"/>
  <c r="P1447" i="119"/>
  <c r="P1446" i="119"/>
  <c r="P1445" i="119"/>
  <c r="P1444" i="119"/>
  <c r="P1443" i="119"/>
  <c r="P1442" i="119"/>
  <c r="P1441" i="119"/>
  <c r="P1440" i="119"/>
  <c r="P1439" i="119"/>
  <c r="P1438" i="119"/>
  <c r="P1437" i="119"/>
  <c r="P1436" i="119"/>
  <c r="P1435" i="119"/>
  <c r="P1434" i="119"/>
  <c r="P1433" i="119"/>
  <c r="P1432" i="119"/>
  <c r="P1431" i="119"/>
  <c r="P1430" i="119"/>
  <c r="P1429" i="119"/>
  <c r="P1428" i="119"/>
  <c r="P1427" i="119"/>
  <c r="P1426" i="119"/>
  <c r="P1425" i="119"/>
  <c r="P1424" i="119"/>
  <c r="P1423" i="119"/>
  <c r="P1422" i="119"/>
  <c r="P1421" i="119"/>
  <c r="P1420" i="119"/>
  <c r="P1419" i="119"/>
  <c r="P1418" i="119"/>
  <c r="P1417" i="119"/>
  <c r="P1416" i="119"/>
  <c r="P1415" i="119"/>
  <c r="P1414" i="119"/>
  <c r="P1413" i="119"/>
  <c r="P1412" i="119"/>
  <c r="P1411" i="119"/>
  <c r="P1410" i="119"/>
  <c r="P1409" i="119"/>
  <c r="P1408" i="119"/>
  <c r="P1407" i="119"/>
  <c r="P1406" i="119"/>
  <c r="P1405" i="119"/>
  <c r="P1404" i="119"/>
  <c r="P1403" i="119"/>
  <c r="P1402" i="119"/>
  <c r="P1401" i="119"/>
  <c r="P1400" i="119"/>
  <c r="P1399" i="119"/>
  <c r="P1398" i="119"/>
  <c r="P1397" i="119"/>
  <c r="P1396" i="119"/>
  <c r="P1395" i="119"/>
  <c r="P1394" i="119"/>
  <c r="P1393" i="119"/>
  <c r="P1392" i="119"/>
  <c r="P1391" i="119"/>
  <c r="P1390" i="119"/>
  <c r="P1389" i="119"/>
  <c r="P1388" i="119"/>
  <c r="P1387" i="119"/>
  <c r="P1386" i="119"/>
  <c r="P1385" i="119"/>
  <c r="P1384" i="119"/>
  <c r="P1383" i="119"/>
  <c r="P1382" i="119"/>
  <c r="P1381" i="119"/>
  <c r="P1380" i="119"/>
  <c r="P1379" i="119"/>
  <c r="P1378" i="119"/>
  <c r="P1377" i="119"/>
  <c r="P1376" i="119"/>
  <c r="P1375" i="119"/>
  <c r="P1374" i="119"/>
  <c r="P1373" i="119"/>
  <c r="P1372" i="119"/>
  <c r="P1371" i="119"/>
  <c r="P1370" i="119"/>
  <c r="P1369" i="119"/>
  <c r="P1368" i="119"/>
  <c r="P1367" i="119"/>
  <c r="P1366" i="119"/>
  <c r="P1365" i="119"/>
  <c r="P1364" i="119"/>
  <c r="P1363" i="119"/>
  <c r="P1362" i="119"/>
  <c r="P1361" i="119"/>
  <c r="P1360" i="119"/>
  <c r="P1359" i="119"/>
  <c r="P1358" i="119"/>
  <c r="P1357" i="119"/>
  <c r="P1356" i="119"/>
  <c r="P1355" i="119"/>
  <c r="P1354" i="119"/>
  <c r="P1353" i="119"/>
  <c r="P1352" i="119"/>
  <c r="P1351" i="119"/>
  <c r="P1350" i="119"/>
  <c r="P1349" i="119"/>
  <c r="P1348" i="119"/>
  <c r="P1347" i="119"/>
  <c r="P1346" i="119"/>
  <c r="P1345" i="119"/>
  <c r="P1344" i="119"/>
  <c r="P1343" i="119"/>
  <c r="P1342" i="119"/>
  <c r="P1341" i="119"/>
  <c r="P1340" i="119"/>
  <c r="P1339" i="119"/>
  <c r="P1338" i="119"/>
  <c r="P1337" i="119"/>
  <c r="P1336" i="119"/>
  <c r="P1335" i="119"/>
  <c r="P1334" i="119"/>
  <c r="P1333" i="119"/>
  <c r="P1332" i="119"/>
  <c r="P1331" i="119"/>
  <c r="P1330" i="119"/>
  <c r="P1329" i="119"/>
  <c r="P1328" i="119"/>
  <c r="P1327" i="119"/>
  <c r="P1326" i="119"/>
  <c r="P1325" i="119"/>
  <c r="P1324" i="119"/>
  <c r="P1323" i="119"/>
  <c r="P1322" i="119"/>
  <c r="P1321" i="119"/>
  <c r="P1320" i="119"/>
  <c r="P1319" i="119"/>
  <c r="P1318" i="119"/>
  <c r="P1317" i="119"/>
  <c r="P1316" i="119"/>
  <c r="P1315" i="119"/>
  <c r="P1314" i="119"/>
  <c r="P1313" i="119"/>
  <c r="P1312" i="119"/>
  <c r="P1311" i="119"/>
  <c r="P1310" i="119"/>
  <c r="P1309" i="119"/>
  <c r="P1308" i="119"/>
  <c r="P1307" i="119"/>
  <c r="P1306" i="119"/>
  <c r="P1305" i="119"/>
  <c r="P1304" i="119"/>
  <c r="P1303" i="119"/>
  <c r="P1302" i="119"/>
  <c r="P1301" i="119"/>
  <c r="P1300" i="119"/>
  <c r="P1299" i="119"/>
  <c r="P1298" i="119"/>
  <c r="P1297" i="119"/>
  <c r="P1296" i="119"/>
  <c r="P1295" i="119"/>
  <c r="P1294" i="119"/>
  <c r="P1293" i="119"/>
  <c r="P1292" i="119"/>
  <c r="P1291" i="119"/>
  <c r="P1290" i="119"/>
  <c r="P1289" i="119"/>
  <c r="P1288" i="119"/>
  <c r="P1287" i="119"/>
  <c r="P1286" i="119"/>
  <c r="P1285" i="119"/>
  <c r="P1284" i="119"/>
  <c r="P1283" i="119"/>
  <c r="P1282" i="119"/>
  <c r="P1281" i="119"/>
  <c r="P1280" i="119"/>
  <c r="P1279" i="119"/>
  <c r="P1278" i="119"/>
  <c r="P1277" i="119"/>
  <c r="P1276" i="119"/>
  <c r="P1275" i="119"/>
  <c r="P1274" i="119"/>
  <c r="P1273" i="119"/>
  <c r="P1272" i="119"/>
  <c r="P1271" i="119"/>
  <c r="P1270" i="119"/>
  <c r="P1269" i="119"/>
  <c r="P1268" i="119"/>
  <c r="P1267" i="119"/>
  <c r="P1266" i="119"/>
  <c r="P1265" i="119"/>
  <c r="P1264" i="119"/>
  <c r="P1263" i="119"/>
  <c r="P1262" i="119"/>
  <c r="P1261" i="119"/>
  <c r="P1260" i="119"/>
  <c r="P1259" i="119"/>
  <c r="P1258" i="119"/>
  <c r="P1257" i="119"/>
  <c r="P1256" i="119"/>
  <c r="P1255" i="119"/>
  <c r="P1254" i="119"/>
  <c r="P1253" i="119"/>
  <c r="P1252" i="119"/>
  <c r="P1251" i="119"/>
  <c r="P1250" i="119"/>
  <c r="P1249" i="119"/>
  <c r="P1248" i="119"/>
  <c r="P1247" i="119"/>
  <c r="P1246" i="119"/>
  <c r="P1245" i="119"/>
  <c r="P1244" i="119"/>
  <c r="P1243" i="119"/>
  <c r="P1242" i="119"/>
  <c r="P1241" i="119"/>
  <c r="P1240" i="119"/>
  <c r="P1239" i="119"/>
  <c r="P1238" i="119"/>
  <c r="P1237" i="119"/>
  <c r="P1236" i="119"/>
  <c r="P1235" i="119"/>
  <c r="P1234" i="119"/>
  <c r="P1233" i="119"/>
  <c r="P1232" i="119"/>
  <c r="P1231" i="119"/>
  <c r="P1230" i="119"/>
  <c r="P1229" i="119"/>
  <c r="P1228" i="119"/>
  <c r="P1227" i="119"/>
  <c r="P1226" i="119"/>
  <c r="P1225" i="119"/>
  <c r="P1224" i="119"/>
  <c r="P1223" i="119"/>
  <c r="P1222" i="119"/>
  <c r="P1221" i="119"/>
  <c r="P1220" i="119"/>
  <c r="P1219" i="119"/>
  <c r="P1218" i="119"/>
  <c r="P1217" i="119"/>
  <c r="P1216" i="119"/>
  <c r="P1215" i="119"/>
  <c r="P1214" i="119"/>
  <c r="P1213" i="119"/>
  <c r="P1212" i="119"/>
  <c r="P1211" i="119"/>
  <c r="P1210" i="119"/>
  <c r="P1209" i="119"/>
  <c r="P1208" i="119"/>
  <c r="P1207" i="119"/>
  <c r="P1206" i="119"/>
  <c r="P1205" i="119"/>
  <c r="P1204" i="119"/>
  <c r="P1203" i="119"/>
  <c r="P1202" i="119"/>
  <c r="P1201" i="119"/>
  <c r="P1200" i="119"/>
  <c r="P1199" i="119"/>
  <c r="P1198" i="119"/>
  <c r="P1197" i="119"/>
  <c r="P1196" i="119"/>
  <c r="P1195" i="119"/>
  <c r="P1194" i="119"/>
  <c r="P1193" i="119"/>
  <c r="P1192" i="119"/>
  <c r="P1191" i="119"/>
  <c r="P1190" i="119"/>
  <c r="P1189" i="119"/>
  <c r="P1188" i="119"/>
  <c r="P1187" i="119"/>
  <c r="P1186" i="119"/>
  <c r="P1185" i="119"/>
  <c r="P1184" i="119"/>
  <c r="P1183" i="119"/>
  <c r="P1182" i="119"/>
  <c r="P1181" i="119"/>
  <c r="P1180" i="119"/>
  <c r="P1179" i="119"/>
  <c r="P1178" i="119"/>
  <c r="P1177" i="119"/>
  <c r="P1176" i="119"/>
  <c r="P1175" i="119"/>
  <c r="P1174" i="119"/>
  <c r="P1173" i="119"/>
  <c r="P1172" i="119"/>
  <c r="P1171" i="119"/>
  <c r="P1170" i="119"/>
  <c r="P1169" i="119"/>
  <c r="P1168" i="119"/>
  <c r="P1167" i="119"/>
  <c r="P1166" i="119"/>
  <c r="P1165" i="119"/>
  <c r="P1164" i="119"/>
  <c r="P1163" i="119"/>
  <c r="P1162" i="119"/>
  <c r="P1161" i="119"/>
  <c r="P1160" i="119"/>
  <c r="P1159" i="119"/>
  <c r="P1158" i="119"/>
  <c r="P1157" i="119"/>
  <c r="P1156" i="119"/>
  <c r="P1155" i="119"/>
  <c r="P1154" i="119"/>
  <c r="P1153" i="119"/>
  <c r="P1152" i="119"/>
  <c r="P1151" i="119"/>
  <c r="P1150" i="119"/>
  <c r="P1149" i="119"/>
  <c r="P1148" i="119"/>
  <c r="P1147" i="119"/>
  <c r="P1146" i="119"/>
  <c r="P1145" i="119"/>
  <c r="P1144" i="119"/>
  <c r="P1143" i="119"/>
  <c r="P1142" i="119"/>
  <c r="P1141" i="119"/>
  <c r="P1140" i="119"/>
  <c r="P1139" i="119"/>
  <c r="P1138" i="119"/>
  <c r="P1137" i="119"/>
  <c r="P1136" i="119"/>
  <c r="P1135" i="119"/>
  <c r="P1134" i="119"/>
  <c r="P1133" i="119"/>
  <c r="P1132" i="119"/>
  <c r="P1131" i="119"/>
  <c r="P1130" i="119"/>
  <c r="P1129" i="119"/>
  <c r="P1128" i="119"/>
  <c r="P1127" i="119"/>
  <c r="P1126" i="119"/>
  <c r="P1125" i="119"/>
  <c r="P1124" i="119"/>
  <c r="P1123" i="119"/>
  <c r="P1122" i="119"/>
  <c r="P1121" i="119"/>
  <c r="P1120" i="119"/>
  <c r="P1119" i="119"/>
  <c r="P1118" i="119"/>
  <c r="P1117" i="119"/>
  <c r="P1116" i="119"/>
  <c r="P1115" i="119"/>
  <c r="P1114" i="119"/>
  <c r="P1113" i="119"/>
  <c r="P1112" i="119"/>
  <c r="P1111" i="119"/>
  <c r="P1110" i="119"/>
  <c r="P1109" i="119"/>
  <c r="P1108" i="119"/>
  <c r="P1107" i="119"/>
  <c r="P1106" i="119"/>
  <c r="P1105" i="119"/>
  <c r="P1104" i="119"/>
  <c r="P1103" i="119"/>
  <c r="P1102" i="119"/>
  <c r="P1101" i="119"/>
  <c r="P1100" i="119"/>
  <c r="P1099" i="119"/>
  <c r="P1098" i="119"/>
  <c r="P1097" i="119"/>
  <c r="P1096" i="119"/>
  <c r="P1095" i="119"/>
  <c r="P1094" i="119"/>
  <c r="P1093" i="119"/>
  <c r="P1092" i="119"/>
  <c r="P1091" i="119"/>
  <c r="P1090" i="119"/>
  <c r="P1089" i="119"/>
  <c r="P1088" i="119"/>
  <c r="P1087" i="119"/>
  <c r="P1086" i="119"/>
  <c r="P1085" i="119"/>
  <c r="P1084" i="119"/>
  <c r="P1083" i="119"/>
  <c r="P1082" i="119"/>
  <c r="P1081" i="119"/>
  <c r="P1080" i="119"/>
  <c r="P1079" i="119"/>
  <c r="P1078" i="119"/>
  <c r="P1077" i="119"/>
  <c r="P1076" i="119"/>
  <c r="P1075" i="119"/>
  <c r="P1074" i="119"/>
  <c r="P1073" i="119"/>
  <c r="P1072" i="119"/>
  <c r="P1071" i="119"/>
  <c r="P1070" i="119"/>
  <c r="P1069" i="119"/>
  <c r="P1068" i="119"/>
  <c r="P1067" i="119"/>
  <c r="P1066" i="119"/>
  <c r="P1065" i="119"/>
  <c r="P1064" i="119"/>
  <c r="P1063" i="119"/>
  <c r="P1062" i="119"/>
  <c r="P1061" i="119"/>
  <c r="P1060" i="119"/>
  <c r="P1059" i="119"/>
  <c r="P1058" i="119"/>
  <c r="P1057" i="119"/>
  <c r="P1056" i="119"/>
  <c r="P1055" i="119"/>
  <c r="P1054" i="119"/>
  <c r="P1053" i="119"/>
  <c r="P1052" i="119"/>
  <c r="P1051" i="119"/>
  <c r="P1050" i="119"/>
  <c r="P1049" i="119"/>
  <c r="P1048" i="119"/>
  <c r="P1047" i="119"/>
  <c r="P1046" i="119"/>
  <c r="P1045" i="119"/>
  <c r="P1044" i="119"/>
  <c r="P1043" i="119"/>
  <c r="P1042" i="119"/>
  <c r="P1041" i="119"/>
  <c r="P1040" i="119"/>
  <c r="P1039" i="119"/>
  <c r="P1038" i="119"/>
  <c r="P1037" i="119"/>
  <c r="P1036" i="119"/>
  <c r="P1035" i="119"/>
  <c r="P1034" i="119"/>
  <c r="P1033" i="119"/>
  <c r="P1032" i="119"/>
  <c r="P1031" i="119"/>
  <c r="P1030" i="119"/>
  <c r="P1029" i="119"/>
  <c r="P1028" i="119"/>
  <c r="P1027" i="119"/>
  <c r="P1026" i="119"/>
  <c r="P1025" i="119"/>
  <c r="P1024" i="119"/>
  <c r="P1023" i="119"/>
  <c r="P1022" i="119"/>
  <c r="P1021" i="119"/>
  <c r="P1020" i="119"/>
  <c r="P1019" i="119"/>
  <c r="P1018" i="119"/>
  <c r="P1017" i="119"/>
  <c r="P1016" i="119"/>
  <c r="P1015" i="119"/>
  <c r="P1014" i="119"/>
  <c r="P1013" i="119"/>
  <c r="P1012" i="119"/>
  <c r="P1011" i="119"/>
  <c r="P1010" i="119"/>
  <c r="P1009" i="119"/>
  <c r="P1008" i="119"/>
  <c r="P1007" i="119"/>
  <c r="P1006" i="119"/>
  <c r="P1005" i="119"/>
  <c r="P1004" i="119"/>
  <c r="P1003" i="119"/>
  <c r="P1002" i="119"/>
  <c r="P1001" i="119"/>
  <c r="P1000" i="119"/>
  <c r="P999" i="119"/>
  <c r="P998" i="119"/>
  <c r="P997" i="119"/>
  <c r="P996" i="119"/>
  <c r="P995" i="119"/>
  <c r="P994" i="119"/>
  <c r="P993" i="119"/>
  <c r="P992" i="119"/>
  <c r="P991" i="119"/>
  <c r="P990" i="119"/>
  <c r="P989" i="119"/>
  <c r="P988" i="119"/>
  <c r="P987" i="119"/>
  <c r="P986" i="119"/>
  <c r="P985" i="119"/>
  <c r="P984" i="119"/>
  <c r="P983" i="119"/>
  <c r="P982" i="119"/>
  <c r="P981" i="119"/>
  <c r="P980" i="119"/>
  <c r="P979" i="119"/>
  <c r="P978" i="119"/>
  <c r="P977" i="119"/>
  <c r="P976" i="119"/>
  <c r="P975" i="119"/>
  <c r="P974" i="119"/>
  <c r="P973" i="119"/>
  <c r="P972" i="119"/>
  <c r="P971" i="119"/>
  <c r="P970" i="119"/>
  <c r="P969" i="119"/>
  <c r="P968" i="119"/>
  <c r="P967" i="119"/>
  <c r="P966" i="119"/>
  <c r="P965" i="119"/>
  <c r="P964" i="119"/>
  <c r="P963" i="119"/>
  <c r="P962" i="119"/>
  <c r="P961" i="119"/>
  <c r="P960" i="119"/>
  <c r="P959" i="119"/>
  <c r="P958" i="119"/>
  <c r="P957" i="119"/>
  <c r="P956" i="119"/>
  <c r="P955" i="119"/>
  <c r="P954" i="119"/>
  <c r="P953" i="119"/>
  <c r="P952" i="119"/>
  <c r="P951" i="119"/>
  <c r="P950" i="119"/>
  <c r="P949" i="119"/>
  <c r="P948" i="119"/>
  <c r="P947" i="119"/>
  <c r="P946" i="119"/>
  <c r="P945" i="119"/>
  <c r="P944" i="119"/>
  <c r="P943" i="119"/>
  <c r="P942" i="119"/>
  <c r="P941" i="119"/>
  <c r="P940" i="119"/>
  <c r="P939" i="119"/>
  <c r="P938" i="119"/>
  <c r="P937" i="119"/>
  <c r="P936" i="119"/>
  <c r="P935" i="119"/>
  <c r="P934" i="119"/>
  <c r="P933" i="119"/>
  <c r="P932" i="119"/>
  <c r="P931" i="119"/>
  <c r="P930" i="119"/>
  <c r="P929" i="119"/>
  <c r="P928" i="119"/>
  <c r="P927" i="119"/>
  <c r="P926" i="119"/>
  <c r="P925" i="119"/>
  <c r="P924" i="119"/>
  <c r="P923" i="119"/>
  <c r="P922" i="119"/>
  <c r="P921" i="119"/>
  <c r="P920" i="119"/>
  <c r="P919" i="119"/>
  <c r="P918" i="119"/>
  <c r="P917" i="119"/>
  <c r="P916" i="119"/>
  <c r="P915" i="119"/>
  <c r="P914" i="119"/>
  <c r="P913" i="119"/>
  <c r="P912" i="119"/>
  <c r="P911" i="119"/>
  <c r="P910" i="119"/>
  <c r="P909" i="119"/>
  <c r="P908" i="119"/>
  <c r="P907" i="119"/>
  <c r="P906" i="119"/>
  <c r="P905" i="119"/>
  <c r="P904" i="119"/>
  <c r="P903" i="119"/>
  <c r="P902" i="119"/>
  <c r="P901" i="119"/>
  <c r="P900" i="119"/>
  <c r="P899" i="119"/>
  <c r="P898" i="119"/>
  <c r="P897" i="119"/>
  <c r="P896" i="119"/>
  <c r="P895" i="119"/>
  <c r="P894" i="119"/>
  <c r="P893" i="119"/>
  <c r="P892" i="119"/>
  <c r="P891" i="119"/>
  <c r="P890" i="119"/>
  <c r="P889" i="119"/>
  <c r="P888" i="119"/>
  <c r="P887" i="119"/>
  <c r="P886" i="119"/>
  <c r="P885" i="119"/>
  <c r="P884" i="119"/>
  <c r="P883" i="119"/>
  <c r="P882" i="119"/>
  <c r="P881" i="119"/>
  <c r="P880" i="119"/>
  <c r="P879" i="119"/>
  <c r="P878" i="119"/>
  <c r="P877" i="119"/>
  <c r="P876" i="119"/>
  <c r="P875" i="119"/>
  <c r="P874" i="119"/>
  <c r="P873" i="119"/>
  <c r="P872" i="119"/>
  <c r="P871" i="119"/>
  <c r="P870" i="119"/>
  <c r="P869" i="119"/>
  <c r="P868" i="119"/>
  <c r="P867" i="119"/>
  <c r="P866" i="119"/>
  <c r="P865" i="119"/>
  <c r="P864" i="119"/>
  <c r="P863" i="119"/>
  <c r="P862" i="119"/>
  <c r="P861" i="119"/>
  <c r="P860" i="119"/>
  <c r="P859" i="119"/>
  <c r="P858" i="119"/>
  <c r="P684" i="119"/>
  <c r="P683" i="119"/>
  <c r="P682" i="119"/>
  <c r="P681" i="119"/>
  <c r="P680" i="119"/>
  <c r="P679" i="119"/>
  <c r="P678" i="119"/>
  <c r="P677" i="119"/>
  <c r="P853" i="119"/>
  <c r="P852" i="119"/>
  <c r="P176" i="119"/>
  <c r="P175" i="119"/>
  <c r="P174" i="119"/>
  <c r="P173" i="119"/>
  <c r="P172" i="119"/>
  <c r="P171" i="119"/>
  <c r="P170" i="119"/>
  <c r="P169" i="119"/>
  <c r="P556" i="119"/>
  <c r="P555" i="119"/>
  <c r="P168" i="119"/>
  <c r="P167" i="119"/>
  <c r="P166" i="119"/>
  <c r="P165" i="119"/>
  <c r="P164" i="119"/>
  <c r="P163" i="119"/>
  <c r="P162" i="119"/>
  <c r="P161" i="119"/>
  <c r="P554" i="119"/>
  <c r="P553" i="119"/>
  <c r="P552" i="119"/>
  <c r="P359" i="119"/>
  <c r="P358" i="119"/>
  <c r="P357" i="119"/>
  <c r="P356" i="119"/>
  <c r="P355" i="119"/>
  <c r="P354" i="119"/>
  <c r="P353" i="119"/>
  <c r="P352" i="119"/>
  <c r="P851" i="119"/>
  <c r="P850" i="119"/>
  <c r="P551" i="119"/>
  <c r="P550" i="119"/>
  <c r="P549" i="119"/>
  <c r="P849" i="119"/>
  <c r="P676" i="119"/>
  <c r="P675" i="119"/>
  <c r="P351" i="119"/>
  <c r="P350" i="119"/>
  <c r="P349" i="119"/>
  <c r="P348" i="119"/>
  <c r="P347" i="119"/>
  <c r="P548" i="119"/>
  <c r="P547" i="119"/>
  <c r="P848" i="119"/>
  <c r="P847" i="119"/>
  <c r="P846" i="119"/>
  <c r="P845" i="119"/>
  <c r="P844" i="119"/>
  <c r="P160" i="119"/>
  <c r="P159" i="119"/>
  <c r="P546" i="119"/>
  <c r="P545" i="119"/>
  <c r="P544" i="119"/>
  <c r="P543" i="119"/>
  <c r="P542" i="119"/>
  <c r="P541" i="119"/>
  <c r="P674" i="119"/>
  <c r="P673" i="119"/>
  <c r="P672" i="119"/>
  <c r="P671" i="119"/>
  <c r="P670" i="119"/>
  <c r="P669" i="119"/>
  <c r="P668" i="119"/>
  <c r="P346" i="119"/>
  <c r="P158" i="119"/>
  <c r="P540" i="119"/>
  <c r="P539" i="119"/>
  <c r="P538" i="119"/>
  <c r="P537" i="119"/>
  <c r="P536" i="119"/>
  <c r="P345" i="119"/>
  <c r="P344" i="119"/>
  <c r="P667" i="119"/>
  <c r="P343" i="119"/>
  <c r="P342" i="119"/>
  <c r="P341" i="119"/>
  <c r="P340" i="119"/>
  <c r="P339" i="119"/>
  <c r="P338" i="119"/>
  <c r="P157" i="119"/>
  <c r="P156" i="119"/>
  <c r="P155" i="119"/>
  <c r="P154" i="119"/>
  <c r="P153" i="119"/>
  <c r="P337" i="119"/>
  <c r="P336" i="119"/>
  <c r="P843" i="119"/>
  <c r="P842" i="119"/>
  <c r="P841" i="119"/>
  <c r="P335" i="119"/>
  <c r="P334" i="119"/>
  <c r="P333" i="119"/>
  <c r="P332" i="119"/>
  <c r="P331" i="119"/>
  <c r="P330" i="119"/>
  <c r="P329" i="119"/>
  <c r="P152" i="119"/>
  <c r="P151" i="119"/>
  <c r="P328" i="119"/>
  <c r="P327" i="119"/>
  <c r="P326" i="119"/>
  <c r="P325" i="119"/>
  <c r="P324" i="119"/>
  <c r="P323" i="119"/>
  <c r="P322" i="119"/>
  <c r="P321" i="119"/>
  <c r="P150" i="119"/>
  <c r="P149" i="119"/>
  <c r="P148" i="119"/>
  <c r="P840" i="119"/>
  <c r="P839" i="119"/>
  <c r="P147" i="119"/>
  <c r="P146" i="119"/>
  <c r="P145" i="119"/>
  <c r="P144" i="119"/>
  <c r="P535" i="119"/>
  <c r="P534" i="119"/>
  <c r="P533" i="119"/>
  <c r="P532" i="119"/>
  <c r="P838" i="119"/>
  <c r="P837" i="119"/>
  <c r="P836" i="119"/>
  <c r="P835" i="119"/>
  <c r="P666" i="119"/>
  <c r="P143" i="119"/>
  <c r="P142" i="119"/>
  <c r="P141" i="119"/>
  <c r="P140" i="119"/>
  <c r="P139" i="119"/>
  <c r="P320" i="119"/>
  <c r="P319" i="119"/>
  <c r="P318" i="119"/>
  <c r="P317" i="119"/>
  <c r="P316" i="119"/>
  <c r="P315" i="119"/>
  <c r="P314" i="119"/>
  <c r="P665" i="119"/>
  <c r="P664" i="119"/>
  <c r="P313" i="119"/>
  <c r="P312" i="119"/>
  <c r="P311" i="119"/>
  <c r="P310" i="119"/>
  <c r="P531" i="119"/>
  <c r="P530" i="119"/>
  <c r="P529" i="119"/>
  <c r="P528" i="119"/>
  <c r="P527" i="119"/>
  <c r="P526" i="119"/>
  <c r="P525" i="119"/>
  <c r="P138" i="119"/>
  <c r="P137" i="119"/>
  <c r="P136" i="119"/>
  <c r="P135" i="119"/>
  <c r="P134" i="119"/>
  <c r="P133" i="119"/>
  <c r="P132" i="119"/>
  <c r="P309" i="119"/>
  <c r="P308" i="119"/>
  <c r="P307" i="119"/>
  <c r="P306" i="119"/>
  <c r="P305" i="119"/>
  <c r="P304" i="119"/>
  <c r="P303" i="119"/>
  <c r="P302" i="119"/>
  <c r="P663" i="119"/>
  <c r="P662" i="119"/>
  <c r="P834" i="119"/>
  <c r="P301" i="119"/>
  <c r="P300" i="119"/>
  <c r="P299" i="119"/>
  <c r="P131" i="119"/>
  <c r="P298" i="119"/>
  <c r="P297" i="119"/>
  <c r="P296" i="119"/>
  <c r="P833" i="119"/>
  <c r="P832" i="119"/>
  <c r="P130" i="119"/>
  <c r="P129" i="119"/>
  <c r="P295" i="119"/>
  <c r="P831" i="119"/>
  <c r="P830" i="119"/>
  <c r="P829" i="119"/>
  <c r="P828" i="119"/>
  <c r="P827" i="119"/>
  <c r="P826" i="119"/>
  <c r="P128" i="119"/>
  <c r="P127" i="119"/>
  <c r="P126" i="119"/>
  <c r="P125" i="119"/>
  <c r="P825" i="119"/>
  <c r="P824" i="119"/>
  <c r="P823" i="119"/>
  <c r="P822" i="119"/>
  <c r="P821" i="119"/>
  <c r="P124" i="119"/>
  <c r="P123" i="119"/>
  <c r="P122" i="119"/>
  <c r="P121" i="119"/>
  <c r="P120" i="119"/>
  <c r="P119" i="119"/>
  <c r="P524" i="119"/>
  <c r="P661" i="119"/>
  <c r="P660" i="119"/>
  <c r="P659" i="119"/>
  <c r="P118" i="119"/>
  <c r="P117" i="119"/>
  <c r="P116" i="119"/>
  <c r="P523" i="119"/>
  <c r="P522" i="119"/>
  <c r="P820" i="119"/>
  <c r="P819" i="119"/>
  <c r="P818" i="119"/>
  <c r="P817" i="119"/>
  <c r="P115" i="119"/>
  <c r="P114" i="119"/>
  <c r="P113" i="119"/>
  <c r="P658" i="119"/>
  <c r="P657" i="119"/>
  <c r="P656" i="119"/>
  <c r="P816" i="119"/>
  <c r="P815" i="119"/>
  <c r="P814" i="119"/>
  <c r="P813" i="119"/>
  <c r="P812" i="119"/>
  <c r="P811" i="119"/>
  <c r="P810" i="119"/>
  <c r="P809" i="119"/>
  <c r="P655" i="119"/>
  <c r="P654" i="119"/>
  <c r="P112" i="119"/>
  <c r="P111" i="119"/>
  <c r="P110" i="119"/>
  <c r="P109" i="119"/>
  <c r="P521" i="119"/>
  <c r="P520" i="119"/>
  <c r="P519" i="119"/>
  <c r="P518" i="119"/>
  <c r="P808" i="119"/>
  <c r="P807" i="119"/>
  <c r="P653" i="119"/>
  <c r="P652" i="119"/>
  <c r="P517" i="119"/>
  <c r="P516" i="119"/>
  <c r="P515" i="119"/>
  <c r="P651" i="119"/>
  <c r="P806" i="119"/>
  <c r="P805" i="119"/>
  <c r="P804" i="119"/>
  <c r="P803" i="119"/>
  <c r="P294" i="119"/>
  <c r="P293" i="119"/>
  <c r="P292" i="119"/>
  <c r="P291" i="119"/>
  <c r="P290" i="119"/>
  <c r="P289" i="119"/>
  <c r="P108" i="119"/>
  <c r="P107" i="119"/>
  <c r="P106" i="119"/>
  <c r="P105" i="119"/>
  <c r="P104" i="119"/>
  <c r="P103" i="119"/>
  <c r="P102" i="119"/>
  <c r="P101" i="119"/>
  <c r="P514" i="119"/>
  <c r="P650" i="119"/>
  <c r="P649" i="119"/>
  <c r="P648" i="119"/>
  <c r="P802" i="119"/>
  <c r="P801" i="119"/>
  <c r="P800" i="119"/>
  <c r="P799" i="119"/>
  <c r="P798" i="119"/>
  <c r="P100" i="119"/>
  <c r="P99" i="119"/>
  <c r="P98" i="119"/>
  <c r="P97" i="119"/>
  <c r="P96" i="119"/>
  <c r="P95" i="119"/>
  <c r="P94" i="119"/>
  <c r="P93" i="119"/>
  <c r="P288" i="119"/>
  <c r="P287" i="119"/>
  <c r="P286" i="119"/>
  <c r="P285" i="119"/>
  <c r="P284" i="119"/>
  <c r="P283" i="119"/>
  <c r="P513" i="119"/>
  <c r="P512" i="119"/>
  <c r="P511" i="119"/>
  <c r="P510" i="119"/>
  <c r="P509" i="119"/>
  <c r="P508" i="119"/>
  <c r="P92" i="119"/>
  <c r="P91" i="119"/>
  <c r="P797" i="119"/>
  <c r="P796" i="119"/>
  <c r="P795" i="119"/>
  <c r="P794" i="119"/>
  <c r="P507" i="119"/>
  <c r="P647" i="119"/>
  <c r="P646" i="119"/>
  <c r="P645" i="119"/>
  <c r="P90" i="119"/>
  <c r="P89" i="119"/>
  <c r="P506" i="119"/>
  <c r="P505" i="119"/>
  <c r="P504" i="119"/>
  <c r="P282" i="119"/>
  <c r="P281" i="119"/>
  <c r="P280" i="119"/>
  <c r="P793" i="119"/>
  <c r="P792" i="119"/>
  <c r="P791" i="119"/>
  <c r="P790" i="119"/>
  <c r="P789" i="119"/>
  <c r="P644" i="119"/>
  <c r="P643" i="119"/>
  <c r="P642" i="119"/>
  <c r="P279" i="119"/>
  <c r="P278" i="119"/>
  <c r="P277" i="119"/>
  <c r="P788" i="119"/>
  <c r="P787" i="119"/>
  <c r="P786" i="119"/>
  <c r="P785" i="119"/>
  <c r="P784" i="119"/>
  <c r="P641" i="119"/>
  <c r="P640" i="119"/>
  <c r="P639" i="119"/>
  <c r="P276" i="119"/>
  <c r="P503" i="119"/>
  <c r="P502" i="119"/>
  <c r="P501" i="119"/>
  <c r="P500" i="119"/>
  <c r="P499" i="119"/>
  <c r="P498" i="119"/>
  <c r="P275" i="119"/>
  <c r="P274" i="119"/>
  <c r="P273" i="119"/>
  <c r="P88" i="119"/>
  <c r="P87" i="119"/>
  <c r="P638" i="119"/>
  <c r="P637" i="119"/>
  <c r="P636" i="119"/>
  <c r="P86" i="119"/>
  <c r="P85" i="119"/>
  <c r="P84" i="119"/>
  <c r="P83" i="119"/>
  <c r="P82" i="119"/>
  <c r="P81" i="119"/>
  <c r="P80" i="119"/>
  <c r="P79" i="119"/>
  <c r="P497" i="119"/>
  <c r="P496" i="119"/>
  <c r="P495" i="119"/>
  <c r="P494" i="119"/>
  <c r="P493" i="119"/>
  <c r="P492" i="119"/>
  <c r="P491" i="119"/>
  <c r="P635" i="119"/>
  <c r="P634" i="119"/>
  <c r="P633" i="119"/>
  <c r="P632" i="119"/>
  <c r="P631" i="119"/>
  <c r="P630" i="119"/>
  <c r="P629" i="119"/>
  <c r="P628" i="119"/>
  <c r="P783" i="119"/>
  <c r="P782" i="119"/>
  <c r="P78" i="119"/>
  <c r="P77" i="119"/>
  <c r="P490" i="119"/>
  <c r="P489" i="119"/>
  <c r="P488" i="119"/>
  <c r="P487" i="119"/>
  <c r="P486" i="119"/>
  <c r="P485" i="119"/>
  <c r="P484" i="119"/>
  <c r="P483" i="119"/>
  <c r="P76" i="119"/>
  <c r="P482" i="119"/>
  <c r="P481" i="119"/>
  <c r="P480" i="119"/>
  <c r="P479" i="119"/>
  <c r="P478" i="119"/>
  <c r="P781" i="119"/>
  <c r="P780" i="119"/>
  <c r="P779" i="119"/>
  <c r="P272" i="119"/>
  <c r="P271" i="119"/>
  <c r="P270" i="119"/>
  <c r="P269" i="119"/>
  <c r="P268" i="119"/>
  <c r="P267" i="119"/>
  <c r="P266" i="119"/>
  <c r="P265" i="119"/>
  <c r="P264" i="119"/>
  <c r="P627" i="119"/>
  <c r="P626" i="119"/>
  <c r="P625" i="119"/>
  <c r="P624" i="119"/>
  <c r="P263" i="119"/>
  <c r="P262" i="119"/>
  <c r="P477" i="119"/>
  <c r="P623" i="119"/>
  <c r="P622" i="119"/>
  <c r="P621" i="119"/>
  <c r="P620" i="119"/>
  <c r="P476" i="119"/>
  <c r="P475" i="119"/>
  <c r="P75" i="119"/>
  <c r="P74" i="119"/>
  <c r="P778" i="119"/>
  <c r="P777" i="119"/>
  <c r="P261" i="119"/>
  <c r="P260" i="119"/>
  <c r="P776" i="119"/>
  <c r="P775" i="119"/>
  <c r="P774" i="119"/>
  <c r="P773" i="119"/>
  <c r="P772" i="119"/>
  <c r="P474" i="119"/>
  <c r="P473" i="119"/>
  <c r="P472" i="119"/>
  <c r="P471" i="119"/>
  <c r="P470" i="119"/>
  <c r="P73" i="119"/>
  <c r="P771" i="119"/>
  <c r="P469" i="119"/>
  <c r="P468" i="119"/>
  <c r="P467" i="119"/>
  <c r="P466" i="119"/>
  <c r="P465" i="119"/>
  <c r="P464" i="119"/>
  <c r="P463" i="119"/>
  <c r="P462" i="119"/>
  <c r="P461" i="119"/>
  <c r="P770" i="119"/>
  <c r="P769" i="119"/>
  <c r="P768" i="119"/>
  <c r="P619" i="119"/>
  <c r="P618" i="119"/>
  <c r="P72" i="119"/>
  <c r="P71" i="119"/>
  <c r="P70" i="119"/>
  <c r="P460" i="119"/>
  <c r="P459" i="119"/>
  <c r="P259" i="119"/>
  <c r="P258" i="119"/>
  <c r="P767" i="119"/>
  <c r="P617" i="119"/>
  <c r="P616" i="119"/>
  <c r="P615" i="119"/>
  <c r="P614" i="119"/>
  <c r="P613" i="119"/>
  <c r="P612" i="119"/>
  <c r="P458" i="119"/>
  <c r="P611" i="119"/>
  <c r="P610" i="119"/>
  <c r="P609" i="119"/>
  <c r="P608" i="119"/>
  <c r="P607" i="119"/>
  <c r="P766" i="119"/>
  <c r="P765" i="119"/>
  <c r="P764" i="119"/>
  <c r="P763" i="119"/>
  <c r="P762" i="119"/>
  <c r="P761" i="119"/>
  <c r="P69" i="119"/>
  <c r="P68" i="119"/>
  <c r="P457" i="119"/>
  <c r="P760" i="119"/>
  <c r="P759" i="119"/>
  <c r="P758" i="119"/>
  <c r="P757" i="119"/>
  <c r="P606" i="119"/>
  <c r="P456" i="119"/>
  <c r="P455" i="119"/>
  <c r="P454" i="119"/>
  <c r="P605" i="119"/>
  <c r="P604" i="119"/>
  <c r="P603" i="119"/>
  <c r="P257" i="119"/>
  <c r="P256" i="119"/>
  <c r="P255" i="119"/>
  <c r="P254" i="119"/>
  <c r="P67" i="119"/>
  <c r="P66" i="119"/>
  <c r="P65" i="119"/>
  <c r="P64" i="119"/>
  <c r="P63" i="119"/>
  <c r="P62" i="119"/>
  <c r="P61" i="119"/>
  <c r="P60" i="119"/>
  <c r="P857" i="119"/>
  <c r="P856" i="119"/>
  <c r="P855" i="119"/>
  <c r="P854" i="119"/>
  <c r="P253" i="119"/>
  <c r="P252" i="119"/>
  <c r="P453" i="119"/>
  <c r="P59" i="119"/>
  <c r="P58" i="119"/>
  <c r="P57" i="119"/>
  <c r="P56" i="119"/>
  <c r="P55" i="119"/>
  <c r="P54" i="119"/>
  <c r="P53" i="119"/>
  <c r="P52" i="119"/>
  <c r="P756" i="119"/>
  <c r="P251" i="119"/>
  <c r="P250" i="119"/>
  <c r="P249" i="119"/>
  <c r="P248" i="119"/>
  <c r="P247" i="119"/>
  <c r="P246" i="119"/>
  <c r="P245" i="119"/>
  <c r="P244" i="119"/>
  <c r="P243" i="119"/>
  <c r="P242" i="119"/>
  <c r="P452" i="119"/>
  <c r="P451" i="119"/>
  <c r="P450" i="119"/>
  <c r="P449" i="119"/>
  <c r="P448" i="119"/>
  <c r="P447" i="119"/>
  <c r="P446" i="119"/>
  <c r="P445" i="119"/>
  <c r="P444" i="119"/>
  <c r="P443" i="119"/>
  <c r="P442" i="119"/>
  <c r="P441" i="119"/>
  <c r="P440" i="119"/>
  <c r="P439" i="119"/>
  <c r="P438" i="119"/>
  <c r="P51" i="119"/>
  <c r="P50" i="119"/>
  <c r="P49" i="119"/>
  <c r="P437" i="119"/>
  <c r="P436" i="119"/>
  <c r="P755" i="119"/>
  <c r="P754" i="119"/>
  <c r="P753" i="119"/>
  <c r="P752" i="119"/>
  <c r="P602" i="119"/>
  <c r="P601" i="119"/>
  <c r="P48" i="119"/>
  <c r="P47" i="119"/>
  <c r="P751" i="119"/>
  <c r="P750" i="119"/>
  <c r="P749" i="119"/>
  <c r="P748" i="119"/>
  <c r="P747" i="119"/>
  <c r="P241" i="119"/>
  <c r="P240" i="119"/>
  <c r="P239" i="119"/>
  <c r="P238" i="119"/>
  <c r="P237" i="119"/>
  <c r="P236" i="119"/>
  <c r="P235" i="119"/>
  <c r="P600" i="119"/>
  <c r="P599" i="119"/>
  <c r="P435" i="119"/>
  <c r="P434" i="119"/>
  <c r="P746" i="119"/>
  <c r="P745" i="119"/>
  <c r="P744" i="119"/>
  <c r="P234" i="119"/>
  <c r="P233" i="119"/>
  <c r="P743" i="119"/>
  <c r="P742" i="119"/>
  <c r="P741" i="119"/>
  <c r="P740" i="119"/>
  <c r="P739" i="119"/>
  <c r="P738" i="119"/>
  <c r="P737" i="119"/>
  <c r="P232" i="119"/>
  <c r="P231" i="119"/>
  <c r="P230" i="119"/>
  <c r="P229" i="119"/>
  <c r="P228" i="119"/>
  <c r="P433" i="119"/>
  <c r="P432" i="119"/>
  <c r="P46" i="119"/>
  <c r="P45" i="119"/>
  <c r="P44" i="119"/>
  <c r="P43" i="119"/>
  <c r="P42" i="119"/>
  <c r="P41" i="119"/>
  <c r="P736" i="119"/>
  <c r="P735" i="119"/>
  <c r="P734" i="119"/>
  <c r="P733" i="119"/>
  <c r="P732" i="119"/>
  <c r="P731" i="119"/>
  <c r="P730" i="119"/>
  <c r="P729" i="119"/>
  <c r="P431" i="119"/>
  <c r="P430" i="119"/>
  <c r="P429" i="119"/>
  <c r="P428" i="119"/>
  <c r="P227" i="119"/>
  <c r="P226" i="119"/>
  <c r="P225" i="119"/>
  <c r="P224" i="119"/>
  <c r="P223" i="119"/>
  <c r="P222" i="119"/>
  <c r="P221" i="119"/>
  <c r="P220" i="119"/>
  <c r="P219" i="119"/>
  <c r="P728" i="119"/>
  <c r="P727" i="119"/>
  <c r="P726" i="119"/>
  <c r="P598" i="119"/>
  <c r="P597" i="119"/>
  <c r="P596" i="119"/>
  <c r="P595" i="119"/>
  <c r="P594" i="119"/>
  <c r="P218" i="119"/>
  <c r="P217" i="119"/>
  <c r="P216" i="119"/>
  <c r="P215" i="119"/>
  <c r="P214" i="119"/>
  <c r="P213" i="119"/>
  <c r="P212" i="119"/>
  <c r="P211" i="119"/>
  <c r="P210" i="119"/>
  <c r="P40" i="119"/>
  <c r="P39" i="119"/>
  <c r="P38" i="119"/>
  <c r="P427" i="119"/>
  <c r="P426" i="119"/>
  <c r="P425" i="119"/>
  <c r="P209" i="119"/>
  <c r="P208" i="119"/>
  <c r="P207" i="119"/>
  <c r="P725" i="119"/>
  <c r="P724" i="119"/>
  <c r="P723" i="119"/>
  <c r="P722" i="119"/>
  <c r="P721" i="119"/>
  <c r="P720" i="119"/>
  <c r="P719" i="119"/>
  <c r="P718" i="119"/>
  <c r="P717" i="119"/>
  <c r="P716" i="119"/>
  <c r="P424" i="119"/>
  <c r="P37" i="119"/>
  <c r="P593" i="119"/>
  <c r="P715" i="119"/>
  <c r="P714" i="119"/>
  <c r="P713" i="119"/>
  <c r="P36" i="119"/>
  <c r="P35" i="119"/>
  <c r="P34" i="119"/>
  <c r="P592" i="119"/>
  <c r="P591" i="119"/>
  <c r="P590" i="119"/>
  <c r="P589" i="119"/>
  <c r="P588" i="119"/>
  <c r="P587" i="119"/>
  <c r="P586" i="119"/>
  <c r="P585" i="119"/>
  <c r="P206" i="119"/>
  <c r="P205" i="119"/>
  <c r="P204" i="119"/>
  <c r="P203" i="119"/>
  <c r="P202" i="119"/>
  <c r="P712" i="119"/>
  <c r="P423" i="119"/>
  <c r="P422" i="119"/>
  <c r="P421" i="119"/>
  <c r="P201" i="119"/>
  <c r="P200" i="119"/>
  <c r="P199" i="119"/>
  <c r="P711" i="119"/>
  <c r="P710" i="119"/>
  <c r="P709" i="119"/>
  <c r="P708" i="119"/>
  <c r="P707" i="119"/>
  <c r="P706" i="119"/>
  <c r="P705" i="119"/>
  <c r="P704" i="119"/>
  <c r="P703" i="119"/>
  <c r="P702" i="119"/>
  <c r="P420" i="119"/>
  <c r="P419" i="119"/>
  <c r="P418" i="119"/>
  <c r="P417" i="119"/>
  <c r="P416" i="119"/>
  <c r="P415" i="119"/>
  <c r="P414" i="119"/>
  <c r="P413" i="119"/>
  <c r="P412" i="119"/>
  <c r="P411" i="119"/>
  <c r="P410" i="119"/>
  <c r="P409" i="119"/>
  <c r="P701" i="119"/>
  <c r="P700" i="119"/>
  <c r="P699" i="119"/>
  <c r="P698" i="119"/>
  <c r="P198" i="119"/>
  <c r="P197" i="119"/>
  <c r="P196" i="119"/>
  <c r="P195" i="119"/>
  <c r="P194" i="119"/>
  <c r="P584" i="119"/>
  <c r="P583" i="119"/>
  <c r="P582" i="119"/>
  <c r="P33" i="119"/>
  <c r="P32" i="119"/>
  <c r="P31" i="119"/>
  <c r="P30" i="119"/>
  <c r="P29" i="119"/>
  <c r="P28" i="119"/>
  <c r="P27" i="119"/>
  <c r="P26" i="119"/>
  <c r="P581" i="119"/>
  <c r="P193" i="119"/>
  <c r="P192" i="119"/>
  <c r="P580" i="119"/>
  <c r="P579" i="119"/>
  <c r="P697" i="119"/>
  <c r="P696" i="119"/>
  <c r="P695" i="119"/>
  <c r="P694" i="119"/>
  <c r="P693" i="119"/>
  <c r="P408" i="119"/>
  <c r="P407" i="119"/>
  <c r="P406" i="119"/>
  <c r="P405" i="119"/>
  <c r="P692" i="119"/>
  <c r="P691" i="119"/>
  <c r="P404" i="119"/>
  <c r="P403" i="119"/>
  <c r="P402" i="119"/>
  <c r="P401" i="119"/>
  <c r="P400" i="119"/>
  <c r="P399" i="119"/>
  <c r="P398" i="119"/>
  <c r="P397" i="119"/>
  <c r="P396" i="119"/>
  <c r="P395" i="119"/>
  <c r="P394" i="119"/>
  <c r="P393" i="119"/>
  <c r="P392" i="119"/>
  <c r="P391" i="119"/>
  <c r="P390" i="119"/>
  <c r="P389" i="119"/>
  <c r="P388" i="119"/>
  <c r="P387" i="119"/>
  <c r="P386" i="119"/>
  <c r="P385" i="119"/>
  <c r="P191" i="119"/>
  <c r="P190" i="119"/>
  <c r="P25" i="119"/>
  <c r="P24" i="119"/>
  <c r="P23" i="119"/>
  <c r="P22" i="119"/>
  <c r="P21" i="119"/>
  <c r="P20" i="119"/>
  <c r="P19" i="119"/>
  <c r="P18" i="119"/>
  <c r="P690" i="119"/>
  <c r="P689" i="119"/>
  <c r="P17" i="119"/>
  <c r="P16" i="119"/>
  <c r="P15" i="119"/>
  <c r="P189" i="119"/>
  <c r="P188" i="119"/>
  <c r="P187" i="119"/>
  <c r="P14" i="119"/>
  <c r="P13" i="119"/>
  <c r="P186" i="119"/>
  <c r="P185" i="119"/>
  <c r="P184" i="119"/>
  <c r="P183" i="119"/>
  <c r="P12" i="119"/>
  <c r="P11" i="119"/>
  <c r="P10" i="119"/>
  <c r="P384" i="119"/>
  <c r="P383" i="119"/>
  <c r="P382" i="119"/>
  <c r="P381" i="119"/>
  <c r="P380" i="119"/>
  <c r="P379" i="119"/>
  <c r="P578" i="119"/>
  <c r="P577" i="119"/>
  <c r="P576" i="119"/>
  <c r="P575" i="119"/>
  <c r="P574" i="119"/>
  <c r="P573" i="119"/>
  <c r="P572" i="119"/>
  <c r="P571" i="119"/>
  <c r="P570" i="119"/>
  <c r="P569" i="119"/>
  <c r="P568" i="119"/>
  <c r="P378" i="119"/>
  <c r="P377" i="119"/>
  <c r="P376" i="119"/>
  <c r="P375" i="119"/>
  <c r="P374" i="119"/>
  <c r="P567" i="119"/>
  <c r="P566" i="119"/>
  <c r="P688" i="119"/>
  <c r="P687" i="119"/>
  <c r="P686" i="119"/>
  <c r="P685" i="119"/>
  <c r="P9" i="119"/>
  <c r="P8" i="119"/>
  <c r="P7" i="119"/>
  <c r="P6" i="119"/>
  <c r="P373" i="119"/>
  <c r="P372" i="119"/>
  <c r="P371" i="119"/>
  <c r="P370" i="119"/>
  <c r="P369" i="119"/>
  <c r="P182" i="119"/>
  <c r="P181" i="119"/>
  <c r="P180" i="119"/>
  <c r="P179" i="119"/>
  <c r="P178" i="119"/>
  <c r="P177" i="119"/>
  <c r="P5" i="119"/>
  <c r="P4" i="119"/>
  <c r="P3" i="119"/>
  <c r="P2" i="119"/>
  <c r="P368" i="119"/>
  <c r="P367" i="119"/>
  <c r="P366" i="119"/>
  <c r="P565" i="119"/>
  <c r="P564" i="119"/>
  <c r="P563" i="119"/>
  <c r="P562" i="119"/>
  <c r="P561" i="119"/>
  <c r="P365" i="119"/>
  <c r="P364" i="119"/>
  <c r="P363" i="119"/>
  <c r="P362" i="119"/>
  <c r="P560" i="119"/>
  <c r="P559" i="119"/>
  <c r="P558" i="119"/>
  <c r="P557" i="119"/>
  <c r="P361" i="119"/>
  <c r="P360" i="119"/>
  <c r="O2906" i="119"/>
  <c r="O2905" i="119"/>
  <c r="O2904" i="119"/>
  <c r="O2903" i="119"/>
  <c r="O2902" i="119"/>
  <c r="O2901" i="119"/>
  <c r="O2900" i="119"/>
  <c r="O2899" i="119"/>
  <c r="O2898" i="119"/>
  <c r="O2897" i="119"/>
  <c r="O2896" i="119"/>
  <c r="O2895" i="119"/>
  <c r="O2894" i="119"/>
  <c r="O2893" i="119"/>
  <c r="O2892" i="119"/>
  <c r="O2891" i="119"/>
  <c r="O2890" i="119"/>
  <c r="O2889" i="119"/>
  <c r="O2888" i="119"/>
  <c r="O2887" i="119"/>
  <c r="O2886" i="119"/>
  <c r="O2885" i="119"/>
  <c r="O2884" i="119"/>
  <c r="O2883" i="119"/>
  <c r="O2882" i="119"/>
  <c r="O2881" i="119"/>
  <c r="O2880" i="119"/>
  <c r="O2879" i="119"/>
  <c r="O2878" i="119"/>
  <c r="O2877" i="119"/>
  <c r="O2876" i="119"/>
  <c r="O2875" i="119"/>
  <c r="O2874" i="119"/>
  <c r="O2873" i="119"/>
  <c r="O2872" i="119"/>
  <c r="O2871" i="119"/>
  <c r="O2870" i="119"/>
  <c r="O2869" i="119"/>
  <c r="O2868" i="119"/>
  <c r="O2867" i="119"/>
  <c r="O2866" i="119"/>
  <c r="O2865" i="119"/>
  <c r="O2864" i="119"/>
  <c r="O2863" i="119"/>
  <c r="O2862" i="119"/>
  <c r="O2861" i="119"/>
  <c r="O2860" i="119"/>
  <c r="O2859" i="119"/>
  <c r="O2858" i="119"/>
  <c r="O2857" i="119"/>
  <c r="O2856" i="119"/>
  <c r="O2855" i="119"/>
  <c r="O2854" i="119"/>
  <c r="O2853" i="119"/>
  <c r="O2852" i="119"/>
  <c r="O2851" i="119"/>
  <c r="O2850" i="119"/>
  <c r="O2849" i="119"/>
  <c r="O2848" i="119"/>
  <c r="O2847" i="119"/>
  <c r="O2846" i="119"/>
  <c r="O2845" i="119"/>
  <c r="O2844" i="119"/>
  <c r="O2843" i="119"/>
  <c r="O2842" i="119"/>
  <c r="O2841" i="119"/>
  <c r="O2840" i="119"/>
  <c r="O2839" i="119"/>
  <c r="O2838" i="119"/>
  <c r="O2837" i="119"/>
  <c r="O2836" i="119"/>
  <c r="O2835" i="119"/>
  <c r="O2834" i="119"/>
  <c r="O2833" i="119"/>
  <c r="O2832" i="119"/>
  <c r="O2831" i="119"/>
  <c r="O2830" i="119"/>
  <c r="O2829" i="119"/>
  <c r="O2828" i="119"/>
  <c r="O2827" i="119"/>
  <c r="O2826" i="119"/>
  <c r="O2825" i="119"/>
  <c r="O2824" i="119"/>
  <c r="O2823" i="119"/>
  <c r="O2822" i="119"/>
  <c r="O2821" i="119"/>
  <c r="O2820" i="119"/>
  <c r="O2819" i="119"/>
  <c r="O2818" i="119"/>
  <c r="O2817" i="119"/>
  <c r="O2816" i="119"/>
  <c r="O2815" i="119"/>
  <c r="O2814" i="119"/>
  <c r="O2813" i="119"/>
  <c r="O2812" i="119"/>
  <c r="O2811" i="119"/>
  <c r="O2810" i="119"/>
  <c r="O2809" i="119"/>
  <c r="O2808" i="119"/>
  <c r="O2807" i="119"/>
  <c r="O2806" i="119"/>
  <c r="O2805" i="119"/>
  <c r="O2804" i="119"/>
  <c r="O2803" i="119"/>
  <c r="O2802" i="119"/>
  <c r="O2801" i="119"/>
  <c r="O2800" i="119"/>
  <c r="O2799" i="119"/>
  <c r="O2798" i="119"/>
  <c r="O2797" i="119"/>
  <c r="O2796" i="119"/>
  <c r="O2795" i="119"/>
  <c r="O2794" i="119"/>
  <c r="O2793" i="119"/>
  <c r="O2792" i="119"/>
  <c r="O2791" i="119"/>
  <c r="O2790" i="119"/>
  <c r="O2789" i="119"/>
  <c r="O2788" i="119"/>
  <c r="O2787" i="119"/>
  <c r="O2786" i="119"/>
  <c r="O2785" i="119"/>
  <c r="O2784" i="119"/>
  <c r="O2783" i="119"/>
  <c r="O2782" i="119"/>
  <c r="O2781" i="119"/>
  <c r="O2780" i="119"/>
  <c r="O2779" i="119"/>
  <c r="O2778" i="119"/>
  <c r="O2777" i="119"/>
  <c r="O2776" i="119"/>
  <c r="O2775" i="119"/>
  <c r="O2774" i="119"/>
  <c r="O2773" i="119"/>
  <c r="O2772" i="119"/>
  <c r="O2771" i="119"/>
  <c r="O2770" i="119"/>
  <c r="O2769" i="119"/>
  <c r="O2768" i="119"/>
  <c r="O2767" i="119"/>
  <c r="O2766" i="119"/>
  <c r="O2765" i="119"/>
  <c r="O2764" i="119"/>
  <c r="O2763" i="119"/>
  <c r="O2762" i="119"/>
  <c r="O2761" i="119"/>
  <c r="O2760" i="119"/>
  <c r="O2759" i="119"/>
  <c r="O2758" i="119"/>
  <c r="O2757" i="119"/>
  <c r="O2756" i="119"/>
  <c r="O2755" i="119"/>
  <c r="O2754" i="119"/>
  <c r="O2753" i="119"/>
  <c r="O2752" i="119"/>
  <c r="O2751" i="119"/>
  <c r="O2750" i="119"/>
  <c r="O2749" i="119"/>
  <c r="O2748" i="119"/>
  <c r="O2747" i="119"/>
  <c r="O2746" i="119"/>
  <c r="O2745" i="119"/>
  <c r="O2744" i="119"/>
  <c r="O2743" i="119"/>
  <c r="O2742" i="119"/>
  <c r="O2741" i="119"/>
  <c r="O2740" i="119"/>
  <c r="O2739" i="119"/>
  <c r="O2738" i="119"/>
  <c r="O2737" i="119"/>
  <c r="O2736" i="119"/>
  <c r="O2735" i="119"/>
  <c r="O2734" i="119"/>
  <c r="O2733" i="119"/>
  <c r="O2732" i="119"/>
  <c r="O2731" i="119"/>
  <c r="O2730" i="119"/>
  <c r="O2729" i="119"/>
  <c r="O2728" i="119"/>
  <c r="O2727" i="119"/>
  <c r="O2726" i="119"/>
  <c r="O2725" i="119"/>
  <c r="O2724" i="119"/>
  <c r="O2723" i="119"/>
  <c r="O2722" i="119"/>
  <c r="O2721" i="119"/>
  <c r="O2720" i="119"/>
  <c r="O2719" i="119"/>
  <c r="O2718" i="119"/>
  <c r="O2717" i="119"/>
  <c r="O2716" i="119"/>
  <c r="O2715" i="119"/>
  <c r="O2714" i="119"/>
  <c r="O2713" i="119"/>
  <c r="O2712" i="119"/>
  <c r="O2711" i="119"/>
  <c r="O2710" i="119"/>
  <c r="O2709" i="119"/>
  <c r="O2708" i="119"/>
  <c r="O2707" i="119"/>
  <c r="O2706" i="119"/>
  <c r="O2705" i="119"/>
  <c r="O2704" i="119"/>
  <c r="O2703" i="119"/>
  <c r="O2702" i="119"/>
  <c r="O2701" i="119"/>
  <c r="O2700" i="119"/>
  <c r="O2699" i="119"/>
  <c r="O2698" i="119"/>
  <c r="O2697" i="119"/>
  <c r="O2696" i="119"/>
  <c r="O2695" i="119"/>
  <c r="O2694" i="119"/>
  <c r="O2693" i="119"/>
  <c r="O2692" i="119"/>
  <c r="O2691" i="119"/>
  <c r="O2690" i="119"/>
  <c r="O2689" i="119"/>
  <c r="O2688" i="119"/>
  <c r="O2687" i="119"/>
  <c r="O2686" i="119"/>
  <c r="O2685" i="119"/>
  <c r="O2684" i="119"/>
  <c r="O2683" i="119"/>
  <c r="O2682" i="119"/>
  <c r="O2681" i="119"/>
  <c r="O2680" i="119"/>
  <c r="O2679" i="119"/>
  <c r="O2678" i="119"/>
  <c r="O2677" i="119"/>
  <c r="O2676" i="119"/>
  <c r="O2675" i="119"/>
  <c r="O2674" i="119"/>
  <c r="O2673" i="119"/>
  <c r="O2672" i="119"/>
  <c r="O2671" i="119"/>
  <c r="O2670" i="119"/>
  <c r="O2669" i="119"/>
  <c r="O2668" i="119"/>
  <c r="O2667" i="119"/>
  <c r="O2666" i="119"/>
  <c r="O2665" i="119"/>
  <c r="O2664" i="119"/>
  <c r="O2663" i="119"/>
  <c r="O2662" i="119"/>
  <c r="O2661" i="119"/>
  <c r="O2660" i="119"/>
  <c r="O2659" i="119"/>
  <c r="O2658" i="119"/>
  <c r="O2657" i="119"/>
  <c r="O2656" i="119"/>
  <c r="O2655" i="119"/>
  <c r="O2654" i="119"/>
  <c r="O2653" i="119"/>
  <c r="O2652" i="119"/>
  <c r="O2651" i="119"/>
  <c r="O2650" i="119"/>
  <c r="O2649" i="119"/>
  <c r="O2648" i="119"/>
  <c r="O2647" i="119"/>
  <c r="O2646" i="119"/>
  <c r="O2645" i="119"/>
  <c r="O2644" i="119"/>
  <c r="O2643" i="119"/>
  <c r="O2642" i="119"/>
  <c r="O2641" i="119"/>
  <c r="O2640" i="119"/>
  <c r="O2639" i="119"/>
  <c r="O2638" i="119"/>
  <c r="O2637" i="119"/>
  <c r="O2636" i="119"/>
  <c r="O2635" i="119"/>
  <c r="O2634" i="119"/>
  <c r="O2633" i="119"/>
  <c r="O2632" i="119"/>
  <c r="O2631" i="119"/>
  <c r="O2630" i="119"/>
  <c r="O2629" i="119"/>
  <c r="O2628" i="119"/>
  <c r="O2627" i="119"/>
  <c r="O2626" i="119"/>
  <c r="O2625" i="119"/>
  <c r="O2624" i="119"/>
  <c r="O2623" i="119"/>
  <c r="O2622" i="119"/>
  <c r="O2621" i="119"/>
  <c r="O2620" i="119"/>
  <c r="O2619" i="119"/>
  <c r="O2618" i="119"/>
  <c r="O2617" i="119"/>
  <c r="O2616" i="119"/>
  <c r="O2615" i="119"/>
  <c r="O2614" i="119"/>
  <c r="O2613" i="119"/>
  <c r="O2612" i="119"/>
  <c r="O2611" i="119"/>
  <c r="O2610" i="119"/>
  <c r="O2609" i="119"/>
  <c r="O2608" i="119"/>
  <c r="O2607" i="119"/>
  <c r="O2606" i="119"/>
  <c r="O2605" i="119"/>
  <c r="O2604" i="119"/>
  <c r="O2603" i="119"/>
  <c r="O2602" i="119"/>
  <c r="O2601" i="119"/>
  <c r="O2600" i="119"/>
  <c r="O2599" i="119"/>
  <c r="O2598" i="119"/>
  <c r="O2597" i="119"/>
  <c r="O2596" i="119"/>
  <c r="O2595" i="119"/>
  <c r="O2594" i="119"/>
  <c r="O2593" i="119"/>
  <c r="O2592" i="119"/>
  <c r="O2591" i="119"/>
  <c r="O2590" i="119"/>
  <c r="O2589" i="119"/>
  <c r="O2588" i="119"/>
  <c r="O2587" i="119"/>
  <c r="O2586" i="119"/>
  <c r="O2585" i="119"/>
  <c r="O2584" i="119"/>
  <c r="O2583" i="119"/>
  <c r="O2582" i="119"/>
  <c r="O2581" i="119"/>
  <c r="O2580" i="119"/>
  <c r="O2579" i="119"/>
  <c r="O2578" i="119"/>
  <c r="O2577" i="119"/>
  <c r="O2576" i="119"/>
  <c r="O2575" i="119"/>
  <c r="O2574" i="119"/>
  <c r="O2573" i="119"/>
  <c r="O2572" i="119"/>
  <c r="O2571" i="119"/>
  <c r="O2570" i="119"/>
  <c r="O2569" i="119"/>
  <c r="O2568" i="119"/>
  <c r="O2567" i="119"/>
  <c r="O2566" i="119"/>
  <c r="O2565" i="119"/>
  <c r="O2564" i="119"/>
  <c r="O2563" i="119"/>
  <c r="O2562" i="119"/>
  <c r="O2561" i="119"/>
  <c r="O2560" i="119"/>
  <c r="O2559" i="119"/>
  <c r="O2558" i="119"/>
  <c r="O2557" i="119"/>
  <c r="O2556" i="119"/>
  <c r="O2555" i="119"/>
  <c r="O2554" i="119"/>
  <c r="O2553" i="119"/>
  <c r="O2552" i="119"/>
  <c r="O2551" i="119"/>
  <c r="O2550" i="119"/>
  <c r="O2549" i="119"/>
  <c r="O2548" i="119"/>
  <c r="O2547" i="119"/>
  <c r="O2546" i="119"/>
  <c r="O2545" i="119"/>
  <c r="O2544" i="119"/>
  <c r="O2543" i="119"/>
  <c r="O2542" i="119"/>
  <c r="O2541" i="119"/>
  <c r="O2540" i="119"/>
  <c r="O2539" i="119"/>
  <c r="O2538" i="119"/>
  <c r="O2537" i="119"/>
  <c r="O2536" i="119"/>
  <c r="O2535" i="119"/>
  <c r="O2534" i="119"/>
  <c r="O2533" i="119"/>
  <c r="O2532" i="119"/>
  <c r="O2531" i="119"/>
  <c r="O2530" i="119"/>
  <c r="O2529" i="119"/>
  <c r="O2528" i="119"/>
  <c r="O2527" i="119"/>
  <c r="O2526" i="119"/>
  <c r="O2525" i="119"/>
  <c r="O2524" i="119"/>
  <c r="O2523" i="119"/>
  <c r="O2522" i="119"/>
  <c r="O2521" i="119"/>
  <c r="O2520" i="119"/>
  <c r="O2519" i="119"/>
  <c r="O2518" i="119"/>
  <c r="O2517" i="119"/>
  <c r="O2516" i="119"/>
  <c r="O2515" i="119"/>
  <c r="O2514" i="119"/>
  <c r="O2513" i="119"/>
  <c r="O2512" i="119"/>
  <c r="O2511" i="119"/>
  <c r="O2510" i="119"/>
  <c r="O2509" i="119"/>
  <c r="O2508" i="119"/>
  <c r="O2507" i="119"/>
  <c r="O2506" i="119"/>
  <c r="O2505" i="119"/>
  <c r="O2504" i="119"/>
  <c r="O2503" i="119"/>
  <c r="O2502" i="119"/>
  <c r="O2501" i="119"/>
  <c r="O2500" i="119"/>
  <c r="O2499" i="119"/>
  <c r="O2498" i="119"/>
  <c r="O2497" i="119"/>
  <c r="O2496" i="119"/>
  <c r="O2495" i="119"/>
  <c r="O2494" i="119"/>
  <c r="O2493" i="119"/>
  <c r="O2492" i="119"/>
  <c r="O2491" i="119"/>
  <c r="O2490" i="119"/>
  <c r="O2489" i="119"/>
  <c r="O2488" i="119"/>
  <c r="O2487" i="119"/>
  <c r="O2486" i="119"/>
  <c r="O2485" i="119"/>
  <c r="O2484" i="119"/>
  <c r="O2483" i="119"/>
  <c r="O2482" i="119"/>
  <c r="O2481" i="119"/>
  <c r="O2480" i="119"/>
  <c r="O2479" i="119"/>
  <c r="O2478" i="119"/>
  <c r="O2477" i="119"/>
  <c r="O2476" i="119"/>
  <c r="O2475" i="119"/>
  <c r="O2474" i="119"/>
  <c r="O2473" i="119"/>
  <c r="O2472" i="119"/>
  <c r="O2471" i="119"/>
  <c r="O2470" i="119"/>
  <c r="O2469" i="119"/>
  <c r="O2468" i="119"/>
  <c r="O2467" i="119"/>
  <c r="O2466" i="119"/>
  <c r="O2465" i="119"/>
  <c r="O2464" i="119"/>
  <c r="O2463" i="119"/>
  <c r="O2462" i="119"/>
  <c r="O2461" i="119"/>
  <c r="O2460" i="119"/>
  <c r="O2459" i="119"/>
  <c r="O2458" i="119"/>
  <c r="O2457" i="119"/>
  <c r="O2456" i="119"/>
  <c r="O2455" i="119"/>
  <c r="O2454" i="119"/>
  <c r="O2453" i="119"/>
  <c r="O2452" i="119"/>
  <c r="O2451" i="119"/>
  <c r="O2450" i="119"/>
  <c r="O2449" i="119"/>
  <c r="O2448" i="119"/>
  <c r="O2447" i="119"/>
  <c r="O2446" i="119"/>
  <c r="O2445" i="119"/>
  <c r="O2444" i="119"/>
  <c r="O2443" i="119"/>
  <c r="O2442" i="119"/>
  <c r="O2441" i="119"/>
  <c r="O2440" i="119"/>
  <c r="O2439" i="119"/>
  <c r="O2438" i="119"/>
  <c r="O2437" i="119"/>
  <c r="O2436" i="119"/>
  <c r="O2435" i="119"/>
  <c r="O2434" i="119"/>
  <c r="O2433" i="119"/>
  <c r="O2432" i="119"/>
  <c r="O2431" i="119"/>
  <c r="O2430" i="119"/>
  <c r="O2429" i="119"/>
  <c r="O2428" i="119"/>
  <c r="O2427" i="119"/>
  <c r="O2426" i="119"/>
  <c r="O2425" i="119"/>
  <c r="O2424" i="119"/>
  <c r="O2423" i="119"/>
  <c r="O2422" i="119"/>
  <c r="O2421" i="119"/>
  <c r="O2420" i="119"/>
  <c r="O2419" i="119"/>
  <c r="O2418" i="119"/>
  <c r="O2417" i="119"/>
  <c r="O2416" i="119"/>
  <c r="O2415" i="119"/>
  <c r="O2414" i="119"/>
  <c r="O2413" i="119"/>
  <c r="O2412" i="119"/>
  <c r="O2411" i="119"/>
  <c r="O2410" i="119"/>
  <c r="O2409" i="119"/>
  <c r="O2408" i="119"/>
  <c r="O2407" i="119"/>
  <c r="O2406" i="119"/>
  <c r="O2405" i="119"/>
  <c r="O2404" i="119"/>
  <c r="O2403" i="119"/>
  <c r="O2402" i="119"/>
  <c r="O2401" i="119"/>
  <c r="O2400" i="119"/>
  <c r="O2399" i="119"/>
  <c r="O2398" i="119"/>
  <c r="O2397" i="119"/>
  <c r="O2396" i="119"/>
  <c r="O2395" i="119"/>
  <c r="O2394" i="119"/>
  <c r="O2393" i="119"/>
  <c r="O2392" i="119"/>
  <c r="O2391" i="119"/>
  <c r="O2390" i="119"/>
  <c r="O2389" i="119"/>
  <c r="O2388" i="119"/>
  <c r="O2387" i="119"/>
  <c r="O2386" i="119"/>
  <c r="O2385" i="119"/>
  <c r="O2384" i="119"/>
  <c r="O2383" i="119"/>
  <c r="O2382" i="119"/>
  <c r="O2381" i="119"/>
  <c r="O2380" i="119"/>
  <c r="O2379" i="119"/>
  <c r="O2378" i="119"/>
  <c r="O2377" i="119"/>
  <c r="O2376" i="119"/>
  <c r="O2375" i="119"/>
  <c r="O2374" i="119"/>
  <c r="O2373" i="119"/>
  <c r="O2372" i="119"/>
  <c r="O2371" i="119"/>
  <c r="O2370" i="119"/>
  <c r="O2369" i="119"/>
  <c r="O2368" i="119"/>
  <c r="O2367" i="119"/>
  <c r="O2366" i="119"/>
  <c r="O2365" i="119"/>
  <c r="O2364" i="119"/>
  <c r="O2363" i="119"/>
  <c r="O2362" i="119"/>
  <c r="O2361" i="119"/>
  <c r="O2360" i="119"/>
  <c r="O2359" i="119"/>
  <c r="O2358" i="119"/>
  <c r="O2357" i="119"/>
  <c r="O2356" i="119"/>
  <c r="O2355" i="119"/>
  <c r="O2354" i="119"/>
  <c r="O2353" i="119"/>
  <c r="O2352" i="119"/>
  <c r="O2351" i="119"/>
  <c r="O2350" i="119"/>
  <c r="O2349" i="119"/>
  <c r="O2348" i="119"/>
  <c r="O2347" i="119"/>
  <c r="O2346" i="119"/>
  <c r="O2345" i="119"/>
  <c r="O2344" i="119"/>
  <c r="O2343" i="119"/>
  <c r="O2342" i="119"/>
  <c r="O2341" i="119"/>
  <c r="O2340" i="119"/>
  <c r="O2339" i="119"/>
  <c r="O2338" i="119"/>
  <c r="O2337" i="119"/>
  <c r="O2336" i="119"/>
  <c r="O2335" i="119"/>
  <c r="O2334" i="119"/>
  <c r="O2333" i="119"/>
  <c r="O2332" i="119"/>
  <c r="O2331" i="119"/>
  <c r="O2330" i="119"/>
  <c r="O2329" i="119"/>
  <c r="O2328" i="119"/>
  <c r="O2327" i="119"/>
  <c r="O2326" i="119"/>
  <c r="O2325" i="119"/>
  <c r="O2324" i="119"/>
  <c r="O2323" i="119"/>
  <c r="O2322" i="119"/>
  <c r="O2321" i="119"/>
  <c r="O2320" i="119"/>
  <c r="O2319" i="119"/>
  <c r="O2318" i="119"/>
  <c r="O2317" i="119"/>
  <c r="O2316" i="119"/>
  <c r="O2315" i="119"/>
  <c r="O2314" i="119"/>
  <c r="O2313" i="119"/>
  <c r="O2312" i="119"/>
  <c r="O2311" i="119"/>
  <c r="O2310" i="119"/>
  <c r="O2309" i="119"/>
  <c r="O2308" i="119"/>
  <c r="O2307" i="119"/>
  <c r="O2306" i="119"/>
  <c r="O2305" i="119"/>
  <c r="O2304" i="119"/>
  <c r="O2303" i="119"/>
  <c r="O2302" i="119"/>
  <c r="O2301" i="119"/>
  <c r="O2300" i="119"/>
  <c r="O2299" i="119"/>
  <c r="O2298" i="119"/>
  <c r="O2297" i="119"/>
  <c r="O2296" i="119"/>
  <c r="O2295" i="119"/>
  <c r="O2294" i="119"/>
  <c r="O2293" i="119"/>
  <c r="O2292" i="119"/>
  <c r="O2291" i="119"/>
  <c r="O2290" i="119"/>
  <c r="O2289" i="119"/>
  <c r="O2288" i="119"/>
  <c r="O2287" i="119"/>
  <c r="O2286" i="119"/>
  <c r="O2285" i="119"/>
  <c r="O2284" i="119"/>
  <c r="O2283" i="119"/>
  <c r="O2282" i="119"/>
  <c r="O2281" i="119"/>
  <c r="O2280" i="119"/>
  <c r="O2279" i="119"/>
  <c r="O2278" i="119"/>
  <c r="O2277" i="119"/>
  <c r="O2276" i="119"/>
  <c r="O2275" i="119"/>
  <c r="O2274" i="119"/>
  <c r="O2273" i="119"/>
  <c r="O2272" i="119"/>
  <c r="O2271" i="119"/>
  <c r="O2270" i="119"/>
  <c r="O2269" i="119"/>
  <c r="O2268" i="119"/>
  <c r="O2267" i="119"/>
  <c r="O2266" i="119"/>
  <c r="O2265" i="119"/>
  <c r="O2264" i="119"/>
  <c r="O2263" i="119"/>
  <c r="O2262" i="119"/>
  <c r="O2261" i="119"/>
  <c r="O2260" i="119"/>
  <c r="O2259" i="119"/>
  <c r="O2258" i="119"/>
  <c r="O2257" i="119"/>
  <c r="O2256" i="119"/>
  <c r="O2255" i="119"/>
  <c r="O2254" i="119"/>
  <c r="O2253" i="119"/>
  <c r="O2252" i="119"/>
  <c r="O2251" i="119"/>
  <c r="O2250" i="119"/>
  <c r="O2249" i="119"/>
  <c r="O2248" i="119"/>
  <c r="O2247" i="119"/>
  <c r="O2246" i="119"/>
  <c r="O2245" i="119"/>
  <c r="O2244" i="119"/>
  <c r="O2243" i="119"/>
  <c r="O2242" i="119"/>
  <c r="O2241" i="119"/>
  <c r="O2240" i="119"/>
  <c r="O2239" i="119"/>
  <c r="O2238" i="119"/>
  <c r="O2237" i="119"/>
  <c r="O2236" i="119"/>
  <c r="O2235" i="119"/>
  <c r="O2234" i="119"/>
  <c r="O2233" i="119"/>
  <c r="O2232" i="119"/>
  <c r="O2231" i="119"/>
  <c r="O2230" i="119"/>
  <c r="O2229" i="119"/>
  <c r="O2228" i="119"/>
  <c r="O2227" i="119"/>
  <c r="O2226" i="119"/>
  <c r="O2225" i="119"/>
  <c r="O2224" i="119"/>
  <c r="O2223" i="119"/>
  <c r="O2222" i="119"/>
  <c r="O2221" i="119"/>
  <c r="O2220" i="119"/>
  <c r="O2219" i="119"/>
  <c r="O2218" i="119"/>
  <c r="O2217" i="119"/>
  <c r="O2216" i="119"/>
  <c r="O2215" i="119"/>
  <c r="O2214" i="119"/>
  <c r="O2213" i="119"/>
  <c r="O2212" i="119"/>
  <c r="O2211" i="119"/>
  <c r="O2210" i="119"/>
  <c r="O2209" i="119"/>
  <c r="O2208" i="119"/>
  <c r="O2207" i="119"/>
  <c r="O2206" i="119"/>
  <c r="O2205" i="119"/>
  <c r="O2204" i="119"/>
  <c r="O2203" i="119"/>
  <c r="O2202" i="119"/>
  <c r="O2201" i="119"/>
  <c r="O2200" i="119"/>
  <c r="O2199" i="119"/>
  <c r="O2198" i="119"/>
  <c r="O2197" i="119"/>
  <c r="O2196" i="119"/>
  <c r="O2195" i="119"/>
  <c r="O2194" i="119"/>
  <c r="O2193" i="119"/>
  <c r="O2192" i="119"/>
  <c r="O2191" i="119"/>
  <c r="O2190" i="119"/>
  <c r="O2189" i="119"/>
  <c r="O2188" i="119"/>
  <c r="O2187" i="119"/>
  <c r="O2186" i="119"/>
  <c r="O2185" i="119"/>
  <c r="O2184" i="119"/>
  <c r="O2183" i="119"/>
  <c r="O2182" i="119"/>
  <c r="O2181" i="119"/>
  <c r="O2180" i="119"/>
  <c r="O2179" i="119"/>
  <c r="O2178" i="119"/>
  <c r="O2177" i="119"/>
  <c r="O2176" i="119"/>
  <c r="O2175" i="119"/>
  <c r="O2174" i="119"/>
  <c r="O2173" i="119"/>
  <c r="O2172" i="119"/>
  <c r="O2171" i="119"/>
  <c r="O2170" i="119"/>
  <c r="O2169" i="119"/>
  <c r="O2168" i="119"/>
  <c r="O2167" i="119"/>
  <c r="O2166" i="119"/>
  <c r="O2165" i="119"/>
  <c r="O2164" i="119"/>
  <c r="O2163" i="119"/>
  <c r="O2162" i="119"/>
  <c r="O2161" i="119"/>
  <c r="O2160" i="119"/>
  <c r="O2159" i="119"/>
  <c r="O2158" i="119"/>
  <c r="O2157" i="119"/>
  <c r="O2156" i="119"/>
  <c r="O2155" i="119"/>
  <c r="O2154" i="119"/>
  <c r="O2153" i="119"/>
  <c r="O2152" i="119"/>
  <c r="O2151" i="119"/>
  <c r="O2150" i="119"/>
  <c r="O2149" i="119"/>
  <c r="O2148" i="119"/>
  <c r="O2147" i="119"/>
  <c r="O2146" i="119"/>
  <c r="O2145" i="119"/>
  <c r="O2144" i="119"/>
  <c r="O2143" i="119"/>
  <c r="O2142" i="119"/>
  <c r="O2141" i="119"/>
  <c r="O2140" i="119"/>
  <c r="O2139" i="119"/>
  <c r="O2138" i="119"/>
  <c r="O2137" i="119"/>
  <c r="O2136" i="119"/>
  <c r="O2135" i="119"/>
  <c r="O2134" i="119"/>
  <c r="O2133" i="119"/>
  <c r="O2132" i="119"/>
  <c r="O2131" i="119"/>
  <c r="O2130" i="119"/>
  <c r="O2129" i="119"/>
  <c r="O2128" i="119"/>
  <c r="O2127" i="119"/>
  <c r="O2126" i="119"/>
  <c r="O2125" i="119"/>
  <c r="O2124" i="119"/>
  <c r="O2123" i="119"/>
  <c r="O2122" i="119"/>
  <c r="O2121" i="119"/>
  <c r="O2120" i="119"/>
  <c r="O2119" i="119"/>
  <c r="O2118" i="119"/>
  <c r="O2117" i="119"/>
  <c r="O2116" i="119"/>
  <c r="O2115" i="119"/>
  <c r="O2114" i="119"/>
  <c r="O2113" i="119"/>
  <c r="O2112" i="119"/>
  <c r="O2111" i="119"/>
  <c r="O2110" i="119"/>
  <c r="O2109" i="119"/>
  <c r="O2108" i="119"/>
  <c r="O2107" i="119"/>
  <c r="O2106" i="119"/>
  <c r="O2105" i="119"/>
  <c r="O2104" i="119"/>
  <c r="O2103" i="119"/>
  <c r="O2102" i="119"/>
  <c r="O2101" i="119"/>
  <c r="O2100" i="119"/>
  <c r="O2099" i="119"/>
  <c r="O2098" i="119"/>
  <c r="O2097" i="119"/>
  <c r="O2096" i="119"/>
  <c r="O2095" i="119"/>
  <c r="O2094" i="119"/>
  <c r="O2093" i="119"/>
  <c r="O2092" i="119"/>
  <c r="O2091" i="119"/>
  <c r="O2090" i="119"/>
  <c r="O2089" i="119"/>
  <c r="O2088" i="119"/>
  <c r="O2087" i="119"/>
  <c r="O2086" i="119"/>
  <c r="O2085" i="119"/>
  <c r="O2084" i="119"/>
  <c r="O2083" i="119"/>
  <c r="O2082" i="119"/>
  <c r="O2081" i="119"/>
  <c r="O2080" i="119"/>
  <c r="O2079" i="119"/>
  <c r="O2078" i="119"/>
  <c r="O2077" i="119"/>
  <c r="O2076" i="119"/>
  <c r="O2075" i="119"/>
  <c r="O2074" i="119"/>
  <c r="O2073" i="119"/>
  <c r="O2072" i="119"/>
  <c r="O2071" i="119"/>
  <c r="O2070" i="119"/>
  <c r="O2069" i="119"/>
  <c r="O2068" i="119"/>
  <c r="O2067" i="119"/>
  <c r="O2066" i="119"/>
  <c r="O2065" i="119"/>
  <c r="O2064" i="119"/>
  <c r="O2063" i="119"/>
  <c r="O2062" i="119"/>
  <c r="O2061" i="119"/>
  <c r="O2060" i="119"/>
  <c r="O2059" i="119"/>
  <c r="O2058" i="119"/>
  <c r="O2057" i="119"/>
  <c r="O2056" i="119"/>
  <c r="O2055" i="119"/>
  <c r="O2054" i="119"/>
  <c r="O2053" i="119"/>
  <c r="O2052" i="119"/>
  <c r="O2051" i="119"/>
  <c r="O2050" i="119"/>
  <c r="O2049" i="119"/>
  <c r="O2048" i="119"/>
  <c r="O2047" i="119"/>
  <c r="O2046" i="119"/>
  <c r="O2045" i="119"/>
  <c r="O2044" i="119"/>
  <c r="O2043" i="119"/>
  <c r="O2042" i="119"/>
  <c r="O2041" i="119"/>
  <c r="O2040" i="119"/>
  <c r="O2039" i="119"/>
  <c r="O2038" i="119"/>
  <c r="O2037" i="119"/>
  <c r="O2036" i="119"/>
  <c r="O2035" i="119"/>
  <c r="O2034" i="119"/>
  <c r="O2033" i="119"/>
  <c r="O2032" i="119"/>
  <c r="O2031" i="119"/>
  <c r="O2030" i="119"/>
  <c r="O2029" i="119"/>
  <c r="O2028" i="119"/>
  <c r="O2027" i="119"/>
  <c r="O2026" i="119"/>
  <c r="O2025" i="119"/>
  <c r="O2024" i="119"/>
  <c r="O2023" i="119"/>
  <c r="O2022" i="119"/>
  <c r="O2021" i="119"/>
  <c r="O2020" i="119"/>
  <c r="O2019" i="119"/>
  <c r="O2018" i="119"/>
  <c r="O2017" i="119"/>
  <c r="O2016" i="119"/>
  <c r="O2015" i="119"/>
  <c r="O2014" i="119"/>
  <c r="O2013" i="119"/>
  <c r="O2012" i="119"/>
  <c r="O2011" i="119"/>
  <c r="O2010" i="119"/>
  <c r="O2009" i="119"/>
  <c r="O2008" i="119"/>
  <c r="O2007" i="119"/>
  <c r="O2006" i="119"/>
  <c r="O2005" i="119"/>
  <c r="O2004" i="119"/>
  <c r="O2003" i="119"/>
  <c r="O2002" i="119"/>
  <c r="O2001" i="119"/>
  <c r="O2000" i="119"/>
  <c r="O1999" i="119"/>
  <c r="O1998" i="119"/>
  <c r="O1997" i="119"/>
  <c r="O1996" i="119"/>
  <c r="O1995" i="119"/>
  <c r="O1994" i="119"/>
  <c r="O1993" i="119"/>
  <c r="O1992" i="119"/>
  <c r="O1991" i="119"/>
  <c r="O1990" i="119"/>
  <c r="O1989" i="119"/>
  <c r="O1988" i="119"/>
  <c r="O1987" i="119"/>
  <c r="O1986" i="119"/>
  <c r="O1985" i="119"/>
  <c r="O1984" i="119"/>
  <c r="O1983" i="119"/>
  <c r="O1982" i="119"/>
  <c r="O1981" i="119"/>
  <c r="O1980" i="119"/>
  <c r="O1979" i="119"/>
  <c r="O1978" i="119"/>
  <c r="O1977" i="119"/>
  <c r="O1976" i="119"/>
  <c r="O1975" i="119"/>
  <c r="O1974" i="119"/>
  <c r="O1973" i="119"/>
  <c r="O1972" i="119"/>
  <c r="O1971" i="119"/>
  <c r="O1970" i="119"/>
  <c r="O1969" i="119"/>
  <c r="O1968" i="119"/>
  <c r="O1967" i="119"/>
  <c r="O1966" i="119"/>
  <c r="O1965" i="119"/>
  <c r="O1964" i="119"/>
  <c r="O1963" i="119"/>
  <c r="O1962" i="119"/>
  <c r="O1961" i="119"/>
  <c r="O1960" i="119"/>
  <c r="O1959" i="119"/>
  <c r="O1958" i="119"/>
  <c r="O1957" i="119"/>
  <c r="O1956" i="119"/>
  <c r="O1955" i="119"/>
  <c r="O1954" i="119"/>
  <c r="O1953" i="119"/>
  <c r="O1952" i="119"/>
  <c r="O1951" i="119"/>
  <c r="O1950" i="119"/>
  <c r="O1949" i="119"/>
  <c r="O1948" i="119"/>
  <c r="O1947" i="119"/>
  <c r="O1946" i="119"/>
  <c r="O1945" i="119"/>
  <c r="O1944" i="119"/>
  <c r="O1943" i="119"/>
  <c r="O1942" i="119"/>
  <c r="O1941" i="119"/>
  <c r="O1940" i="119"/>
  <c r="O1939" i="119"/>
  <c r="O1938" i="119"/>
  <c r="O1937" i="119"/>
  <c r="O1936" i="119"/>
  <c r="O1935" i="119"/>
  <c r="O1934" i="119"/>
  <c r="O1933" i="119"/>
  <c r="O1932" i="119"/>
  <c r="O1931" i="119"/>
  <c r="O1930" i="119"/>
  <c r="O1929" i="119"/>
  <c r="O1928" i="119"/>
  <c r="O1927" i="119"/>
  <c r="O1926" i="119"/>
  <c r="O1925" i="119"/>
  <c r="O1924" i="119"/>
  <c r="O1923" i="119"/>
  <c r="O1922" i="119"/>
  <c r="O1921" i="119"/>
  <c r="O1920" i="119"/>
  <c r="O1919" i="119"/>
  <c r="O1918" i="119"/>
  <c r="O1917" i="119"/>
  <c r="O1916" i="119"/>
  <c r="O1915" i="119"/>
  <c r="O1914" i="119"/>
  <c r="O1913" i="119"/>
  <c r="O1912" i="119"/>
  <c r="O1911" i="119"/>
  <c r="O1910" i="119"/>
  <c r="O1909" i="119"/>
  <c r="O1908" i="119"/>
  <c r="O1907" i="119"/>
  <c r="O1906" i="119"/>
  <c r="O1905" i="119"/>
  <c r="O1904" i="119"/>
  <c r="O1903" i="119"/>
  <c r="O1902" i="119"/>
  <c r="O1901" i="119"/>
  <c r="O1900" i="119"/>
  <c r="O1899" i="119"/>
  <c r="O1898" i="119"/>
  <c r="O1897" i="119"/>
  <c r="O1896" i="119"/>
  <c r="O1895" i="119"/>
  <c r="O1894" i="119"/>
  <c r="O1893" i="119"/>
  <c r="O1892" i="119"/>
  <c r="O1891" i="119"/>
  <c r="O1890" i="119"/>
  <c r="O1889" i="119"/>
  <c r="O1888" i="119"/>
  <c r="O1887" i="119"/>
  <c r="O1886" i="119"/>
  <c r="O1885" i="119"/>
  <c r="O1884" i="119"/>
  <c r="O1883" i="119"/>
  <c r="O1882" i="119"/>
  <c r="O1881" i="119"/>
  <c r="O1880" i="119"/>
  <c r="O1879" i="119"/>
  <c r="O1878" i="119"/>
  <c r="O1877" i="119"/>
  <c r="O1876" i="119"/>
  <c r="O1875" i="119"/>
  <c r="O1874" i="119"/>
  <c r="O1873" i="119"/>
  <c r="O1872" i="119"/>
  <c r="O1871" i="119"/>
  <c r="O1870" i="119"/>
  <c r="O1869" i="119"/>
  <c r="O1868" i="119"/>
  <c r="O1867" i="119"/>
  <c r="O1866" i="119"/>
  <c r="O1865" i="119"/>
  <c r="O1864" i="119"/>
  <c r="O1863" i="119"/>
  <c r="O1862" i="119"/>
  <c r="O1861" i="119"/>
  <c r="O1860" i="119"/>
  <c r="O1859" i="119"/>
  <c r="O1858" i="119"/>
  <c r="O1857" i="119"/>
  <c r="O1856" i="119"/>
  <c r="O1855" i="119"/>
  <c r="O1854" i="119"/>
  <c r="O1853" i="119"/>
  <c r="O1852" i="119"/>
  <c r="O1851" i="119"/>
  <c r="O1850" i="119"/>
  <c r="O1849" i="119"/>
  <c r="O1848" i="119"/>
  <c r="O1847" i="119"/>
  <c r="O1846" i="119"/>
  <c r="O1845" i="119"/>
  <c r="O1844" i="119"/>
  <c r="O1843" i="119"/>
  <c r="O1842" i="119"/>
  <c r="O1841" i="119"/>
  <c r="O1840" i="119"/>
  <c r="O1839" i="119"/>
  <c r="O1838" i="119"/>
  <c r="O1837" i="119"/>
  <c r="O1836" i="119"/>
  <c r="O1835" i="119"/>
  <c r="O1834" i="119"/>
  <c r="O1833" i="119"/>
  <c r="O1832" i="119"/>
  <c r="O1831" i="119"/>
  <c r="O1830" i="119"/>
  <c r="O1829" i="119"/>
  <c r="O1828" i="119"/>
  <c r="O1827" i="119"/>
  <c r="O1826" i="119"/>
  <c r="O1825" i="119"/>
  <c r="O1824" i="119"/>
  <c r="O1823" i="119"/>
  <c r="O1822" i="119"/>
  <c r="O1821" i="119"/>
  <c r="O1820" i="119"/>
  <c r="O1819" i="119"/>
  <c r="O1818" i="119"/>
  <c r="O1817" i="119"/>
  <c r="O1816" i="119"/>
  <c r="O1815" i="119"/>
  <c r="O1814" i="119"/>
  <c r="O1813" i="119"/>
  <c r="O1812" i="119"/>
  <c r="O1811" i="119"/>
  <c r="O1810" i="119"/>
  <c r="O1809" i="119"/>
  <c r="O1808" i="119"/>
  <c r="O1807" i="119"/>
  <c r="O1806" i="119"/>
  <c r="O1805" i="119"/>
  <c r="O1804" i="119"/>
  <c r="O1803" i="119"/>
  <c r="O1802" i="119"/>
  <c r="O1801" i="119"/>
  <c r="O1800" i="119"/>
  <c r="O1799" i="119"/>
  <c r="O1798" i="119"/>
  <c r="O1797" i="119"/>
  <c r="O1796" i="119"/>
  <c r="O1795" i="119"/>
  <c r="O1794" i="119"/>
  <c r="O1793" i="119"/>
  <c r="O1792" i="119"/>
  <c r="O1791" i="119"/>
  <c r="O1790" i="119"/>
  <c r="O1789" i="119"/>
  <c r="O1788" i="119"/>
  <c r="O1787" i="119"/>
  <c r="O1786" i="119"/>
  <c r="O1785" i="119"/>
  <c r="O1784" i="119"/>
  <c r="O1783" i="119"/>
  <c r="O1782" i="119"/>
  <c r="O1781" i="119"/>
  <c r="O1780" i="119"/>
  <c r="O1779" i="119"/>
  <c r="O1778" i="119"/>
  <c r="O1777" i="119"/>
  <c r="O1776" i="119"/>
  <c r="O1775" i="119"/>
  <c r="O1774" i="119"/>
  <c r="O1773" i="119"/>
  <c r="O1772" i="119"/>
  <c r="O1771" i="119"/>
  <c r="O1770" i="119"/>
  <c r="O1769" i="119"/>
  <c r="O1768" i="119"/>
  <c r="O1767" i="119"/>
  <c r="O1766" i="119"/>
  <c r="O1765" i="119"/>
  <c r="O1764" i="119"/>
  <c r="O1763" i="119"/>
  <c r="O1762" i="119"/>
  <c r="O1761" i="119"/>
  <c r="O1760" i="119"/>
  <c r="O1759" i="119"/>
  <c r="O1758" i="119"/>
  <c r="O1757" i="119"/>
  <c r="O1756" i="119"/>
  <c r="O1755" i="119"/>
  <c r="O1754" i="119"/>
  <c r="O1753" i="119"/>
  <c r="O1752" i="119"/>
  <c r="O1751" i="119"/>
  <c r="O1750" i="119"/>
  <c r="O1749" i="119"/>
  <c r="O1748" i="119"/>
  <c r="O1747" i="119"/>
  <c r="O1746" i="119"/>
  <c r="O1745" i="119"/>
  <c r="O1744" i="119"/>
  <c r="O1743" i="119"/>
  <c r="O1742" i="119"/>
  <c r="O1741" i="119"/>
  <c r="O1740" i="119"/>
  <c r="O1739" i="119"/>
  <c r="O1738" i="119"/>
  <c r="O1737" i="119"/>
  <c r="O1736" i="119"/>
  <c r="O1735" i="119"/>
  <c r="O1734" i="119"/>
  <c r="O1733" i="119"/>
  <c r="O1732" i="119"/>
  <c r="O1731" i="119"/>
  <c r="O1730" i="119"/>
  <c r="O1729" i="119"/>
  <c r="O1728" i="119"/>
  <c r="O1727" i="119"/>
  <c r="O1726" i="119"/>
  <c r="O1725" i="119"/>
  <c r="O1724" i="119"/>
  <c r="O1723" i="119"/>
  <c r="O1722" i="119"/>
  <c r="O1721" i="119"/>
  <c r="O1720" i="119"/>
  <c r="O1719" i="119"/>
  <c r="O1718" i="119"/>
  <c r="O1717" i="119"/>
  <c r="O1716" i="119"/>
  <c r="O1715" i="119"/>
  <c r="O1714" i="119"/>
  <c r="O1713" i="119"/>
  <c r="O1712" i="119"/>
  <c r="O1711" i="119"/>
  <c r="O1710" i="119"/>
  <c r="O1709" i="119"/>
  <c r="O1708" i="119"/>
  <c r="O1707" i="119"/>
  <c r="O1706" i="119"/>
  <c r="O1705" i="119"/>
  <c r="O1704" i="119"/>
  <c r="O1703" i="119"/>
  <c r="O1702" i="119"/>
  <c r="O1701" i="119"/>
  <c r="O1700" i="119"/>
  <c r="O1699" i="119"/>
  <c r="O1698" i="119"/>
  <c r="O1697" i="119"/>
  <c r="O1696" i="119"/>
  <c r="O1695" i="119"/>
  <c r="O1694" i="119"/>
  <c r="O1693" i="119"/>
  <c r="O1692" i="119"/>
  <c r="O1691" i="119"/>
  <c r="O1690" i="119"/>
  <c r="O1689" i="119"/>
  <c r="O1688" i="119"/>
  <c r="O1687" i="119"/>
  <c r="O1686" i="119"/>
  <c r="O1685" i="119"/>
  <c r="O1684" i="119"/>
  <c r="O1683" i="119"/>
  <c r="O1682" i="119"/>
  <c r="O1681" i="119"/>
  <c r="O1680" i="119"/>
  <c r="O1679" i="119"/>
  <c r="O1678" i="119"/>
  <c r="O1677" i="119"/>
  <c r="O1676" i="119"/>
  <c r="O1675" i="119"/>
  <c r="O1674" i="119"/>
  <c r="O1673" i="119"/>
  <c r="O1672" i="119"/>
  <c r="O1671" i="119"/>
  <c r="O1670" i="119"/>
  <c r="O1669" i="119"/>
  <c r="O1668" i="119"/>
  <c r="O1667" i="119"/>
  <c r="O1666" i="119"/>
  <c r="O1665" i="119"/>
  <c r="O1664" i="119"/>
  <c r="O1663" i="119"/>
  <c r="O1662" i="119"/>
  <c r="O1661" i="119"/>
  <c r="O1660" i="119"/>
  <c r="O1659" i="119"/>
  <c r="O1658" i="119"/>
  <c r="O1657" i="119"/>
  <c r="O1656" i="119"/>
  <c r="O1655" i="119"/>
  <c r="O1654" i="119"/>
  <c r="O1653" i="119"/>
  <c r="O1652" i="119"/>
  <c r="O1651" i="119"/>
  <c r="O1650" i="119"/>
  <c r="O1649" i="119"/>
  <c r="O1648" i="119"/>
  <c r="O1647" i="119"/>
  <c r="O1646" i="119"/>
  <c r="O1645" i="119"/>
  <c r="O1644" i="119"/>
  <c r="O1643" i="119"/>
  <c r="O1642" i="119"/>
  <c r="O1641" i="119"/>
  <c r="O1640" i="119"/>
  <c r="O1639" i="119"/>
  <c r="O1638" i="119"/>
  <c r="O1637" i="119"/>
  <c r="O1636" i="119"/>
  <c r="O1635" i="119"/>
  <c r="O1634" i="119"/>
  <c r="O1633" i="119"/>
  <c r="O1632" i="119"/>
  <c r="O1631" i="119"/>
  <c r="O1630" i="119"/>
  <c r="O1629" i="119"/>
  <c r="O1628" i="119"/>
  <c r="O1627" i="119"/>
  <c r="O1626" i="119"/>
  <c r="O1625" i="119"/>
  <c r="O1624" i="119"/>
  <c r="O1623" i="119"/>
  <c r="O1622" i="119"/>
  <c r="O1621" i="119"/>
  <c r="O1620" i="119"/>
  <c r="O1619" i="119"/>
  <c r="O1618" i="119"/>
  <c r="O1617" i="119"/>
  <c r="O1616" i="119"/>
  <c r="O1615" i="119"/>
  <c r="O1614" i="119"/>
  <c r="O1613" i="119"/>
  <c r="O1612" i="119"/>
  <c r="O1611" i="119"/>
  <c r="O1610" i="119"/>
  <c r="O1609" i="119"/>
  <c r="O1608" i="119"/>
  <c r="O1607" i="119"/>
  <c r="O1606" i="119"/>
  <c r="O1605" i="119"/>
  <c r="O1604" i="119"/>
  <c r="O1603" i="119"/>
  <c r="O1602" i="119"/>
  <c r="O1601" i="119"/>
  <c r="O1600" i="119"/>
  <c r="O1599" i="119"/>
  <c r="O1598" i="119"/>
  <c r="O1597" i="119"/>
  <c r="O1596" i="119"/>
  <c r="O1595" i="119"/>
  <c r="O1594" i="119"/>
  <c r="O1593" i="119"/>
  <c r="O1592" i="119"/>
  <c r="O1591" i="119"/>
  <c r="O1590" i="119"/>
  <c r="O1589" i="119"/>
  <c r="O1588" i="119"/>
  <c r="O1587" i="119"/>
  <c r="O1586" i="119"/>
  <c r="O1585" i="119"/>
  <c r="O1584" i="119"/>
  <c r="O1583" i="119"/>
  <c r="O1582" i="119"/>
  <c r="O1581" i="119"/>
  <c r="O1580" i="119"/>
  <c r="O1579" i="119"/>
  <c r="O1578" i="119"/>
  <c r="O1577" i="119"/>
  <c r="O1576" i="119"/>
  <c r="O1575" i="119"/>
  <c r="O1574" i="119"/>
  <c r="O1573" i="119"/>
  <c r="O1572" i="119"/>
  <c r="O1571" i="119"/>
  <c r="O1570" i="119"/>
  <c r="O1569" i="119"/>
  <c r="O1568" i="119"/>
  <c r="O1567" i="119"/>
  <c r="O1566" i="119"/>
  <c r="O1565" i="119"/>
  <c r="O1564" i="119"/>
  <c r="O1563" i="119"/>
  <c r="O1562" i="119"/>
  <c r="O1561" i="119"/>
  <c r="O1560" i="119"/>
  <c r="O1559" i="119"/>
  <c r="O1558" i="119"/>
  <c r="O1557" i="119"/>
  <c r="O1556" i="119"/>
  <c r="O1555" i="119"/>
  <c r="O1554" i="119"/>
  <c r="O1553" i="119"/>
  <c r="O1552" i="119"/>
  <c r="O1551" i="119"/>
  <c r="O1550" i="119"/>
  <c r="O1549" i="119"/>
  <c r="O1548" i="119"/>
  <c r="O1547" i="119"/>
  <c r="O1546" i="119"/>
  <c r="O1545" i="119"/>
  <c r="O1544" i="119"/>
  <c r="O1543" i="119"/>
  <c r="O1542" i="119"/>
  <c r="O1541" i="119"/>
  <c r="O1540" i="119"/>
  <c r="O1539" i="119"/>
  <c r="O1538" i="119"/>
  <c r="O1537" i="119"/>
  <c r="O1536" i="119"/>
  <c r="O1535" i="119"/>
  <c r="O1534" i="119"/>
  <c r="O1533" i="119"/>
  <c r="O1532" i="119"/>
  <c r="O1531" i="119"/>
  <c r="O1530" i="119"/>
  <c r="O1529" i="119"/>
  <c r="O1528" i="119"/>
  <c r="O1527" i="119"/>
  <c r="O1526" i="119"/>
  <c r="O1525" i="119"/>
  <c r="O1524" i="119"/>
  <c r="O1523" i="119"/>
  <c r="O1522" i="119"/>
  <c r="O1521" i="119"/>
  <c r="O1520" i="119"/>
  <c r="O1519" i="119"/>
  <c r="O1518" i="119"/>
  <c r="O1517" i="119"/>
  <c r="O1516" i="119"/>
  <c r="O1515" i="119"/>
  <c r="O1514" i="119"/>
  <c r="O1513" i="119"/>
  <c r="O1512" i="119"/>
  <c r="O1511" i="119"/>
  <c r="O1510" i="119"/>
  <c r="O1509" i="119"/>
  <c r="O1508" i="119"/>
  <c r="O1507" i="119"/>
  <c r="O1506" i="119"/>
  <c r="O1505" i="119"/>
  <c r="O1504" i="119"/>
  <c r="O1503" i="119"/>
  <c r="O1502" i="119"/>
  <c r="O1501" i="119"/>
  <c r="O1500" i="119"/>
  <c r="O1499" i="119"/>
  <c r="O1498" i="119"/>
  <c r="O1497" i="119"/>
  <c r="O1496" i="119"/>
  <c r="O1495" i="119"/>
  <c r="O1494" i="119"/>
  <c r="O1493" i="119"/>
  <c r="O1492" i="119"/>
  <c r="O1491" i="119"/>
  <c r="O1490" i="119"/>
  <c r="O1489" i="119"/>
  <c r="O1488" i="119"/>
  <c r="O1487" i="119"/>
  <c r="O1486" i="119"/>
  <c r="O1485" i="119"/>
  <c r="O1484" i="119"/>
  <c r="O1483" i="119"/>
  <c r="O1482" i="119"/>
  <c r="O1481" i="119"/>
  <c r="O1480" i="119"/>
  <c r="O1479" i="119"/>
  <c r="O1478" i="119"/>
  <c r="O1477" i="119"/>
  <c r="O1476" i="119"/>
  <c r="O1475" i="119"/>
  <c r="O1474" i="119"/>
  <c r="O1473" i="119"/>
  <c r="O1472" i="119"/>
  <c r="O1471" i="119"/>
  <c r="O1470" i="119"/>
  <c r="O1469" i="119"/>
  <c r="O1468" i="119"/>
  <c r="O1467" i="119"/>
  <c r="O1466" i="119"/>
  <c r="O1465" i="119"/>
  <c r="O1464" i="119"/>
  <c r="O1463" i="119"/>
  <c r="O1462" i="119"/>
  <c r="O1461" i="119"/>
  <c r="O1460" i="119"/>
  <c r="O1459" i="119"/>
  <c r="O1458" i="119"/>
  <c r="O1457" i="119"/>
  <c r="O1456" i="119"/>
  <c r="O1455" i="119"/>
  <c r="O1454" i="119"/>
  <c r="O1453" i="119"/>
  <c r="O1452" i="119"/>
  <c r="O1451" i="119"/>
  <c r="O1450" i="119"/>
  <c r="O1449" i="119"/>
  <c r="O1448" i="119"/>
  <c r="O1447" i="119"/>
  <c r="O1446" i="119"/>
  <c r="O1445" i="119"/>
  <c r="O1444" i="119"/>
  <c r="O1443" i="119"/>
  <c r="O1442" i="119"/>
  <c r="O1441" i="119"/>
  <c r="O1440" i="119"/>
  <c r="O1439" i="119"/>
  <c r="O1438" i="119"/>
  <c r="O1437" i="119"/>
  <c r="O1436" i="119"/>
  <c r="O1435" i="119"/>
  <c r="O1434" i="119"/>
  <c r="O1433" i="119"/>
  <c r="O1432" i="119"/>
  <c r="O1431" i="119"/>
  <c r="O1430" i="119"/>
  <c r="O1429" i="119"/>
  <c r="O1428" i="119"/>
  <c r="O1427" i="119"/>
  <c r="O1426" i="119"/>
  <c r="O1425" i="119"/>
  <c r="O1424" i="119"/>
  <c r="O1423" i="119"/>
  <c r="O1422" i="119"/>
  <c r="O1421" i="119"/>
  <c r="O1420" i="119"/>
  <c r="O1419" i="119"/>
  <c r="O1418" i="119"/>
  <c r="O1417" i="119"/>
  <c r="O1416" i="119"/>
  <c r="O1415" i="119"/>
  <c r="O1414" i="119"/>
  <c r="O1413" i="119"/>
  <c r="O1412" i="119"/>
  <c r="O1411" i="119"/>
  <c r="O1410" i="119"/>
  <c r="O1409" i="119"/>
  <c r="O1408" i="119"/>
  <c r="O1407" i="119"/>
  <c r="O1406" i="119"/>
  <c r="O1405" i="119"/>
  <c r="O1404" i="119"/>
  <c r="O1403" i="119"/>
  <c r="O1402" i="119"/>
  <c r="O1401" i="119"/>
  <c r="O1400" i="119"/>
  <c r="O1399" i="119"/>
  <c r="O1398" i="119"/>
  <c r="O1397" i="119"/>
  <c r="O1396" i="119"/>
  <c r="O1395" i="119"/>
  <c r="O1394" i="119"/>
  <c r="O1393" i="119"/>
  <c r="O1392" i="119"/>
  <c r="O1391" i="119"/>
  <c r="O1390" i="119"/>
  <c r="O1389" i="119"/>
  <c r="O1388" i="119"/>
  <c r="O1387" i="119"/>
  <c r="O1386" i="119"/>
  <c r="O1385" i="119"/>
  <c r="O1384" i="119"/>
  <c r="O1383" i="119"/>
  <c r="O1382" i="119"/>
  <c r="O1381" i="119"/>
  <c r="O1380" i="119"/>
  <c r="O1379" i="119"/>
  <c r="O1378" i="119"/>
  <c r="O1377" i="119"/>
  <c r="O1376" i="119"/>
  <c r="O1375" i="119"/>
  <c r="O1374" i="119"/>
  <c r="O1373" i="119"/>
  <c r="O1372" i="119"/>
  <c r="O1371" i="119"/>
  <c r="O1370" i="119"/>
  <c r="O1369" i="119"/>
  <c r="O1368" i="119"/>
  <c r="O1367" i="119"/>
  <c r="O1366" i="119"/>
  <c r="O1365" i="119"/>
  <c r="O1364" i="119"/>
  <c r="O1363" i="119"/>
  <c r="O1362" i="119"/>
  <c r="O1361" i="119"/>
  <c r="O1360" i="119"/>
  <c r="O1359" i="119"/>
  <c r="O1358" i="119"/>
  <c r="O1357" i="119"/>
  <c r="O1356" i="119"/>
  <c r="O1355" i="119"/>
  <c r="O1354" i="119"/>
  <c r="O1353" i="119"/>
  <c r="O1352" i="119"/>
  <c r="O1351" i="119"/>
  <c r="O1350" i="119"/>
  <c r="O1349" i="119"/>
  <c r="O1348" i="119"/>
  <c r="O1347" i="119"/>
  <c r="O1346" i="119"/>
  <c r="O1345" i="119"/>
  <c r="O1344" i="119"/>
  <c r="O1343" i="119"/>
  <c r="O1342" i="119"/>
  <c r="O1341" i="119"/>
  <c r="O1340" i="119"/>
  <c r="O1339" i="119"/>
  <c r="O1338" i="119"/>
  <c r="O1337" i="119"/>
  <c r="O1336" i="119"/>
  <c r="O1335" i="119"/>
  <c r="O1334" i="119"/>
  <c r="O1333" i="119"/>
  <c r="O1332" i="119"/>
  <c r="O1331" i="119"/>
  <c r="O1330" i="119"/>
  <c r="O1329" i="119"/>
  <c r="O1328" i="119"/>
  <c r="O1327" i="119"/>
  <c r="O1326" i="119"/>
  <c r="O1325" i="119"/>
  <c r="O1324" i="119"/>
  <c r="O1323" i="119"/>
  <c r="O1322" i="119"/>
  <c r="O1321" i="119"/>
  <c r="O1320" i="119"/>
  <c r="O1319" i="119"/>
  <c r="O1318" i="119"/>
  <c r="O1317" i="119"/>
  <c r="O1316" i="119"/>
  <c r="O1315" i="119"/>
  <c r="O1314" i="119"/>
  <c r="O1313" i="119"/>
  <c r="O1312" i="119"/>
  <c r="O1311" i="119"/>
  <c r="O1310" i="119"/>
  <c r="O1309" i="119"/>
  <c r="O1308" i="119"/>
  <c r="O1307" i="119"/>
  <c r="O1306" i="119"/>
  <c r="O1305" i="119"/>
  <c r="O1304" i="119"/>
  <c r="O1303" i="119"/>
  <c r="O1302" i="119"/>
  <c r="O1301" i="119"/>
  <c r="O1300" i="119"/>
  <c r="O1299" i="119"/>
  <c r="O1298" i="119"/>
  <c r="O1297" i="119"/>
  <c r="O1296" i="119"/>
  <c r="O1295" i="119"/>
  <c r="O1294" i="119"/>
  <c r="O1293" i="119"/>
  <c r="O1292" i="119"/>
  <c r="O1291" i="119"/>
  <c r="O1290" i="119"/>
  <c r="O1289" i="119"/>
  <c r="O1288" i="119"/>
  <c r="O1287" i="119"/>
  <c r="O1286" i="119"/>
  <c r="O1285" i="119"/>
  <c r="O1284" i="119"/>
  <c r="O1283" i="119"/>
  <c r="O1282" i="119"/>
  <c r="O1281" i="119"/>
  <c r="O1280" i="119"/>
  <c r="O1279" i="119"/>
  <c r="O1278" i="119"/>
  <c r="O1277" i="119"/>
  <c r="O1276" i="119"/>
  <c r="O1275" i="119"/>
  <c r="O1274" i="119"/>
  <c r="O1273" i="119"/>
  <c r="O1272" i="119"/>
  <c r="O1271" i="119"/>
  <c r="O1270" i="119"/>
  <c r="O1269" i="119"/>
  <c r="O1268" i="119"/>
  <c r="O1267" i="119"/>
  <c r="O1266" i="119"/>
  <c r="O1265" i="119"/>
  <c r="O1264" i="119"/>
  <c r="O1263" i="119"/>
  <c r="O1262" i="119"/>
  <c r="O1261" i="119"/>
  <c r="O1260" i="119"/>
  <c r="O1259" i="119"/>
  <c r="O1258" i="119"/>
  <c r="O1257" i="119"/>
  <c r="O1256" i="119"/>
  <c r="O1255" i="119"/>
  <c r="O1254" i="119"/>
  <c r="O1253" i="119"/>
  <c r="O1252" i="119"/>
  <c r="O1251" i="119"/>
  <c r="O1250" i="119"/>
  <c r="O1249" i="119"/>
  <c r="O1248" i="119"/>
  <c r="O1247" i="119"/>
  <c r="O1246" i="119"/>
  <c r="O1245" i="119"/>
  <c r="O1244" i="119"/>
  <c r="O1243" i="119"/>
  <c r="O1242" i="119"/>
  <c r="O1241" i="119"/>
  <c r="O1240" i="119"/>
  <c r="O1239" i="119"/>
  <c r="O1238" i="119"/>
  <c r="O1237" i="119"/>
  <c r="O1236" i="119"/>
  <c r="O1235" i="119"/>
  <c r="O1234" i="119"/>
  <c r="O1233" i="119"/>
  <c r="O1232" i="119"/>
  <c r="O1231" i="119"/>
  <c r="O1230" i="119"/>
  <c r="O1229" i="119"/>
  <c r="O1228" i="119"/>
  <c r="O1227" i="119"/>
  <c r="O1226" i="119"/>
  <c r="O1225" i="119"/>
  <c r="O1224" i="119"/>
  <c r="O1223" i="119"/>
  <c r="O1222" i="119"/>
  <c r="O1221" i="119"/>
  <c r="O1220" i="119"/>
  <c r="O1219" i="119"/>
  <c r="O1218" i="119"/>
  <c r="O1217" i="119"/>
  <c r="O1216" i="119"/>
  <c r="O1215" i="119"/>
  <c r="O1214" i="119"/>
  <c r="O1213" i="119"/>
  <c r="O1212" i="119"/>
  <c r="O1211" i="119"/>
  <c r="O1210" i="119"/>
  <c r="O1209" i="119"/>
  <c r="O1208" i="119"/>
  <c r="O1207" i="119"/>
  <c r="O1206" i="119"/>
  <c r="O1205" i="119"/>
  <c r="O1204" i="119"/>
  <c r="O1203" i="119"/>
  <c r="O1202" i="119"/>
  <c r="O1201" i="119"/>
  <c r="O1200" i="119"/>
  <c r="O1199" i="119"/>
  <c r="O1198" i="119"/>
  <c r="O1197" i="119"/>
  <c r="O1196" i="119"/>
  <c r="O1195" i="119"/>
  <c r="O1194" i="119"/>
  <c r="O1193" i="119"/>
  <c r="O1192" i="119"/>
  <c r="O1191" i="119"/>
  <c r="O1190" i="119"/>
  <c r="O1189" i="119"/>
  <c r="O1188" i="119"/>
  <c r="O1187" i="119"/>
  <c r="O1186" i="119"/>
  <c r="O1185" i="119"/>
  <c r="O1184" i="119"/>
  <c r="O1183" i="119"/>
  <c r="O1182" i="119"/>
  <c r="O1181" i="119"/>
  <c r="O1180" i="119"/>
  <c r="O1179" i="119"/>
  <c r="O1178" i="119"/>
  <c r="O1177" i="119"/>
  <c r="O1176" i="119"/>
  <c r="O1175" i="119"/>
  <c r="O1174" i="119"/>
  <c r="O1173" i="119"/>
  <c r="O1172" i="119"/>
  <c r="O1171" i="119"/>
  <c r="O1170" i="119"/>
  <c r="O1169" i="119"/>
  <c r="O1168" i="119"/>
  <c r="O1167" i="119"/>
  <c r="O1166" i="119"/>
  <c r="O1165" i="119"/>
  <c r="O1164" i="119"/>
  <c r="O1163" i="119"/>
  <c r="O1162" i="119"/>
  <c r="O1161" i="119"/>
  <c r="O1160" i="119"/>
  <c r="O1159" i="119"/>
  <c r="O1158" i="119"/>
  <c r="O1157" i="119"/>
  <c r="O1156" i="119"/>
  <c r="O1155" i="119"/>
  <c r="O1154" i="119"/>
  <c r="O1153" i="119"/>
  <c r="O1152" i="119"/>
  <c r="O1151" i="119"/>
  <c r="O1150" i="119"/>
  <c r="O1149" i="119"/>
  <c r="O1148" i="119"/>
  <c r="O1147" i="119"/>
  <c r="O1146" i="119"/>
  <c r="O1145" i="119"/>
  <c r="O1144" i="119"/>
  <c r="O1143" i="119"/>
  <c r="O1142" i="119"/>
  <c r="O1141" i="119"/>
  <c r="O1140" i="119"/>
  <c r="O1139" i="119"/>
  <c r="O1138" i="119"/>
  <c r="O1137" i="119"/>
  <c r="O1136" i="119"/>
  <c r="O1135" i="119"/>
  <c r="O1134" i="119"/>
  <c r="O1133" i="119"/>
  <c r="O1132" i="119"/>
  <c r="O1131" i="119"/>
  <c r="O1130" i="119"/>
  <c r="O1129" i="119"/>
  <c r="O1128" i="119"/>
  <c r="O1127" i="119"/>
  <c r="O1126" i="119"/>
  <c r="O1125" i="119"/>
  <c r="O1124" i="119"/>
  <c r="O1123" i="119"/>
  <c r="O1122" i="119"/>
  <c r="O1121" i="119"/>
  <c r="O1120" i="119"/>
  <c r="O1119" i="119"/>
  <c r="O1118" i="119"/>
  <c r="O1117" i="119"/>
  <c r="O1116" i="119"/>
  <c r="O1115" i="119"/>
  <c r="O1114" i="119"/>
  <c r="O1113" i="119"/>
  <c r="O1112" i="119"/>
  <c r="O1111" i="119"/>
  <c r="O1110" i="119"/>
  <c r="O1109" i="119"/>
  <c r="O1108" i="119"/>
  <c r="O1107" i="119"/>
  <c r="O1106" i="119"/>
  <c r="O1105" i="119"/>
  <c r="O1104" i="119"/>
  <c r="O1103" i="119"/>
  <c r="O1102" i="119"/>
  <c r="O1101" i="119"/>
  <c r="O1100" i="119"/>
  <c r="O1099" i="119"/>
  <c r="O1098" i="119"/>
  <c r="O1097" i="119"/>
  <c r="O1096" i="119"/>
  <c r="O1095" i="119"/>
  <c r="O1094" i="119"/>
  <c r="O1093" i="119"/>
  <c r="O1092" i="119"/>
  <c r="O1091" i="119"/>
  <c r="O1090" i="119"/>
  <c r="O1089" i="119"/>
  <c r="O1088" i="119"/>
  <c r="O1087" i="119"/>
  <c r="O1086" i="119"/>
  <c r="O1085" i="119"/>
  <c r="O1084" i="119"/>
  <c r="O1083" i="119"/>
  <c r="O1082" i="119"/>
  <c r="O1081" i="119"/>
  <c r="O1080" i="119"/>
  <c r="O1079" i="119"/>
  <c r="O1078" i="119"/>
  <c r="O1077" i="119"/>
  <c r="O1076" i="119"/>
  <c r="O1075" i="119"/>
  <c r="O1074" i="119"/>
  <c r="O1073" i="119"/>
  <c r="O1072" i="119"/>
  <c r="O1071" i="119"/>
  <c r="O1070" i="119"/>
  <c r="O1069" i="119"/>
  <c r="O1068" i="119"/>
  <c r="O1067" i="119"/>
  <c r="O1066" i="119"/>
  <c r="O1065" i="119"/>
  <c r="O1064" i="119"/>
  <c r="O1063" i="119"/>
  <c r="O1062" i="119"/>
  <c r="O1061" i="119"/>
  <c r="O1060" i="119"/>
  <c r="O1059" i="119"/>
  <c r="O1058" i="119"/>
  <c r="O1057" i="119"/>
  <c r="O1056" i="119"/>
  <c r="O1055" i="119"/>
  <c r="O1054" i="119"/>
  <c r="O1053" i="119"/>
  <c r="O1052" i="119"/>
  <c r="O1051" i="119"/>
  <c r="O1050" i="119"/>
  <c r="O1049" i="119"/>
  <c r="O1048" i="119"/>
  <c r="O1047" i="119"/>
  <c r="O1046" i="119"/>
  <c r="O1045" i="119"/>
  <c r="O1044" i="119"/>
  <c r="O1043" i="119"/>
  <c r="O1042" i="119"/>
  <c r="O1041" i="119"/>
  <c r="O1040" i="119"/>
  <c r="O1039" i="119"/>
  <c r="O1038" i="119"/>
  <c r="O1037" i="119"/>
  <c r="O1036" i="119"/>
  <c r="O1035" i="119"/>
  <c r="O1034" i="119"/>
  <c r="O1033" i="119"/>
  <c r="O1032" i="119"/>
  <c r="O1031" i="119"/>
  <c r="O1030" i="119"/>
  <c r="O1029" i="119"/>
  <c r="O1028" i="119"/>
  <c r="O1027" i="119"/>
  <c r="O1026" i="119"/>
  <c r="O1025" i="119"/>
  <c r="O1024" i="119"/>
  <c r="O1023" i="119"/>
  <c r="O1022" i="119"/>
  <c r="O1021" i="119"/>
  <c r="O1020" i="119"/>
  <c r="O1019" i="119"/>
  <c r="O1018" i="119"/>
  <c r="O1017" i="119"/>
  <c r="O1016" i="119"/>
  <c r="O1015" i="119"/>
  <c r="O1014" i="119"/>
  <c r="O1013" i="119"/>
  <c r="O1012" i="119"/>
  <c r="O1011" i="119"/>
  <c r="O1010" i="119"/>
  <c r="O1009" i="119"/>
  <c r="O1008" i="119"/>
  <c r="O1007" i="119"/>
  <c r="O1006" i="119"/>
  <c r="O1005" i="119"/>
  <c r="O1004" i="119"/>
  <c r="O1003" i="119"/>
  <c r="O1002" i="119"/>
  <c r="O1001" i="119"/>
  <c r="O1000" i="119"/>
  <c r="O999" i="119"/>
  <c r="O998" i="119"/>
  <c r="O997" i="119"/>
  <c r="O996" i="119"/>
  <c r="O995" i="119"/>
  <c r="O994" i="119"/>
  <c r="O993" i="119"/>
  <c r="O992" i="119"/>
  <c r="O991" i="119"/>
  <c r="O990" i="119"/>
  <c r="O989" i="119"/>
  <c r="O988" i="119"/>
  <c r="O987" i="119"/>
  <c r="O986" i="119"/>
  <c r="O985" i="119"/>
  <c r="O984" i="119"/>
  <c r="O983" i="119"/>
  <c r="O982" i="119"/>
  <c r="O981" i="119"/>
  <c r="O980" i="119"/>
  <c r="O979" i="119"/>
  <c r="O978" i="119"/>
  <c r="O977" i="119"/>
  <c r="O976" i="119"/>
  <c r="O975" i="119"/>
  <c r="O974" i="119"/>
  <c r="O973" i="119"/>
  <c r="O972" i="119"/>
  <c r="O971" i="119"/>
  <c r="O970" i="119"/>
  <c r="O969" i="119"/>
  <c r="O968" i="119"/>
  <c r="O967" i="119"/>
  <c r="O966" i="119"/>
  <c r="O965" i="119"/>
  <c r="O964" i="119"/>
  <c r="O963" i="119"/>
  <c r="O962" i="119"/>
  <c r="O961" i="119"/>
  <c r="O960" i="119"/>
  <c r="O959" i="119"/>
  <c r="O958" i="119"/>
  <c r="O957" i="119"/>
  <c r="O956" i="119"/>
  <c r="O955" i="119"/>
  <c r="O954" i="119"/>
  <c r="O953" i="119"/>
  <c r="O952" i="119"/>
  <c r="O951" i="119"/>
  <c r="O950" i="119"/>
  <c r="O949" i="119"/>
  <c r="O948" i="119"/>
  <c r="O947" i="119"/>
  <c r="O946" i="119"/>
  <c r="O945" i="119"/>
  <c r="O944" i="119"/>
  <c r="O943" i="119"/>
  <c r="O942" i="119"/>
  <c r="O941" i="119"/>
  <c r="O940" i="119"/>
  <c r="O939" i="119"/>
  <c r="O938" i="119"/>
  <c r="O937" i="119"/>
  <c r="O936" i="119"/>
  <c r="O935" i="119"/>
  <c r="O934" i="119"/>
  <c r="O933" i="119"/>
  <c r="O932" i="119"/>
  <c r="O931" i="119"/>
  <c r="O930" i="119"/>
  <c r="O929" i="119"/>
  <c r="O928" i="119"/>
  <c r="O927" i="119"/>
  <c r="O926" i="119"/>
  <c r="O925" i="119"/>
  <c r="O924" i="119"/>
  <c r="O923" i="119"/>
  <c r="O922" i="119"/>
  <c r="O921" i="119"/>
  <c r="O920" i="119"/>
  <c r="O919" i="119"/>
  <c r="O918" i="119"/>
  <c r="O917" i="119"/>
  <c r="O916" i="119"/>
  <c r="O915" i="119"/>
  <c r="O914" i="119"/>
  <c r="O913" i="119"/>
  <c r="O912" i="119"/>
  <c r="O911" i="119"/>
  <c r="O910" i="119"/>
  <c r="O909" i="119"/>
  <c r="O908" i="119"/>
  <c r="O907" i="119"/>
  <c r="O906" i="119"/>
  <c r="O905" i="119"/>
  <c r="O904" i="119"/>
  <c r="O903" i="119"/>
  <c r="O902" i="119"/>
  <c r="O901" i="119"/>
  <c r="O900" i="119"/>
  <c r="O899" i="119"/>
  <c r="O898" i="119"/>
  <c r="O897" i="119"/>
  <c r="O896" i="119"/>
  <c r="O895" i="119"/>
  <c r="O894" i="119"/>
  <c r="O893" i="119"/>
  <c r="O892" i="119"/>
  <c r="O891" i="119"/>
  <c r="O890" i="119"/>
  <c r="O889" i="119"/>
  <c r="O888" i="119"/>
  <c r="O887" i="119"/>
  <c r="O886" i="119"/>
  <c r="O885" i="119"/>
  <c r="O884" i="119"/>
  <c r="O883" i="119"/>
  <c r="O882" i="119"/>
  <c r="O881" i="119"/>
  <c r="O880" i="119"/>
  <c r="O879" i="119"/>
  <c r="O878" i="119"/>
  <c r="O877" i="119"/>
  <c r="O876" i="119"/>
  <c r="O875" i="119"/>
  <c r="O874" i="119"/>
  <c r="O873" i="119"/>
  <c r="O872" i="119"/>
  <c r="O871" i="119"/>
  <c r="O870" i="119"/>
  <c r="O869" i="119"/>
  <c r="O868" i="119"/>
  <c r="O867" i="119"/>
  <c r="O866" i="119"/>
  <c r="O865" i="119"/>
  <c r="O864" i="119"/>
  <c r="O863" i="119"/>
  <c r="O862" i="119"/>
  <c r="O861" i="119"/>
  <c r="O860" i="119"/>
  <c r="O859" i="119"/>
  <c r="O858" i="119"/>
  <c r="O684" i="119"/>
  <c r="O683" i="119"/>
  <c r="O682" i="119"/>
  <c r="O681" i="119"/>
  <c r="O680" i="119"/>
  <c r="O679" i="119"/>
  <c r="O678" i="119"/>
  <c r="O677" i="119"/>
  <c r="O853" i="119"/>
  <c r="O852" i="119"/>
  <c r="O176" i="119"/>
  <c r="O175" i="119"/>
  <c r="O174" i="119"/>
  <c r="O173" i="119"/>
  <c r="O172" i="119"/>
  <c r="O171" i="119"/>
  <c r="O170" i="119"/>
  <c r="O169" i="119"/>
  <c r="O556" i="119"/>
  <c r="O555" i="119"/>
  <c r="O168" i="119"/>
  <c r="O167" i="119"/>
  <c r="O166" i="119"/>
  <c r="O165" i="119"/>
  <c r="O164" i="119"/>
  <c r="O163" i="119"/>
  <c r="O162" i="119"/>
  <c r="O161" i="119"/>
  <c r="O554" i="119"/>
  <c r="O553" i="119"/>
  <c r="O552" i="119"/>
  <c r="O359" i="119"/>
  <c r="O358" i="119"/>
  <c r="O357" i="119"/>
  <c r="O356" i="119"/>
  <c r="O355" i="119"/>
  <c r="O354" i="119"/>
  <c r="O353" i="119"/>
  <c r="O352" i="119"/>
  <c r="O851" i="119"/>
  <c r="O850" i="119"/>
  <c r="O551" i="119"/>
  <c r="O550" i="119"/>
  <c r="O549" i="119"/>
  <c r="O849" i="119"/>
  <c r="O676" i="119"/>
  <c r="O675" i="119"/>
  <c r="O351" i="119"/>
  <c r="O350" i="119"/>
  <c r="O349" i="119"/>
  <c r="O348" i="119"/>
  <c r="O347" i="119"/>
  <c r="O548" i="119"/>
  <c r="O547" i="119"/>
  <c r="O848" i="119"/>
  <c r="O847" i="119"/>
  <c r="O846" i="119"/>
  <c r="O845" i="119"/>
  <c r="O844" i="119"/>
  <c r="O160" i="119"/>
  <c r="O159" i="119"/>
  <c r="O546" i="119"/>
  <c r="O545" i="119"/>
  <c r="O544" i="119"/>
  <c r="O543" i="119"/>
  <c r="O542" i="119"/>
  <c r="O541" i="119"/>
  <c r="O674" i="119"/>
  <c r="O673" i="119"/>
  <c r="O672" i="119"/>
  <c r="O671" i="119"/>
  <c r="O670" i="119"/>
  <c r="O669" i="119"/>
  <c r="O668" i="119"/>
  <c r="O346" i="119"/>
  <c r="O158" i="119"/>
  <c r="O540" i="119"/>
  <c r="O539" i="119"/>
  <c r="O538" i="119"/>
  <c r="O537" i="119"/>
  <c r="O536" i="119"/>
  <c r="O345" i="119"/>
  <c r="O344" i="119"/>
  <c r="O667" i="119"/>
  <c r="O343" i="119"/>
  <c r="O342" i="119"/>
  <c r="O341" i="119"/>
  <c r="O340" i="119"/>
  <c r="O339" i="119"/>
  <c r="O338" i="119"/>
  <c r="O157" i="119"/>
  <c r="O156" i="119"/>
  <c r="O155" i="119"/>
  <c r="O154" i="119"/>
  <c r="O153" i="119"/>
  <c r="O337" i="119"/>
  <c r="O336" i="119"/>
  <c r="O843" i="119"/>
  <c r="O842" i="119"/>
  <c r="O841" i="119"/>
  <c r="O335" i="119"/>
  <c r="O334" i="119"/>
  <c r="O333" i="119"/>
  <c r="O332" i="119"/>
  <c r="O331" i="119"/>
  <c r="O330" i="119"/>
  <c r="O329" i="119"/>
  <c r="O152" i="119"/>
  <c r="O151" i="119"/>
  <c r="O328" i="119"/>
  <c r="O327" i="119"/>
  <c r="O326" i="119"/>
  <c r="O325" i="119"/>
  <c r="O324" i="119"/>
  <c r="O323" i="119"/>
  <c r="O322" i="119"/>
  <c r="O321" i="119"/>
  <c r="O150" i="119"/>
  <c r="O149" i="119"/>
  <c r="O148" i="119"/>
  <c r="O840" i="119"/>
  <c r="O839" i="119"/>
  <c r="O147" i="119"/>
  <c r="O146" i="119"/>
  <c r="O145" i="119"/>
  <c r="O144" i="119"/>
  <c r="O535" i="119"/>
  <c r="O534" i="119"/>
  <c r="O533" i="119"/>
  <c r="O532" i="119"/>
  <c r="O838" i="119"/>
  <c r="O837" i="119"/>
  <c r="O836" i="119"/>
  <c r="O835" i="119"/>
  <c r="O666" i="119"/>
  <c r="O143" i="119"/>
  <c r="O142" i="119"/>
  <c r="O141" i="119"/>
  <c r="O140" i="119"/>
  <c r="O139" i="119"/>
  <c r="O320" i="119"/>
  <c r="O319" i="119"/>
  <c r="O318" i="119"/>
  <c r="O317" i="119"/>
  <c r="O316" i="119"/>
  <c r="O315" i="119"/>
  <c r="O314" i="119"/>
  <c r="O665" i="119"/>
  <c r="O664" i="119"/>
  <c r="O313" i="119"/>
  <c r="O312" i="119"/>
  <c r="O311" i="119"/>
  <c r="O310" i="119"/>
  <c r="O531" i="119"/>
  <c r="O530" i="119"/>
  <c r="O529" i="119"/>
  <c r="O528" i="119"/>
  <c r="O527" i="119"/>
  <c r="O526" i="119"/>
  <c r="O525" i="119"/>
  <c r="O138" i="119"/>
  <c r="O137" i="119"/>
  <c r="O136" i="119"/>
  <c r="O135" i="119"/>
  <c r="O134" i="119"/>
  <c r="O133" i="119"/>
  <c r="O132" i="119"/>
  <c r="O309" i="119"/>
  <c r="O308" i="119"/>
  <c r="O307" i="119"/>
  <c r="O306" i="119"/>
  <c r="O305" i="119"/>
  <c r="O304" i="119"/>
  <c r="O303" i="119"/>
  <c r="O302" i="119"/>
  <c r="O663" i="119"/>
  <c r="O662" i="119"/>
  <c r="O834" i="119"/>
  <c r="O301" i="119"/>
  <c r="O300" i="119"/>
  <c r="O299" i="119"/>
  <c r="O131" i="119"/>
  <c r="O298" i="119"/>
  <c r="O297" i="119"/>
  <c r="O296" i="119"/>
  <c r="O833" i="119"/>
  <c r="O832" i="119"/>
  <c r="O130" i="119"/>
  <c r="O129" i="119"/>
  <c r="O295" i="119"/>
  <c r="O831" i="119"/>
  <c r="O830" i="119"/>
  <c r="O829" i="119"/>
  <c r="O828" i="119"/>
  <c r="O827" i="119"/>
  <c r="O826" i="119"/>
  <c r="O128" i="119"/>
  <c r="O127" i="119"/>
  <c r="O126" i="119"/>
  <c r="O125" i="119"/>
  <c r="O825" i="119"/>
  <c r="O824" i="119"/>
  <c r="O823" i="119"/>
  <c r="O822" i="119"/>
  <c r="O821" i="119"/>
  <c r="O124" i="119"/>
  <c r="O123" i="119"/>
  <c r="O122" i="119"/>
  <c r="O121" i="119"/>
  <c r="O120" i="119"/>
  <c r="O119" i="119"/>
  <c r="O524" i="119"/>
  <c r="O661" i="119"/>
  <c r="O660" i="119"/>
  <c r="O659" i="119"/>
  <c r="O118" i="119"/>
  <c r="O117" i="119"/>
  <c r="O116" i="119"/>
  <c r="O523" i="119"/>
  <c r="O522" i="119"/>
  <c r="O820" i="119"/>
  <c r="O819" i="119"/>
  <c r="O818" i="119"/>
  <c r="O817" i="119"/>
  <c r="O115" i="119"/>
  <c r="O114" i="119"/>
  <c r="O113" i="119"/>
  <c r="O658" i="119"/>
  <c r="O657" i="119"/>
  <c r="O656" i="119"/>
  <c r="O816" i="119"/>
  <c r="O815" i="119"/>
  <c r="O814" i="119"/>
  <c r="O813" i="119"/>
  <c r="O812" i="119"/>
  <c r="O811" i="119"/>
  <c r="O810" i="119"/>
  <c r="O809" i="119"/>
  <c r="O655" i="119"/>
  <c r="O654" i="119"/>
  <c r="O112" i="119"/>
  <c r="O111" i="119"/>
  <c r="O110" i="119"/>
  <c r="O109" i="119"/>
  <c r="O521" i="119"/>
  <c r="O520" i="119"/>
  <c r="O519" i="119"/>
  <c r="O518" i="119"/>
  <c r="O808" i="119"/>
  <c r="O807" i="119"/>
  <c r="O653" i="119"/>
  <c r="O652" i="119"/>
  <c r="O517" i="119"/>
  <c r="O516" i="119"/>
  <c r="O515" i="119"/>
  <c r="O651" i="119"/>
  <c r="O806" i="119"/>
  <c r="O805" i="119"/>
  <c r="O804" i="119"/>
  <c r="O803" i="119"/>
  <c r="O294" i="119"/>
  <c r="O293" i="119"/>
  <c r="O292" i="119"/>
  <c r="O291" i="119"/>
  <c r="O290" i="119"/>
  <c r="O289" i="119"/>
  <c r="O108" i="119"/>
  <c r="O107" i="119"/>
  <c r="O106" i="119"/>
  <c r="O105" i="119"/>
  <c r="O104" i="119"/>
  <c r="O103" i="119"/>
  <c r="O102" i="119"/>
  <c r="O101" i="119"/>
  <c r="O514" i="119"/>
  <c r="O650" i="119"/>
  <c r="O649" i="119"/>
  <c r="O648" i="119"/>
  <c r="O802" i="119"/>
  <c r="O801" i="119"/>
  <c r="O800" i="119"/>
  <c r="O799" i="119"/>
  <c r="O798" i="119"/>
  <c r="O100" i="119"/>
  <c r="O99" i="119"/>
  <c r="O98" i="119"/>
  <c r="O97" i="119"/>
  <c r="O96" i="119"/>
  <c r="O95" i="119"/>
  <c r="O94" i="119"/>
  <c r="O93" i="119"/>
  <c r="O288" i="119"/>
  <c r="O287" i="119"/>
  <c r="O286" i="119"/>
  <c r="O285" i="119"/>
  <c r="O284" i="119"/>
  <c r="O283" i="119"/>
  <c r="O513" i="119"/>
  <c r="O512" i="119"/>
  <c r="O511" i="119"/>
  <c r="O510" i="119"/>
  <c r="O509" i="119"/>
  <c r="O508" i="119"/>
  <c r="O92" i="119"/>
  <c r="O91" i="119"/>
  <c r="O797" i="119"/>
  <c r="O796" i="119"/>
  <c r="O795" i="119"/>
  <c r="O794" i="119"/>
  <c r="O507" i="119"/>
  <c r="O647" i="119"/>
  <c r="O646" i="119"/>
  <c r="O645" i="119"/>
  <c r="O90" i="119"/>
  <c r="O89" i="119"/>
  <c r="O506" i="119"/>
  <c r="O505" i="119"/>
  <c r="O504" i="119"/>
  <c r="O282" i="119"/>
  <c r="O281" i="119"/>
  <c r="O280" i="119"/>
  <c r="O793" i="119"/>
  <c r="O792" i="119"/>
  <c r="O791" i="119"/>
  <c r="O790" i="119"/>
  <c r="O789" i="119"/>
  <c r="O644" i="119"/>
  <c r="O643" i="119"/>
  <c r="O642" i="119"/>
  <c r="O279" i="119"/>
  <c r="O278" i="119"/>
  <c r="O277" i="119"/>
  <c r="O788" i="119"/>
  <c r="O787" i="119"/>
  <c r="O786" i="119"/>
  <c r="O785" i="119"/>
  <c r="O784" i="119"/>
  <c r="O641" i="119"/>
  <c r="O640" i="119"/>
  <c r="O639" i="119"/>
  <c r="O276" i="119"/>
  <c r="O503" i="119"/>
  <c r="O502" i="119"/>
  <c r="O501" i="119"/>
  <c r="O500" i="119"/>
  <c r="O499" i="119"/>
  <c r="O498" i="119"/>
  <c r="O275" i="119"/>
  <c r="O274" i="119"/>
  <c r="O273" i="119"/>
  <c r="O88" i="119"/>
  <c r="O87" i="119"/>
  <c r="O638" i="119"/>
  <c r="O637" i="119"/>
  <c r="O636" i="119"/>
  <c r="O86" i="119"/>
  <c r="O85" i="119"/>
  <c r="O84" i="119"/>
  <c r="O83" i="119"/>
  <c r="O82" i="119"/>
  <c r="O81" i="119"/>
  <c r="O80" i="119"/>
  <c r="O79" i="119"/>
  <c r="O497" i="119"/>
  <c r="O496" i="119"/>
  <c r="O495" i="119"/>
  <c r="O494" i="119"/>
  <c r="O493" i="119"/>
  <c r="O492" i="119"/>
  <c r="O491" i="119"/>
  <c r="O635" i="119"/>
  <c r="O634" i="119"/>
  <c r="O633" i="119"/>
  <c r="O632" i="119"/>
  <c r="O631" i="119"/>
  <c r="O630" i="119"/>
  <c r="O629" i="119"/>
  <c r="O628" i="119"/>
  <c r="O783" i="119"/>
  <c r="O782" i="119"/>
  <c r="O78" i="119"/>
  <c r="O77" i="119"/>
  <c r="O490" i="119"/>
  <c r="O489" i="119"/>
  <c r="O488" i="119"/>
  <c r="O487" i="119"/>
  <c r="O486" i="119"/>
  <c r="O485" i="119"/>
  <c r="O484" i="119"/>
  <c r="O483" i="119"/>
  <c r="O76" i="119"/>
  <c r="O482" i="119"/>
  <c r="O481" i="119"/>
  <c r="O480" i="119"/>
  <c r="O479" i="119"/>
  <c r="O478" i="119"/>
  <c r="O781" i="119"/>
  <c r="O780" i="119"/>
  <c r="O779" i="119"/>
  <c r="O272" i="119"/>
  <c r="O271" i="119"/>
  <c r="O270" i="119"/>
  <c r="O269" i="119"/>
  <c r="O268" i="119"/>
  <c r="O267" i="119"/>
  <c r="O266" i="119"/>
  <c r="O265" i="119"/>
  <c r="O264" i="119"/>
  <c r="O627" i="119"/>
  <c r="O626" i="119"/>
  <c r="O625" i="119"/>
  <c r="O624" i="119"/>
  <c r="O263" i="119"/>
  <c r="O262" i="119"/>
  <c r="O477" i="119"/>
  <c r="O623" i="119"/>
  <c r="O622" i="119"/>
  <c r="O621" i="119"/>
  <c r="O620" i="119"/>
  <c r="O476" i="119"/>
  <c r="O475" i="119"/>
  <c r="O75" i="119"/>
  <c r="O74" i="119"/>
  <c r="O778" i="119"/>
  <c r="O777" i="119"/>
  <c r="O261" i="119"/>
  <c r="O260" i="119"/>
  <c r="O776" i="119"/>
  <c r="O775" i="119"/>
  <c r="O774" i="119"/>
  <c r="O773" i="119"/>
  <c r="O772" i="119"/>
  <c r="O474" i="119"/>
  <c r="O473" i="119"/>
  <c r="O472" i="119"/>
  <c r="O471" i="119"/>
  <c r="O470" i="119"/>
  <c r="O73" i="119"/>
  <c r="O771" i="119"/>
  <c r="O469" i="119"/>
  <c r="O468" i="119"/>
  <c r="O467" i="119"/>
  <c r="O466" i="119"/>
  <c r="O465" i="119"/>
  <c r="O464" i="119"/>
  <c r="O463" i="119"/>
  <c r="O462" i="119"/>
  <c r="O461" i="119"/>
  <c r="O770" i="119"/>
  <c r="O769" i="119"/>
  <c r="O768" i="119"/>
  <c r="O619" i="119"/>
  <c r="O618" i="119"/>
  <c r="O72" i="119"/>
  <c r="O71" i="119"/>
  <c r="O70" i="119"/>
  <c r="O460" i="119"/>
  <c r="O459" i="119"/>
  <c r="O259" i="119"/>
  <c r="O258" i="119"/>
  <c r="O767" i="119"/>
  <c r="O617" i="119"/>
  <c r="O616" i="119"/>
  <c r="O615" i="119"/>
  <c r="O614" i="119"/>
  <c r="O613" i="119"/>
  <c r="O612" i="119"/>
  <c r="O458" i="119"/>
  <c r="O611" i="119"/>
  <c r="O610" i="119"/>
  <c r="O609" i="119"/>
  <c r="O608" i="119"/>
  <c r="O607" i="119"/>
  <c r="O766" i="119"/>
  <c r="O765" i="119"/>
  <c r="O764" i="119"/>
  <c r="O763" i="119"/>
  <c r="O762" i="119"/>
  <c r="O761" i="119"/>
  <c r="O69" i="119"/>
  <c r="O68" i="119"/>
  <c r="O457" i="119"/>
  <c r="O760" i="119"/>
  <c r="O759" i="119"/>
  <c r="O758" i="119"/>
  <c r="O757" i="119"/>
  <c r="O606" i="119"/>
  <c r="O456" i="119"/>
  <c r="O455" i="119"/>
  <c r="O454" i="119"/>
  <c r="O605" i="119"/>
  <c r="O604" i="119"/>
  <c r="O603" i="119"/>
  <c r="O257" i="119"/>
  <c r="O256" i="119"/>
  <c r="O255" i="119"/>
  <c r="O254" i="119"/>
  <c r="O67" i="119"/>
  <c r="O66" i="119"/>
  <c r="O65" i="119"/>
  <c r="O64" i="119"/>
  <c r="O63" i="119"/>
  <c r="O62" i="119"/>
  <c r="O61" i="119"/>
  <c r="O60" i="119"/>
  <c r="O857" i="119"/>
  <c r="O856" i="119"/>
  <c r="O855" i="119"/>
  <c r="O854" i="119"/>
  <c r="O253" i="119"/>
  <c r="O252" i="119"/>
  <c r="O453" i="119"/>
  <c r="O59" i="119"/>
  <c r="O58" i="119"/>
  <c r="O57" i="119"/>
  <c r="O56" i="119"/>
  <c r="O55" i="119"/>
  <c r="O54" i="119"/>
  <c r="O53" i="119"/>
  <c r="O52" i="119"/>
  <c r="O756" i="119"/>
  <c r="O251" i="119"/>
  <c r="O250" i="119"/>
  <c r="O249" i="119"/>
  <c r="O248" i="119"/>
  <c r="O247" i="119"/>
  <c r="O246" i="119"/>
  <c r="O245" i="119"/>
  <c r="O244" i="119"/>
  <c r="O243" i="119"/>
  <c r="O242" i="119"/>
  <c r="O452" i="119"/>
  <c r="O451" i="119"/>
  <c r="O450" i="119"/>
  <c r="O449" i="119"/>
  <c r="O448" i="119"/>
  <c r="O447" i="119"/>
  <c r="O446" i="119"/>
  <c r="O445" i="119"/>
  <c r="O444" i="119"/>
  <c r="O443" i="119"/>
  <c r="O442" i="119"/>
  <c r="O441" i="119"/>
  <c r="O440" i="119"/>
  <c r="O439" i="119"/>
  <c r="O438" i="119"/>
  <c r="O51" i="119"/>
  <c r="O50" i="119"/>
  <c r="O49" i="119"/>
  <c r="O437" i="119"/>
  <c r="O436" i="119"/>
  <c r="O755" i="119"/>
  <c r="O754" i="119"/>
  <c r="O753" i="119"/>
  <c r="O752" i="119"/>
  <c r="O602" i="119"/>
  <c r="O601" i="119"/>
  <c r="O48" i="119"/>
  <c r="O47" i="119"/>
  <c r="O751" i="119"/>
  <c r="O750" i="119"/>
  <c r="O749" i="119"/>
  <c r="O748" i="119"/>
  <c r="O747" i="119"/>
  <c r="O241" i="119"/>
  <c r="O240" i="119"/>
  <c r="O239" i="119"/>
  <c r="O238" i="119"/>
  <c r="O237" i="119"/>
  <c r="O236" i="119"/>
  <c r="O235" i="119"/>
  <c r="O600" i="119"/>
  <c r="O599" i="119"/>
  <c r="O435" i="119"/>
  <c r="O434" i="119"/>
  <c r="O746" i="119"/>
  <c r="O745" i="119"/>
  <c r="O744" i="119"/>
  <c r="O234" i="119"/>
  <c r="O233" i="119"/>
  <c r="O743" i="119"/>
  <c r="O742" i="119"/>
  <c r="O741" i="119"/>
  <c r="O740" i="119"/>
  <c r="O739" i="119"/>
  <c r="O738" i="119"/>
  <c r="O737" i="119"/>
  <c r="O232" i="119"/>
  <c r="O231" i="119"/>
  <c r="O230" i="119"/>
  <c r="O229" i="119"/>
  <c r="O228" i="119"/>
  <c r="O433" i="119"/>
  <c r="O432" i="119"/>
  <c r="O46" i="119"/>
  <c r="O45" i="119"/>
  <c r="O44" i="119"/>
  <c r="O43" i="119"/>
  <c r="O42" i="119"/>
  <c r="O41" i="119"/>
  <c r="O736" i="119"/>
  <c r="O735" i="119"/>
  <c r="O734" i="119"/>
  <c r="O733" i="119"/>
  <c r="O732" i="119"/>
  <c r="O731" i="119"/>
  <c r="O730" i="119"/>
  <c r="O729" i="119"/>
  <c r="O431" i="119"/>
  <c r="O430" i="119"/>
  <c r="O429" i="119"/>
  <c r="O428" i="119"/>
  <c r="O227" i="119"/>
  <c r="O226" i="119"/>
  <c r="O225" i="119"/>
  <c r="O224" i="119"/>
  <c r="O223" i="119"/>
  <c r="O222" i="119"/>
  <c r="O221" i="119"/>
  <c r="O220" i="119"/>
  <c r="O219" i="119"/>
  <c r="O728" i="119"/>
  <c r="O727" i="119"/>
  <c r="O726" i="119"/>
  <c r="O598" i="119"/>
  <c r="O597" i="119"/>
  <c r="O596" i="119"/>
  <c r="O595" i="119"/>
  <c r="O594" i="119"/>
  <c r="O218" i="119"/>
  <c r="O217" i="119"/>
  <c r="O216" i="119"/>
  <c r="O215" i="119"/>
  <c r="O214" i="119"/>
  <c r="O213" i="119"/>
  <c r="O212" i="119"/>
  <c r="O211" i="119"/>
  <c r="O210" i="119"/>
  <c r="O40" i="119"/>
  <c r="O39" i="119"/>
  <c r="O38" i="119"/>
  <c r="O427" i="119"/>
  <c r="O426" i="119"/>
  <c r="O425" i="119"/>
  <c r="O209" i="119"/>
  <c r="O208" i="119"/>
  <c r="O207" i="119"/>
  <c r="O725" i="119"/>
  <c r="O724" i="119"/>
  <c r="O723" i="119"/>
  <c r="O722" i="119"/>
  <c r="O721" i="119"/>
  <c r="O720" i="119"/>
  <c r="O719" i="119"/>
  <c r="O718" i="119"/>
  <c r="O717" i="119"/>
  <c r="O716" i="119"/>
  <c r="O424" i="119"/>
  <c r="O37" i="119"/>
  <c r="O593" i="119"/>
  <c r="O715" i="119"/>
  <c r="O714" i="119"/>
  <c r="O713" i="119"/>
  <c r="O36" i="119"/>
  <c r="O35" i="119"/>
  <c r="O34" i="119"/>
  <c r="O592" i="119"/>
  <c r="O591" i="119"/>
  <c r="O590" i="119"/>
  <c r="O589" i="119"/>
  <c r="O588" i="119"/>
  <c r="O587" i="119"/>
  <c r="O586" i="119"/>
  <c r="O585" i="119"/>
  <c r="O206" i="119"/>
  <c r="O205" i="119"/>
  <c r="O204" i="119"/>
  <c r="O203" i="119"/>
  <c r="O202" i="119"/>
  <c r="O712" i="119"/>
  <c r="O423" i="119"/>
  <c r="O422" i="119"/>
  <c r="O421" i="119"/>
  <c r="O201" i="119"/>
  <c r="O200" i="119"/>
  <c r="O199" i="119"/>
  <c r="O711" i="119"/>
  <c r="O710" i="119"/>
  <c r="O709" i="119"/>
  <c r="O708" i="119"/>
  <c r="O707" i="119"/>
  <c r="O706" i="119"/>
  <c r="O705" i="119"/>
  <c r="O704" i="119"/>
  <c r="O703" i="119"/>
  <c r="O702" i="119"/>
  <c r="O420" i="119"/>
  <c r="O419" i="119"/>
  <c r="O418" i="119"/>
  <c r="O417" i="119"/>
  <c r="O416" i="119"/>
  <c r="O415" i="119"/>
  <c r="O414" i="119"/>
  <c r="O413" i="119"/>
  <c r="O412" i="119"/>
  <c r="O411" i="119"/>
  <c r="O410" i="119"/>
  <c r="O409" i="119"/>
  <c r="O701" i="119"/>
  <c r="O700" i="119"/>
  <c r="O699" i="119"/>
  <c r="O698" i="119"/>
  <c r="O198" i="119"/>
  <c r="O197" i="119"/>
  <c r="O196" i="119"/>
  <c r="O195" i="119"/>
  <c r="O194" i="119"/>
  <c r="O584" i="119"/>
  <c r="O583" i="119"/>
  <c r="O582" i="119"/>
  <c r="O33" i="119"/>
  <c r="O32" i="119"/>
  <c r="O31" i="119"/>
  <c r="O30" i="119"/>
  <c r="O29" i="119"/>
  <c r="O28" i="119"/>
  <c r="O27" i="119"/>
  <c r="O26" i="119"/>
  <c r="O581" i="119"/>
  <c r="O193" i="119"/>
  <c r="O192" i="119"/>
  <c r="O580" i="119"/>
  <c r="O579" i="119"/>
  <c r="O697" i="119"/>
  <c r="O696" i="119"/>
  <c r="O695" i="119"/>
  <c r="O694" i="119"/>
  <c r="O693" i="119"/>
  <c r="O408" i="119"/>
  <c r="O407" i="119"/>
  <c r="O406" i="119"/>
  <c r="O405" i="119"/>
  <c r="O692" i="119"/>
  <c r="O691" i="119"/>
  <c r="O404" i="119"/>
  <c r="O403" i="119"/>
  <c r="O402" i="119"/>
  <c r="O401" i="119"/>
  <c r="O400" i="119"/>
  <c r="O399" i="119"/>
  <c r="O398" i="119"/>
  <c r="O397" i="119"/>
  <c r="O396" i="119"/>
  <c r="O395" i="119"/>
  <c r="O394" i="119"/>
  <c r="O393" i="119"/>
  <c r="O392" i="119"/>
  <c r="O391" i="119"/>
  <c r="O390" i="119"/>
  <c r="O389" i="119"/>
  <c r="O388" i="119"/>
  <c r="O387" i="119"/>
  <c r="O386" i="119"/>
  <c r="O385" i="119"/>
  <c r="O191" i="119"/>
  <c r="O190" i="119"/>
  <c r="O25" i="119"/>
  <c r="O24" i="119"/>
  <c r="O23" i="119"/>
  <c r="O22" i="119"/>
  <c r="O21" i="119"/>
  <c r="O20" i="119"/>
  <c r="O19" i="119"/>
  <c r="O18" i="119"/>
  <c r="O690" i="119"/>
  <c r="O689" i="119"/>
  <c r="O17" i="119"/>
  <c r="O16" i="119"/>
  <c r="O15" i="119"/>
  <c r="O189" i="119"/>
  <c r="O188" i="119"/>
  <c r="O187" i="119"/>
  <c r="O14" i="119"/>
  <c r="O13" i="119"/>
  <c r="O186" i="119"/>
  <c r="O185" i="119"/>
  <c r="O184" i="119"/>
  <c r="O183" i="119"/>
  <c r="O12" i="119"/>
  <c r="O11" i="119"/>
  <c r="O10" i="119"/>
  <c r="O384" i="119"/>
  <c r="O383" i="119"/>
  <c r="O382" i="119"/>
  <c r="O381" i="119"/>
  <c r="O380" i="119"/>
  <c r="O379" i="119"/>
  <c r="O578" i="119"/>
  <c r="O577" i="119"/>
  <c r="O576" i="119"/>
  <c r="O575" i="119"/>
  <c r="O574" i="119"/>
  <c r="O573" i="119"/>
  <c r="O572" i="119"/>
  <c r="O571" i="119"/>
  <c r="O570" i="119"/>
  <c r="O569" i="119"/>
  <c r="O568" i="119"/>
  <c r="O378" i="119"/>
  <c r="O377" i="119"/>
  <c r="O376" i="119"/>
  <c r="O375" i="119"/>
  <c r="O374" i="119"/>
  <c r="O567" i="119"/>
  <c r="O566" i="119"/>
  <c r="O688" i="119"/>
  <c r="O687" i="119"/>
  <c r="O686" i="119"/>
  <c r="O685" i="119"/>
  <c r="O9" i="119"/>
  <c r="O8" i="119"/>
  <c r="O7" i="119"/>
  <c r="O6" i="119"/>
  <c r="O373" i="119"/>
  <c r="O372" i="119"/>
  <c r="O371" i="119"/>
  <c r="O370" i="119"/>
  <c r="O369" i="119"/>
  <c r="O182" i="119"/>
  <c r="O181" i="119"/>
  <c r="O180" i="119"/>
  <c r="O179" i="119"/>
  <c r="O178" i="119"/>
  <c r="O177" i="119"/>
  <c r="O5" i="119"/>
  <c r="O4" i="119"/>
  <c r="O3" i="119"/>
  <c r="O2" i="119"/>
  <c r="O368" i="119"/>
  <c r="O367" i="119"/>
  <c r="O366" i="119"/>
  <c r="O565" i="119"/>
  <c r="O564" i="119"/>
  <c r="O563" i="119"/>
  <c r="O562" i="119"/>
  <c r="O561" i="119"/>
  <c r="O365" i="119"/>
  <c r="O364" i="119"/>
  <c r="O363" i="119"/>
  <c r="O362" i="119"/>
  <c r="O560" i="119"/>
  <c r="O559" i="119"/>
  <c r="O558" i="119"/>
  <c r="O557" i="119"/>
  <c r="O361" i="119"/>
  <c r="O360" i="119"/>
  <c r="N672" i="118"/>
  <c r="N671" i="118"/>
  <c r="N670" i="118"/>
  <c r="N669" i="118"/>
  <c r="N668" i="118"/>
  <c r="N667" i="118"/>
  <c r="N666" i="118"/>
  <c r="N665" i="118"/>
  <c r="N664" i="118"/>
  <c r="N663" i="118"/>
  <c r="N662" i="118"/>
  <c r="N661" i="118"/>
  <c r="N660" i="118"/>
  <c r="N659" i="118"/>
  <c r="N658" i="118"/>
  <c r="N657" i="118"/>
  <c r="N656" i="118"/>
  <c r="N655" i="118"/>
  <c r="N654" i="118"/>
  <c r="N653" i="118"/>
  <c r="N652" i="118"/>
  <c r="N651" i="118"/>
  <c r="N650" i="118"/>
  <c r="N649" i="118"/>
  <c r="N648" i="118"/>
  <c r="N647" i="118"/>
  <c r="N646" i="118"/>
  <c r="N645" i="118"/>
  <c r="N644" i="118"/>
  <c r="N643" i="118"/>
  <c r="N642" i="118"/>
  <c r="N641" i="118"/>
  <c r="N640" i="118"/>
  <c r="N639" i="118"/>
  <c r="N638" i="118"/>
  <c r="N637" i="118"/>
  <c r="N636" i="118"/>
  <c r="N635" i="118"/>
  <c r="N634" i="118"/>
  <c r="N633" i="118"/>
  <c r="N632" i="118"/>
  <c r="N631" i="118"/>
  <c r="N630" i="118"/>
  <c r="N629" i="118"/>
  <c r="N628" i="118"/>
  <c r="N627" i="118"/>
  <c r="N626" i="118"/>
  <c r="N625" i="118"/>
  <c r="N624" i="118"/>
  <c r="N623" i="118"/>
  <c r="N622" i="118"/>
  <c r="N621" i="118"/>
  <c r="N620" i="118"/>
  <c r="N619" i="118"/>
  <c r="N618" i="118"/>
  <c r="N617" i="118"/>
  <c r="N616" i="118"/>
  <c r="N615" i="118"/>
  <c r="N614" i="118"/>
  <c r="N613" i="118"/>
  <c r="N612" i="118"/>
  <c r="N611" i="118"/>
  <c r="N610" i="118"/>
  <c r="N609" i="118"/>
  <c r="N608" i="118"/>
  <c r="N607" i="118"/>
  <c r="N606" i="118"/>
  <c r="N605" i="118"/>
  <c r="N604" i="118"/>
  <c r="N603" i="118"/>
  <c r="N602" i="118"/>
  <c r="N601" i="118"/>
  <c r="N600" i="118"/>
  <c r="N599" i="118"/>
  <c r="N598" i="118"/>
  <c r="N597" i="118"/>
  <c r="N596" i="118"/>
  <c r="N595" i="118"/>
  <c r="N594" i="118"/>
  <c r="N593" i="118"/>
  <c r="N592" i="118"/>
  <c r="N591" i="118"/>
  <c r="N590" i="118"/>
  <c r="N589" i="118"/>
  <c r="N588" i="118"/>
  <c r="N587" i="118"/>
  <c r="N586" i="118"/>
  <c r="N585" i="118"/>
  <c r="N584" i="118"/>
  <c r="N583" i="118"/>
  <c r="N582" i="118"/>
  <c r="N581" i="118"/>
  <c r="N580" i="118"/>
  <c r="N579" i="118"/>
  <c r="N578" i="118"/>
  <c r="N577" i="118"/>
  <c r="N576" i="118"/>
  <c r="N575" i="118"/>
  <c r="N574" i="118"/>
  <c r="N573" i="118"/>
  <c r="N572" i="118"/>
  <c r="N571" i="118"/>
  <c r="N570" i="118"/>
  <c r="N569" i="118"/>
  <c r="N568" i="118"/>
  <c r="N567" i="118"/>
  <c r="N566" i="118"/>
  <c r="N565" i="118"/>
  <c r="N564" i="118"/>
  <c r="N563" i="118"/>
  <c r="N562" i="118"/>
  <c r="N561" i="118"/>
  <c r="N560" i="118"/>
  <c r="N559" i="118"/>
  <c r="N558" i="118"/>
  <c r="N557" i="118"/>
  <c r="N556" i="118"/>
  <c r="N555" i="118"/>
  <c r="N554" i="118"/>
  <c r="N553" i="118"/>
  <c r="N552" i="118"/>
  <c r="N551" i="118"/>
  <c r="N550" i="118"/>
  <c r="N549" i="118"/>
  <c r="N548" i="118"/>
  <c r="N547" i="118"/>
  <c r="N546" i="118"/>
  <c r="N545" i="118"/>
  <c r="N544" i="118"/>
  <c r="N543" i="118"/>
  <c r="N542" i="118"/>
  <c r="N541" i="118"/>
  <c r="N540" i="118"/>
  <c r="N539" i="118"/>
  <c r="N538" i="118"/>
  <c r="N537" i="118"/>
  <c r="N536" i="118"/>
  <c r="N535" i="118"/>
  <c r="N534" i="118"/>
  <c r="N533" i="118"/>
  <c r="N532" i="118"/>
  <c r="N531" i="118"/>
  <c r="N530" i="118"/>
  <c r="N529" i="118"/>
  <c r="N528" i="118"/>
  <c r="N527" i="118"/>
  <c r="N526" i="118"/>
  <c r="N525" i="118"/>
  <c r="N524" i="118"/>
  <c r="N523" i="118"/>
  <c r="N522" i="118"/>
  <c r="N521" i="118"/>
  <c r="N520" i="118"/>
  <c r="N519" i="118"/>
  <c r="N518" i="118"/>
  <c r="N517" i="118"/>
  <c r="N516" i="118"/>
  <c r="N515" i="118"/>
  <c r="N514" i="118"/>
  <c r="N513" i="118"/>
  <c r="N512" i="118"/>
  <c r="N511" i="118"/>
  <c r="N510" i="118"/>
  <c r="N509" i="118"/>
  <c r="N508" i="118"/>
  <c r="N507" i="118"/>
  <c r="N506" i="118"/>
  <c r="N505" i="118"/>
  <c r="N504" i="118"/>
  <c r="N503" i="118"/>
  <c r="N502" i="118"/>
  <c r="N501" i="118"/>
  <c r="N500" i="118"/>
  <c r="N499" i="118"/>
  <c r="N498" i="118"/>
  <c r="N497" i="118"/>
  <c r="N496" i="118"/>
  <c r="N495" i="118"/>
  <c r="N494" i="118"/>
  <c r="N493" i="118"/>
  <c r="N492" i="118"/>
  <c r="N491" i="118"/>
  <c r="N490" i="118"/>
  <c r="N489" i="118"/>
  <c r="N488" i="118"/>
  <c r="N487" i="118"/>
  <c r="N486" i="118"/>
  <c r="N485" i="118"/>
  <c r="N484" i="118"/>
  <c r="N483" i="118"/>
  <c r="N482" i="118"/>
  <c r="N481" i="118"/>
  <c r="N480" i="118"/>
  <c r="N479" i="118"/>
  <c r="N478" i="118"/>
  <c r="N477" i="118"/>
  <c r="N476" i="118"/>
  <c r="N475" i="118"/>
  <c r="N474" i="118"/>
  <c r="N473" i="118"/>
  <c r="N472" i="118"/>
  <c r="N471" i="118"/>
  <c r="N470" i="118"/>
  <c r="N469" i="118"/>
  <c r="N468" i="118"/>
  <c r="N467" i="118"/>
  <c r="N466" i="118"/>
  <c r="N465" i="118"/>
  <c r="N464" i="118"/>
  <c r="N463" i="118"/>
  <c r="N462" i="118"/>
  <c r="N461" i="118"/>
  <c r="N460" i="118"/>
  <c r="N459" i="118"/>
  <c r="N458" i="118"/>
  <c r="N457" i="118"/>
  <c r="N456" i="118"/>
  <c r="N455" i="118"/>
  <c r="N454" i="118"/>
  <c r="N453" i="118"/>
  <c r="N452" i="118"/>
  <c r="N451" i="118"/>
  <c r="N450" i="118"/>
  <c r="N449" i="118"/>
  <c r="N448" i="118"/>
  <c r="N447" i="118"/>
  <c r="N446" i="118"/>
  <c r="N445" i="118"/>
  <c r="N444" i="118"/>
  <c r="N443" i="118"/>
  <c r="N442" i="118"/>
  <c r="N441" i="118"/>
  <c r="N440" i="118"/>
  <c r="N439" i="118"/>
  <c r="N438" i="118"/>
  <c r="N437" i="118"/>
  <c r="N436" i="118"/>
  <c r="N435" i="118"/>
  <c r="N434" i="118"/>
  <c r="N433" i="118"/>
  <c r="N432" i="118"/>
  <c r="N431" i="118"/>
  <c r="N430" i="118"/>
  <c r="N429" i="118"/>
  <c r="N428" i="118"/>
  <c r="N427" i="118"/>
  <c r="N426" i="118"/>
  <c r="N425" i="118"/>
  <c r="N424" i="118"/>
  <c r="N423" i="118"/>
  <c r="N422" i="118"/>
  <c r="N421" i="118"/>
  <c r="N420" i="118"/>
  <c r="N419" i="118"/>
  <c r="N418" i="118"/>
  <c r="N417" i="118"/>
  <c r="N416" i="118"/>
  <c r="N415" i="118"/>
  <c r="N414" i="118"/>
  <c r="N413" i="118"/>
  <c r="N412" i="118"/>
  <c r="N411" i="118"/>
  <c r="N410" i="118"/>
  <c r="N409" i="118"/>
  <c r="N408" i="118"/>
  <c r="N407" i="118"/>
  <c r="N406" i="118"/>
  <c r="N405" i="118"/>
  <c r="N404" i="118"/>
  <c r="N403" i="118"/>
  <c r="N402" i="118"/>
  <c r="N401" i="118"/>
  <c r="N400" i="118"/>
  <c r="N399" i="118"/>
  <c r="N398" i="118"/>
  <c r="N397" i="118"/>
  <c r="N396" i="118"/>
  <c r="N395" i="118"/>
  <c r="N394" i="118"/>
  <c r="N393" i="118"/>
  <c r="N392" i="118"/>
  <c r="N391" i="118"/>
  <c r="N390" i="118"/>
  <c r="N389" i="118"/>
  <c r="N388" i="118"/>
  <c r="N387" i="118"/>
  <c r="N386" i="118"/>
  <c r="N385" i="118"/>
  <c r="N384" i="118"/>
  <c r="N383" i="118"/>
  <c r="N382" i="118"/>
  <c r="N381" i="118"/>
  <c r="N380" i="118"/>
  <c r="N379" i="118"/>
  <c r="N378" i="118"/>
  <c r="N377" i="118"/>
  <c r="N376" i="118"/>
  <c r="N375" i="118"/>
  <c r="N374" i="118"/>
  <c r="N373" i="118"/>
  <c r="N372" i="118"/>
  <c r="N371" i="118"/>
  <c r="N370" i="118"/>
  <c r="N369" i="118"/>
  <c r="N368" i="118"/>
  <c r="N367" i="118"/>
  <c r="N366" i="118"/>
  <c r="N365" i="118"/>
  <c r="N364" i="118"/>
  <c r="N363" i="118"/>
  <c r="N362" i="118"/>
  <c r="N361" i="118"/>
  <c r="N360" i="118"/>
  <c r="N359" i="118"/>
  <c r="N358" i="118"/>
  <c r="N357" i="118"/>
  <c r="N356" i="118"/>
  <c r="N355" i="118"/>
  <c r="N354" i="118"/>
  <c r="N353" i="118"/>
  <c r="N352" i="118"/>
  <c r="N351" i="118"/>
  <c r="N350" i="118"/>
  <c r="N349" i="118"/>
  <c r="N348" i="118"/>
  <c r="N347" i="118"/>
  <c r="N346" i="118"/>
  <c r="N345" i="118"/>
  <c r="N344" i="118"/>
  <c r="N343" i="118"/>
  <c r="N342" i="118"/>
  <c r="N341" i="118"/>
  <c r="N340" i="118"/>
  <c r="N339" i="118"/>
  <c r="N338" i="118"/>
  <c r="N337" i="118"/>
  <c r="N336" i="118"/>
  <c r="N335" i="118"/>
  <c r="N334" i="118"/>
  <c r="N333" i="118"/>
  <c r="N332" i="118"/>
  <c r="N331" i="118"/>
  <c r="N330" i="118"/>
  <c r="N329" i="118"/>
  <c r="N328" i="118"/>
  <c r="N327" i="118"/>
  <c r="N326" i="118"/>
  <c r="N325" i="118"/>
  <c r="N324" i="118"/>
  <c r="N323" i="118"/>
  <c r="N322" i="118"/>
  <c r="N321" i="118"/>
  <c r="N320" i="118"/>
  <c r="N319" i="118"/>
  <c r="N318" i="118"/>
  <c r="N317" i="118"/>
  <c r="N316" i="118"/>
  <c r="N315" i="118"/>
  <c r="N314" i="118"/>
  <c r="N313" i="118"/>
  <c r="N312" i="118"/>
  <c r="N311" i="118"/>
  <c r="N310" i="118"/>
  <c r="N309" i="118"/>
  <c r="N308" i="118"/>
  <c r="N307" i="118"/>
  <c r="N306" i="118"/>
  <c r="N305" i="118"/>
  <c r="N304" i="118"/>
  <c r="N303" i="118"/>
  <c r="N302" i="118"/>
  <c r="N301" i="118"/>
  <c r="N300" i="118"/>
  <c r="N299" i="118"/>
  <c r="N298" i="118"/>
  <c r="N297" i="118"/>
  <c r="N296" i="118"/>
  <c r="N295" i="118"/>
  <c r="N294" i="118"/>
  <c r="N293" i="118"/>
  <c r="N292" i="118"/>
  <c r="N291" i="118"/>
  <c r="N290" i="118"/>
  <c r="N289" i="118"/>
  <c r="N288" i="118"/>
  <c r="N287" i="118"/>
  <c r="N286" i="118"/>
  <c r="N285" i="118"/>
  <c r="N284" i="118"/>
  <c r="N283" i="118"/>
  <c r="N282" i="118"/>
  <c r="N281" i="118"/>
  <c r="N280" i="118"/>
  <c r="N279" i="118"/>
  <c r="N278" i="118"/>
  <c r="N277" i="118"/>
  <c r="N276" i="118"/>
  <c r="N275" i="118"/>
  <c r="N274" i="118"/>
  <c r="N273" i="118"/>
  <c r="N272" i="118"/>
  <c r="N271" i="118"/>
  <c r="N270" i="118"/>
  <c r="N269" i="118"/>
  <c r="N268" i="118"/>
  <c r="N267" i="118"/>
  <c r="N266" i="118"/>
  <c r="N265" i="118"/>
  <c r="N264" i="118"/>
  <c r="N263" i="118"/>
  <c r="N262" i="118"/>
  <c r="N261" i="118"/>
  <c r="N260" i="118"/>
  <c r="N259" i="118"/>
  <c r="N258" i="118"/>
  <c r="N257" i="118"/>
  <c r="N256" i="118"/>
  <c r="N255" i="118"/>
  <c r="N254" i="118"/>
  <c r="N253" i="118"/>
  <c r="N252" i="118"/>
  <c r="N251" i="118"/>
  <c r="N250" i="118"/>
  <c r="N249" i="118"/>
  <c r="N248" i="118"/>
  <c r="N247" i="118"/>
  <c r="N246" i="118"/>
  <c r="N245" i="118"/>
  <c r="N244" i="118"/>
  <c r="N243" i="118"/>
  <c r="N242" i="118"/>
  <c r="N241" i="118"/>
  <c r="N240" i="118"/>
  <c r="N239" i="118"/>
  <c r="N238" i="118"/>
  <c r="N237" i="118"/>
  <c r="N236" i="118"/>
  <c r="N235" i="118"/>
  <c r="N234" i="118"/>
  <c r="N233" i="118"/>
  <c r="N232" i="118"/>
  <c r="N231" i="118"/>
  <c r="N230" i="118"/>
  <c r="N229" i="118"/>
  <c r="N228" i="118"/>
  <c r="N227" i="118"/>
  <c r="N226" i="118"/>
  <c r="N225" i="118"/>
  <c r="N224" i="118"/>
  <c r="N223" i="118"/>
  <c r="N222" i="118"/>
  <c r="N221" i="118"/>
  <c r="N220" i="118"/>
  <c r="N219" i="118"/>
  <c r="N218" i="118"/>
  <c r="N217" i="118"/>
  <c r="N216" i="118"/>
  <c r="N215" i="118"/>
  <c r="N214" i="118"/>
  <c r="N213" i="118"/>
  <c r="N212" i="118"/>
  <c r="N211" i="118"/>
  <c r="N210" i="118"/>
  <c r="N209" i="118"/>
  <c r="N208" i="118"/>
  <c r="N207" i="118"/>
  <c r="N206" i="118"/>
  <c r="N205" i="118"/>
  <c r="N204" i="118"/>
  <c r="N203" i="118"/>
  <c r="N202" i="118"/>
  <c r="N201" i="118"/>
  <c r="N200" i="118"/>
  <c r="N199" i="118"/>
  <c r="N198" i="118"/>
  <c r="N197" i="118"/>
  <c r="N196" i="118"/>
  <c r="N195" i="118"/>
  <c r="N194" i="118"/>
  <c r="N193" i="118"/>
  <c r="N192" i="118"/>
  <c r="N191" i="118"/>
  <c r="N190" i="118"/>
  <c r="N189" i="118"/>
  <c r="N188" i="118"/>
  <c r="N187" i="118"/>
  <c r="N186" i="118"/>
  <c r="N185" i="118"/>
  <c r="N184" i="118"/>
  <c r="N183" i="118"/>
  <c r="N182" i="118"/>
  <c r="N181" i="118"/>
  <c r="N180" i="118"/>
  <c r="N179" i="118"/>
  <c r="N178" i="118"/>
  <c r="N177" i="118"/>
  <c r="N176" i="118"/>
  <c r="N175" i="118"/>
  <c r="N174" i="118"/>
  <c r="N173" i="118"/>
  <c r="N172" i="118"/>
  <c r="N171" i="118"/>
  <c r="N170" i="118"/>
  <c r="N169" i="118"/>
  <c r="N168" i="118"/>
  <c r="N167" i="118"/>
  <c r="N166" i="118"/>
  <c r="N165" i="118"/>
  <c r="N164" i="118"/>
  <c r="N163" i="118"/>
  <c r="N162" i="118"/>
  <c r="N161" i="118"/>
  <c r="N160" i="118"/>
  <c r="N159" i="118"/>
  <c r="N158" i="118"/>
  <c r="N157" i="118"/>
  <c r="N156" i="118"/>
  <c r="N155" i="118"/>
  <c r="N154" i="118"/>
  <c r="N153" i="118"/>
  <c r="N152" i="118"/>
  <c r="N151" i="118"/>
  <c r="N150" i="118"/>
  <c r="N149" i="118"/>
  <c r="N148" i="118"/>
  <c r="N147" i="118"/>
  <c r="N146" i="118"/>
  <c r="N145" i="118"/>
  <c r="N144" i="118"/>
  <c r="N143" i="118"/>
  <c r="N142" i="118"/>
  <c r="N141" i="118"/>
  <c r="N140" i="118"/>
  <c r="N139" i="118"/>
  <c r="N138" i="118"/>
  <c r="N137" i="118"/>
  <c r="N136" i="118"/>
  <c r="N135" i="118"/>
  <c r="N134" i="118"/>
  <c r="N133" i="118"/>
  <c r="N132" i="118"/>
  <c r="N131" i="118"/>
  <c r="N130" i="118"/>
  <c r="N129" i="118"/>
  <c r="N128" i="118"/>
  <c r="N127" i="118"/>
  <c r="N126" i="118"/>
  <c r="N125" i="118"/>
  <c r="N124" i="118"/>
  <c r="N123" i="118"/>
  <c r="N122" i="118"/>
  <c r="N121" i="118"/>
  <c r="N120" i="118"/>
  <c r="N119" i="118"/>
  <c r="N118" i="118"/>
  <c r="N117" i="118"/>
  <c r="N116" i="118"/>
  <c r="N115" i="118"/>
  <c r="N114" i="118"/>
  <c r="N113" i="118"/>
  <c r="N112" i="118"/>
  <c r="N111" i="118"/>
  <c r="N110" i="118"/>
  <c r="N109" i="118"/>
  <c r="N108" i="118"/>
  <c r="N107" i="118"/>
  <c r="N106" i="118"/>
  <c r="N105" i="118"/>
  <c r="N104" i="118"/>
  <c r="N103" i="118"/>
  <c r="N102" i="118"/>
  <c r="N101" i="118"/>
  <c r="N100" i="118"/>
  <c r="N99" i="118"/>
  <c r="N98" i="118"/>
  <c r="N97" i="118"/>
  <c r="N96" i="118"/>
  <c r="N95" i="118"/>
  <c r="N94" i="118"/>
  <c r="N93" i="118"/>
  <c r="N92" i="118"/>
  <c r="N91" i="118"/>
  <c r="N90" i="118"/>
  <c r="N89" i="118"/>
  <c r="N88" i="118"/>
  <c r="N87" i="118"/>
  <c r="N86" i="118"/>
  <c r="N85" i="118"/>
  <c r="N84" i="118"/>
  <c r="N83" i="118"/>
  <c r="N82" i="118"/>
  <c r="N81" i="118"/>
  <c r="N80" i="118"/>
  <c r="N79" i="118"/>
  <c r="N78" i="118"/>
  <c r="N77" i="118"/>
  <c r="N76" i="118"/>
  <c r="N75" i="118"/>
  <c r="N74" i="118"/>
  <c r="N73" i="118"/>
  <c r="N72" i="118"/>
  <c r="N71" i="118"/>
  <c r="N70" i="118"/>
  <c r="N69" i="118"/>
  <c r="N68" i="118"/>
  <c r="N67" i="118"/>
  <c r="N66" i="118"/>
  <c r="N65" i="118"/>
  <c r="N64" i="118"/>
  <c r="N63" i="118"/>
  <c r="N62" i="118"/>
  <c r="N61" i="118"/>
  <c r="N60" i="118"/>
  <c r="N59" i="118"/>
  <c r="N58" i="118"/>
  <c r="N57" i="118"/>
  <c r="N56" i="118"/>
  <c r="N55" i="118"/>
  <c r="N54" i="118"/>
  <c r="N53" i="118"/>
  <c r="N52" i="118"/>
  <c r="N51" i="118"/>
  <c r="N50" i="118"/>
  <c r="N49" i="118"/>
  <c r="N48" i="118"/>
  <c r="N47" i="118"/>
  <c r="N46" i="118"/>
  <c r="N45" i="118"/>
  <c r="N44" i="118"/>
  <c r="N43" i="118"/>
  <c r="N42" i="118"/>
  <c r="N41" i="118"/>
  <c r="N40" i="118"/>
  <c r="N39" i="118"/>
  <c r="N38" i="118"/>
  <c r="N37" i="118"/>
  <c r="N36" i="118"/>
  <c r="N35" i="118"/>
  <c r="N34" i="118"/>
  <c r="N33" i="118"/>
  <c r="N32" i="118"/>
  <c r="N31" i="118"/>
  <c r="N30" i="118"/>
  <c r="N29" i="118"/>
  <c r="N28" i="118"/>
  <c r="N27" i="118"/>
  <c r="N26" i="118"/>
  <c r="N25" i="118"/>
  <c r="N24" i="118"/>
  <c r="N23" i="118"/>
  <c r="N22" i="118"/>
  <c r="N21" i="118"/>
  <c r="N20" i="118"/>
  <c r="N19" i="118"/>
  <c r="N18" i="118"/>
  <c r="N17" i="118"/>
  <c r="N16" i="118"/>
  <c r="N15" i="118"/>
  <c r="N14" i="118"/>
  <c r="N13" i="118"/>
  <c r="N12" i="118"/>
  <c r="N11" i="118"/>
  <c r="N10" i="118"/>
  <c r="N9" i="118"/>
  <c r="N8" i="118"/>
  <c r="N7" i="118"/>
  <c r="N6" i="118"/>
  <c r="N5" i="118"/>
  <c r="N4" i="118"/>
  <c r="N3" i="118"/>
  <c r="N2" i="118"/>
  <c r="N878" i="118"/>
  <c r="N932" i="118"/>
  <c r="N728" i="118"/>
  <c r="N727" i="118"/>
  <c r="N838" i="118"/>
  <c r="N726" i="118"/>
  <c r="N725" i="118"/>
  <c r="N837" i="118"/>
  <c r="N779" i="118"/>
  <c r="N778" i="118"/>
  <c r="N931" i="118"/>
  <c r="N836" i="118"/>
  <c r="N930" i="118"/>
  <c r="N877" i="118"/>
  <c r="N777" i="118"/>
  <c r="N835" i="118"/>
  <c r="N929" i="118"/>
  <c r="N724" i="118"/>
  <c r="N834" i="118"/>
  <c r="N876" i="118"/>
  <c r="N776" i="118"/>
  <c r="N723" i="118"/>
  <c r="N833" i="118"/>
  <c r="N775" i="118"/>
  <c r="N875" i="118"/>
  <c r="N774" i="118"/>
  <c r="N722" i="118"/>
  <c r="N721" i="118"/>
  <c r="N773" i="118"/>
  <c r="N928" i="118"/>
  <c r="N772" i="118"/>
  <c r="N771" i="118"/>
  <c r="N720" i="118"/>
  <c r="N770" i="118"/>
  <c r="N719" i="118"/>
  <c r="N927" i="118"/>
  <c r="N718" i="118"/>
  <c r="N717" i="118"/>
  <c r="N832" i="118"/>
  <c r="N926" i="118"/>
  <c r="N874" i="118"/>
  <c r="N716" i="118"/>
  <c r="N769" i="118"/>
  <c r="N768" i="118"/>
  <c r="N873" i="118"/>
  <c r="N767" i="118"/>
  <c r="N831" i="118"/>
  <c r="N715" i="118"/>
  <c r="N714" i="118"/>
  <c r="N766" i="118"/>
  <c r="N765" i="118"/>
  <c r="N872" i="118"/>
  <c r="N925" i="118"/>
  <c r="N764" i="118"/>
  <c r="N713" i="118"/>
  <c r="N763" i="118"/>
  <c r="N924" i="118"/>
  <c r="N712" i="118"/>
  <c r="N762" i="118"/>
  <c r="N923" i="118"/>
  <c r="N922" i="118"/>
  <c r="N711" i="118"/>
  <c r="N921" i="118"/>
  <c r="N710" i="118"/>
  <c r="N830" i="118"/>
  <c r="N871" i="118"/>
  <c r="N709" i="118"/>
  <c r="N829" i="118"/>
  <c r="N920" i="118"/>
  <c r="N919" i="118"/>
  <c r="N708" i="118"/>
  <c r="N870" i="118"/>
  <c r="N918" i="118"/>
  <c r="N869" i="118"/>
  <c r="N707" i="118"/>
  <c r="N828" i="118"/>
  <c r="N917" i="118"/>
  <c r="N868" i="118"/>
  <c r="N827" i="118"/>
  <c r="N867" i="118"/>
  <c r="N916" i="118"/>
  <c r="N761" i="118"/>
  <c r="N760" i="118"/>
  <c r="N706" i="118"/>
  <c r="N826" i="118"/>
  <c r="N866" i="118"/>
  <c r="N915" i="118"/>
  <c r="N705" i="118"/>
  <c r="N704" i="118"/>
  <c r="N759" i="118"/>
  <c r="N825" i="118"/>
  <c r="N703" i="118"/>
  <c r="N914" i="118"/>
  <c r="N824" i="118"/>
  <c r="N865" i="118"/>
  <c r="N702" i="118"/>
  <c r="N823" i="118"/>
  <c r="N758" i="118"/>
  <c r="N913" i="118"/>
  <c r="N864" i="118"/>
  <c r="N757" i="118"/>
  <c r="N912" i="118"/>
  <c r="N911" i="118"/>
  <c r="N863" i="118"/>
  <c r="N756" i="118"/>
  <c r="N822" i="118"/>
  <c r="N755" i="118"/>
  <c r="N701" i="118"/>
  <c r="N862" i="118"/>
  <c r="N700" i="118"/>
  <c r="N821" i="118"/>
  <c r="N820" i="118"/>
  <c r="N861" i="118"/>
  <c r="N910" i="118"/>
  <c r="N699" i="118"/>
  <c r="N819" i="118"/>
  <c r="N698" i="118"/>
  <c r="N818" i="118"/>
  <c r="N909" i="118"/>
  <c r="N754" i="118"/>
  <c r="N753" i="118"/>
  <c r="N752" i="118"/>
  <c r="N860" i="118"/>
  <c r="N751" i="118"/>
  <c r="N817" i="118"/>
  <c r="N859" i="118"/>
  <c r="N816" i="118"/>
  <c r="N697" i="118"/>
  <c r="N908" i="118"/>
  <c r="N750" i="118"/>
  <c r="N907" i="118"/>
  <c r="N815" i="118"/>
  <c r="N696" i="118"/>
  <c r="N906" i="118"/>
  <c r="N814" i="118"/>
  <c r="N813" i="118"/>
  <c r="N905" i="118"/>
  <c r="N858" i="118"/>
  <c r="N695" i="118"/>
  <c r="N812" i="118"/>
  <c r="N749" i="118"/>
  <c r="N904" i="118"/>
  <c r="N857" i="118"/>
  <c r="N811" i="118"/>
  <c r="N856" i="118"/>
  <c r="N903" i="118"/>
  <c r="N902" i="118"/>
  <c r="N694" i="118"/>
  <c r="N810" i="118"/>
  <c r="N901" i="118"/>
  <c r="N855" i="118"/>
  <c r="N809" i="118"/>
  <c r="N854" i="118"/>
  <c r="N748" i="118"/>
  <c r="N693" i="118"/>
  <c r="N933" i="118"/>
  <c r="N747" i="118"/>
  <c r="N808" i="118"/>
  <c r="N692" i="118"/>
  <c r="N900" i="118"/>
  <c r="N746" i="118"/>
  <c r="N745" i="118"/>
  <c r="N807" i="118"/>
  <c r="N806" i="118"/>
  <c r="N805" i="118"/>
  <c r="N691" i="118"/>
  <c r="N804" i="118"/>
  <c r="N899" i="118"/>
  <c r="N853" i="118"/>
  <c r="N690" i="118"/>
  <c r="N898" i="118"/>
  <c r="N897" i="118"/>
  <c r="N744" i="118"/>
  <c r="N852" i="118"/>
  <c r="N803" i="118"/>
  <c r="N896" i="118"/>
  <c r="N743" i="118"/>
  <c r="N895" i="118"/>
  <c r="N742" i="118"/>
  <c r="N802" i="118"/>
  <c r="N689" i="118"/>
  <c r="N688" i="118"/>
  <c r="N894" i="118"/>
  <c r="N893" i="118"/>
  <c r="N892" i="118"/>
  <c r="N801" i="118"/>
  <c r="N741" i="118"/>
  <c r="N740" i="118"/>
  <c r="N891" i="118"/>
  <c r="N851" i="118"/>
  <c r="N850" i="118"/>
  <c r="N739" i="118"/>
  <c r="N738" i="118"/>
  <c r="N687" i="118"/>
  <c r="N800" i="118"/>
  <c r="N737" i="118"/>
  <c r="N890" i="118"/>
  <c r="N889" i="118"/>
  <c r="N799" i="118"/>
  <c r="N686" i="118"/>
  <c r="N849" i="118"/>
  <c r="N888" i="118"/>
  <c r="N685" i="118"/>
  <c r="N848" i="118"/>
  <c r="N736" i="118"/>
  <c r="N887" i="118"/>
  <c r="N798" i="118"/>
  <c r="N735" i="118"/>
  <c r="N886" i="118"/>
  <c r="N885" i="118"/>
  <c r="N884" i="118"/>
  <c r="N797" i="118"/>
  <c r="N796" i="118"/>
  <c r="N795" i="118"/>
  <c r="N883" i="118"/>
  <c r="N734" i="118"/>
  <c r="N847" i="118"/>
  <c r="N684" i="118"/>
  <c r="N683" i="118"/>
  <c r="N682" i="118"/>
  <c r="N846" i="118"/>
  <c r="N733" i="118"/>
  <c r="N845" i="118"/>
  <c r="N882" i="118"/>
  <c r="N794" i="118"/>
  <c r="N881" i="118"/>
  <c r="N793" i="118"/>
  <c r="N792" i="118"/>
  <c r="N791" i="118"/>
  <c r="N790" i="118"/>
  <c r="N789" i="118"/>
  <c r="N732" i="118"/>
  <c r="N681" i="118"/>
  <c r="N680" i="118"/>
  <c r="N880" i="118"/>
  <c r="N679" i="118"/>
  <c r="N678" i="118"/>
  <c r="N731" i="118"/>
  <c r="N677" i="118"/>
  <c r="N730" i="118"/>
  <c r="N676" i="118"/>
  <c r="N788" i="118"/>
  <c r="N787" i="118"/>
  <c r="N844" i="118"/>
  <c r="N843" i="118"/>
  <c r="N842" i="118"/>
  <c r="N786" i="118"/>
  <c r="N841" i="118"/>
  <c r="N879" i="118"/>
  <c r="N675" i="118"/>
  <c r="N674" i="118"/>
  <c r="N785" i="118"/>
  <c r="N784" i="118"/>
  <c r="N783" i="118"/>
  <c r="N729" i="118"/>
  <c r="N673" i="118"/>
  <c r="N782" i="118"/>
  <c r="N840" i="118"/>
  <c r="N781" i="118"/>
  <c r="N839" i="118"/>
  <c r="N780" i="118"/>
  <c r="C176" i="117"/>
  <c r="C102" i="116"/>
  <c r="C681" i="119"/>
  <c r="C677" i="119"/>
  <c r="C175" i="119"/>
  <c r="C171" i="119"/>
  <c r="C555" i="119"/>
  <c r="C165" i="119"/>
  <c r="C161" i="119"/>
  <c r="C359" i="119"/>
  <c r="C355" i="119"/>
  <c r="C851" i="119"/>
  <c r="C549" i="119"/>
  <c r="C351" i="119"/>
  <c r="C347" i="119"/>
  <c r="C847" i="119"/>
  <c r="C160" i="119"/>
  <c r="C544" i="119"/>
  <c r="C674" i="119"/>
  <c r="C670" i="119"/>
  <c r="C158" i="119"/>
  <c r="C537" i="119"/>
  <c r="C667" i="119"/>
  <c r="C340" i="119"/>
  <c r="C156" i="119"/>
  <c r="C337" i="119"/>
  <c r="C841" i="119"/>
  <c r="C332" i="119"/>
  <c r="C152" i="119"/>
  <c r="C326" i="119"/>
  <c r="C322" i="119"/>
  <c r="C148" i="119"/>
  <c r="C146" i="119"/>
  <c r="C534" i="119"/>
  <c r="C837" i="119"/>
  <c r="C143" i="119"/>
  <c r="C139" i="119"/>
  <c r="C317" i="119"/>
  <c r="C665" i="119"/>
  <c r="C311" i="119"/>
  <c r="C529" i="119"/>
  <c r="C525" i="119"/>
  <c r="C135" i="119"/>
  <c r="C309" i="119"/>
  <c r="C305" i="119"/>
  <c r="C663" i="119"/>
  <c r="C300" i="119"/>
  <c r="C297" i="119"/>
  <c r="C130" i="119"/>
  <c r="C830" i="119"/>
  <c r="C826" i="119"/>
  <c r="C125" i="119"/>
  <c r="C822" i="119"/>
  <c r="C122" i="119"/>
  <c r="C524" i="119"/>
  <c r="C118" i="119"/>
  <c r="C522" i="119"/>
  <c r="C817" i="119"/>
  <c r="C658" i="119"/>
  <c r="C815" i="119"/>
  <c r="C811" i="119"/>
  <c r="C654" i="119"/>
  <c r="C109" i="119"/>
  <c r="C518" i="119"/>
  <c r="C652" i="119"/>
  <c r="C651" i="119"/>
  <c r="C803" i="119"/>
  <c r="C291" i="119"/>
  <c r="C107" i="119"/>
  <c r="C103" i="119"/>
  <c r="C650" i="119"/>
  <c r="C801" i="119"/>
  <c r="C100" i="119"/>
  <c r="C96" i="119"/>
  <c r="C288" i="119"/>
  <c r="C284" i="119"/>
  <c r="C511" i="119"/>
  <c r="C92" i="119"/>
  <c r="C795" i="119"/>
  <c r="C646" i="119"/>
  <c r="C506" i="119"/>
  <c r="C281" i="119"/>
  <c r="C791" i="119"/>
  <c r="C643" i="119"/>
  <c r="C277" i="119"/>
  <c r="C785" i="119"/>
  <c r="C639" i="119"/>
  <c r="C501" i="119"/>
  <c r="C275" i="119"/>
  <c r="C87" i="119"/>
  <c r="C86" i="119"/>
  <c r="C82" i="119"/>
  <c r="C497" i="119"/>
  <c r="C493" i="119"/>
  <c r="C634" i="119"/>
  <c r="C630" i="119"/>
  <c r="C782" i="119"/>
  <c r="C489" i="119"/>
  <c r="C485" i="119"/>
  <c r="C482" i="119"/>
  <c r="C478" i="119"/>
  <c r="C272" i="119"/>
  <c r="C268" i="119"/>
  <c r="C264" i="119"/>
  <c r="C624" i="119"/>
  <c r="C623" i="119"/>
  <c r="C476" i="119"/>
  <c r="C778" i="119"/>
  <c r="C776" i="119"/>
  <c r="C772" i="119"/>
  <c r="C471" i="119"/>
  <c r="C469" i="119"/>
  <c r="C465" i="119"/>
  <c r="C461" i="119"/>
  <c r="C619" i="119"/>
  <c r="C70" i="119"/>
  <c r="C258" i="119"/>
  <c r="C615" i="119"/>
  <c r="C458" i="119"/>
  <c r="C608" i="119"/>
  <c r="C764" i="119"/>
  <c r="C69" i="119"/>
  <c r="C759" i="119"/>
  <c r="C456" i="119"/>
  <c r="C604" i="119"/>
  <c r="C255" i="119"/>
  <c r="C65" i="119"/>
  <c r="C61" i="119"/>
  <c r="C855" i="119"/>
  <c r="C682" i="119"/>
  <c r="C678" i="119"/>
  <c r="C176" i="119"/>
  <c r="C172" i="119"/>
  <c r="C556" i="119"/>
  <c r="C166" i="119"/>
  <c r="C162" i="119"/>
  <c r="C552" i="119"/>
  <c r="C356" i="119"/>
  <c r="C352" i="119"/>
  <c r="C550" i="119"/>
  <c r="C675" i="119"/>
  <c r="C348" i="119"/>
  <c r="C848" i="119"/>
  <c r="C844" i="119"/>
  <c r="C545" i="119"/>
  <c r="C541" i="119"/>
  <c r="C671" i="119"/>
  <c r="C346" i="119"/>
  <c r="C538" i="119"/>
  <c r="C344" i="119"/>
  <c r="C341" i="119"/>
  <c r="C157" i="119"/>
  <c r="C153" i="119"/>
  <c r="C842" i="119"/>
  <c r="C333" i="119"/>
  <c r="C329" i="119"/>
  <c r="C327" i="119"/>
  <c r="C323" i="119"/>
  <c r="C149" i="119"/>
  <c r="C147" i="119"/>
  <c r="C535" i="119"/>
  <c r="C838" i="119"/>
  <c r="C666" i="119"/>
  <c r="C140" i="119"/>
  <c r="C318" i="119"/>
  <c r="C314" i="119"/>
  <c r="C312" i="119"/>
  <c r="C530" i="119"/>
  <c r="C526" i="119"/>
  <c r="C136" i="119"/>
  <c r="C132" i="119"/>
  <c r="C306" i="119"/>
  <c r="C302" i="119"/>
  <c r="C301" i="119"/>
  <c r="C298" i="119"/>
  <c r="C832" i="119"/>
  <c r="C831" i="119"/>
  <c r="C827" i="119"/>
  <c r="C126" i="119"/>
  <c r="C823" i="119"/>
  <c r="C123" i="119"/>
  <c r="C119" i="119"/>
  <c r="C659" i="119"/>
  <c r="C523" i="119"/>
  <c r="C818" i="119"/>
  <c r="C113" i="119"/>
  <c r="C816" i="119"/>
  <c r="C812" i="119"/>
  <c r="C655" i="119"/>
  <c r="C110" i="119"/>
  <c r="C519" i="119"/>
  <c r="C653" i="119"/>
  <c r="C515" i="119"/>
  <c r="C804" i="119"/>
  <c r="C292" i="119"/>
  <c r="C108" i="119"/>
  <c r="C104" i="119"/>
  <c r="C514" i="119"/>
  <c r="C802" i="119"/>
  <c r="C798" i="119"/>
  <c r="C97" i="119"/>
  <c r="C93" i="119"/>
  <c r="C285" i="119"/>
  <c r="C512" i="119"/>
  <c r="C508" i="119"/>
  <c r="C796" i="119"/>
  <c r="C647" i="119"/>
  <c r="C89" i="119"/>
  <c r="C282" i="119"/>
  <c r="C792" i="119"/>
  <c r="C644" i="119"/>
  <c r="C278" i="119"/>
  <c r="C786" i="119"/>
  <c r="C640" i="119"/>
  <c r="C502" i="119"/>
  <c r="C498" i="119"/>
  <c r="C88" i="119"/>
  <c r="C636" i="119"/>
  <c r="C83" i="119"/>
  <c r="C79" i="119"/>
  <c r="C494" i="119"/>
  <c r="C635" i="119"/>
  <c r="C631" i="119"/>
  <c r="C783" i="119"/>
  <c r="C490" i="119"/>
  <c r="C486" i="119"/>
  <c r="C76" i="119"/>
  <c r="C479" i="119"/>
  <c r="C779" i="119"/>
  <c r="C269" i="119"/>
  <c r="C265" i="119"/>
  <c r="C625" i="119"/>
  <c r="C477" i="119"/>
  <c r="C620" i="119"/>
  <c r="C74" i="119"/>
  <c r="C260" i="119"/>
  <c r="C773" i="119"/>
  <c r="C472" i="119"/>
  <c r="C771" i="119"/>
  <c r="C466" i="119"/>
  <c r="C462" i="119"/>
  <c r="C768" i="119"/>
  <c r="C71" i="119"/>
  <c r="C259" i="119"/>
  <c r="C616" i="119"/>
  <c r="C612" i="119"/>
  <c r="C609" i="119"/>
  <c r="C765" i="119"/>
  <c r="C761" i="119"/>
  <c r="C760" i="119"/>
  <c r="C606" i="119"/>
  <c r="C605" i="119"/>
  <c r="C256" i="119"/>
  <c r="C66" i="119"/>
  <c r="C62" i="119"/>
  <c r="C856" i="119"/>
  <c r="C684" i="119"/>
  <c r="C853" i="119"/>
  <c r="C170" i="119"/>
  <c r="C164" i="119"/>
  <c r="C358" i="119"/>
  <c r="C850" i="119"/>
  <c r="C350" i="119"/>
  <c r="C846" i="119"/>
  <c r="C543" i="119"/>
  <c r="C669" i="119"/>
  <c r="C536" i="119"/>
  <c r="C339" i="119"/>
  <c r="C336" i="119"/>
  <c r="C331" i="119"/>
  <c r="C325" i="119"/>
  <c r="C840" i="119"/>
  <c r="C533" i="119"/>
  <c r="C142" i="119"/>
  <c r="C316" i="119"/>
  <c r="C310" i="119"/>
  <c r="C138" i="119"/>
  <c r="C308" i="119"/>
  <c r="C662" i="119"/>
  <c r="C296" i="119"/>
  <c r="C829" i="119"/>
  <c r="C825" i="119"/>
  <c r="C121" i="119"/>
  <c r="C117" i="119"/>
  <c r="C115" i="119"/>
  <c r="C814" i="119"/>
  <c r="C112" i="119"/>
  <c r="C808" i="119"/>
  <c r="C806" i="119"/>
  <c r="C290" i="119"/>
  <c r="C102" i="119"/>
  <c r="C800" i="119"/>
  <c r="C95" i="119"/>
  <c r="C283" i="119"/>
  <c r="C91" i="119"/>
  <c r="C645" i="119"/>
  <c r="C280" i="119"/>
  <c r="C642" i="119"/>
  <c r="C784" i="119"/>
  <c r="C500" i="119"/>
  <c r="C638" i="119"/>
  <c r="C81" i="119"/>
  <c r="C492" i="119"/>
  <c r="C629" i="119"/>
  <c r="C488" i="119"/>
  <c r="C481" i="119"/>
  <c r="C271" i="119"/>
  <c r="C627" i="119"/>
  <c r="C622" i="119"/>
  <c r="C777" i="119"/>
  <c r="C474" i="119"/>
  <c r="C468" i="119"/>
  <c r="C770" i="119"/>
  <c r="C460" i="119"/>
  <c r="C614" i="119"/>
  <c r="C607" i="119"/>
  <c r="C68" i="119"/>
  <c r="C455" i="119"/>
  <c r="C254" i="119"/>
  <c r="C60" i="119"/>
  <c r="C252" i="119"/>
  <c r="C57" i="119"/>
  <c r="C53" i="119"/>
  <c r="C250" i="119"/>
  <c r="C246" i="119"/>
  <c r="C242" i="119"/>
  <c r="C449" i="119"/>
  <c r="C445" i="119"/>
  <c r="C441" i="119"/>
  <c r="C51" i="119"/>
  <c r="C436" i="119"/>
  <c r="C752" i="119"/>
  <c r="C47" i="119"/>
  <c r="C748" i="119"/>
  <c r="C239" i="119"/>
  <c r="C235" i="119"/>
  <c r="C434" i="119"/>
  <c r="C234" i="119"/>
  <c r="C741" i="119"/>
  <c r="C737" i="119"/>
  <c r="C229" i="119"/>
  <c r="C46" i="119"/>
  <c r="C42" i="119"/>
  <c r="C734" i="119"/>
  <c r="C730" i="119"/>
  <c r="C429" i="119"/>
  <c r="C225" i="119"/>
  <c r="C221" i="119"/>
  <c r="C727" i="119"/>
  <c r="C596" i="119"/>
  <c r="C217" i="119"/>
  <c r="C213" i="119"/>
  <c r="C40" i="119"/>
  <c r="C426" i="119"/>
  <c r="C207" i="119"/>
  <c r="C722" i="119"/>
  <c r="C718" i="119"/>
  <c r="C37" i="119"/>
  <c r="C713" i="119"/>
  <c r="C592" i="119"/>
  <c r="C588" i="119"/>
  <c r="C206" i="119"/>
  <c r="C202" i="119"/>
  <c r="C421" i="119"/>
  <c r="C711" i="119"/>
  <c r="C707" i="119"/>
  <c r="C703" i="119"/>
  <c r="C418" i="119"/>
  <c r="C414" i="119"/>
  <c r="C410" i="119"/>
  <c r="C699" i="119"/>
  <c r="C196" i="119"/>
  <c r="C583" i="119"/>
  <c r="C31" i="119"/>
  <c r="C27" i="119"/>
  <c r="C192" i="119"/>
  <c r="C696" i="119"/>
  <c r="C408" i="119"/>
  <c r="C692" i="119"/>
  <c r="C402" i="119"/>
  <c r="C398" i="119"/>
  <c r="C394" i="119"/>
  <c r="C390" i="119"/>
  <c r="C386" i="119"/>
  <c r="C25" i="119"/>
  <c r="C21" i="119"/>
  <c r="C690" i="119"/>
  <c r="C15" i="119"/>
  <c r="C14" i="119"/>
  <c r="C184" i="119"/>
  <c r="C10" i="119"/>
  <c r="C381" i="119"/>
  <c r="C577" i="119"/>
  <c r="C573" i="119"/>
  <c r="C569" i="119"/>
  <c r="C376" i="119"/>
  <c r="C566" i="119"/>
  <c r="C685" i="119"/>
  <c r="C6" i="119"/>
  <c r="C370" i="119"/>
  <c r="C180" i="119"/>
  <c r="C5" i="119"/>
  <c r="C368" i="119"/>
  <c r="C564" i="119"/>
  <c r="C365" i="119"/>
  <c r="C560" i="119"/>
  <c r="C361" i="119"/>
  <c r="C683" i="119"/>
  <c r="C852" i="119"/>
  <c r="C169" i="119"/>
  <c r="C163" i="119"/>
  <c r="C357" i="119"/>
  <c r="C551" i="119"/>
  <c r="C349" i="119"/>
  <c r="C845" i="119"/>
  <c r="C542" i="119"/>
  <c r="C668" i="119"/>
  <c r="C345" i="119"/>
  <c r="C338" i="119"/>
  <c r="C843" i="119"/>
  <c r="C330" i="119"/>
  <c r="C324" i="119"/>
  <c r="C839" i="119"/>
  <c r="C532" i="119"/>
  <c r="C141" i="119"/>
  <c r="C315" i="119"/>
  <c r="C531" i="119"/>
  <c r="C137" i="119"/>
  <c r="C307" i="119"/>
  <c r="C834" i="119"/>
  <c r="C833" i="119"/>
  <c r="C828" i="119"/>
  <c r="C824" i="119"/>
  <c r="C120" i="119"/>
  <c r="C116" i="119"/>
  <c r="C114" i="119"/>
  <c r="C813" i="119"/>
  <c r="C111" i="119"/>
  <c r="C807" i="119"/>
  <c r="C805" i="119"/>
  <c r="C289" i="119"/>
  <c r="C101" i="119"/>
  <c r="C799" i="119"/>
  <c r="C94" i="119"/>
  <c r="C513" i="119"/>
  <c r="C797" i="119"/>
  <c r="C90" i="119"/>
  <c r="C793" i="119"/>
  <c r="C279" i="119"/>
  <c r="C641" i="119"/>
  <c r="C499" i="119"/>
  <c r="C637" i="119"/>
  <c r="C80" i="119"/>
  <c r="C491" i="119"/>
  <c r="C628" i="119"/>
  <c r="C487" i="119"/>
  <c r="C480" i="119"/>
  <c r="C270" i="119"/>
  <c r="C626" i="119"/>
  <c r="C621" i="119"/>
  <c r="C261" i="119"/>
  <c r="C473" i="119"/>
  <c r="C467" i="119"/>
  <c r="C769" i="119"/>
  <c r="C459" i="119"/>
  <c r="C613" i="119"/>
  <c r="C766" i="119"/>
  <c r="C457" i="119"/>
  <c r="C454" i="119"/>
  <c r="C67" i="119"/>
  <c r="C857" i="119"/>
  <c r="C453" i="119"/>
  <c r="C56" i="119"/>
  <c r="C52" i="119"/>
  <c r="C249" i="119"/>
  <c r="C245" i="119"/>
  <c r="C452" i="119"/>
  <c r="C448" i="119"/>
  <c r="C444" i="119"/>
  <c r="C440" i="119"/>
  <c r="C50" i="119"/>
  <c r="C755" i="119"/>
  <c r="C602" i="119"/>
  <c r="C751" i="119"/>
  <c r="C747" i="119"/>
  <c r="C238" i="119"/>
  <c r="C600" i="119"/>
  <c r="C746" i="119"/>
  <c r="C233" i="119"/>
  <c r="C740" i="119"/>
  <c r="C232" i="119"/>
  <c r="C228" i="119"/>
  <c r="C45" i="119"/>
  <c r="C41" i="119"/>
  <c r="C733" i="119"/>
  <c r="C729" i="119"/>
  <c r="C428" i="119"/>
  <c r="C224" i="119"/>
  <c r="C220" i="119"/>
  <c r="C726" i="119"/>
  <c r="C595" i="119"/>
  <c r="C216" i="119"/>
  <c r="C212" i="119"/>
  <c r="C39" i="119"/>
  <c r="C425" i="119"/>
  <c r="C725" i="119"/>
  <c r="C721" i="119"/>
  <c r="C717" i="119"/>
  <c r="C593" i="119"/>
  <c r="C36" i="119"/>
  <c r="C591" i="119"/>
  <c r="C587" i="119"/>
  <c r="C205" i="119"/>
  <c r="C712" i="119"/>
  <c r="C201" i="119"/>
  <c r="C710" i="119"/>
  <c r="C706" i="119"/>
  <c r="C702" i="119"/>
  <c r="C417" i="119"/>
  <c r="C413" i="119"/>
  <c r="C409" i="119"/>
  <c r="C698" i="119"/>
  <c r="C195" i="119"/>
  <c r="C582" i="119"/>
  <c r="C30" i="119"/>
  <c r="C26" i="119"/>
  <c r="C580" i="119"/>
  <c r="C695" i="119"/>
  <c r="C407" i="119"/>
  <c r="C691" i="119"/>
  <c r="C401" i="119"/>
  <c r="C397" i="119"/>
  <c r="C393" i="119"/>
  <c r="C389" i="119"/>
  <c r="C679" i="119"/>
  <c r="C173" i="119"/>
  <c r="C167" i="119"/>
  <c r="C553" i="119"/>
  <c r="C353" i="119"/>
  <c r="C676" i="119"/>
  <c r="C547" i="119"/>
  <c r="C546" i="119"/>
  <c r="C672" i="119"/>
  <c r="C539" i="119"/>
  <c r="C342" i="119"/>
  <c r="C154" i="119"/>
  <c r="C334" i="119"/>
  <c r="C328" i="119"/>
  <c r="C150" i="119"/>
  <c r="C144" i="119"/>
  <c r="C835" i="119"/>
  <c r="C319" i="119"/>
  <c r="C313" i="119"/>
  <c r="C527" i="119"/>
  <c r="C133" i="119"/>
  <c r="C303" i="119"/>
  <c r="C131" i="119"/>
  <c r="C295" i="119"/>
  <c r="C127" i="119"/>
  <c r="C124" i="119"/>
  <c r="C660" i="119"/>
  <c r="C819" i="119"/>
  <c r="C656" i="119"/>
  <c r="C809" i="119"/>
  <c r="C520" i="119"/>
  <c r="C516" i="119"/>
  <c r="C293" i="119"/>
  <c r="C105" i="119"/>
  <c r="C648" i="119"/>
  <c r="C98" i="119"/>
  <c r="C286" i="119"/>
  <c r="C509" i="119"/>
  <c r="C507" i="119"/>
  <c r="C504" i="119"/>
  <c r="C789" i="119"/>
  <c r="C787" i="119"/>
  <c r="C503" i="119"/>
  <c r="C273" i="119"/>
  <c r="C84" i="119"/>
  <c r="C495" i="119"/>
  <c r="C632" i="119"/>
  <c r="C77" i="119"/>
  <c r="C483" i="119"/>
  <c r="C780" i="119"/>
  <c r="C266" i="119"/>
  <c r="C262" i="119"/>
  <c r="C75" i="119"/>
  <c r="C774" i="119"/>
  <c r="C73" i="119"/>
  <c r="C463" i="119"/>
  <c r="C72" i="119"/>
  <c r="C617" i="119"/>
  <c r="C610" i="119"/>
  <c r="C762" i="119"/>
  <c r="C757" i="119"/>
  <c r="C257" i="119"/>
  <c r="C63" i="119"/>
  <c r="C253" i="119"/>
  <c r="C58" i="119"/>
  <c r="C54" i="119"/>
  <c r="C251" i="119"/>
  <c r="C247" i="119"/>
  <c r="C243" i="119"/>
  <c r="C450" i="119"/>
  <c r="C446" i="119"/>
  <c r="C442" i="119"/>
  <c r="C438" i="119"/>
  <c r="C437" i="119"/>
  <c r="C753" i="119"/>
  <c r="C48" i="119"/>
  <c r="C749" i="119"/>
  <c r="C240" i="119"/>
  <c r="C236" i="119"/>
  <c r="C435" i="119"/>
  <c r="C744" i="119"/>
  <c r="C742" i="119"/>
  <c r="C738" i="119"/>
  <c r="C230" i="119"/>
  <c r="C432" i="119"/>
  <c r="C43" i="119"/>
  <c r="C735" i="119"/>
  <c r="C731" i="119"/>
  <c r="C430" i="119"/>
  <c r="C226" i="119"/>
  <c r="C222" i="119"/>
  <c r="C728" i="119"/>
  <c r="C597" i="119"/>
  <c r="C218" i="119"/>
  <c r="C214" i="119"/>
  <c r="C210" i="119"/>
  <c r="C427" i="119"/>
  <c r="C208" i="119"/>
  <c r="C723" i="119"/>
  <c r="C719" i="119"/>
  <c r="C424" i="119"/>
  <c r="C714" i="119"/>
  <c r="C34" i="119"/>
  <c r="C589" i="119"/>
  <c r="C585" i="119"/>
  <c r="C203" i="119"/>
  <c r="C422" i="119"/>
  <c r="C199" i="119"/>
  <c r="C708" i="119"/>
  <c r="C704" i="119"/>
  <c r="C419" i="119"/>
  <c r="C415" i="119"/>
  <c r="C411" i="119"/>
  <c r="C700" i="119"/>
  <c r="C197" i="119"/>
  <c r="C584" i="119"/>
  <c r="C32" i="119"/>
  <c r="C28" i="119"/>
  <c r="C193" i="119"/>
  <c r="C697" i="119"/>
  <c r="C693" i="119"/>
  <c r="C405" i="119"/>
  <c r="C403" i="119"/>
  <c r="C399" i="119"/>
  <c r="C395" i="119"/>
  <c r="C391" i="119"/>
  <c r="C387" i="119"/>
  <c r="C190" i="119"/>
  <c r="C22" i="119"/>
  <c r="C18" i="119"/>
  <c r="C16" i="119"/>
  <c r="C187" i="119"/>
  <c r="C185" i="119"/>
  <c r="C11" i="119"/>
  <c r="C382" i="119"/>
  <c r="C578" i="119"/>
  <c r="C574" i="119"/>
  <c r="C570" i="119"/>
  <c r="C377" i="119"/>
  <c r="C567" i="119"/>
  <c r="C686" i="119"/>
  <c r="C7" i="119"/>
  <c r="C371" i="119"/>
  <c r="C181" i="119"/>
  <c r="C177" i="119"/>
  <c r="C2" i="119"/>
  <c r="C565" i="119"/>
  <c r="C561" i="119"/>
  <c r="C362" i="119"/>
  <c r="C557" i="119"/>
  <c r="C680" i="119"/>
  <c r="C354" i="119"/>
  <c r="C673" i="119"/>
  <c r="C335" i="119"/>
  <c r="C836" i="119"/>
  <c r="C134" i="119"/>
  <c r="C128" i="119"/>
  <c r="C657" i="119"/>
  <c r="C294" i="119"/>
  <c r="C287" i="119"/>
  <c r="C790" i="119"/>
  <c r="C85" i="119"/>
  <c r="C484" i="119"/>
  <c r="C475" i="119"/>
  <c r="C618" i="119"/>
  <c r="C758" i="119"/>
  <c r="C59" i="119"/>
  <c r="C244" i="119"/>
  <c r="C439" i="119"/>
  <c r="C750" i="119"/>
  <c r="C745" i="119"/>
  <c r="C433" i="119"/>
  <c r="C431" i="119"/>
  <c r="C598" i="119"/>
  <c r="C38" i="119"/>
  <c r="C716" i="119"/>
  <c r="C586" i="119"/>
  <c r="C709" i="119"/>
  <c r="C412" i="119"/>
  <c r="C33" i="119"/>
  <c r="C694" i="119"/>
  <c r="C396" i="119"/>
  <c r="C191" i="119"/>
  <c r="C19" i="119"/>
  <c r="C188" i="119"/>
  <c r="C12" i="119"/>
  <c r="C379" i="119"/>
  <c r="C571" i="119"/>
  <c r="C374" i="119"/>
  <c r="C8" i="119"/>
  <c r="C182" i="119"/>
  <c r="C3" i="119"/>
  <c r="C562" i="119"/>
  <c r="C558" i="119"/>
  <c r="C168" i="119"/>
  <c r="C343" i="119"/>
  <c r="C321" i="119"/>
  <c r="C664" i="119"/>
  <c r="C661" i="119"/>
  <c r="C521" i="119"/>
  <c r="C794" i="119"/>
  <c r="C633" i="119"/>
  <c r="C267" i="119"/>
  <c r="C611" i="119"/>
  <c r="C64" i="119"/>
  <c r="C447" i="119"/>
  <c r="C237" i="119"/>
  <c r="C739" i="119"/>
  <c r="C223" i="119"/>
  <c r="C215" i="119"/>
  <c r="C35" i="119"/>
  <c r="C423" i="119"/>
  <c r="C198" i="119"/>
  <c r="C404" i="119"/>
  <c r="C388" i="119"/>
  <c r="C17" i="119"/>
  <c r="C186" i="119"/>
  <c r="C575" i="119"/>
  <c r="C687" i="119"/>
  <c r="C372" i="119"/>
  <c r="C366" i="119"/>
  <c r="C363" i="119"/>
  <c r="C174" i="119"/>
  <c r="C849" i="119"/>
  <c r="C540" i="119"/>
  <c r="C151" i="119"/>
  <c r="C320" i="119"/>
  <c r="C304" i="119"/>
  <c r="C821" i="119"/>
  <c r="C810" i="119"/>
  <c r="C106" i="119"/>
  <c r="C510" i="119"/>
  <c r="C788" i="119"/>
  <c r="C496" i="119"/>
  <c r="C781" i="119"/>
  <c r="C775" i="119"/>
  <c r="C767" i="119"/>
  <c r="C603" i="119"/>
  <c r="C55" i="119"/>
  <c r="C451" i="119"/>
  <c r="C49" i="119"/>
  <c r="C241" i="119"/>
  <c r="C743" i="119"/>
  <c r="C44" i="119"/>
  <c r="C227" i="119"/>
  <c r="C594" i="119"/>
  <c r="C209" i="119"/>
  <c r="C715" i="119"/>
  <c r="C204" i="119"/>
  <c r="C705" i="119"/>
  <c r="C701" i="119"/>
  <c r="C29" i="119"/>
  <c r="C406" i="119"/>
  <c r="C392" i="119"/>
  <c r="C24" i="119"/>
  <c r="C689" i="119"/>
  <c r="C13" i="119"/>
  <c r="C384" i="119"/>
  <c r="C576" i="119"/>
  <c r="C568" i="119"/>
  <c r="C688" i="119"/>
  <c r="C373" i="119"/>
  <c r="C179" i="119"/>
  <c r="C367" i="119"/>
  <c r="C364" i="119"/>
  <c r="C360" i="119"/>
  <c r="C548" i="119"/>
  <c r="C299" i="119"/>
  <c r="C649" i="119"/>
  <c r="C276" i="119"/>
  <c r="C470" i="119"/>
  <c r="C756" i="119"/>
  <c r="C754" i="119"/>
  <c r="C736" i="119"/>
  <c r="C724" i="119"/>
  <c r="C420" i="119"/>
  <c r="C581" i="119"/>
  <c r="C23" i="119"/>
  <c r="C383" i="119"/>
  <c r="C378" i="119"/>
  <c r="C178" i="119"/>
  <c r="C554" i="119"/>
  <c r="C159" i="119"/>
  <c r="C155" i="119"/>
  <c r="C145" i="119"/>
  <c r="C528" i="119"/>
  <c r="C129" i="119"/>
  <c r="C820" i="119"/>
  <c r="C517" i="119"/>
  <c r="C99" i="119"/>
  <c r="C505" i="119"/>
  <c r="C274" i="119"/>
  <c r="C78" i="119"/>
  <c r="C263" i="119"/>
  <c r="C464" i="119"/>
  <c r="C763" i="119"/>
  <c r="C854" i="119"/>
  <c r="C248" i="119"/>
  <c r="C443" i="119"/>
  <c r="C601" i="119"/>
  <c r="C599" i="119"/>
  <c r="C231" i="119"/>
  <c r="C732" i="119"/>
  <c r="C219" i="119"/>
  <c r="C211" i="119"/>
  <c r="C720" i="119"/>
  <c r="C590" i="119"/>
  <c r="C200" i="119"/>
  <c r="C416" i="119"/>
  <c r="C194" i="119"/>
  <c r="C579" i="119"/>
  <c r="C400" i="119"/>
  <c r="C385" i="119"/>
  <c r="C20" i="119"/>
  <c r="C189" i="119"/>
  <c r="C183" i="119"/>
  <c r="C380" i="119"/>
  <c r="C572" i="119"/>
  <c r="C375" i="119"/>
  <c r="C9" i="119"/>
  <c r="C369" i="119"/>
  <c r="C4" i="119"/>
  <c r="C563" i="119"/>
  <c r="C559" i="119"/>
  <c r="C727" i="118"/>
  <c r="C837" i="118"/>
  <c r="C836" i="118"/>
  <c r="C835" i="118"/>
  <c r="C876" i="118"/>
  <c r="C775" i="118"/>
  <c r="C721" i="118"/>
  <c r="C771" i="118"/>
  <c r="C927" i="118"/>
  <c r="C926" i="118"/>
  <c r="C768" i="118"/>
  <c r="C715" i="118"/>
  <c r="C872" i="118"/>
  <c r="C763" i="118"/>
  <c r="C923" i="118"/>
  <c r="C710" i="118"/>
  <c r="C829" i="118"/>
  <c r="C870" i="118"/>
  <c r="C828" i="118"/>
  <c r="C867" i="118"/>
  <c r="C706" i="118"/>
  <c r="C705" i="118"/>
  <c r="C703" i="118"/>
  <c r="C702" i="118"/>
  <c r="C864" i="118"/>
  <c r="C863" i="118"/>
  <c r="C701" i="118"/>
  <c r="C820" i="118"/>
  <c r="C819" i="118"/>
  <c r="C754" i="118"/>
  <c r="C751" i="118"/>
  <c r="C697" i="118"/>
  <c r="C815" i="118"/>
  <c r="C813" i="118"/>
  <c r="C812" i="118"/>
  <c r="C811" i="118"/>
  <c r="C694" i="118"/>
  <c r="C809" i="118"/>
  <c r="C933" i="118"/>
  <c r="C900" i="118"/>
  <c r="C806" i="118"/>
  <c r="C899" i="118"/>
  <c r="C897" i="118"/>
  <c r="C896" i="118"/>
  <c r="C802" i="118"/>
  <c r="C893" i="118"/>
  <c r="C740" i="118"/>
  <c r="C739" i="118"/>
  <c r="C737" i="118"/>
  <c r="C686" i="118"/>
  <c r="C848" i="118"/>
  <c r="C735" i="118"/>
  <c r="C797" i="118"/>
  <c r="C734" i="118"/>
  <c r="C682" i="118"/>
  <c r="C882" i="118"/>
  <c r="C792" i="118"/>
  <c r="C732" i="118"/>
  <c r="C679" i="118"/>
  <c r="C730" i="118"/>
  <c r="C844" i="118"/>
  <c r="C841" i="118"/>
  <c r="C785" i="118"/>
  <c r="C673" i="118"/>
  <c r="C839" i="118"/>
  <c r="C726" i="118"/>
  <c r="C877" i="118"/>
  <c r="C723" i="118"/>
  <c r="C928" i="118"/>
  <c r="C717" i="118"/>
  <c r="C767" i="118"/>
  <c r="C764" i="118"/>
  <c r="C711" i="118"/>
  <c r="C919" i="118"/>
  <c r="C868" i="118"/>
  <c r="C866" i="118"/>
  <c r="C824" i="118"/>
  <c r="C912" i="118"/>
  <c r="C700" i="118"/>
  <c r="C818" i="118"/>
  <c r="C859" i="118"/>
  <c r="C906" i="118"/>
  <c r="C904" i="118"/>
  <c r="C901" i="118"/>
  <c r="C808" i="118"/>
  <c r="C691" i="118"/>
  <c r="C852" i="118"/>
  <c r="C688" i="118"/>
  <c r="C851" i="118"/>
  <c r="C889" i="118"/>
  <c r="C887" i="118"/>
  <c r="C795" i="118"/>
  <c r="C733" i="118"/>
  <c r="C790" i="118"/>
  <c r="C731" i="118"/>
  <c r="C842" i="118"/>
  <c r="C783" i="118"/>
  <c r="C728" i="118"/>
  <c r="C931" i="118"/>
  <c r="C777" i="118"/>
  <c r="C834" i="118"/>
  <c r="C722" i="118"/>
  <c r="C719" i="118"/>
  <c r="C769" i="118"/>
  <c r="C831" i="118"/>
  <c r="C713" i="118"/>
  <c r="C921" i="118"/>
  <c r="C707" i="118"/>
  <c r="C827" i="118"/>
  <c r="C915" i="118"/>
  <c r="C913" i="118"/>
  <c r="C755" i="118"/>
  <c r="C699" i="118"/>
  <c r="C860" i="118"/>
  <c r="C907" i="118"/>
  <c r="C695" i="118"/>
  <c r="C902" i="118"/>
  <c r="C855" i="118"/>
  <c r="C692" i="118"/>
  <c r="C898" i="118"/>
  <c r="C742" i="118"/>
  <c r="C741" i="118"/>
  <c r="C800" i="118"/>
  <c r="C685" i="118"/>
  <c r="C884" i="118"/>
  <c r="C683" i="118"/>
  <c r="C793" i="118"/>
  <c r="C878" i="118"/>
  <c r="C838" i="118"/>
  <c r="C779" i="118"/>
  <c r="C930" i="118"/>
  <c r="C929" i="118"/>
  <c r="C776" i="118"/>
  <c r="C875" i="118"/>
  <c r="C773" i="118"/>
  <c r="C720" i="118"/>
  <c r="C718" i="118"/>
  <c r="C874" i="118"/>
  <c r="C873" i="118"/>
  <c r="C714" i="118"/>
  <c r="C925" i="118"/>
  <c r="C924" i="118"/>
  <c r="C922" i="118"/>
  <c r="C830" i="118"/>
  <c r="C920" i="118"/>
  <c r="C918" i="118"/>
  <c r="C917" i="118"/>
  <c r="C916" i="118"/>
  <c r="C826" i="118"/>
  <c r="C704" i="118"/>
  <c r="C914" i="118"/>
  <c r="C823" i="118"/>
  <c r="C757" i="118"/>
  <c r="C756" i="118"/>
  <c r="C862" i="118"/>
  <c r="C861" i="118"/>
  <c r="C698" i="118"/>
  <c r="C753" i="118"/>
  <c r="C817" i="118"/>
  <c r="C908" i="118"/>
  <c r="C696" i="118"/>
  <c r="C905" i="118"/>
  <c r="C749" i="118"/>
  <c r="C856" i="118"/>
  <c r="C810" i="118"/>
  <c r="C854" i="118"/>
  <c r="C747" i="118"/>
  <c r="C746" i="118"/>
  <c r="C805" i="118"/>
  <c r="C853" i="118"/>
  <c r="C744" i="118"/>
  <c r="C743" i="118"/>
  <c r="C689" i="118"/>
  <c r="C892" i="118"/>
  <c r="C891" i="118"/>
  <c r="C738" i="118"/>
  <c r="C890" i="118"/>
  <c r="C849" i="118"/>
  <c r="C736" i="118"/>
  <c r="C886" i="118"/>
  <c r="C796" i="118"/>
  <c r="C847" i="118"/>
  <c r="C846" i="118"/>
  <c r="C794" i="118"/>
  <c r="C791" i="118"/>
  <c r="C681" i="118"/>
  <c r="C678" i="118"/>
  <c r="C676" i="118"/>
  <c r="C843" i="118"/>
  <c r="C879" i="118"/>
  <c r="C784" i="118"/>
  <c r="C782" i="118"/>
  <c r="C780" i="118"/>
  <c r="C932" i="118"/>
  <c r="C778" i="118"/>
  <c r="C724" i="118"/>
  <c r="C774" i="118"/>
  <c r="C770" i="118"/>
  <c r="C716" i="118"/>
  <c r="C766" i="118"/>
  <c r="C712" i="118"/>
  <c r="C871" i="118"/>
  <c r="C869" i="118"/>
  <c r="C761" i="118"/>
  <c r="C759" i="118"/>
  <c r="C758" i="118"/>
  <c r="C822" i="118"/>
  <c r="C910" i="118"/>
  <c r="C752" i="118"/>
  <c r="C750" i="118"/>
  <c r="C858" i="118"/>
  <c r="C903" i="118"/>
  <c r="C748" i="118"/>
  <c r="C745" i="118"/>
  <c r="C690" i="118"/>
  <c r="C895" i="118"/>
  <c r="C801" i="118"/>
  <c r="C687" i="118"/>
  <c r="C888" i="118"/>
  <c r="C885" i="118"/>
  <c r="C684" i="118"/>
  <c r="C881" i="118"/>
  <c r="C680" i="118"/>
  <c r="C788" i="118"/>
  <c r="C675" i="118"/>
  <c r="C840" i="118"/>
  <c r="C725" i="118"/>
  <c r="C833" i="118"/>
  <c r="C772" i="118"/>
  <c r="C832" i="118"/>
  <c r="C765" i="118"/>
  <c r="C762" i="118"/>
  <c r="C709" i="118"/>
  <c r="C708" i="118"/>
  <c r="C760" i="118"/>
  <c r="C825" i="118"/>
  <c r="C865" i="118"/>
  <c r="C911" i="118"/>
  <c r="C821" i="118"/>
  <c r="C909" i="118"/>
  <c r="C816" i="118"/>
  <c r="C814" i="118"/>
  <c r="C857" i="118"/>
  <c r="C693" i="118"/>
  <c r="C807" i="118"/>
  <c r="C804" i="118"/>
  <c r="C803" i="118"/>
  <c r="C894" i="118"/>
  <c r="C850" i="118"/>
  <c r="C799" i="118"/>
  <c r="C798" i="118"/>
  <c r="C883" i="118"/>
  <c r="C845" i="118"/>
  <c r="C786" i="118"/>
  <c r="C674" i="118"/>
  <c r="C677" i="118"/>
  <c r="C787" i="118"/>
  <c r="C781" i="118"/>
  <c r="C789" i="118"/>
  <c r="C880" i="118"/>
  <c r="C729" i="118"/>
  <c r="C172" i="117"/>
  <c r="C168" i="117"/>
  <c r="C164" i="117"/>
  <c r="C160" i="117"/>
  <c r="C156" i="117"/>
  <c r="C152" i="117"/>
  <c r="C148" i="117"/>
  <c r="C144" i="117"/>
  <c r="C140" i="117"/>
  <c r="C136" i="117"/>
  <c r="C132" i="117"/>
  <c r="C128" i="117"/>
  <c r="C124" i="117"/>
  <c r="C120" i="117"/>
  <c r="C116" i="117"/>
  <c r="C112" i="117"/>
  <c r="C108" i="117"/>
  <c r="C104" i="117"/>
  <c r="C100" i="117"/>
  <c r="C96" i="117"/>
  <c r="C92" i="117"/>
  <c r="C88" i="117"/>
  <c r="C84" i="117"/>
  <c r="C80" i="117"/>
  <c r="C76" i="117"/>
  <c r="C72" i="117"/>
  <c r="C68" i="117"/>
  <c r="C64" i="117"/>
  <c r="C60" i="117"/>
  <c r="C56" i="117"/>
  <c r="C52" i="117"/>
  <c r="C44" i="117"/>
  <c r="C32" i="117"/>
  <c r="C20" i="117"/>
  <c r="C12" i="117"/>
  <c r="C4" i="117"/>
  <c r="C171" i="117"/>
  <c r="C159" i="117"/>
  <c r="C147" i="117"/>
  <c r="C139" i="117"/>
  <c r="C127" i="117"/>
  <c r="C115" i="117"/>
  <c r="C107" i="117"/>
  <c r="C95" i="117"/>
  <c r="C87" i="117"/>
  <c r="C75" i="117"/>
  <c r="C63" i="117"/>
  <c r="C51" i="117"/>
  <c r="C43" i="117"/>
  <c r="C31" i="117"/>
  <c r="C23" i="117"/>
  <c r="C11" i="117"/>
  <c r="C174" i="117"/>
  <c r="C166" i="117"/>
  <c r="C150" i="117"/>
  <c r="C142" i="117"/>
  <c r="C130" i="117"/>
  <c r="C118" i="117"/>
  <c r="C106" i="117"/>
  <c r="C94" i="117"/>
  <c r="C82" i="117"/>
  <c r="C70" i="117"/>
  <c r="C62" i="117"/>
  <c r="C50" i="117"/>
  <c r="C38" i="117"/>
  <c r="C30" i="117"/>
  <c r="C18" i="117"/>
  <c r="C6" i="117"/>
  <c r="C173" i="117"/>
  <c r="C169" i="117"/>
  <c r="C165" i="117"/>
  <c r="C161" i="117"/>
  <c r="C157" i="117"/>
  <c r="C153" i="117"/>
  <c r="C149" i="117"/>
  <c r="C145" i="117"/>
  <c r="C141" i="117"/>
  <c r="C137" i="117"/>
  <c r="C133" i="117"/>
  <c r="C129" i="117"/>
  <c r="C125" i="117"/>
  <c r="C121" i="117"/>
  <c r="C117" i="117"/>
  <c r="C113" i="117"/>
  <c r="C109" i="117"/>
  <c r="C105" i="117"/>
  <c r="C101" i="117"/>
  <c r="C97" i="117"/>
  <c r="C93" i="117"/>
  <c r="C89" i="117"/>
  <c r="C85" i="117"/>
  <c r="C81" i="117"/>
  <c r="C77" i="117"/>
  <c r="C73" i="117"/>
  <c r="C69" i="117"/>
  <c r="C65" i="117"/>
  <c r="C61" i="117"/>
  <c r="C57" i="117"/>
  <c r="C53" i="117"/>
  <c r="C49" i="117"/>
  <c r="C45" i="117"/>
  <c r="C41" i="117"/>
  <c r="C37" i="117"/>
  <c r="C33" i="117"/>
  <c r="C29" i="117"/>
  <c r="C25" i="117"/>
  <c r="C21" i="117"/>
  <c r="C17" i="117"/>
  <c r="C13" i="117"/>
  <c r="C9" i="117"/>
  <c r="C5" i="117"/>
  <c r="C48" i="117"/>
  <c r="C40" i="117"/>
  <c r="C36" i="117"/>
  <c r="C28" i="117"/>
  <c r="C24" i="117"/>
  <c r="C16" i="117"/>
  <c r="C8" i="117"/>
  <c r="C175" i="117"/>
  <c r="C167" i="117"/>
  <c r="C163" i="117"/>
  <c r="C155" i="117"/>
  <c r="C151" i="117"/>
  <c r="C143" i="117"/>
  <c r="C135" i="117"/>
  <c r="C131" i="117"/>
  <c r="C123" i="117"/>
  <c r="C119" i="117"/>
  <c r="C111" i="117"/>
  <c r="C103" i="117"/>
  <c r="C99" i="117"/>
  <c r="C91" i="117"/>
  <c r="C83" i="117"/>
  <c r="C79" i="117"/>
  <c r="C71" i="117"/>
  <c r="C67" i="117"/>
  <c r="C59" i="117"/>
  <c r="C55" i="117"/>
  <c r="C47" i="117"/>
  <c r="C39" i="117"/>
  <c r="C35" i="117"/>
  <c r="C27" i="117"/>
  <c r="C19" i="117"/>
  <c r="C15" i="117"/>
  <c r="C7" i="117"/>
  <c r="C3" i="117"/>
  <c r="C170" i="117"/>
  <c r="C162" i="117"/>
  <c r="C158" i="117"/>
  <c r="C154" i="117"/>
  <c r="C146" i="117"/>
  <c r="C138" i="117"/>
  <c r="C134" i="117"/>
  <c r="C126" i="117"/>
  <c r="C122" i="117"/>
  <c r="C114" i="117"/>
  <c r="C110" i="117"/>
  <c r="C102" i="117"/>
  <c r="C98" i="117"/>
  <c r="C90" i="117"/>
  <c r="C86" i="117"/>
  <c r="C78" i="117"/>
  <c r="C74" i="117"/>
  <c r="C66" i="117"/>
  <c r="C58" i="117"/>
  <c r="C54" i="117"/>
  <c r="C46" i="117"/>
  <c r="C42" i="117"/>
  <c r="C34" i="117"/>
  <c r="C26" i="117"/>
  <c r="C22" i="117"/>
  <c r="C14" i="117"/>
  <c r="C10" i="117"/>
  <c r="C2" i="117"/>
  <c r="C98" i="116"/>
  <c r="C94" i="116"/>
  <c r="C90" i="116"/>
  <c r="C86" i="116"/>
  <c r="C82" i="116"/>
  <c r="C78" i="116"/>
  <c r="C74" i="116"/>
  <c r="C70" i="116"/>
  <c r="C66" i="116"/>
  <c r="C62" i="116"/>
  <c r="C58" i="116"/>
  <c r="C54" i="116"/>
  <c r="C50" i="116"/>
  <c r="C46" i="116"/>
  <c r="C42" i="116"/>
  <c r="C38" i="116"/>
  <c r="C34" i="116"/>
  <c r="C30" i="116"/>
  <c r="C26" i="116"/>
  <c r="C22" i="116"/>
  <c r="C18" i="116"/>
  <c r="C14" i="116"/>
  <c r="C10" i="116"/>
  <c r="C6" i="116"/>
  <c r="C2" i="116"/>
  <c r="C96" i="116"/>
  <c r="C84" i="116"/>
  <c r="C76" i="116"/>
  <c r="C68" i="116"/>
  <c r="C60" i="116"/>
  <c r="C52" i="116"/>
  <c r="C48" i="116"/>
  <c r="C40" i="116"/>
  <c r="C28" i="116"/>
  <c r="C20" i="116"/>
  <c r="C12" i="116"/>
  <c r="C4" i="116"/>
  <c r="C95" i="116"/>
  <c r="C87" i="116"/>
  <c r="C79" i="116"/>
  <c r="C71" i="116"/>
  <c r="C63" i="116"/>
  <c r="C55" i="116"/>
  <c r="C47" i="116"/>
  <c r="C39" i="116"/>
  <c r="C31" i="116"/>
  <c r="C23" i="116"/>
  <c r="C15" i="116"/>
  <c r="C11" i="116"/>
  <c r="C3" i="116"/>
  <c r="C101" i="116"/>
  <c r="C97" i="116"/>
  <c r="C93" i="116"/>
  <c r="C89" i="116"/>
  <c r="C85" i="116"/>
  <c r="C81" i="116"/>
  <c r="C77" i="116"/>
  <c r="C73" i="116"/>
  <c r="C69" i="116"/>
  <c r="C65" i="116"/>
  <c r="C61" i="116"/>
  <c r="C57" i="116"/>
  <c r="C53" i="116"/>
  <c r="C49" i="116"/>
  <c r="C45" i="116"/>
  <c r="C41" i="116"/>
  <c r="C37" i="116"/>
  <c r="C33" i="116"/>
  <c r="C29" i="116"/>
  <c r="C25" i="116"/>
  <c r="C21" i="116"/>
  <c r="C17" i="116"/>
  <c r="C13" i="116"/>
  <c r="C9" i="116"/>
  <c r="C5" i="116"/>
  <c r="C100" i="116"/>
  <c r="C92" i="116"/>
  <c r="C88" i="116"/>
  <c r="C80" i="116"/>
  <c r="C72" i="116"/>
  <c r="C64" i="116"/>
  <c r="C56" i="116"/>
  <c r="C44" i="116"/>
  <c r="C36" i="116"/>
  <c r="C32" i="116"/>
  <c r="C24" i="116"/>
  <c r="C16" i="116"/>
  <c r="C8" i="116"/>
  <c r="C99" i="116"/>
  <c r="C91" i="116"/>
  <c r="C83" i="116"/>
  <c r="C75" i="116"/>
  <c r="C67" i="116"/>
  <c r="C59" i="116"/>
  <c r="C51" i="116"/>
  <c r="C43" i="116"/>
  <c r="C35" i="116"/>
  <c r="C27" i="116"/>
  <c r="C19" i="116"/>
  <c r="C7" i="116"/>
</calcChain>
</file>

<file path=xl/comments1.xml><?xml version="1.0" encoding="utf-8"?>
<comments xmlns="http://schemas.openxmlformats.org/spreadsheetml/2006/main">
  <authors>
    <author>Kottow, Daniel</author>
  </authors>
  <commentList>
    <comment ref="C1" authorId="0" shapeId="0">
      <text>
        <r>
          <rPr>
            <sz val="9"/>
            <color indexed="81"/>
            <rFont val="Tahoma"/>
            <family val="2"/>
          </rPr>
          <t>URL http://api.donkeylift.com/demo/sandwiches.db</t>
        </r>
      </text>
    </comment>
  </commentList>
</comments>
</file>

<file path=xl/comments2.xml><?xml version="1.0" encoding="utf-8"?>
<comments xmlns="http://schemas.openxmlformats.org/spreadsheetml/2006/main">
  <authors>
    <author>Kottow, Daniel</author>
  </authors>
  <commentList>
    <comment ref="A1" authorId="0" shapeId="0">
      <text>
        <r>
          <rPr>
            <sz val="9"/>
            <color indexed="81"/>
            <rFont val="Tahoma"/>
            <family val="2"/>
          </rPr>
          <t>URL http://api.donkeylift.com/demo/sandwiches/customers.rows?$orderby=mod_on asc</t>
        </r>
      </text>
    </comment>
  </commentList>
</comments>
</file>

<file path=xl/comments3.xml><?xml version="1.0" encoding="utf-8"?>
<comments xmlns="http://schemas.openxmlformats.org/spreadsheetml/2006/main">
  <authors>
    <author>Kottow, Daniel</author>
  </authors>
  <commentList>
    <comment ref="A1" authorId="0" shapeId="0">
      <text>
        <r>
          <rPr>
            <sz val="9"/>
            <color indexed="81"/>
            <rFont val="Tahoma"/>
            <family val="2"/>
          </rPr>
          <t>URL http://api.donkeylift.com/demo/sandwiches/sandwiches.rows?$orderby=mod_on asc</t>
        </r>
      </text>
    </comment>
  </commentList>
</comments>
</file>

<file path=xl/comments4.xml><?xml version="1.0" encoding="utf-8"?>
<comments xmlns="http://schemas.openxmlformats.org/spreadsheetml/2006/main">
  <authors>
    <author>Kottow, Daniel</author>
  </authors>
  <commentList>
    <comment ref="A1" authorId="0" shapeId="0">
      <text>
        <r>
          <rPr>
            <sz val="9"/>
            <color indexed="81"/>
            <rFont val="Tahoma"/>
            <family val="2"/>
          </rPr>
          <t>URL http://api.donkeylift.com/demo/sandwiches/orders.rows?$filter=orders.order_date%20btwn%20'2015-01-01'%2C'2015-06-01'</t>
        </r>
      </text>
    </comment>
    <comment ref="G1" authorId="0" shapeId="0">
      <text>
        <r>
          <rPr>
            <sz val="9"/>
            <color indexed="81"/>
            <rFont val="Tahoma"/>
            <family val="2"/>
          </rPr>
          <t>FK customer_id</t>
        </r>
      </text>
    </comment>
  </commentList>
</comments>
</file>

<file path=xl/comments5.xml><?xml version="1.0" encoding="utf-8"?>
<comments xmlns="http://schemas.openxmlformats.org/spreadsheetml/2006/main">
  <authors>
    <author>Kottow, Daniel</author>
  </authors>
  <commentList>
    <comment ref="A1" authorId="0" shapeId="0">
      <text>
        <r>
          <rPr>
            <sz val="9"/>
            <color indexed="81"/>
            <rFont val="Tahoma"/>
            <family val="2"/>
          </rPr>
          <t>URL http://api.donkeylift.com/demo/sandwiches/order_items.rows?$filter=orders.order_date%20btwn%20'2015-01-01'%2C'2015-06-01'</t>
        </r>
      </text>
    </comment>
    <comment ref="F1" authorId="0" shapeId="0">
      <text>
        <r>
          <rPr>
            <sz val="9"/>
            <color indexed="81"/>
            <rFont val="Tahoma"/>
            <family val="2"/>
          </rPr>
          <t>FK order_id</t>
        </r>
      </text>
    </comment>
    <comment ref="G1" authorId="0" shapeId="0">
      <text>
        <r>
          <rPr>
            <sz val="9"/>
            <color indexed="81"/>
            <rFont val="Tahoma"/>
            <family val="2"/>
          </rPr>
          <t>FK sandwich_id</t>
        </r>
      </text>
    </comment>
  </commentList>
</comments>
</file>

<file path=xl/sharedStrings.xml><?xml version="1.0" encoding="utf-8"?>
<sst xmlns="http://schemas.openxmlformats.org/spreadsheetml/2006/main" count="8351" uniqueCount="2105">
  <si>
    <t>Actions</t>
  </si>
  <si>
    <t>Login</t>
  </si>
  <si>
    <t>Timesheets01</t>
  </si>
  <si>
    <t>rentals</t>
  </si>
  <si>
    <t>sandwiches</t>
  </si>
  <si>
    <t>soccer</t>
  </si>
  <si>
    <t>Database</t>
  </si>
  <si>
    <t>Tables</t>
  </si>
  <si>
    <t>Links To</t>
  </si>
  <si>
    <t>Linked By</t>
  </si>
  <si>
    <t>customers</t>
  </si>
  <si>
    <t>orders</t>
  </si>
  <si>
    <t>order_items</t>
  </si>
  <si>
    <t>orders, sandwiches</t>
  </si>
  <si>
    <t>Table Fields</t>
  </si>
  <si>
    <t>customers.id</t>
  </si>
  <si>
    <t>INTEGER</t>
  </si>
  <si>
    <t>customers.name</t>
  </si>
  <si>
    <t>VARCHAR</t>
  </si>
  <si>
    <t>customers.email</t>
  </si>
  <si>
    <t>VARCHAR(256)</t>
  </si>
  <si>
    <t>customers.mod_by</t>
  </si>
  <si>
    <t>VARCHAR(64)</t>
  </si>
  <si>
    <t>customers.mod_on</t>
  </si>
  <si>
    <t>DATETIME</t>
  </si>
  <si>
    <t>customers.add_by</t>
  </si>
  <si>
    <t>customers.add_on</t>
  </si>
  <si>
    <t>customers.own_by</t>
  </si>
  <si>
    <t>sandwiches.id</t>
  </si>
  <si>
    <t>sandwiches.name</t>
  </si>
  <si>
    <t>sandwiches.price</t>
  </si>
  <si>
    <t>NUMERIC(8,2)</t>
  </si>
  <si>
    <t>sandwiches.description</t>
  </si>
  <si>
    <t>sandwiches.origin</t>
  </si>
  <si>
    <t>sandwiches.mod_by</t>
  </si>
  <si>
    <t>sandwiches.mod_on</t>
  </si>
  <si>
    <t>sandwiches.add_by</t>
  </si>
  <si>
    <t>sandwiches.add_on</t>
  </si>
  <si>
    <t>sandwiches.own_by</t>
  </si>
  <si>
    <t>orders.id</t>
  </si>
  <si>
    <t>orders.order_date</t>
  </si>
  <si>
    <t>DATE</t>
  </si>
  <si>
    <t>orders.customer_id</t>
  </si>
  <si>
    <t>orders.total_amount</t>
  </si>
  <si>
    <t>orders.mod_by</t>
  </si>
  <si>
    <t>orders.mod_on</t>
  </si>
  <si>
    <t>orders.add_by</t>
  </si>
  <si>
    <t>orders.add_on</t>
  </si>
  <si>
    <t>orders.own_by</t>
  </si>
  <si>
    <t>order_items.id</t>
  </si>
  <si>
    <t>order_items.order_id</t>
  </si>
  <si>
    <t>order_items.sandwich_id</t>
  </si>
  <si>
    <t>order_items.unit_price</t>
  </si>
  <si>
    <t>order_items.quantity</t>
  </si>
  <si>
    <t>order_items.mod_by</t>
  </si>
  <si>
    <t>order_items.mod_on</t>
  </si>
  <si>
    <t>order_items.add_by</t>
  </si>
  <si>
    <t>order_items.add_on</t>
  </si>
  <si>
    <t>order_items.own_by</t>
  </si>
  <si>
    <t>status</t>
  </si>
  <si>
    <t>ref</t>
  </si>
  <si>
    <t>id</t>
  </si>
  <si>
    <t>name</t>
  </si>
  <si>
    <t>email</t>
  </si>
  <si>
    <t>mod_by</t>
  </si>
  <si>
    <t>mod_on</t>
  </si>
  <si>
    <t>add_by</t>
  </si>
  <si>
    <t>add_on</t>
  </si>
  <si>
    <t>own_by</t>
  </si>
  <si>
    <t>Colt Hart [1]</t>
  </si>
  <si>
    <t>Colt Hart</t>
  </si>
  <si>
    <t>eu.nibh.vulputate@semeget.net</t>
  </si>
  <si>
    <t>sql</t>
  </si>
  <si>
    <t>Theodore Mills [2]</t>
  </si>
  <si>
    <t>Theodore Mills</t>
  </si>
  <si>
    <t>ligula.Donec.luctus@Vivamusnon.org</t>
  </si>
  <si>
    <t>Rhoda Vance [3]</t>
  </si>
  <si>
    <t>Rhoda Vance</t>
  </si>
  <si>
    <t>diam.dictum@rutrumjustoPraesent.ca</t>
  </si>
  <si>
    <t>Colby Clay [4]</t>
  </si>
  <si>
    <t>Colby Clay</t>
  </si>
  <si>
    <t>pharetra@porttitorinterdumSed.ca</t>
  </si>
  <si>
    <t>Maile Torres [5]</t>
  </si>
  <si>
    <t>Maile Torres</t>
  </si>
  <si>
    <t>Sed.pharetra@nectempus.edu</t>
  </si>
  <si>
    <t>Hanna Simpson [6]</t>
  </si>
  <si>
    <t>Hanna Simpson</t>
  </si>
  <si>
    <t>eu@idrisus.com</t>
  </si>
  <si>
    <t>Adrian Dodson [7]</t>
  </si>
  <si>
    <t>Adrian Dodson</t>
  </si>
  <si>
    <t>Fusce@magnaPraesentinterdum.net</t>
  </si>
  <si>
    <t>Shelly Bridges [8]</t>
  </si>
  <si>
    <t>Shelly Bridges</t>
  </si>
  <si>
    <t>non.justo@dictum.ca</t>
  </si>
  <si>
    <t>Yoshi Bennett [9]</t>
  </si>
  <si>
    <t>Yoshi Bennett</t>
  </si>
  <si>
    <t>mauris@Crasconvallis.com</t>
  </si>
  <si>
    <t>Blossom Mosley [10]</t>
  </si>
  <si>
    <t>Blossom Mosley</t>
  </si>
  <si>
    <t>consectetuer.ipsum.nunc@egestasblanditNam.org</t>
  </si>
  <si>
    <t>Oprah Horton [11]</t>
  </si>
  <si>
    <t>Oprah Horton</t>
  </si>
  <si>
    <t>quis.diam.Pellentesque@ultriciesadipiscing.ca</t>
  </si>
  <si>
    <t>Rhoda Jacobson [12]</t>
  </si>
  <si>
    <t>Rhoda Jacobson</t>
  </si>
  <si>
    <t>pellentesque.eget@orciluctus.co.uk</t>
  </si>
  <si>
    <t>Uta Workman [13]</t>
  </si>
  <si>
    <t>Uta Workman</t>
  </si>
  <si>
    <t>vitae.sodales@mattis.com</t>
  </si>
  <si>
    <t>Cameron Rivera [14]</t>
  </si>
  <si>
    <t>Cameron Rivera</t>
  </si>
  <si>
    <t>Ut.nec.urna@odioPhasellus.org</t>
  </si>
  <si>
    <t>Bruce Woods [15]</t>
  </si>
  <si>
    <t>Bruce Woods</t>
  </si>
  <si>
    <t>non.luctus@NuncmaurisMorbi.com</t>
  </si>
  <si>
    <t>Tanek Santos [16]</t>
  </si>
  <si>
    <t>Tanek Santos</t>
  </si>
  <si>
    <t>consequat.auctor.nunc@natoquepenatibus.net</t>
  </si>
  <si>
    <t>Stuart Vega [17]</t>
  </si>
  <si>
    <t>Stuart Vega</t>
  </si>
  <si>
    <t>commodo.hendrerit.Donec@et.net</t>
  </si>
  <si>
    <t>Hermione Maldonado [18]</t>
  </si>
  <si>
    <t>Hermione Maldonado</t>
  </si>
  <si>
    <t>augue.malesuada.malesuada@lorem.edu</t>
  </si>
  <si>
    <t>Iona Simpson [19]</t>
  </si>
  <si>
    <t>Iona Simpson</t>
  </si>
  <si>
    <t>metus@elementumlorem.org</t>
  </si>
  <si>
    <t>Wade Coleman [20]</t>
  </si>
  <si>
    <t>Wade Coleman</t>
  </si>
  <si>
    <t>auctor@velitQuisque.co.uk</t>
  </si>
  <si>
    <t>Lionel Vargas [21]</t>
  </si>
  <si>
    <t>Lionel Vargas</t>
  </si>
  <si>
    <t>egestas.a.scelerisque@facilisisfacilisismagna.co.uk</t>
  </si>
  <si>
    <t>Madeline Reynolds [22]</t>
  </si>
  <si>
    <t>Madeline Reynolds</t>
  </si>
  <si>
    <t>feugiat@lectusante.net</t>
  </si>
  <si>
    <t>Akeem Kennedy [23]</t>
  </si>
  <si>
    <t>Akeem Kennedy</t>
  </si>
  <si>
    <t>tincidunt.nibh@orcitinciduntadipiscing.net</t>
  </si>
  <si>
    <t>Quinn Ewing [24]</t>
  </si>
  <si>
    <t>Quinn Ewing</t>
  </si>
  <si>
    <t>et.arcu.imperdiet@eratin.com</t>
  </si>
  <si>
    <t>Ulysses Hudson [25]</t>
  </si>
  <si>
    <t>Ulysses Hudson</t>
  </si>
  <si>
    <t>arcu.Aliquam.ultrices@faucibusorciluctus.org</t>
  </si>
  <si>
    <t>Cherokee Tanner [26]</t>
  </si>
  <si>
    <t>Cherokee Tanner</t>
  </si>
  <si>
    <t>odio.tristique.pharetra@conubianostraper.ca</t>
  </si>
  <si>
    <t>Cameron Burton [27]</t>
  </si>
  <si>
    <t>Cameron Burton</t>
  </si>
  <si>
    <t>ipsum@anteiaculis.edu</t>
  </si>
  <si>
    <t>Ferris Erickson [28]</t>
  </si>
  <si>
    <t>Ferris Erickson</t>
  </si>
  <si>
    <t>adipiscing@scelerisquenequesed.edu</t>
  </si>
  <si>
    <t>Ivy Livingston [29]</t>
  </si>
  <si>
    <t>Ivy Livingston</t>
  </si>
  <si>
    <t>elit.Nulla.facilisi@semmollis.net</t>
  </si>
  <si>
    <t>Rhonda Curtis [30]</t>
  </si>
  <si>
    <t>Rhonda Curtis</t>
  </si>
  <si>
    <t>lorem.lorem@nibhAliquam.ca</t>
  </si>
  <si>
    <t>Indira Suarez [31]</t>
  </si>
  <si>
    <t>Indira Suarez</t>
  </si>
  <si>
    <t>dignissim@pharetraNam.net</t>
  </si>
  <si>
    <t>John Drake [32]</t>
  </si>
  <si>
    <t>John Drake</t>
  </si>
  <si>
    <t>Curae.Donec@Cras.ca</t>
  </si>
  <si>
    <t>Adrienne Sandoval [33]</t>
  </si>
  <si>
    <t>Adrienne Sandoval</t>
  </si>
  <si>
    <t>orci.adipiscing.non@estac.co.uk</t>
  </si>
  <si>
    <t>Melvin Finch [34]</t>
  </si>
  <si>
    <t>Melvin Finch</t>
  </si>
  <si>
    <t>feugiat.nec.diam@laoreetipsumCurabitur.ca</t>
  </si>
  <si>
    <t>Zane Parrish [35]</t>
  </si>
  <si>
    <t>Zane Parrish</t>
  </si>
  <si>
    <t>lectus@massa.co.uk</t>
  </si>
  <si>
    <t>Belle Short [36]</t>
  </si>
  <si>
    <t>Belle Short</t>
  </si>
  <si>
    <t>mauris.id@montesnascetur.com</t>
  </si>
  <si>
    <t>Irene Carver [37]</t>
  </si>
  <si>
    <t>Irene Carver</t>
  </si>
  <si>
    <t>leo.in@neque.co.uk</t>
  </si>
  <si>
    <t>Renee Adkins [38]</t>
  </si>
  <si>
    <t>Renee Adkins</t>
  </si>
  <si>
    <t>Nulla.dignissim.Maecenas@ipsum.net</t>
  </si>
  <si>
    <t>Tashya Osborne [39]</t>
  </si>
  <si>
    <t>Tashya Osborne</t>
  </si>
  <si>
    <t>vitae.dolor.Donec@ac.co.uk</t>
  </si>
  <si>
    <t>Lillian Larsen [40]</t>
  </si>
  <si>
    <t>Lillian Larsen</t>
  </si>
  <si>
    <t>tristique.senectus@nuncsed.com</t>
  </si>
  <si>
    <t>Ora Mann [41]</t>
  </si>
  <si>
    <t>Ora Mann</t>
  </si>
  <si>
    <t>orci@Loremipsumdolor.org</t>
  </si>
  <si>
    <t>Bernard Cash [42]</t>
  </si>
  <si>
    <t>Bernard Cash</t>
  </si>
  <si>
    <t>nunc.sit.amet@posuereat.co.uk</t>
  </si>
  <si>
    <t>Dane Stafford [43]</t>
  </si>
  <si>
    <t>Dane Stafford</t>
  </si>
  <si>
    <t>mi@porttitortellus.org</t>
  </si>
  <si>
    <t>Marah West [44]</t>
  </si>
  <si>
    <t>Marah West</t>
  </si>
  <si>
    <t>est.Nunc.ullamcorper@pellentesque.co.uk</t>
  </si>
  <si>
    <t>Gabriel Carlson [45]</t>
  </si>
  <si>
    <t>Gabriel Carlson</t>
  </si>
  <si>
    <t>id.ante.Nunc@sedleo.com</t>
  </si>
  <si>
    <t>Dale Fry [46]</t>
  </si>
  <si>
    <t>Dale Fry</t>
  </si>
  <si>
    <t>magna.Suspendisse.tristique@ante.org</t>
  </si>
  <si>
    <t>Eugenia Roman [47]</t>
  </si>
  <si>
    <t>Eugenia Roman</t>
  </si>
  <si>
    <t>Integer.in@Aenean.com</t>
  </si>
  <si>
    <t>Alma Salas [48]</t>
  </si>
  <si>
    <t>Alma Salas</t>
  </si>
  <si>
    <t>Nunc@nullavulputate.co.uk</t>
  </si>
  <si>
    <t>Nayda Shields [49]</t>
  </si>
  <si>
    <t>Nayda Shields</t>
  </si>
  <si>
    <t>sem@Phasellusliberomauris.edu</t>
  </si>
  <si>
    <t>April Buckley [50]</t>
  </si>
  <si>
    <t>April Buckley</t>
  </si>
  <si>
    <t>massa.Integer.vitae@pharetraQuisque.ca</t>
  </si>
  <si>
    <t>Clio Carter [51]</t>
  </si>
  <si>
    <t>Clio Carter</t>
  </si>
  <si>
    <t>hendrerit@nuncQuisqueornare.org</t>
  </si>
  <si>
    <t>Angelica Ortiz [52]</t>
  </si>
  <si>
    <t>Angelica Ortiz</t>
  </si>
  <si>
    <t>justo.nec@nec.edu</t>
  </si>
  <si>
    <t>Aspen Fuentes [53]</t>
  </si>
  <si>
    <t>Aspen Fuentes</t>
  </si>
  <si>
    <t>velit@pharetra.edu</t>
  </si>
  <si>
    <t>Lucius Gallagher [54]</t>
  </si>
  <si>
    <t>Lucius Gallagher</t>
  </si>
  <si>
    <t>gravida.molestie@fermentumfermentumarcu.ca</t>
  </si>
  <si>
    <t>Aristotle Avery [55]</t>
  </si>
  <si>
    <t>Aristotle Avery</t>
  </si>
  <si>
    <t>ipsum@eunibhvulputate.com</t>
  </si>
  <si>
    <t>Mohammad Carrillo [56]</t>
  </si>
  <si>
    <t>Mohammad Carrillo</t>
  </si>
  <si>
    <t>aliquet.libero.Integer@at.ca</t>
  </si>
  <si>
    <t>Alice Bray [57]</t>
  </si>
  <si>
    <t>Alice Bray</t>
  </si>
  <si>
    <t>consequat.nec@mattissemperdui.ca</t>
  </si>
  <si>
    <t>Jescie Peck [58]</t>
  </si>
  <si>
    <t>Jescie Peck</t>
  </si>
  <si>
    <t>sagittis.augue.eu@felisorciadipiscing.edu</t>
  </si>
  <si>
    <t>Mariam Juarez [59]</t>
  </si>
  <si>
    <t>Mariam Juarez</t>
  </si>
  <si>
    <t>fermentum.convallis.ligula@Integer.org</t>
  </si>
  <si>
    <t>Harrison Klein [60]</t>
  </si>
  <si>
    <t>Harrison Klein</t>
  </si>
  <si>
    <t>non.quam.Pellentesque@nonjusto.edu</t>
  </si>
  <si>
    <t>Sloane Goodwin [61]</t>
  </si>
  <si>
    <t>Sloane Goodwin</t>
  </si>
  <si>
    <t>Proin@Utnecurna.org</t>
  </si>
  <si>
    <t>Stacey Kirk [62]</t>
  </si>
  <si>
    <t>Stacey Kirk</t>
  </si>
  <si>
    <t>hendrerit.consectetuer.cursus@Nuncuterat.ca</t>
  </si>
  <si>
    <t>Mannix Owen [63]</t>
  </si>
  <si>
    <t>Mannix Owen</t>
  </si>
  <si>
    <t>a.malesuada@semperet.com</t>
  </si>
  <si>
    <t>Martin Dunlap [64]</t>
  </si>
  <si>
    <t>Martin Dunlap</t>
  </si>
  <si>
    <t>tempus.scelerisque@Vestibulumuteros.org</t>
  </si>
  <si>
    <t>Lesley Keith [65]</t>
  </si>
  <si>
    <t>Lesley Keith</t>
  </si>
  <si>
    <t>vitae.diam.Proin@nuncid.com</t>
  </si>
  <si>
    <t>Christine Medina [66]</t>
  </si>
  <si>
    <t>Christine Medina</t>
  </si>
  <si>
    <t>lobortis.Class.aptent@nonnisi.co.uk</t>
  </si>
  <si>
    <t>Yetta Duke [67]</t>
  </si>
  <si>
    <t>Yetta Duke</t>
  </si>
  <si>
    <t>sed@sapiengravidanon.edu</t>
  </si>
  <si>
    <t>Hayley Foster [68]</t>
  </si>
  <si>
    <t>Hayley Foster</t>
  </si>
  <si>
    <t>laoreet.ipsum@quismassaMauris.com</t>
  </si>
  <si>
    <t>Karleigh Jacobson [69]</t>
  </si>
  <si>
    <t>Karleigh Jacobson</t>
  </si>
  <si>
    <t>massa.non.ante@Fusce.co.uk</t>
  </si>
  <si>
    <t>Scarlett Odonnell [70]</t>
  </si>
  <si>
    <t>Scarlett Odonnell</t>
  </si>
  <si>
    <t>orci@lacusQuisqueimperdiet.edu</t>
  </si>
  <si>
    <t>Kendall Rocha [71]</t>
  </si>
  <si>
    <t>Kendall Rocha</t>
  </si>
  <si>
    <t>quis@maurisut.com</t>
  </si>
  <si>
    <t>Galvin Becker [72]</t>
  </si>
  <si>
    <t>Galvin Becker</t>
  </si>
  <si>
    <t>et.ipsum.cursus@Nulla.net</t>
  </si>
  <si>
    <t>Zeus Trujillo [73]</t>
  </si>
  <si>
    <t>Zeus Trujillo</t>
  </si>
  <si>
    <t>scelerisque.mollis@id.ca</t>
  </si>
  <si>
    <t>Tate Lowery [74]</t>
  </si>
  <si>
    <t>Tate Lowery</t>
  </si>
  <si>
    <t>urna.Nunc.quis@nequeNullamut.edu</t>
  </si>
  <si>
    <t>Mary Moore [75]</t>
  </si>
  <si>
    <t>Mary Moore</t>
  </si>
  <si>
    <t>sem@egestasa.co.uk</t>
  </si>
  <si>
    <t>Yuri Oneal [76]</t>
  </si>
  <si>
    <t>Yuri Oneal</t>
  </si>
  <si>
    <t>Aliquam.vulputate.ullamcorper@disparturientmontes.co.uk</t>
  </si>
  <si>
    <t>Mariko Cameron [77]</t>
  </si>
  <si>
    <t>Mariko Cameron</t>
  </si>
  <si>
    <t>magna@luctus.net</t>
  </si>
  <si>
    <t>Donovan Gomez [78]</t>
  </si>
  <si>
    <t>Donovan Gomez</t>
  </si>
  <si>
    <t>ullamcorper.eu@anteblandit.net</t>
  </si>
  <si>
    <t>Abigail Shepard [79]</t>
  </si>
  <si>
    <t>Abigail Shepard</t>
  </si>
  <si>
    <t>lobortis.Class.aptent@Suspendisseac.com</t>
  </si>
  <si>
    <t>Armando Le [80]</t>
  </si>
  <si>
    <t>Armando Le</t>
  </si>
  <si>
    <t>mattis.semper@luctuset.co.uk</t>
  </si>
  <si>
    <t>Claudia Crane [81]</t>
  </si>
  <si>
    <t>Claudia Crane</t>
  </si>
  <si>
    <t>ipsum@viverraMaecenas.org</t>
  </si>
  <si>
    <t>Buffy Jennings [82]</t>
  </si>
  <si>
    <t>Buffy Jennings</t>
  </si>
  <si>
    <t>tellus@pharetra.net</t>
  </si>
  <si>
    <t>Serina Booker [83]</t>
  </si>
  <si>
    <t>Serina Booker</t>
  </si>
  <si>
    <t>amet.faucibus.ut@magna.net</t>
  </si>
  <si>
    <t>Donna Molina [84]</t>
  </si>
  <si>
    <t>Donna Molina</t>
  </si>
  <si>
    <t>Donec.porttitor@fames.com</t>
  </si>
  <si>
    <t>Alexa Herring [85]</t>
  </si>
  <si>
    <t>Alexa Herring</t>
  </si>
  <si>
    <t>mi@variuset.net</t>
  </si>
  <si>
    <t>Sigourney Ramsey [86]</t>
  </si>
  <si>
    <t>Sigourney Ramsey</t>
  </si>
  <si>
    <t>ut@Intinciduntcongue.edu</t>
  </si>
  <si>
    <t>Cadman Huffman [87]</t>
  </si>
  <si>
    <t>Cadman Huffman</t>
  </si>
  <si>
    <t>magna.Suspendisse@inconsectetueripsum.org</t>
  </si>
  <si>
    <t>Cheryl Edwards [88]</t>
  </si>
  <si>
    <t>Cheryl Edwards</t>
  </si>
  <si>
    <t>neque.venenatis@egestasAliquam.co.uk</t>
  </si>
  <si>
    <t>Jonah Griffin [89]</t>
  </si>
  <si>
    <t>Jonah Griffin</t>
  </si>
  <si>
    <t>enim.Curabitur@Maecenas.com</t>
  </si>
  <si>
    <t>Prescott Nelson [90]</t>
  </si>
  <si>
    <t>Prescott Nelson</t>
  </si>
  <si>
    <t>ultrices.posuere.cubilia@metusAeneansed.edu</t>
  </si>
  <si>
    <t>Doris Valdez [91]</t>
  </si>
  <si>
    <t>Doris Valdez</t>
  </si>
  <si>
    <t>sit@nonquamPellentesque.net</t>
  </si>
  <si>
    <t>Marny Boyer [92]</t>
  </si>
  <si>
    <t>Marny Boyer</t>
  </si>
  <si>
    <t>Aliquam.gravida@inaliquet.net</t>
  </si>
  <si>
    <t>Lois Valdez [93]</t>
  </si>
  <si>
    <t>Lois Valdez</t>
  </si>
  <si>
    <t>nisi.magna.sed@arcuVestibulumante.edu</t>
  </si>
  <si>
    <t>Vivian Mendoza [94]</t>
  </si>
  <si>
    <t>Vivian Mendoza</t>
  </si>
  <si>
    <t>dignissim.lacus.Aliquam@Nullam.org</t>
  </si>
  <si>
    <t>Madeson Silva [95]</t>
  </si>
  <si>
    <t>Madeson Silva</t>
  </si>
  <si>
    <t>dictum@aliquetvelvulputate.edu</t>
  </si>
  <si>
    <t>Benedict Todd [96]</t>
  </si>
  <si>
    <t>Benedict Todd</t>
  </si>
  <si>
    <t>tristique@Donec.co.uk</t>
  </si>
  <si>
    <t>Yvonne Brewer [97]</t>
  </si>
  <si>
    <t>Yvonne Brewer</t>
  </si>
  <si>
    <t>cursus.non.egestas@adipiscingnon.com</t>
  </si>
  <si>
    <t>Morgan Hoffman [98]</t>
  </si>
  <si>
    <t>Morgan Hoffman</t>
  </si>
  <si>
    <t>nec.ante@adipiscingelit.net</t>
  </si>
  <si>
    <t>Zorita Rutledge [99]</t>
  </si>
  <si>
    <t>Zorita Rutledge</t>
  </si>
  <si>
    <t>augue.eu.tellus@egestasAliquam.ca</t>
  </si>
  <si>
    <t>Anne Slater [100]</t>
  </si>
  <si>
    <t>Anne Slater</t>
  </si>
  <si>
    <t>nibh@Donec.org</t>
  </si>
  <si>
    <t>Load</t>
  </si>
  <si>
    <t>Save</t>
  </si>
  <si>
    <t>price</t>
  </si>
  <si>
    <t>description</t>
  </si>
  <si>
    <t>origin</t>
  </si>
  <si>
    <t>Bacon [1001]</t>
  </si>
  <si>
    <t>Bacon</t>
  </si>
  <si>
    <t>Often eaten with ketchup or brown sauce</t>
  </si>
  <si>
    <t>United Kingdom</t>
  </si>
  <si>
    <t>Bacon, egg and cheese [1002]</t>
  </si>
  <si>
    <t>Bacon, egg and cheese</t>
  </si>
  <si>
    <t>A breakfast sandwich, usually with fried or scrambled egg</t>
  </si>
  <si>
    <t>United States</t>
  </si>
  <si>
    <t>Baked bean [1003]</t>
  </si>
  <si>
    <t>Baked bean</t>
  </si>
  <si>
    <t>Canned baked beans on white or brown bread, sometimes with butter.</t>
  </si>
  <si>
    <t>Bánh mì [1004]</t>
  </si>
  <si>
    <t>Bánh mì</t>
  </si>
  <si>
    <t>Filling is typically meat, but can contain a wide range of foods, including sardines, tofu, pâté, or eggs. Served on an airy baguette with pickled carrots, cilantro and peppers.</t>
  </si>
  <si>
    <t>Vietnam</t>
  </si>
  <si>
    <t>Barbecue [1005]</t>
  </si>
  <si>
    <t>Barbecue</t>
  </si>
  <si>
    <t>Served on a bun, with chopped, sliced, or shredded meat (pulled pork, beef, or chicken typically), and sometimes topped with coleslaw</t>
  </si>
  <si>
    <t>Barros Jarpa [1006]</t>
  </si>
  <si>
    <t>Barros Jarpa</t>
  </si>
  <si>
    <t>Ham and cheese, usually mantecoso, which is similar to farmer cheese</t>
  </si>
  <si>
    <t>Chile</t>
  </si>
  <si>
    <t>Barros Luco [1007]</t>
  </si>
  <si>
    <t>Barros Luco</t>
  </si>
  <si>
    <t>Beef (usually thin-cut steak) and cheese</t>
  </si>
  <si>
    <t>Bauru [1008]</t>
  </si>
  <si>
    <t>Bauru</t>
  </si>
  <si>
    <t>Melted cheese, roast beef, tomato, and pickled cucumber in a hollowed-out French roll</t>
  </si>
  <si>
    <t>Brazil</t>
  </si>
  <si>
    <t>Beef on weck [1009]</t>
  </si>
  <si>
    <t>Beef on weck</t>
  </si>
  <si>
    <t>Roast beef on a Kummelweck roll</t>
  </si>
  <si>
    <t>BLT [1010]</t>
  </si>
  <si>
    <t>BLT</t>
  </si>
  <si>
    <t>Named for its ingredients: bacon, lettuce, and tomato. Often served on toasted sliced bread spread with mayonnaise.</t>
  </si>
  <si>
    <t>Bologna sandwich [1011]</t>
  </si>
  <si>
    <t>Bologna sandwich</t>
  </si>
  <si>
    <t>Pre-sliced and sometimes fried bologna sausage between slices of white bread, with various condiments such as ketchup, mustard, and mayonnaise.</t>
  </si>
  <si>
    <t>Bosna [1012]</t>
  </si>
  <si>
    <t>Bosna</t>
  </si>
  <si>
    <t>Usually grilled on white bread, containing a bratwurst sausage, onions, and a blend of tomato ketchup, mustard, and curry powder</t>
  </si>
  <si>
    <t>Austria</t>
  </si>
  <si>
    <t>Breakfast roll [1013]</t>
  </si>
  <si>
    <t>Breakfast roll</t>
  </si>
  <si>
    <t>A convenience dish on a variety of bread rolls, containing such breakfast items as sausages, bacon, white or black pudding, mushrooms, tomatoes, hash browns, and fried eggs, often eaten with ketchup or brown sauce</t>
  </si>
  <si>
    <t>United Kingdom and Ireland</t>
  </si>
  <si>
    <t>Breakfast [1014]</t>
  </si>
  <si>
    <t>Breakfast</t>
  </si>
  <si>
    <t>Typically a scrambled or fried egg, cheese, and a sausage patty or other breakfast meat, served on a biscuit or English muffin</t>
  </si>
  <si>
    <t>British Rail [1015]</t>
  </si>
  <si>
    <t>British Rail</t>
  </si>
  <si>
    <t>A dated reference to the poor quality of catering on the now-defunct British Rail, this refers to any poor-quality sandwich, often stale.</t>
  </si>
  <si>
    <t>Broodje kroket [1016]</t>
  </si>
  <si>
    <t>Broodje kroket</t>
  </si>
  <si>
    <t>A soft bread roll containing a ragout-based croquette, often eaten with mustard.</t>
  </si>
  <si>
    <t>The Netherlands</t>
  </si>
  <si>
    <t>Bun kebab [1017]</t>
  </si>
  <si>
    <t>Bun kebab</t>
  </si>
  <si>
    <t>Consists of a shallow-fried, spicy patty, onions, and chutney or raita in a hamburger or hot dog bun.</t>
  </si>
  <si>
    <t>Pakistan</t>
  </si>
  <si>
    <t>Butterbrot [1018]</t>
  </si>
  <si>
    <t>Butterbrot</t>
  </si>
  <si>
    <t>Single, open-faced, containing butter as the common ingredient, with sweet or savory toppings depending on the meal</t>
  </si>
  <si>
    <t>Germany</t>
  </si>
  <si>
    <t>Cemita [1019]</t>
  </si>
  <si>
    <t>Cemita</t>
  </si>
  <si>
    <t>Sliced avocado, meat, white cheese, onions, and red sauce (salsa roja), on a fluffy sesame-seeded egg roll, originally from the city of Puebla.</t>
  </si>
  <si>
    <t>Mexico</t>
  </si>
  <si>
    <t>Chacarero [1020]</t>
  </si>
  <si>
    <t>Chacarero</t>
  </si>
  <si>
    <t>Thinly sliced churrasco-style steak, or lomito-style pork, with tomatoes, green beans, and green chiles, served on a round roll</t>
  </si>
  <si>
    <t>Cheese [1021]</t>
  </si>
  <si>
    <t>Cheese</t>
  </si>
  <si>
    <t>Made with one or more varieties of cheese. When toasted (pictured), it is commonly referred to as a "grilled cheese sandwich."</t>
  </si>
  <si>
    <t/>
  </si>
  <si>
    <t>Cheese and pickle [1022]</t>
  </si>
  <si>
    <t>Cheese and pickle</t>
  </si>
  <si>
    <t>Slices of cheese (typically Cheddar) and pickle (a sweet, vinegary chutney with the most popular brand being Branston), sandwiched between two slices of bread.</t>
  </si>
  <si>
    <t>Cheesesteak [1023]</t>
  </si>
  <si>
    <t>Cheesesteak</t>
  </si>
  <si>
    <t>Thinly sliced steak and melted cheese in a long roll, also known as a Philadelphia or Philly cheesesteak.</t>
  </si>
  <si>
    <t>United States (Philadelphia, Pennsylvania)</t>
  </si>
  <si>
    <t>Chicken [1024]</t>
  </si>
  <si>
    <t>Chicken</t>
  </si>
  <si>
    <t>A chicken sandwich can contain chicken cooked in a variety of ways. In the United States, common forms of chicken sandwiches include the grilled chicken breast sandwich, the fried chicken breast sandwich, the chicken salad sandwich, and the shredded (or barbeque) chicken sandwich.</t>
  </si>
  <si>
    <t>Chicken salad [1025]</t>
  </si>
  <si>
    <t>Chicken salad</t>
  </si>
  <si>
    <t>A sandwich prepared with chicken salad as a filling.</t>
  </si>
  <si>
    <t>Chicken schnitzel [1026]</t>
  </si>
  <si>
    <t>Chicken schnitzel</t>
  </si>
  <si>
    <t>A sandwich of crumbed, pan-fried chicken fillet, on buttered bread, with shredded iceberg lettuce and mayonnaise.</t>
  </si>
  <si>
    <t>Australia</t>
  </si>
  <si>
    <t>Chickpea salad [1027]</t>
  </si>
  <si>
    <t>Chickpea salad</t>
  </si>
  <si>
    <t>Chickpea salad is a vegan sandwich filling with a texture similar to tuna salad. Chickpea salad consists of mashed up chickpeas, vegenaise, onions, and other seasonings. Some versions also include tuna.</t>
  </si>
  <si>
    <t>Chili burger [1028]</t>
  </si>
  <si>
    <t>Chili burger</t>
  </si>
  <si>
    <t>A hamburger, with the patty topped with chili con carne</t>
  </si>
  <si>
    <t>Chip butty [1029]</t>
  </si>
  <si>
    <t>Chip butty</t>
  </si>
  <si>
    <t>Sliced white bread (or a large, flat bread roll) filled with chips, usually sprinkled with salt and vinegar or tomato ketchup.</t>
  </si>
  <si>
    <t>Chipped beef [1030]</t>
  </si>
  <si>
    <t>Chipped beef</t>
  </si>
  <si>
    <t>A sandwich prepared with thinly sliced or pressed salted and dried beef. Some chipped beef is smoked to add flavor.</t>
  </si>
  <si>
    <t>U.S. military cuisine</t>
  </si>
  <si>
    <t>Chivito [1031]</t>
  </si>
  <si>
    <t>Chivito</t>
  </si>
  <si>
    <t>Filet mignon with mozzarella, tomatoes, mayonnaise, and commonly bacon, black or green olives, fried or hardboiled eggs, and ham</t>
  </si>
  <si>
    <t>Uruguay</t>
  </si>
  <si>
    <t>Choripán [1032]</t>
  </si>
  <si>
    <t>Choripán</t>
  </si>
  <si>
    <t>Grilled chorizo, usually served on a crusty roll with salsa-type condiments, such as pebre, salsa criolla, or chimichurri. Morcipán is a variety of this using black pudding or blood sausage.</t>
  </si>
  <si>
    <t>South America, Caribbean</t>
  </si>
  <si>
    <t>Chow mein [1033]</t>
  </si>
  <si>
    <t>Chow mein</t>
  </si>
  <si>
    <t>A brown gravy base and chow mein mixture on a hamburger-style bun</t>
  </si>
  <si>
    <t>Churrasco [1034]</t>
  </si>
  <si>
    <t>Churrasco</t>
  </si>
  <si>
    <t>Thinly cut steak, grilled and served on a toasted bun. It can be served with almost any other ingredient, in which case its name changes to "churrasco+the new ingredient" (e.g.: churrasco palta = churrasco and avocado)</t>
  </si>
  <si>
    <t>Club [1035]</t>
  </si>
  <si>
    <t>Club</t>
  </si>
  <si>
    <t>A triple-decker sandwich made with sliced turkey or chicken, bacon, tomato, and lettuce; usually contains mayonnaise</t>
  </si>
  <si>
    <t>Corned beef [1036]</t>
  </si>
  <si>
    <t>Corned beef</t>
  </si>
  <si>
    <t>Corned beef often served with a condiment such as pickle or mustard.</t>
  </si>
  <si>
    <t>Crisp [1037]</t>
  </si>
  <si>
    <t>Crisp</t>
  </si>
  <si>
    <t>Crisps and occasionally pickles on white bread</t>
  </si>
  <si>
    <t>Croque-monsieur [1038]</t>
  </si>
  <si>
    <t>Croque-monsieur</t>
  </si>
  <si>
    <t>A grilled ham and cheese (typically Emmental or Gruyère) sandwich, sometimes coated in a mornay or béchamel sauce</t>
  </si>
  <si>
    <t>France</t>
  </si>
  <si>
    <t>Croque-madame [1039]</t>
  </si>
  <si>
    <t>Croque-madame</t>
  </si>
  <si>
    <t>Same as a croque-monsieur, but with a fried egg on top.</t>
  </si>
  <si>
    <t>Cuban [1040]</t>
  </si>
  <si>
    <t>Cuban</t>
  </si>
  <si>
    <t>Ham, roasted pork, Swiss cheese, pickles, mustard, and sometimes Genoa salami on Cuban bread, usually pressed and warmed in a plancha</t>
  </si>
  <si>
    <t>United States (Tampa, Florida) and Cuba</t>
  </si>
  <si>
    <t>Cucumber [1041]</t>
  </si>
  <si>
    <t>Cucumber</t>
  </si>
  <si>
    <t>Two thin slices of crustless, lightly buttered white bread, containing paper-thin slices of peeled cucumber</t>
  </si>
  <si>
    <t>Cudighi [1042]</t>
  </si>
  <si>
    <t>Cudighi</t>
  </si>
  <si>
    <t>Spicy cudighi (a Michigan variety of Cotechino Italian sausage), on a long, hard roll, often topped with mozzarella and tomato sauce</t>
  </si>
  <si>
    <t>Italy</t>
  </si>
  <si>
    <t>Dagwood [1043]</t>
  </si>
  <si>
    <t>Dagwood</t>
  </si>
  <si>
    <t>Multiple layers containing a wide variety of meats and condiments, named for Dagwood Bumstead of the comic strip Blondie</t>
  </si>
  <si>
    <t>Deli sandwich [1044]</t>
  </si>
  <si>
    <t>Deli sandwich</t>
  </si>
  <si>
    <t>This sandwich may be ordered at a deli; choices include type of bread (toasted or untoasted,) type of meat (cold cut), type of sliced cheese, vegetable fillings (lettuce, tomato, onion, etc.), and condiments</t>
  </si>
  <si>
    <t>Denver [1045]</t>
  </si>
  <si>
    <t>Denver</t>
  </si>
  <si>
    <t>A sandwich containing a Denver omelette</t>
  </si>
  <si>
    <t>Doner kebab [1046]</t>
  </si>
  <si>
    <t>Doner kebab</t>
  </si>
  <si>
    <t>Doner kebab is meat cooked on a vertical spit, normally veal or beef but also may be a mixture of these with lamb, and sometimes chicken. This may be served wrapped in a flatbread such as lavash or pita, or as a sandwich.</t>
  </si>
  <si>
    <t>Turkey</t>
  </si>
  <si>
    <t>Donkey burger [1047]</t>
  </si>
  <si>
    <t>Donkey burger</t>
  </si>
  <si>
    <t>Chopped or shredded savory donkey meat in a bun, sold in Baoding, Hebei Province as street food, and also in high-end restaurants</t>
  </si>
  <si>
    <t>China</t>
  </si>
  <si>
    <t>Doubles [1048]</t>
  </si>
  <si>
    <t>Doubles</t>
  </si>
  <si>
    <t>Two flat fried bara (bread), containing curried chickpeas or garbanzo beans</t>
  </si>
  <si>
    <t>Trinidad and Tobago</t>
  </si>
  <si>
    <t>Dynamite [1049]</t>
  </si>
  <si>
    <t>Dynamite</t>
  </si>
  <si>
    <t>Made of ground beef, tomato sauces, spices and many onions and peppers. It is a popular food served at local family gatherings and fundraising benefits, usually made in large quantities.</t>
  </si>
  <si>
    <t>United States (Woonsocket, Rhode Island)</t>
  </si>
  <si>
    <t>Dyrlægens natmad [1050]</t>
  </si>
  <si>
    <t>Dyrlægens natmad</t>
  </si>
  <si>
    <t>On a piece of dark rye bread, a layer of leverpostej, topped with a slice of salt beef and a slice of meat aspic, topped with raw onion rings and garden cress.</t>
  </si>
  <si>
    <t>Denmark</t>
  </si>
  <si>
    <t>Elvis sandwich [1051]</t>
  </si>
  <si>
    <t>Elvis sandwich</t>
  </si>
  <si>
    <t>Peanut butter, banana, and bacon</t>
  </si>
  <si>
    <t>Egg [1052]</t>
  </si>
  <si>
    <t>Egg</t>
  </si>
  <si>
    <t>Generic sandwich: This contains eggs, usually sliced hard boiled eggs or egg salad, but may be made with fried or (more rarely) scrambled egg, topped with the local roe spread, locally called kaviar.</t>
  </si>
  <si>
    <t>Worldwide</t>
  </si>
  <si>
    <t>Fairy bread [1053]</t>
  </si>
  <si>
    <t>Fairy bread</t>
  </si>
  <si>
    <t>White bread with nonpareils (= 'sprinkles' (U.S.) or 'hundreds and thousands' (U.K.)) on a spread of butter. Often cut into squares or triangles.</t>
  </si>
  <si>
    <t>Australia and New Zealand</t>
  </si>
  <si>
    <t>Falafel [1054]</t>
  </si>
  <si>
    <t>Falafel</t>
  </si>
  <si>
    <t>Deep-fried balls of ground, seasoned chickpeas topped with salad vegetables, hot sauce, tahini-based sauces, and pickled vegetables, wrapped in or added to the pocket of a split-open pita bread.</t>
  </si>
  <si>
    <t>Middle East</t>
  </si>
  <si>
    <t>Fischbrötchen [1055]</t>
  </si>
  <si>
    <t>Fischbrötchen</t>
  </si>
  <si>
    <t>Crusty bread rolls filled with fish (most commonly Bismarck or soused herring) and onions</t>
  </si>
  <si>
    <t>Fool's Gold Loaf [1056]</t>
  </si>
  <si>
    <t>Fool's Gold Loaf</t>
  </si>
  <si>
    <t>Consists of a single warmed, hollowed-out loaf of bread filled with one jar of creamy peanut butter, one jar of grape jelly, and a pound of bacon. In 1976, Elvis Presley and some of his friends flew to Colorado to consume them.</t>
  </si>
  <si>
    <t>Colorado, United States</t>
  </si>
  <si>
    <t>Fluffernutter [1057]</t>
  </si>
  <si>
    <t>Fluffernutter</t>
  </si>
  <si>
    <t>Peanut butter and marshmallow creme. Pictured is a fluffernutter sandwich prior to being assembled.</t>
  </si>
  <si>
    <t>Francesinha [1058]</t>
  </si>
  <si>
    <t>Francesinha</t>
  </si>
  <si>
    <t>Wet-cured ham, linguiça, fresh sausage (chipolata), steak or other roast meat, topped with melted cheese, a hot thick tomato, and beer sauce</t>
  </si>
  <si>
    <t>Portugal</t>
  </si>
  <si>
    <t>Francesinha poveira [1059]</t>
  </si>
  <si>
    <t>Francesinha poveira</t>
  </si>
  <si>
    <t>A bun with wet-cured ham, linguiça, and cheese, sauced with butter or margarine, piri-piri, and port wine, whiskey, cognac, or brandy</t>
  </si>
  <si>
    <t>French dip [1060]</t>
  </si>
  <si>
    <t>French dip</t>
  </si>
  <si>
    <t>Thinly sliced roast beef on a baguette, served hot, usually au jus (with juice)</t>
  </si>
  <si>
    <t>Fried brain [1061]</t>
  </si>
  <si>
    <t>Fried brain</t>
  </si>
  <si>
    <t>Sliced calves' brain on sliced bread</t>
  </si>
  <si>
    <t>Fruit [1062]</t>
  </si>
  <si>
    <t>Fruit</t>
  </si>
  <si>
    <t>Fruit, often fruits such as banana, fig or pineapple served on bread, often with mayonnaise in the United States.</t>
  </si>
  <si>
    <t>Global</t>
  </si>
  <si>
    <t>Ftira [1063]</t>
  </si>
  <si>
    <t>Ftira</t>
  </si>
  <si>
    <t>A traditional Maltese sandwich made on a large round piece of Maltese ftira bread, topped with tomato paste, tuna, capers, and red onions.</t>
  </si>
  <si>
    <t>Malta</t>
  </si>
  <si>
    <t>Gatsby [1064]</t>
  </si>
  <si>
    <t>Gatsby</t>
  </si>
  <si>
    <t>A deli-style sandwich similar to the hoagie, often containing french fries, with other variations, prepared with masala steak, chicken, polony, Vienna sausages, calamari, fish, or chargrilled steak</t>
  </si>
  <si>
    <t>South Africa</t>
  </si>
  <si>
    <t>Gerber [1065]</t>
  </si>
  <si>
    <t>Gerber</t>
  </si>
  <si>
    <t>Half section of Italian or French bread with garlic butter, containing ham, provel or provolone cheese, topped with paprika, then toasted</t>
  </si>
  <si>
    <t>St. Louis, Missouri, United States</t>
  </si>
  <si>
    <t>Guajolota [1066]</t>
  </si>
  <si>
    <t>Guajolota</t>
  </si>
  <si>
    <t>A tamale in a mexican bolillo roll. A very common morning street food in Mexico City. It is also called torta de tamal</t>
  </si>
  <si>
    <t>Mexico (Mexico City)</t>
  </si>
  <si>
    <t>Gyro [1067]</t>
  </si>
  <si>
    <t>Gyro</t>
  </si>
  <si>
    <t>Pita gyro or "psomaki gyro," depending on the type of bread used, includes meat roasted on a vertical spit, with tomato, potatoes, raw, often red onion and tzatziki sauce, wrapped in pita or sandwich bread.</t>
  </si>
  <si>
    <t>Greece</t>
  </si>
  <si>
    <t>Hagelslag or vlokken [1068]</t>
  </si>
  <si>
    <t>Hagelslag or vlokken</t>
  </si>
  <si>
    <t>Chocolate sprinkles or flakes usually served on buttered bread</t>
  </si>
  <si>
    <t>Ham [1069]</t>
  </si>
  <si>
    <t>Ham</t>
  </si>
  <si>
    <t>May be accompanied by cheese or salad. Condiments such as mustard, mayonnaise, or pickle may be present.</t>
  </si>
  <si>
    <t>Ham and cheese [1070]</t>
  </si>
  <si>
    <t>Ham and cheese</t>
  </si>
  <si>
    <t>A common sandwich prepared with ham and sliced cheese. Additional ingredients may include lettuce, tomato, mayonnaise, and other ingredients.</t>
  </si>
  <si>
    <t>Ham and egg bun [1071]</t>
  </si>
  <si>
    <t>Ham and egg bun</t>
  </si>
  <si>
    <t>Sliced Danish canned ham with sliced scrambled egg sheet in a halved sweet bun</t>
  </si>
  <si>
    <t>Hong Kong</t>
  </si>
  <si>
    <t>Hamburger [1072]</t>
  </si>
  <si>
    <t>Hamburger</t>
  </si>
  <si>
    <t>A ground beef patty, often with vegetables, sauces and other meats, usually on a round bun.</t>
  </si>
  <si>
    <t>Hamdog [1073]</t>
  </si>
  <si>
    <t>Hamdog</t>
  </si>
  <si>
    <t>A hot dog wrapped in a beef patty, deep-fried, then covered with chili, a few french fries, and a fried egg</t>
  </si>
  <si>
    <t>Horseshoe [1074]</t>
  </si>
  <si>
    <t>Horseshoe</t>
  </si>
  <si>
    <t>A thick-sliced, toasted, open-faced sandwich, it usually contains hamburger patties or ham, but other meat, such as deep-fried pork tenderloin, grilled or fried chicken breast, and fried fish filets, can be used. The meat is topped with french fries and covered with a cheese sauce.</t>
  </si>
  <si>
    <t>Springfield, Illinois, United States</t>
  </si>
  <si>
    <t>Hot brown [1075]</t>
  </si>
  <si>
    <t>Hot brown</t>
  </si>
  <si>
    <t>Open-faced with turkey and bacon, topped with mornay sauce, and baked or broiled</t>
  </si>
  <si>
    <t>United States (Louisville, Kentucky)</t>
  </si>
  <si>
    <t>Hot chicken [1076]</t>
  </si>
  <si>
    <t>Hot chicken</t>
  </si>
  <si>
    <t>Coarsely shredded or sliced chicken, sandwiched between two pieces of sliced bread, and completely covered with gravy.</t>
  </si>
  <si>
    <t>Quebec, Canada</t>
  </si>
  <si>
    <t>Hot turkey [1077]</t>
  </si>
  <si>
    <t>Hot turkey</t>
  </si>
  <si>
    <t>Often open-faced, sliced turkey on white bread drenched in turkey gravy, often served with mashed potatoes. These are sometimes served at Hofbrau-style restaurants.</t>
  </si>
  <si>
    <t>Ice cream [1078]</t>
  </si>
  <si>
    <t>Ice cream</t>
  </si>
  <si>
    <t>Vanilla ice cream between thin biscuits, cookies or slices of cake, normally chocolate</t>
  </si>
  <si>
    <t>Italian beef [1079]</t>
  </si>
  <si>
    <t>Italian beef</t>
  </si>
  <si>
    <t>Thin slices of seasoned, juicy roast beef, often garnished with giardiniera or Italian sweet peppers, on a dense, long Italian-style roll</t>
  </si>
  <si>
    <t>United States (Chicago, Illinois)</t>
  </si>
  <si>
    <t>Italiano [1080]</t>
  </si>
  <si>
    <t>Italiano</t>
  </si>
  <si>
    <t>Not a sandwich, it refers to a set of toppings to put in a sandwich, refers to the colors of the Italian flag: red (tomato), white (mayonnaise) and green (avocado)</t>
  </si>
  <si>
    <t>Jam [1081]</t>
  </si>
  <si>
    <t>Jam</t>
  </si>
  <si>
    <t>Buttered bread, with jam (traditionally strawberry), normally eaten at lunchtime or as a quick snack, may also be eaten at breakfast or for high tea</t>
  </si>
  <si>
    <t>Jambon-beurre [1082]</t>
  </si>
  <si>
    <t>Jambon-beurre</t>
  </si>
  <si>
    <t>A French baguette with butter and ham. Also known as "Parisien," it is the most popular sandwich in France.</t>
  </si>
  <si>
    <t>Jibarito [1083]</t>
  </si>
  <si>
    <t>Jibarito</t>
  </si>
  <si>
    <t>Meat, cheese, lettuce, and tomato, between flattened, fried green plantains (instead of bread), with garlic-flavored mayonnaise</t>
  </si>
  <si>
    <t>Jucy Lucy [1084]</t>
  </si>
  <si>
    <t>Jucy Lucy</t>
  </si>
  <si>
    <t>A cheeseburger with the cheese inside the meat patty rather than on top</t>
  </si>
  <si>
    <t>United States (Minneapolis, Minnesota)</t>
  </si>
  <si>
    <t>Katsu sando [1085]</t>
  </si>
  <si>
    <t>Katsu sando</t>
  </si>
  <si>
    <t>Breaded, deep-fried pork cutlet (tonkatsu)</t>
  </si>
  <si>
    <t>Japan</t>
  </si>
  <si>
    <t>Kokoretsi [1086]</t>
  </si>
  <si>
    <t>Kokoretsi</t>
  </si>
  <si>
    <t>Lamb or goat intestines, containing seasoned offal</t>
  </si>
  <si>
    <t>Kottenbutter [1087]</t>
  </si>
  <si>
    <t>Kottenbutter</t>
  </si>
  <si>
    <t>Buttered brown bread with smoked pork sausage (Kottenwurst), fresh onion rings, and spicy mustard</t>
  </si>
  <si>
    <t>Leberkäse [1088]</t>
  </si>
  <si>
    <t>Leberkäse</t>
  </si>
  <si>
    <t>A meatloaf-like dish which, despite the name, contains neither liver nor cheese. It is commonly served on a Kaiser roll with mustard.</t>
  </si>
  <si>
    <t>Bavaria</t>
  </si>
  <si>
    <t>Lettuce [1089]</t>
  </si>
  <si>
    <t>Lettuce</t>
  </si>
  <si>
    <t>Lettuce and mayonnaise</t>
  </si>
  <si>
    <t>Limburger sandwich [1090]</t>
  </si>
  <si>
    <t>Limburger sandwich</t>
  </si>
  <si>
    <t>They are typically prepared with buttered rye bread, Limburger cheese, sliced onion and mustard. Pictured is Limburger cheese and bread.</t>
  </si>
  <si>
    <t>Lobster roll [1091]</t>
  </si>
  <si>
    <t>Lobster roll</t>
  </si>
  <si>
    <t>Lobster meat tossed with either mayonnaise ("cold") or drawn butter ("hot") stuffed into a slit opening at the top of a grilled bread roll or hot dog bun.</t>
  </si>
  <si>
    <t>Northeastern United States</t>
  </si>
  <si>
    <t>Lox [1092]</t>
  </si>
  <si>
    <t>Lox</t>
  </si>
  <si>
    <t>Lox on a bagel with cream cheese, thinly sliced onion, capers, and sometimes sliced tomato</t>
  </si>
  <si>
    <t>Luther burger [1093]</t>
  </si>
  <si>
    <t>Luther burger</t>
  </si>
  <si>
    <t>A hamburger or cheeseburger on glazed doughnuts instead of a bun</t>
  </si>
  <si>
    <t>Marmite [1094]</t>
  </si>
  <si>
    <t>Marmite</t>
  </si>
  <si>
    <t>Marmite spread thinly with butter or margarine onto toast or bread</t>
  </si>
  <si>
    <t>Martino [1095]</t>
  </si>
  <si>
    <t>Martino</t>
  </si>
  <si>
    <t>Filet américain (steak tartare) with Worcestershire sauce, pickles, onions, peppers, and martino sauce</t>
  </si>
  <si>
    <t>Belgium</t>
  </si>
  <si>
    <t>Meatball [1096]</t>
  </si>
  <si>
    <t>Meatball</t>
  </si>
  <si>
    <t>Meatballs in marinara sauce, with melted Parmesan or provolone cheese, on a long bun or section of Italian loaf. Might include Italian-style accompaniments such as bell peppers, basil, or Italian-dressed lettuce</t>
  </si>
  <si>
    <t>Medianoche [1097]</t>
  </si>
  <si>
    <t>Medianoche</t>
  </si>
  <si>
    <t>Roast pork, ham, mustard, Swiss cheese, and dill pickles served on sweet bread.</t>
  </si>
  <si>
    <t>Cuba</t>
  </si>
  <si>
    <t>Mitraillette [1098]</t>
  </si>
  <si>
    <t>Mitraillette</t>
  </si>
  <si>
    <t>French fries and fried meat with sauce on a demi-baguette.</t>
  </si>
  <si>
    <t>Melt [1099]</t>
  </si>
  <si>
    <t>Melt</t>
  </si>
  <si>
    <t>A generic sandwich containing a filling and a layer of cheese, grilled or fried until the cheese is melted</t>
  </si>
  <si>
    <t>Mettbrötchen [1100]</t>
  </si>
  <si>
    <t>Mettbrötchen</t>
  </si>
  <si>
    <t>Open sandwich consisting of a sliced bun, topped with Mett (seasoned minced pork without bacon), frequently with a garnish of raw onion rings or diced raw onion</t>
  </si>
  <si>
    <t>Mollete [1101]</t>
  </si>
  <si>
    <t>Mollete</t>
  </si>
  <si>
    <t>A typical food of Mexico and a kind of bread in Spain. In Mexico, Molletes are prepared with melted cheese and beans with other ingredients, such as salsa, ham, or bacon.</t>
  </si>
  <si>
    <t>Spain and Mexico</t>
  </si>
  <si>
    <t>Montadito [1102]</t>
  </si>
  <si>
    <t>Montadito</t>
  </si>
  <si>
    <t>Small, usually grilled, and may contain a variety of fillings. Some bars offer a variety of 200 different types of these sandwiches.</t>
  </si>
  <si>
    <t>Spain</t>
  </si>
  <si>
    <t>Monte Cristo [1103]</t>
  </si>
  <si>
    <t>Monte Cristo</t>
  </si>
  <si>
    <t>Sliced ham and cheese (usually Emmental or Gruyère) between slices of French toast and batter-fried. In some regions it is sprinkled with powdered sugar and served with jelly or jam). In other regions (New England), it is served savory with French mustard and no powdered sugar.</t>
  </si>
  <si>
    <t>Montreal-style smoked meat [1104]</t>
  </si>
  <si>
    <t>Montreal-style smoked meat</t>
  </si>
  <si>
    <t>A sandwich made from cured and smoked brisket with yellow mustard, usually on rye bread.</t>
  </si>
  <si>
    <t>Canada</t>
  </si>
  <si>
    <t>Mortadella [1105]</t>
  </si>
  <si>
    <t>Mortadella</t>
  </si>
  <si>
    <t>Any sandwich containing mortadella, a large Italian sausage</t>
  </si>
  <si>
    <t>Mother-in-law [1106]</t>
  </si>
  <si>
    <t>Mother-in-law</t>
  </si>
  <si>
    <t>A hot dog bun containing a Chicago-style corn-roll tamale, topped with chili</t>
  </si>
  <si>
    <t>Muffuletta [1107]</t>
  </si>
  <si>
    <t>Muffuletta</t>
  </si>
  <si>
    <t>Originated in New Orleans' Italian-American community, this contains meats, cheeses, and olive salad on a round bun</t>
  </si>
  <si>
    <t>Naan sandwich [1108]</t>
  </si>
  <si>
    <t>Naan sandwich</t>
  </si>
  <si>
    <t>Beef on naan bread.</t>
  </si>
  <si>
    <t>Open-faced sandwich [1109]</t>
  </si>
  <si>
    <t>Open-faced sandwich</t>
  </si>
  <si>
    <t>Consists of a single slice of bread with one or more food items on top. See also pizza.</t>
  </si>
  <si>
    <t>Nordic</t>
  </si>
  <si>
    <t>Pambazo [1110]</t>
  </si>
  <si>
    <t>Pambazo</t>
  </si>
  <si>
    <t>Made with pambazo bread dipped in a red guajillo pepper sauce and filled with potatoes and chorizo.</t>
  </si>
  <si>
    <t>Pan-bagnat [1111]</t>
  </si>
  <si>
    <t>Pan-bagnat</t>
  </si>
  <si>
    <t>Round bread (bread bagnats) topped with green salad, tomatoes, hard-boiled eggs, tuna, anchovies, cucumbers, fava beans, artichokes, green peppers, radishes, onions, basil, and black olives. Condiments may include garlic, vinegar, olive oil, salt, and pepper. Served chilled.</t>
  </si>
  <si>
    <t>Panini [1112]</t>
  </si>
  <si>
    <t>Panini</t>
  </si>
  <si>
    <t>In Italy, panino is the word for a sandwich made from bread other than sliced bread, in which case Italians call it a tramezzino. Examples of bread types used are ciabatta, rosetta and baguette. The bread is cut horizontally and filled with deli ingredients such as salami, ham, cheese, mortadella, or other food, and is sometimes pressed by a warming grill. In the United States, United Kingdom, and Canada, the term panini is used to refer to a long pressed and toasted sandwich; there is widespread availability and use of sandwich presses, often known as "panini presses".</t>
  </si>
  <si>
    <t>Patty melt [1113]</t>
  </si>
  <si>
    <t>Patty melt</t>
  </si>
  <si>
    <t>Consists of a hamburger patty, pieces of sautéed or grilled onion, and Cheddar or Swiss cheese between two slices of bread</t>
  </si>
  <si>
    <t>Peanut butter and jelly [1114]</t>
  </si>
  <si>
    <t>Peanut butter and jelly</t>
  </si>
  <si>
    <t>Jam is often used in place of jelly. Also known as a PB&amp;J.</t>
  </si>
  <si>
    <t>Pebete [1115]</t>
  </si>
  <si>
    <t>Pebete</t>
  </si>
  <si>
    <t>A simple Argentine sandwich, traditionally filled with cheese, cured meat, tomato, and mayonnaise. Pebete actually refers to the bread used for the sandwich - a soft oval bun with a spongy inside, and a thin toasted crust.</t>
  </si>
  <si>
    <t>Argentina</t>
  </si>
  <si>
    <t>Pimento cheese [1116]</t>
  </si>
  <si>
    <t>Pimento cheese</t>
  </si>
  <si>
    <t>A common food preparation in the Southern United States, a spread or relish made with cheese, mayonnaise, pimentos, salt and pepper, blended to either a smooth or chunky paste. Regional variations incorporate additional ingredients. Also eaten in the United Kingdom (see "Tea" in this list) and the Philippines.</t>
  </si>
  <si>
    <t>Southern United States</t>
  </si>
  <si>
    <t>Pistolette [1117]</t>
  </si>
  <si>
    <t>Pistolette</t>
  </si>
  <si>
    <t>A stuffed and fried bread roll (sometimes called stuffed pistolettes) in the Cajun areas around Lafayette. This also refers to a type of submarine-shaped bread about half the size of a baguette that is popular in New Orleans for Vietnamese bánh mì and other sandwiches.</t>
  </si>
  <si>
    <t>Pljeskavica [1118]</t>
  </si>
  <si>
    <t>Pljeskavica</t>
  </si>
  <si>
    <t>A patty dish popular in the Balkan region of Southeastern Europe, a sandwich utilizes the Pljeskavica patty and bread.</t>
  </si>
  <si>
    <t>Balkans</t>
  </si>
  <si>
    <t>Ploughman's lunch [1119]</t>
  </si>
  <si>
    <t>Ploughman's lunch</t>
  </si>
  <si>
    <t>A cold meal originating in the United Kingdom, commonly served in pubs. Its core components are (cheddar) cheese, ploughman's pickle, and bread. It is traditionally eaten with beer.</t>
  </si>
  <si>
    <t>Po' boy [1120]</t>
  </si>
  <si>
    <t>Po' boy</t>
  </si>
  <si>
    <t>A crusty bread loaf typically filled with fried seafood or roast beef.</t>
  </si>
  <si>
    <t>Polish boy [1121]</t>
  </si>
  <si>
    <t>Polish boy</t>
  </si>
  <si>
    <t>Kielbasa sausage in a bun, covered with french fries, barbecue sauce (or hot sauce), and coleslaw</t>
  </si>
  <si>
    <t>United States (Cleveland, Ohio)</t>
  </si>
  <si>
    <t>Porilainen [1122]</t>
  </si>
  <si>
    <t>Porilainen</t>
  </si>
  <si>
    <t>A half-inch slice of thick sausage, usually with diced red or sweet onion, sliced pickles, ketchup, mustard, and sometimes mayonnaise, on white bread</t>
  </si>
  <si>
    <t>Finland</t>
  </si>
  <si>
    <t>Pork chop bun [1123]</t>
  </si>
  <si>
    <t>Pork chop bun</t>
  </si>
  <si>
    <t>A popular dish in Macau, the bun is extremely crisp outside and very soft inside, containing a freshly fried pork chop.</t>
  </si>
  <si>
    <t>Macau</t>
  </si>
  <si>
    <t>Pork tenderloin [1124]</t>
  </si>
  <si>
    <t>Pork tenderloin</t>
  </si>
  <si>
    <t>A thin, tenderized, deep-fried pork loin, served on a bun.</t>
  </si>
  <si>
    <t>Prawn roll [1125]</t>
  </si>
  <si>
    <t>Prawn roll</t>
  </si>
  <si>
    <t>Primanti [1126]</t>
  </si>
  <si>
    <t>Primanti</t>
  </si>
  <si>
    <t>Selection of grilled meats topped with french fries, coleslaw, and tomato on Italian bread</t>
  </si>
  <si>
    <t>Pittsburgh, Pennsylvania, United States</t>
  </si>
  <si>
    <t>Prosperity Sandwich [1127]</t>
  </si>
  <si>
    <t>Prosperity Sandwich</t>
  </si>
  <si>
    <t>Ham and turkey topped with broiled cheese. Sometimes includes bacon and tomato.</t>
  </si>
  <si>
    <t>United States (St. Louis)</t>
  </si>
  <si>
    <t>Pudgy Pie [1128]</t>
  </si>
  <si>
    <t>Pudgy Pie</t>
  </si>
  <si>
    <t>This sandwich can be made in a pan. Margarine on the outside, pizza sauce and fillings on the inside. The term "pudgy pie" is sometimes used to refer to pie irons, a gadget used for campfire cooking.</t>
  </si>
  <si>
    <t>Pulled pork sandwich [1129]</t>
  </si>
  <si>
    <t>Pulled pork sandwich</t>
  </si>
  <si>
    <t>Form of barbecue in which pork is cooked using a slow cook method until the meat becomes tender enough that it can be "pulled", or easily broken into individual pieces. The pork is often topped with barbecue sauce and vinegar- or mayonnaise-based coleslaw depending on the region</t>
  </si>
  <si>
    <t>Reuben [1130]</t>
  </si>
  <si>
    <t>Reuben</t>
  </si>
  <si>
    <t>Corned beef, sauerkraut, Swiss cheese, topped with Russian or Thousand Island dressing, on rye bread, then grilled</t>
  </si>
  <si>
    <t>Roti john [1131]</t>
  </si>
  <si>
    <t>Roti john</t>
  </si>
  <si>
    <t>Basic ingredients are eggs, chopped onions, sambal paste, salt, and pepper, cooked as an omelette with the bread added on top before it's fully cooked. Many variations include canned sardines, chicken, beef, or mutton. Garnished with mayo, chili sauce, and cheese.</t>
  </si>
  <si>
    <t>Malaysia</t>
  </si>
  <si>
    <t>Rou jia mo [1132]</t>
  </si>
  <si>
    <t>Rou jia mo</t>
  </si>
  <si>
    <t>Stewed pork, chopped finely, and stuffed in mo, a kind of flatbread</t>
  </si>
  <si>
    <t>Runza [1133]</t>
  </si>
  <si>
    <t>Runza</t>
  </si>
  <si>
    <t>A bun filled with a mixture of (usually) loose meat, cabbage, and cheese. The fillings are baked inside the bread, similar to a kolache. Popular in the Midwestern United States, especially Nebraska.</t>
  </si>
  <si>
    <t>Sailor sandwich [1134]</t>
  </si>
  <si>
    <t>Sailor sandwich</t>
  </si>
  <si>
    <t>Hot pastrami, grilled knockwurst, melted Swiss and hot mustard on rye bread</t>
  </si>
  <si>
    <t>United States (Richmond, Virginia)</t>
  </si>
  <si>
    <t>Sandwich loaf [1135]</t>
  </si>
  <si>
    <t>Sandwich loaf</t>
  </si>
  <si>
    <t>Alternating layers of bread and filling frosted to resemble a layer cake</t>
  </si>
  <si>
    <t>De miga [1136]</t>
  </si>
  <si>
    <t>De miga</t>
  </si>
  <si>
    <t>Made with single-, double-, or triple-layered, buttered, thin white bread with crust removed, toasted or untoasted, containing thinly sliced meat, as well as eggs, cheese, tomatoes, green peppers, lettuce, olives, and sometimes other vegetables.</t>
  </si>
  <si>
    <t>Salt beef bagel [1137]</t>
  </si>
  <si>
    <t>Salt beef bagel</t>
  </si>
  <si>
    <t>Especially noted from Beigel Bake in Brick Lane, east London.</t>
  </si>
  <si>
    <t>Sausage [1138]</t>
  </si>
  <si>
    <t>Sausage</t>
  </si>
  <si>
    <t>A sausage on a roll or bread, served with a variety of sauces and toppings.</t>
  </si>
  <si>
    <t>United Kingdom and Germany</t>
  </si>
  <si>
    <t>Shawarma [1139]</t>
  </si>
  <si>
    <t>Shawarma</t>
  </si>
  <si>
    <t>Flatbread with fillings of beef, spinach, tomatoes, cucumber, and tahini sauce, wrapped and grilled.</t>
  </si>
  <si>
    <t>The Levant</t>
  </si>
  <si>
    <t>Shuco [1140]</t>
  </si>
  <si>
    <t>Shuco</t>
  </si>
  <si>
    <t>A dry hot dog bun containing guacamole, sliced cabbage, ketchup, mustard and mayonnaise. It's usually served with a sausage, but it can also be ordered with churrasco or adobado beef. Chopped onions and a variety of hot sauces are also available for the sandwich.</t>
  </si>
  <si>
    <t>Guatemala</t>
  </si>
  <si>
    <t>Slider [1141]</t>
  </si>
  <si>
    <t>Slider</t>
  </si>
  <si>
    <t>Basically a miniature hamburger about three inches in diameter, but may also contain other ingredients</t>
  </si>
  <si>
    <t>Sloppy joe [1142]</t>
  </si>
  <si>
    <t>Sloppy joe</t>
  </si>
  <si>
    <t>Ground meat, usually beef, cooked with seasoned tomato sauce and served on a round bun.</t>
  </si>
  <si>
    <t>Sloppy joe (New Jersey) [1143]</t>
  </si>
  <si>
    <t>Sloppy joe (New Jersey)</t>
  </si>
  <si>
    <t>A triple decker rye bread sandwich made with one or more types of sliced deli meat, such as turkey, ham, pastrami, corned beef, roast beef, or sliced beef tongue, along with Swiss cheese, coleslaw, and Russian dressing</t>
  </si>
  <si>
    <t>Smörgåstårta [1144]</t>
  </si>
  <si>
    <t>Smörgåstårta</t>
  </si>
  <si>
    <t>Multiple layers of white or light rye bread containing creamy fillings, such as egg and mayonnaise, liver paté, olives, shrimp, ham, various cold cuts, caviar, tomato, cucumber, cheese, and smoked salmon</t>
  </si>
  <si>
    <t>Sweden</t>
  </si>
  <si>
    <t>Smørrebrød [1145]</t>
  </si>
  <si>
    <t>Smørrebrød</t>
  </si>
  <si>
    <t>Open-faced, buttered dark rye bread with cold cuts, pieces of meat or fish, cheese, or spreads</t>
  </si>
  <si>
    <t>Sol over Gudhjem [1146]</t>
  </si>
  <si>
    <t>Sol over Gudhjem</t>
  </si>
  <si>
    <t>An open-faced sandwich on rugbrød, with smoked herring, chives, and a raw egg yolk</t>
  </si>
  <si>
    <t>Souvlaki [1147]</t>
  </si>
  <si>
    <t>Souvlaki</t>
  </si>
  <si>
    <t>A sizzling skewer of lamb, beef, pork, or chicken roasted, shaved off the spit, and marinade ranging from hot barbecue to sweet, all laid out on a rolled pita bread, sprinkled with your choice of lettuce, tomato, cheese, red onion, and oregano, and doused with tzatziki sauce.</t>
  </si>
  <si>
    <t>Spiedie [1148]</t>
  </si>
  <si>
    <t>Spiedie</t>
  </si>
  <si>
    <t>Marinated cubes of chicken, pork, lamb, veal, venison, or beef, grilled on a spit, and served in a bun</t>
  </si>
  <si>
    <t>St. Paul [1149]</t>
  </si>
  <si>
    <t>St. Paul</t>
  </si>
  <si>
    <t>An egg foo young patty (containing bean sprouts and minced white onions), dill pickle slices, white onion, mayonnaise, lettuce, and tomato on white bread</t>
  </si>
  <si>
    <t>Steak bomb [1150]</t>
  </si>
  <si>
    <t>Steak bomb</t>
  </si>
  <si>
    <t>A grilled, over-stuffed submarine roll, containing shaved steak, and topped with salami, melted provolone, sautéed onions, and bell peppers.</t>
  </si>
  <si>
    <t>Steak burger [1151]</t>
  </si>
  <si>
    <t>Steak burger</t>
  </si>
  <si>
    <t>Typically prepared with ground, sliced or minced beefsteak meat. Additional meats are also used.</t>
  </si>
  <si>
    <t>Steak [1152]</t>
  </si>
  <si>
    <t>Steak</t>
  </si>
  <si>
    <t>Prepared with cooked steak, served on bread or a roll. Steak sandwiches may include toppings such as cheese, onions, mushrooms, bell peppers, hot peppers, tomatoes, and in some instances fried eggs, cole slaw, or french fries.</t>
  </si>
  <si>
    <t>Submarine/Sub/Baguette [1153]</t>
  </si>
  <si>
    <t>Submarine/Sub/Baguette</t>
  </si>
  <si>
    <t>A generic sandwich served on a long French or Italian roll which may contain a wide variety of sliced meats, vegetables, and condiments, including lettuce, tomato, sweet peppers, onions, olives, and mushrooms. Also known regionally as a hero, a hoagie, a grinder, or a zep, among other names. In the United Kingdom it is named a baguette, after the French bread used to make it.</t>
  </si>
  <si>
    <t>Tavern [1154]</t>
  </si>
  <si>
    <t>Tavern</t>
  </si>
  <si>
    <t>Common in Iowa, consists of a mixture of unseasoned ground beef and sauteed onions, sometimes topped with pickles, ketchup, and mustard, on a bun</t>
  </si>
  <si>
    <t>Tea [1155]</t>
  </si>
  <si>
    <t>Tea</t>
  </si>
  <si>
    <t>Thinly sliced white bread with crusts removed, lightly buttered, containing a light spread of cream cheese or mayonnaise mixture, and often radishes, cucumber, asparagus, or watercress. Other fillings may be pimento cheese, ham with mustard, smoked salmon, fruit jam, curried chicken, and egg salad.</t>
  </si>
  <si>
    <t>TLT (Tempeh, Lettuce, and Tomato) [1156]</t>
  </si>
  <si>
    <t>TLT (Tempeh, Lettuce, and Tomato)</t>
  </si>
  <si>
    <t>Vegan version of the BLT: smoky baked tempeh, lettuce, tomato, and avocado, served on toasted sourdough bread</t>
  </si>
  <si>
    <t>Toast [1157]</t>
  </si>
  <si>
    <t>Toast</t>
  </si>
  <si>
    <t>A thin slice of toast between two thin slices of bread with a layer of butter, and salt and pepper to taste.</t>
  </si>
  <si>
    <t>UK</t>
  </si>
  <si>
    <t>Toast Hawaii [1158]</t>
  </si>
  <si>
    <t>Toast Hawaii</t>
  </si>
  <si>
    <t>A slice of toast with ham, a maraschino cherry in the middle of a pineapple slice, and cheese, grilled from above, so the cheese starts to melt.</t>
  </si>
  <si>
    <t>Toastie [1159]</t>
  </si>
  <si>
    <t>Toastie</t>
  </si>
  <si>
    <t>Two slices of bread with various fillings, toasted in a sandwich toaster.</t>
  </si>
  <si>
    <t>Tofu Sandwich [1160]</t>
  </si>
  <si>
    <t>Tofu Sandwich</t>
  </si>
  <si>
    <t>Tofu, typically broiled or baked, with vegetables.</t>
  </si>
  <si>
    <t>Tongue toast [1161]</t>
  </si>
  <si>
    <t>Tongue toast</t>
  </si>
  <si>
    <t>Sautéed beef tongue and scrambled eggs, served open-faced</t>
  </si>
  <si>
    <t>Torta [1162]</t>
  </si>
  <si>
    <t>Torta</t>
  </si>
  <si>
    <t>A mexican roll (either telera or bolillo) spread with mayo and/or refried beans and stuffed with various sliced meats, cheeses, vegetables (usually tomatoes, onions and avocado) and your choice of pickled jalapeños or chipotle peppers. It can either be made ahead and tightly wrapped for a packed lunch or (if made to order) grilled on both sides with some butter.</t>
  </si>
  <si>
    <t>México</t>
  </si>
  <si>
    <t>Torta ahogada [1163]</t>
  </si>
  <si>
    <t>Torta ahogada</t>
  </si>
  <si>
    <t>Birote bread (similar to bolillo) filled with "carnitas" (deep-fried pork), shredded chicken or other meats, beans and cheese. The torta is then dipped in a very hot tomato and dried chile de árbol sauce and topped with pickled sliced onions.</t>
  </si>
  <si>
    <t>México (Guadalajara)</t>
  </si>
  <si>
    <t>Tramezzino [1164]</t>
  </si>
  <si>
    <t>Tramezzino</t>
  </si>
  <si>
    <t>Triangular white bread with the crusts removed, with fillings such as tuna and olive and prosciutto, served in Italian bars throughout the day</t>
  </si>
  <si>
    <t>Tripleta [1165]</t>
  </si>
  <si>
    <t>Tripleta</t>
  </si>
  <si>
    <t>Although there are numerous variations, the main distinction is a combination of three meats, typically grilled, such as beef (usually churrasco steak or cube steak), roast pork (pernil), chicken, and ham. Condiments may include some combination of mustard, ketchup, and mayonnaise, often combined to create a special sauce. Popular toppings include thin crispy fried potato sticks or shoestring potatoes, thinly sliced cabbage, lettuce, onion, tomato, pickles, and Swiss cheese. The sandwich is often toasted in a sandwich press.</t>
  </si>
  <si>
    <t>Puerto Rico</t>
  </si>
  <si>
    <t>Tuna [1166]</t>
  </si>
  <si>
    <t>Tuna</t>
  </si>
  <si>
    <t>Usually made with tuna salad, which may include mayonnaise, sweetcorn, cucumber, or celery. Other common variations include the tuna boat and tuna melt.</t>
  </si>
  <si>
    <t>Vada pav [1167]</t>
  </si>
  <si>
    <t>Vada pav</t>
  </si>
  <si>
    <t>A potato fritter coated in chickpea flour (batata vada) in a bun</t>
  </si>
  <si>
    <t>India</t>
  </si>
  <si>
    <t>Vegemite [1168]</t>
  </si>
  <si>
    <t>Vegemite</t>
  </si>
  <si>
    <t>Vegemite is a dark brown Australian food paste made from used brewers' yeast extract, a by-product of beer manufacturing, various vegetables, wheat, and spice additives. It is a spread for sandwiches, toast, crumpets, and cracker biscuits, as well as a filling for pastries.</t>
  </si>
  <si>
    <t>Vegetable [1169]</t>
  </si>
  <si>
    <t>Vegetable</t>
  </si>
  <si>
    <t>Many types of vegetables are used to prepare vegetable sandwiches.</t>
  </si>
  <si>
    <t>Welsh rarebit [1170]</t>
  </si>
  <si>
    <t>Welsh rarebit</t>
  </si>
  <si>
    <t>A hot melted cheese sauce, poured over slices (or other pieces) of toasted bread. The hot cheese sauce may also be served in a bowl accompanied by the toast.</t>
  </si>
  <si>
    <t>Wrap [1171]</t>
  </si>
  <si>
    <t>Wrap</t>
  </si>
  <si>
    <t>Flat bread (often a tortilla) tightly wrapped around the sandwich filling with the ends tucked in to form a neat bundle. Fillings can vary widely.</t>
  </si>
  <si>
    <t>Wurstbrot (sausage bread) [1172]</t>
  </si>
  <si>
    <t>Wurstbrot (sausage bread)</t>
  </si>
  <si>
    <t>A simple and common German sandwich prepared with thin slices of lunch meat or sausage, sometimes buttered.</t>
  </si>
  <si>
    <t>Yakisoba-pan [1173]</t>
  </si>
  <si>
    <t>Yakisoba-pan</t>
  </si>
  <si>
    <t>A hot dog bun stuffed with fried noodles, frequently topped with pickles, such as beni shoga, with mayonnaise</t>
  </si>
  <si>
    <t>Zapiekanka [1174]</t>
  </si>
  <si>
    <t>Zapiekanka</t>
  </si>
  <si>
    <t>A halved baguette or other bread usually topped with mushrooms and cheese, ham or other meats, and vegetables</t>
  </si>
  <si>
    <t>Poland</t>
  </si>
  <si>
    <t>order_date</t>
  </si>
  <si>
    <t>customer_ref</t>
  </si>
  <si>
    <t>total_amount</t>
  </si>
  <si>
    <t>unk</t>
  </si>
  <si>
    <t>order_ref</t>
  </si>
  <si>
    <t>sandwich_ref</t>
  </si>
  <si>
    <t>unit_price</t>
  </si>
  <si>
    <t>quantity</t>
  </si>
  <si>
    <t>Suma de total_amount</t>
  </si>
  <si>
    <t>01-2015</t>
  </si>
  <si>
    <t>02-2015</t>
  </si>
  <si>
    <t>03-2015</t>
  </si>
  <si>
    <t>04-2015</t>
  </si>
  <si>
    <t>05-2015</t>
  </si>
  <si>
    <t>06-2015</t>
  </si>
  <si>
    <t>Column Labels</t>
  </si>
  <si>
    <t>Row Labels</t>
  </si>
  <si>
    <t>Grand Total</t>
  </si>
  <si>
    <t>YM</t>
  </si>
  <si>
    <t>product_sale</t>
  </si>
  <si>
    <t>2015-03-24 Dale Fry [4]</t>
  </si>
  <si>
    <t>2015-04-21 Rhoda Vance [6]</t>
  </si>
  <si>
    <t>2015-03-08 Colby Clay [8]</t>
  </si>
  <si>
    <t>2015-04-30 Zorita Rutledge [11]</t>
  </si>
  <si>
    <t>2015-03-06 Doris Valdez [16]</t>
  </si>
  <si>
    <t>2015-01-14 John Drake [18]</t>
  </si>
  <si>
    <t>2015-02-22 Ora Mann [19]</t>
  </si>
  <si>
    <t>2015-03-08 Zorita Rutledge [34]</t>
  </si>
  <si>
    <t>2015-03-04 Mannix Owen [37]</t>
  </si>
  <si>
    <t>2015-03-29 Ora Mann [45]</t>
  </si>
  <si>
    <t>2015-01-10 Jonah Griffin [49]</t>
  </si>
  <si>
    <t>2015-01-12 Marah West [50]</t>
  </si>
  <si>
    <t>2015-05-26 April Buckley [54]</t>
  </si>
  <si>
    <t>2015-04-16 Cheryl Edwards [67]</t>
  </si>
  <si>
    <t>2015-03-12 Cherokee Tanner [68]</t>
  </si>
  <si>
    <t>2015-04-19 Donna Molina [70]</t>
  </si>
  <si>
    <t>2015-04-08 Jonah Griffin [74]</t>
  </si>
  <si>
    <t>2015-04-11 Lucius Gallagher [79]</t>
  </si>
  <si>
    <t>2015-03-27 Anne Slater [82]</t>
  </si>
  <si>
    <t>2015-03-08 April Buckley [86]</t>
  </si>
  <si>
    <t>2015-01-18 John Drake [90]</t>
  </si>
  <si>
    <t>2015-02-28 Madeson Silva [97]</t>
  </si>
  <si>
    <t>2015-01-15 Armando Le [99]</t>
  </si>
  <si>
    <t>2015-02-18 Rhoda Jacobson [102]</t>
  </si>
  <si>
    <t>2015-01-24 Jescie Peck [110]</t>
  </si>
  <si>
    <t>2015-01-22 Nayda Shields [118]</t>
  </si>
  <si>
    <t>2015-05-20 Madeson Silva [120]</t>
  </si>
  <si>
    <t>2015-01-09 Marny Boyer [139]</t>
  </si>
  <si>
    <t>2015-01-29 Yuri Oneal [149]</t>
  </si>
  <si>
    <t>2015-02-12 Irene Carver [151]</t>
  </si>
  <si>
    <t>2015-03-08 Armando Le [164]</t>
  </si>
  <si>
    <t>2015-03-21 Alexa Herring [167]</t>
  </si>
  <si>
    <t>2015-03-31 Morgan Hoffman [170]</t>
  </si>
  <si>
    <t>2015-03-28 Dale Fry [177]</t>
  </si>
  <si>
    <t>2015-03-25 Cameron Burton [180]</t>
  </si>
  <si>
    <t>2015-05-12 Cadman Huffman [189]</t>
  </si>
  <si>
    <t>2015-03-05 Armando Le [202]</t>
  </si>
  <si>
    <t>2015-05-24 Cadman Huffman [204]</t>
  </si>
  <si>
    <t>2015-04-24 Marny Boyer [213]</t>
  </si>
  <si>
    <t>2015-02-26 Tate Lowery [219]</t>
  </si>
  <si>
    <t>2015-04-01 Mary Moore [220]</t>
  </si>
  <si>
    <t>2015-01-09 Zeus Trujillo [226]</t>
  </si>
  <si>
    <t>2015-01-30 Akeem Kennedy [234]</t>
  </si>
  <si>
    <t>2015-01-25 Stacey Kirk [235]</t>
  </si>
  <si>
    <t>2015-04-04 Colby Clay [241]</t>
  </si>
  <si>
    <t>2015-02-07 Marny Boyer [245]</t>
  </si>
  <si>
    <t>2015-05-25 Stacey Kirk [250]</t>
  </si>
  <si>
    <t>2015-03-12 Mannix Owen [253]</t>
  </si>
  <si>
    <t>2015-03-03 Mannix Owen [257]</t>
  </si>
  <si>
    <t>2015-03-24 April Buckley [260]</t>
  </si>
  <si>
    <t>2015-05-14 Abigail Shepard [262]</t>
  </si>
  <si>
    <t>2015-05-18 Cadman Huffman [263]</t>
  </si>
  <si>
    <t>2015-05-24 Anne Slater [266]</t>
  </si>
  <si>
    <t>2015-02-24 Marny Boyer [272]</t>
  </si>
  <si>
    <t>2015-03-18 Clio Carter [277]</t>
  </si>
  <si>
    <t>2015-05-30 Hayley Foster [279]</t>
  </si>
  <si>
    <t>2015-02-18 Quinn Ewing [280]</t>
  </si>
  <si>
    <t>2015-04-09 Cameron Burton [281]</t>
  </si>
  <si>
    <t>2015-01-28 Cameron Burton [293]</t>
  </si>
  <si>
    <t>2015-05-18 Mary Moore [297]</t>
  </si>
  <si>
    <t>2015-04-08 Madeson Silva [308]</t>
  </si>
  <si>
    <t>2015-01-21 Tanek Santos [326]</t>
  </si>
  <si>
    <t>2015-03-03 Zorita Rutledge [329]</t>
  </si>
  <si>
    <t>2015-05-15 Mannix Owen [333]</t>
  </si>
  <si>
    <t>2015-05-28 Clio Carter [337]</t>
  </si>
  <si>
    <t>2015-02-12 Clio Carter [339]</t>
  </si>
  <si>
    <t>2015-03-16 Lionel Vargas [346]</t>
  </si>
  <si>
    <t>2015-01-25 Theodore Mills [348]</t>
  </si>
  <si>
    <t>2015-02-17 April Buckley [351]</t>
  </si>
  <si>
    <t>2015-02-02 Rhonda Curtis [355]</t>
  </si>
  <si>
    <t>2015-04-03 Tate Lowery [356]</t>
  </si>
  <si>
    <t>2015-04-07 Hermione Maldonado [357]</t>
  </si>
  <si>
    <t>2015-05-04 Lois Valdez [362]</t>
  </si>
  <si>
    <t>2015-02-13 Mohammad Carrillo [370]</t>
  </si>
  <si>
    <t>2015-02-09 Rhonda Curtis [372]</t>
  </si>
  <si>
    <t>2015-03-12 Yoshi Bennett [373]</t>
  </si>
  <si>
    <t>2015-05-01 Shelly Bridges [376]</t>
  </si>
  <si>
    <t>2015-05-11 Oprah Horton [377]</t>
  </si>
  <si>
    <t>2015-05-22 Lucius Gallagher [379]</t>
  </si>
  <si>
    <t>2015-01-07 Theodore Mills [380]</t>
  </si>
  <si>
    <t>2015-01-23 Akeem Kennedy [382]</t>
  </si>
  <si>
    <t>2015-03-30 Theodore Mills [383]</t>
  </si>
  <si>
    <t>2015-02-14 Madeson Silva [386]</t>
  </si>
  <si>
    <t>2015-05-23 John Drake [388]</t>
  </si>
  <si>
    <t>2015-02-19 Mannix Owen [389]</t>
  </si>
  <si>
    <t>2015-05-22 Quinn Ewing [394]</t>
  </si>
  <si>
    <t>2015-03-06 Marny Boyer [396]</t>
  </si>
  <si>
    <t>2015-04-20 Buffy Jennings [399]</t>
  </si>
  <si>
    <t>2015-02-17 Rhonda Curtis [408]</t>
  </si>
  <si>
    <t>2015-05-16 Donna Molina [409]</t>
  </si>
  <si>
    <t>2015-05-12 Mohammad Carrillo [412]</t>
  </si>
  <si>
    <t>2015-01-25 Madeson Silva [413]</t>
  </si>
  <si>
    <t>2015-04-18 Rhonda Curtis [415]</t>
  </si>
  <si>
    <t>2015-05-05 Adrian Dodson [426]</t>
  </si>
  <si>
    <t>2015-03-11 Tate Lowery [429]</t>
  </si>
  <si>
    <t>2015-01-21 Rhonda Curtis [439]</t>
  </si>
  <si>
    <t>2015-03-09 Quinn Ewing [440]</t>
  </si>
  <si>
    <t>2015-03-24 Serina Booker [442]</t>
  </si>
  <si>
    <t>2015-03-28 Shelly Bridges [445]</t>
  </si>
  <si>
    <t>2015-02-21 Armando Le [447]</t>
  </si>
  <si>
    <t>2015-02-24 Marny Boyer [456]</t>
  </si>
  <si>
    <t>2015-05-08 Lesley Keith [460]</t>
  </si>
  <si>
    <t>2015-01-25 Buffy Jennings [474]</t>
  </si>
  <si>
    <t>2015-03-20 Indira Suarez [481]</t>
  </si>
  <si>
    <t>2015-02-14 Donovan Gomez [483]</t>
  </si>
  <si>
    <t>2015-06-01 Belle Short [486]</t>
  </si>
  <si>
    <t>2015-01-24 Tate Lowery [511]</t>
  </si>
  <si>
    <t>2015-02-24 April Buckley [514]</t>
  </si>
  <si>
    <t>2015-04-24 Mannix Owen [521]</t>
  </si>
  <si>
    <t>2015-03-05 Hayley Foster [525]</t>
  </si>
  <si>
    <t>2015-04-10 Akeem Kennedy [530]</t>
  </si>
  <si>
    <t>2015-05-18 Cadman Huffman [535]</t>
  </si>
  <si>
    <t>2015-03-22 Lois Valdez [538]</t>
  </si>
  <si>
    <t>2015-01-07 Lucius Gallagher [547]</t>
  </si>
  <si>
    <t>2015-05-25 Akeem Kennedy [549]</t>
  </si>
  <si>
    <t>2015-05-17 Bruce Woods [559]</t>
  </si>
  <si>
    <t>2015-04-17 Indira Suarez [563]</t>
  </si>
  <si>
    <t>2015-03-04 Gabriel Carlson [566]</t>
  </si>
  <si>
    <t>2015-04-21 Quinn Ewing [567]</t>
  </si>
  <si>
    <t>2015-05-16 Armando Le [579]</t>
  </si>
  <si>
    <t>2015-02-03 Lucius Gallagher [582]</t>
  </si>
  <si>
    <t>2015-03-20 Marny Boyer [587]</t>
  </si>
  <si>
    <t>2015-01-25 Buffy Jennings [591]</t>
  </si>
  <si>
    <t>2015-04-22 Tanek Santos [596]</t>
  </si>
  <si>
    <t>2015-05-25 Lionel Vargas [598]</t>
  </si>
  <si>
    <t>2015-03-28 Christine Medina [604]</t>
  </si>
  <si>
    <t>2015-03-16 Mohammad Carrillo [609]</t>
  </si>
  <si>
    <t>2015-05-27 Yoshi Bennett [610]</t>
  </si>
  <si>
    <t>2015-01-22 Oprah Horton [615]</t>
  </si>
  <si>
    <t>2015-03-18 Christine Medina [618]</t>
  </si>
  <si>
    <t>2015-05-09 Christine Medina [625]</t>
  </si>
  <si>
    <t>2015-02-27 Hermione Maldonado [631]</t>
  </si>
  <si>
    <t>2015-05-13 Hayley Foster [634]</t>
  </si>
  <si>
    <t>2015-01-22 Claudia Crane [636]</t>
  </si>
  <si>
    <t>2015-03-16 Anne Slater [641]</t>
  </si>
  <si>
    <t>2015-04-06 Cameron Burton [648]</t>
  </si>
  <si>
    <t>2015-03-23 Theodore Mills [649]</t>
  </si>
  <si>
    <t>2015-02-07 Serina Booker [652]</t>
  </si>
  <si>
    <t>2015-04-02 Rhonda Curtis [653]</t>
  </si>
  <si>
    <t>2015-02-07 Tate Lowery [654]</t>
  </si>
  <si>
    <t>2015-02-09 Indira Suarez [660]</t>
  </si>
  <si>
    <t>2015-02-25 Zorita Rutledge [662]</t>
  </si>
  <si>
    <t>2015-05-24 Cadman Huffman [665]</t>
  </si>
  <si>
    <t>2015-03-04 Bruce Woods [666]</t>
  </si>
  <si>
    <t>2015-01-17 Donna Molina [674]</t>
  </si>
  <si>
    <t>2015-03-25 Mary Moore [680]</t>
  </si>
  <si>
    <t>2015-01-15 Shelly Bridges [686]</t>
  </si>
  <si>
    <t>2015-05-01 Mary Moore [687]</t>
  </si>
  <si>
    <t>2015-04-13 Zeus Trujillo [691]</t>
  </si>
  <si>
    <t>2015-03-17 Belle Short [693]</t>
  </si>
  <si>
    <t>2015-03-02 Cadman Huffman [698]</t>
  </si>
  <si>
    <t>2015-01-17 Lillian Larsen [706]</t>
  </si>
  <si>
    <t>2015-04-21 Indira Suarez [709]</t>
  </si>
  <si>
    <t>2015-01-29 Melvin Finch [710]</t>
  </si>
  <si>
    <t>2015-02-01 Kendall Rocha [716]</t>
  </si>
  <si>
    <t>2015-03-25 Kendall Rocha [718]</t>
  </si>
  <si>
    <t>2015-02-28 Rhoda Vance [719]</t>
  </si>
  <si>
    <t>2015-04-16 Hayley Foster [720]</t>
  </si>
  <si>
    <t>2015-05-09 Stuart Vega [724]</t>
  </si>
  <si>
    <t>2015-05-06 Stuart Vega [725]</t>
  </si>
  <si>
    <t>2015-02-27 Kendall Rocha [731]</t>
  </si>
  <si>
    <t>2015-04-20 Stuart Vega [736]</t>
  </si>
  <si>
    <t>2015-05-20 Melvin Finch [739]</t>
  </si>
  <si>
    <t>2015-02-05 Kendall Rocha [744]</t>
  </si>
  <si>
    <t>2015-03-04 Indira Suarez [753]</t>
  </si>
  <si>
    <t>2015-01-07 Cameron Rivera [756]</t>
  </si>
  <si>
    <t>2015-04-09 Rhoda Vance [760]</t>
  </si>
  <si>
    <t>2015-03-15 Cameron Burton [764]</t>
  </si>
  <si>
    <t>2015-05-26 Cameron Rivera [766]</t>
  </si>
  <si>
    <t>2015-01-13 Melvin Finch [773]</t>
  </si>
  <si>
    <t>2015-03-14 Cameron Burton [779]</t>
  </si>
  <si>
    <t>2015-02-16 Eugenia Roman [780]</t>
  </si>
  <si>
    <t>2015-01-17 Eugenia Roman [783]</t>
  </si>
  <si>
    <t>2015-01-07 Indira Suarez [787]</t>
  </si>
  <si>
    <t>2015-05-10 Eugenia Roman [788]</t>
  </si>
  <si>
    <t>2015-04-15 Cameron Rivera [790]</t>
  </si>
  <si>
    <t>2015-03-03 Cameron Rivera [795]</t>
  </si>
  <si>
    <t>2015-01-16 Cameron Rivera [806]</t>
  </si>
  <si>
    <t>2015-02-21 Eugenia Roman [816]</t>
  </si>
  <si>
    <t>2015-02-24 Indira Suarez [823]</t>
  </si>
  <si>
    <t>2015-05-14 Lillian Larsen [832]</t>
  </si>
  <si>
    <t>2015-04-14 Kendall Rocha [835]</t>
  </si>
  <si>
    <t>2015-03-31 Cameron Burton [836]</t>
  </si>
  <si>
    <t>2015-04-10 Hayley Foster [839]</t>
  </si>
  <si>
    <t>2015-05-10 Cameron Rivera [843]</t>
  </si>
  <si>
    <t>2015-03-14 Lillian Larsen [846]</t>
  </si>
  <si>
    <t>2015-01-14 Stuart Vega [855]</t>
  </si>
  <si>
    <t>2015-04-05 Kendall Rocha [856]</t>
  </si>
  <si>
    <t>2015-05-05 Indira Suarez [862]</t>
  </si>
  <si>
    <t>2015-04-25 Stuart Vega [864]</t>
  </si>
  <si>
    <t>2015-01-19 Cameron Burton [866]</t>
  </si>
  <si>
    <t>2015-05-14 Melvin Finch [872]</t>
  </si>
  <si>
    <t>2015-05-21 Cameron Burton [873]</t>
  </si>
  <si>
    <t>2015-03-10 Melvin Finch [878]</t>
  </si>
  <si>
    <t>2015-01-03 Cameron Burton [879]</t>
  </si>
  <si>
    <t>2015-04-21 Melvin Finch [884]</t>
  </si>
  <si>
    <t>2015-03-11 Cameron Burton [886]</t>
  </si>
  <si>
    <t>2015-01-06 Lillian Larsen [888]</t>
  </si>
  <si>
    <t>2015-05-08 Cameron Rivera [904]</t>
  </si>
  <si>
    <t>2015-01-06 Indira Suarez [912]</t>
  </si>
  <si>
    <t>2015-05-27 Melvin Finch [916]</t>
  </si>
  <si>
    <t>2015-05-22 Cameron Burton [919]</t>
  </si>
  <si>
    <t>2015-02-02 Indira Suarez [920]</t>
  </si>
  <si>
    <t>2015-01-01 Hayley Foster [922]</t>
  </si>
  <si>
    <t>2015-05-20 Lillian Larsen [937]</t>
  </si>
  <si>
    <t>2015-02-12 Lillian Larsen [941]</t>
  </si>
  <si>
    <t>2015-01-26 Rhoda Vance [948]</t>
  </si>
  <si>
    <t>2015-02-22 Melvin Finch [953]</t>
  </si>
  <si>
    <t>2015-05-29 Kendall Rocha [967]</t>
  </si>
  <si>
    <t>2015-04-15 Indira Suarez [970]</t>
  </si>
  <si>
    <t>2015-02-26 Cameron Burton [971]</t>
  </si>
  <si>
    <t>2015-02-22 Cameron Burton [976]</t>
  </si>
  <si>
    <t>2015-01-02 Kendall Rocha [992]</t>
  </si>
  <si>
    <t>2015-01-04 Rhoda Vance [996]</t>
  </si>
  <si>
    <t>2015-03-27 Stuart Vega [1000]</t>
  </si>
  <si>
    <t>2015-02-20 Eugenia Roman [1002]</t>
  </si>
  <si>
    <t>2015-04-14 Kendall Rocha [1003]</t>
  </si>
  <si>
    <t>2015-02-24 Cameron Burton [1006]</t>
  </si>
  <si>
    <t>2015-02-19 Kendall Rocha [1015]</t>
  </si>
  <si>
    <t>2015-01-10 Melvin Finch [1017]</t>
  </si>
  <si>
    <t>2015-04-19 Melvin Finch [1034]</t>
  </si>
  <si>
    <t>2015-05-23 Indira Suarez [1035]</t>
  </si>
  <si>
    <t>2015-03-24 Indira Suarez [1037]</t>
  </si>
  <si>
    <t>2015-01-10 Indira Suarez [1044]</t>
  </si>
  <si>
    <t>2015-01-27 Cameron Burton [1046]</t>
  </si>
  <si>
    <t>2015-05-03 Eugenia Roman [1048]</t>
  </si>
  <si>
    <t>2015-01-26 Indira Suarez [1050]</t>
  </si>
  <si>
    <t>2015-02-03 Eugenia Roman [1052]</t>
  </si>
  <si>
    <t>2015-01-07 Cameron Rivera [1053]</t>
  </si>
  <si>
    <t>2015-02-28 Hayley Foster [1060]</t>
  </si>
  <si>
    <t>2015-02-10 Rhoda Vance [1062]</t>
  </si>
  <si>
    <t>2015-05-17 Eugenia Roman [1063]</t>
  </si>
  <si>
    <t>2015-02-25 Hayley Foster [1067]</t>
  </si>
  <si>
    <t>2015-01-23 Hayley Foster [1069]</t>
  </si>
  <si>
    <t>2015-01-02 Eugenia Roman [1072]</t>
  </si>
  <si>
    <t>2015-02-14 Melvin Finch [1075]</t>
  </si>
  <si>
    <t>2015-04-20 Kendall Rocha [1078]</t>
  </si>
  <si>
    <t>2015-02-23 Kendall Rocha [1080]</t>
  </si>
  <si>
    <t>2015-03-27 Melvin Finch [1085]</t>
  </si>
  <si>
    <t>2015-01-21 Cameron Rivera [1087]</t>
  </si>
  <si>
    <t>2015-02-14 Kendall Rocha [1090]</t>
  </si>
  <si>
    <t>2015-04-27 Rhoda Vance [1099]</t>
  </si>
  <si>
    <t>2015-03-30 Eugenia Roman [1100]</t>
  </si>
  <si>
    <t>2015-01-09 Eugenia Roman [1102]</t>
  </si>
  <si>
    <t>2015-05-16 Cameron Burton [1103]</t>
  </si>
  <si>
    <t>2015-03-10 Cameron Burton [1107]</t>
  </si>
  <si>
    <t>2015-02-09 Melvin Finch [1112]</t>
  </si>
  <si>
    <t>2015-04-01 Stuart Vega [1117]</t>
  </si>
  <si>
    <t>2015-05-15 Rhoda Vance [1118]</t>
  </si>
  <si>
    <t>2015-03-25 Rhoda Vance [1134]</t>
  </si>
  <si>
    <t>2015-05-12 Lillian Larsen [1148]</t>
  </si>
  <si>
    <t>2015-02-12 Lillian Larsen [1154]</t>
  </si>
  <si>
    <t>2015-02-05 Lillian Larsen [1157]</t>
  </si>
  <si>
    <t>2015-03-28 Eugenia Roman [1159]</t>
  </si>
  <si>
    <t>2015-01-14 Eugenia Roman [1162]</t>
  </si>
  <si>
    <t>2015-01-30 Melvin Finch [1168]</t>
  </si>
  <si>
    <t>2015-03-09 Eugenia Roman [1170]</t>
  </si>
  <si>
    <t>2015-01-29 Stuart Vega [1173]</t>
  </si>
  <si>
    <t>2015-01-07 Stuart Vega [1177]</t>
  </si>
  <si>
    <t>2015-05-20 Kendall Rocha [1180]</t>
  </si>
  <si>
    <t>2015-04-17 Melvin Finch [1191]</t>
  </si>
  <si>
    <t>[7]</t>
  </si>
  <si>
    <t>[8]</t>
  </si>
  <si>
    <t>[10]</t>
  </si>
  <si>
    <t>[11]</t>
  </si>
  <si>
    <t>[12]</t>
  </si>
  <si>
    <t>[13]</t>
  </si>
  <si>
    <t>[18]</t>
  </si>
  <si>
    <t>[19]</t>
  </si>
  <si>
    <t>[20]</t>
  </si>
  <si>
    <t>[21]</t>
  </si>
  <si>
    <t>[35]</t>
  </si>
  <si>
    <t>[36]</t>
  </si>
  <si>
    <t>[37]</t>
  </si>
  <si>
    <t>[38]</t>
  </si>
  <si>
    <t>[39]</t>
  </si>
  <si>
    <t>[50]</t>
  </si>
  <si>
    <t>[51]</t>
  </si>
  <si>
    <t>[52]</t>
  </si>
  <si>
    <t>[55]</t>
  </si>
  <si>
    <t>[56]</t>
  </si>
  <si>
    <t>[57]</t>
  </si>
  <si>
    <t>[58]</t>
  </si>
  <si>
    <t>[59]</t>
  </si>
  <si>
    <t>[60]</t>
  </si>
  <si>
    <t>[61]</t>
  </si>
  <si>
    <t>[62]</t>
  </si>
  <si>
    <t>[63]</t>
  </si>
  <si>
    <t>[64]</t>
  </si>
  <si>
    <t>[113]</t>
  </si>
  <si>
    <t>[114]</t>
  </si>
  <si>
    <t>[123]</t>
  </si>
  <si>
    <t>[124]</t>
  </si>
  <si>
    <t>[149]</t>
  </si>
  <si>
    <t>[164]</t>
  </si>
  <si>
    <t>[165]</t>
  </si>
  <si>
    <t>[166]</t>
  </si>
  <si>
    <t>[167]</t>
  </si>
  <si>
    <t>[176]</t>
  </si>
  <si>
    <t>[177]</t>
  </si>
  <si>
    <t>[178]</t>
  </si>
  <si>
    <t>[179]</t>
  </si>
  <si>
    <t>[214]</t>
  </si>
  <si>
    <t>[215]</t>
  </si>
  <si>
    <t>[216]</t>
  </si>
  <si>
    <t>[217]</t>
  </si>
  <si>
    <t>[218]</t>
  </si>
  <si>
    <t>[219]</t>
  </si>
  <si>
    <t>[220]</t>
  </si>
  <si>
    <t>[225]</t>
  </si>
  <si>
    <t>[226]</t>
  </si>
  <si>
    <t>[227]</t>
  </si>
  <si>
    <t>[228]</t>
  </si>
  <si>
    <t>[229]</t>
  </si>
  <si>
    <t>[246]</t>
  </si>
  <si>
    <t>[247]</t>
  </si>
  <si>
    <t>[256]</t>
  </si>
  <si>
    <t>[257]</t>
  </si>
  <si>
    <t>[258]</t>
  </si>
  <si>
    <t>[259]</t>
  </si>
  <si>
    <t>[263]</t>
  </si>
  <si>
    <t>[264]</t>
  </si>
  <si>
    <t>[279]</t>
  </si>
  <si>
    <t>[280]</t>
  </si>
  <si>
    <t>[281]</t>
  </si>
  <si>
    <t>[282]</t>
  </si>
  <si>
    <t>[288]</t>
  </si>
  <si>
    <t>[289]</t>
  </si>
  <si>
    <t>[290]</t>
  </si>
  <si>
    <t>[308]</t>
  </si>
  <si>
    <t>[309]</t>
  </si>
  <si>
    <t>[310]</t>
  </si>
  <si>
    <t>[311]</t>
  </si>
  <si>
    <t>[316]</t>
  </si>
  <si>
    <t>[317]</t>
  </si>
  <si>
    <t>[323]</t>
  </si>
  <si>
    <t>[324]</t>
  </si>
  <si>
    <t>[325]</t>
  </si>
  <si>
    <t>[344]</t>
  </si>
  <si>
    <t>[345]</t>
  </si>
  <si>
    <t>[366]</t>
  </si>
  <si>
    <t>[369]</t>
  </si>
  <si>
    <t>[370]</t>
  </si>
  <si>
    <t>[435]</t>
  </si>
  <si>
    <t>[436]</t>
  </si>
  <si>
    <t>[437]</t>
  </si>
  <si>
    <t>[438]</t>
  </si>
  <si>
    <t>[478]</t>
  </si>
  <si>
    <t>[479]</t>
  </si>
  <si>
    <t>[480]</t>
  </si>
  <si>
    <t>[481]</t>
  </si>
  <si>
    <t>[488]</t>
  </si>
  <si>
    <t>[489]</t>
  </si>
  <si>
    <t>[532]</t>
  </si>
  <si>
    <t>[533]</t>
  </si>
  <si>
    <t>[539]</t>
  </si>
  <si>
    <t>[540]</t>
  </si>
  <si>
    <t>[541]</t>
  </si>
  <si>
    <t>[542]</t>
  </si>
  <si>
    <t>[543]</t>
  </si>
  <si>
    <t>[544]</t>
  </si>
  <si>
    <t>[545]</t>
  </si>
  <si>
    <t>[552]</t>
  </si>
  <si>
    <t>[553]</t>
  </si>
  <si>
    <t>[554]</t>
  </si>
  <si>
    <t>[555]</t>
  </si>
  <si>
    <t>[556]</t>
  </si>
  <si>
    <t>[568]</t>
  </si>
  <si>
    <t>[569]</t>
  </si>
  <si>
    <t>[570]</t>
  </si>
  <si>
    <t>[571]</t>
  </si>
  <si>
    <t>[578]</t>
  </si>
  <si>
    <t>[579]</t>
  </si>
  <si>
    <t>[611]</t>
  </si>
  <si>
    <t>[612]</t>
  </si>
  <si>
    <t>[648]</t>
  </si>
  <si>
    <t>[649]</t>
  </si>
  <si>
    <t>[650]</t>
  </si>
  <si>
    <t>[651]</t>
  </si>
  <si>
    <t>[655]</t>
  </si>
  <si>
    <t>[656]</t>
  </si>
  <si>
    <t>[657]</t>
  </si>
  <si>
    <t>[658]</t>
  </si>
  <si>
    <t>[659]</t>
  </si>
  <si>
    <t>[687]</t>
  </si>
  <si>
    <t>[688]</t>
  </si>
  <si>
    <t>[708]</t>
  </si>
  <si>
    <t>[709]</t>
  </si>
  <si>
    <t>[710]</t>
  </si>
  <si>
    <t>[732]</t>
  </si>
  <si>
    <t>[733]</t>
  </si>
  <si>
    <t>[757]</t>
  </si>
  <si>
    <t>[758]</t>
  </si>
  <si>
    <t>[759]</t>
  </si>
  <si>
    <t>[760]</t>
  </si>
  <si>
    <t>[761]</t>
  </si>
  <si>
    <t>[762]</t>
  </si>
  <si>
    <t>[780]</t>
  </si>
  <si>
    <t>[781]</t>
  </si>
  <si>
    <t>[782]</t>
  </si>
  <si>
    <t>[788]</t>
  </si>
  <si>
    <t>[789]</t>
  </si>
  <si>
    <t>[790]</t>
  </si>
  <si>
    <t>[791]</t>
  </si>
  <si>
    <t>[792]</t>
  </si>
  <si>
    <t>[799]</t>
  </si>
  <si>
    <t>[800]</t>
  </si>
  <si>
    <t>[801]</t>
  </si>
  <si>
    <t>[802]</t>
  </si>
  <si>
    <t>[813]</t>
  </si>
  <si>
    <t>[814]</t>
  </si>
  <si>
    <t>[821]</t>
  </si>
  <si>
    <t>[822]</t>
  </si>
  <si>
    <t>[823]</t>
  </si>
  <si>
    <t>[824]</t>
  </si>
  <si>
    <t>[825]</t>
  </si>
  <si>
    <t>[826]</t>
  </si>
  <si>
    <t>[832]</t>
  </si>
  <si>
    <t>[833]</t>
  </si>
  <si>
    <t>[834]</t>
  </si>
  <si>
    <t>[835]</t>
  </si>
  <si>
    <t>[837]</t>
  </si>
  <si>
    <t>[838]</t>
  </si>
  <si>
    <t>[839]</t>
  </si>
  <si>
    <t>[840]</t>
  </si>
  <si>
    <t>[841]</t>
  </si>
  <si>
    <t>[842]</t>
  </si>
  <si>
    <t>[843]</t>
  </si>
  <si>
    <t>[849]</t>
  </si>
  <si>
    <t>[850]</t>
  </si>
  <si>
    <t>[851]</t>
  </si>
  <si>
    <t>[869]</t>
  </si>
  <si>
    <t>[870]</t>
  </si>
  <si>
    <t>[871]</t>
  </si>
  <si>
    <t>[887]</t>
  </si>
  <si>
    <t>[888]</t>
  </si>
  <si>
    <t>[889]</t>
  </si>
  <si>
    <t>[893]</t>
  </si>
  <si>
    <t>[894]</t>
  </si>
  <si>
    <t>[895]</t>
  </si>
  <si>
    <t>[896]</t>
  </si>
  <si>
    <t>[897]</t>
  </si>
  <si>
    <t>[898]</t>
  </si>
  <si>
    <t>[899]</t>
  </si>
  <si>
    <t>[900]</t>
  </si>
  <si>
    <t>[901]</t>
  </si>
  <si>
    <t>[902]</t>
  </si>
  <si>
    <t>[903]</t>
  </si>
  <si>
    <t>[904]</t>
  </si>
  <si>
    <t>[905]</t>
  </si>
  <si>
    <t>[906]</t>
  </si>
  <si>
    <t>[947]</t>
  </si>
  <si>
    <t>[948]</t>
  </si>
  <si>
    <t>[949]</t>
  </si>
  <si>
    <t>[958]</t>
  </si>
  <si>
    <t>[959]</t>
  </si>
  <si>
    <t>[960]</t>
  </si>
  <si>
    <t>[998]</t>
  </si>
  <si>
    <t>[1055]</t>
  </si>
  <si>
    <t>[1061]</t>
  </si>
  <si>
    <t>[1069]</t>
  </si>
  <si>
    <t>[1070]</t>
  </si>
  <si>
    <t>[1071]</t>
  </si>
  <si>
    <t>[1072]</t>
  </si>
  <si>
    <t>[1073]</t>
  </si>
  <si>
    <t>[1074]</t>
  </si>
  <si>
    <t>[1085]</t>
  </si>
  <si>
    <t>[1086]</t>
  </si>
  <si>
    <t>[1087]</t>
  </si>
  <si>
    <t>[1088]</t>
  </si>
  <si>
    <t>[1094]</t>
  </si>
  <si>
    <t>[1095]</t>
  </si>
  <si>
    <t>[1096]</t>
  </si>
  <si>
    <t>[1118]</t>
  </si>
  <si>
    <t>[1119]</t>
  </si>
  <si>
    <t>[1120]</t>
  </si>
  <si>
    <t>[1123]</t>
  </si>
  <si>
    <t>[1124]</t>
  </si>
  <si>
    <t>[1125]</t>
  </si>
  <si>
    <t>[1134]</t>
  </si>
  <si>
    <t>[1135]</t>
  </si>
  <si>
    <t>[1136]</t>
  </si>
  <si>
    <t>[1137]</t>
  </si>
  <si>
    <t>[1138]</t>
  </si>
  <si>
    <t>[1139]</t>
  </si>
  <si>
    <t>[1140]</t>
  </si>
  <si>
    <t>[1152]</t>
  </si>
  <si>
    <t>[1153]</t>
  </si>
  <si>
    <t>[1154]</t>
  </si>
  <si>
    <t>[1155]</t>
  </si>
  <si>
    <t>[1156]</t>
  </si>
  <si>
    <t>[1157]</t>
  </si>
  <si>
    <t>[1158]</t>
  </si>
  <si>
    <t>[1177]</t>
  </si>
  <si>
    <t>[1178]</t>
  </si>
  <si>
    <t>[1179]</t>
  </si>
  <si>
    <t>[1215]</t>
  </si>
  <si>
    <t>[1216]</t>
  </si>
  <si>
    <t>[1217]</t>
  </si>
  <si>
    <t>[1218]</t>
  </si>
  <si>
    <t>[1219]</t>
  </si>
  <si>
    <t>[1223]</t>
  </si>
  <si>
    <t>[1224]</t>
  </si>
  <si>
    <t>[1225]</t>
  </si>
  <si>
    <t>[1226]</t>
  </si>
  <si>
    <t>[1227]</t>
  </si>
  <si>
    <t>[1228]</t>
  </si>
  <si>
    <t>[1229]</t>
  </si>
  <si>
    <t>[1230]</t>
  </si>
  <si>
    <t>[1234]</t>
  </si>
  <si>
    <t>[1235]</t>
  </si>
  <si>
    <t>[1236]</t>
  </si>
  <si>
    <t>[1237]</t>
  </si>
  <si>
    <t>[1238]</t>
  </si>
  <si>
    <t>[1243]</t>
  </si>
  <si>
    <t>[1244]</t>
  </si>
  <si>
    <t>[1245]</t>
  </si>
  <si>
    <t>[1246]</t>
  </si>
  <si>
    <t>[1247]</t>
  </si>
  <si>
    <t>[1248]</t>
  </si>
  <si>
    <t>[1249]</t>
  </si>
  <si>
    <t>[1255]</t>
  </si>
  <si>
    <t>[1256]</t>
  </si>
  <si>
    <t>[1257]</t>
  </si>
  <si>
    <t>[1258]</t>
  </si>
  <si>
    <t>[1265]</t>
  </si>
  <si>
    <t>[1266]</t>
  </si>
  <si>
    <t>[1267]</t>
  </si>
  <si>
    <t>[1268]</t>
  </si>
  <si>
    <t>[1269]</t>
  </si>
  <si>
    <t>[1273]</t>
  </si>
  <si>
    <t>[1274]</t>
  </si>
  <si>
    <t>[1275]</t>
  </si>
  <si>
    <t>[1276]</t>
  </si>
  <si>
    <t>[1277]</t>
  </si>
  <si>
    <t>[1278]</t>
  </si>
  <si>
    <t>[1279]</t>
  </si>
  <si>
    <t>[1280]</t>
  </si>
  <si>
    <t>[1281]</t>
  </si>
  <si>
    <t>[1297]</t>
  </si>
  <si>
    <t>[1298]</t>
  </si>
  <si>
    <t>[1299]</t>
  </si>
  <si>
    <t>[1302]</t>
  </si>
  <si>
    <t>[1303]</t>
  </si>
  <si>
    <t>[1306]</t>
  </si>
  <si>
    <t>[1307]</t>
  </si>
  <si>
    <t>[1344]</t>
  </si>
  <si>
    <t>[1345]</t>
  </si>
  <si>
    <t>[1346]</t>
  </si>
  <si>
    <t>[1347]</t>
  </si>
  <si>
    <t>[1348]</t>
  </si>
  <si>
    <t>[1349]</t>
  </si>
  <si>
    <t>[1350]</t>
  </si>
  <si>
    <t>[1351]</t>
  </si>
  <si>
    <t>[1352]</t>
  </si>
  <si>
    <t>[1357]</t>
  </si>
  <si>
    <t>[1358]</t>
  </si>
  <si>
    <t>[1359]</t>
  </si>
  <si>
    <t>[1360]</t>
  </si>
  <si>
    <t>[1361]</t>
  </si>
  <si>
    <t>[1368]</t>
  </si>
  <si>
    <t>[1369]</t>
  </si>
  <si>
    <t>[1401]</t>
  </si>
  <si>
    <t>[1402]</t>
  </si>
  <si>
    <t>[1403]</t>
  </si>
  <si>
    <t>[1404]</t>
  </si>
  <si>
    <t>[1412]</t>
  </si>
  <si>
    <t>[1413]</t>
  </si>
  <si>
    <t>[1449]</t>
  </si>
  <si>
    <t>[1450]</t>
  </si>
  <si>
    <t>[1451]</t>
  </si>
  <si>
    <t>[1452]</t>
  </si>
  <si>
    <t>[1453]</t>
  </si>
  <si>
    <t>[1454]</t>
  </si>
  <si>
    <t>[1455]</t>
  </si>
  <si>
    <t>[1456]</t>
  </si>
  <si>
    <t>[1457]</t>
  </si>
  <si>
    <t>[1458]</t>
  </si>
  <si>
    <t>[1459]</t>
  </si>
  <si>
    <t>[1462]</t>
  </si>
  <si>
    <t>[1463]</t>
  </si>
  <si>
    <t>[1468]</t>
  </si>
  <si>
    <t>[1469]</t>
  </si>
  <si>
    <t>[1470]</t>
  </si>
  <si>
    <t>[1471]</t>
  </si>
  <si>
    <t>[1472]</t>
  </si>
  <si>
    <t>[1475]</t>
  </si>
  <si>
    <t>[1476]</t>
  </si>
  <si>
    <t>[1477]</t>
  </si>
  <si>
    <t>[1478]</t>
  </si>
  <si>
    <t>[1479]</t>
  </si>
  <si>
    <t>[1480]</t>
  </si>
  <si>
    <t>[1481]</t>
  </si>
  <si>
    <t>[1482]</t>
  </si>
  <si>
    <t>[1516]</t>
  </si>
  <si>
    <t>[1517]</t>
  </si>
  <si>
    <t>[1532]</t>
  </si>
  <si>
    <t>[1580]</t>
  </si>
  <si>
    <t>[1581]</t>
  </si>
  <si>
    <t>[1582]</t>
  </si>
  <si>
    <t>[1583]</t>
  </si>
  <si>
    <t>[1584]</t>
  </si>
  <si>
    <t>[1585]</t>
  </si>
  <si>
    <t>[1586]</t>
  </si>
  <si>
    <t>[1587]</t>
  </si>
  <si>
    <t>[1610]</t>
  </si>
  <si>
    <t>[1619]</t>
  </si>
  <si>
    <t>[1620]</t>
  </si>
  <si>
    <t>[1626]</t>
  </si>
  <si>
    <t>[1627]</t>
  </si>
  <si>
    <t>[1628]</t>
  </si>
  <si>
    <t>[1629]</t>
  </si>
  <si>
    <t>[1707]</t>
  </si>
  <si>
    <t>[1708]</t>
  </si>
  <si>
    <t>[1709]</t>
  </si>
  <si>
    <t>[1710]</t>
  </si>
  <si>
    <t>[1711]</t>
  </si>
  <si>
    <t>[1712]</t>
  </si>
  <si>
    <t>[1713]</t>
  </si>
  <si>
    <t>[1714]</t>
  </si>
  <si>
    <t>[1723]</t>
  </si>
  <si>
    <t>[1724]</t>
  </si>
  <si>
    <t>[1725]</t>
  </si>
  <si>
    <t>[1726]</t>
  </si>
  <si>
    <t>[1743]</t>
  </si>
  <si>
    <t>[1744]</t>
  </si>
  <si>
    <t>[1745]</t>
  </si>
  <si>
    <t>[1760]</t>
  </si>
  <si>
    <t>[1761]</t>
  </si>
  <si>
    <t>[1762]</t>
  </si>
  <si>
    <t>[1782]</t>
  </si>
  <si>
    <t>[1799]</t>
  </si>
  <si>
    <t>[1800]</t>
  </si>
  <si>
    <t>[1801]</t>
  </si>
  <si>
    <t>[1802]</t>
  </si>
  <si>
    <t>[1808]</t>
  </si>
  <si>
    <t>[1834]</t>
  </si>
  <si>
    <t>[1835]</t>
  </si>
  <si>
    <t>[1841]</t>
  </si>
  <si>
    <t>[1842]</t>
  </si>
  <si>
    <t>[1843]</t>
  </si>
  <si>
    <t>[1844]</t>
  </si>
  <si>
    <t>[1845]</t>
  </si>
  <si>
    <t>[1876]</t>
  </si>
  <si>
    <t>[1884]</t>
  </si>
  <si>
    <t>[1885]</t>
  </si>
  <si>
    <t>[1886]</t>
  </si>
  <si>
    <t>[1887]</t>
  </si>
  <si>
    <t>[1888]</t>
  </si>
  <si>
    <t>[1894]</t>
  </si>
  <si>
    <t>[1895]</t>
  </si>
  <si>
    <t>[1896]</t>
  </si>
  <si>
    <t>[1897]</t>
  </si>
  <si>
    <t>[1898]</t>
  </si>
  <si>
    <t>[1899]</t>
  </si>
  <si>
    <t>[1900]</t>
  </si>
  <si>
    <t>[1931]</t>
  </si>
  <si>
    <t>[1936]</t>
  </si>
  <si>
    <t>[1937]</t>
  </si>
  <si>
    <t>[1947]</t>
  </si>
  <si>
    <t>[1948]</t>
  </si>
  <si>
    <t>[1968]</t>
  </si>
  <si>
    <t>[1969]</t>
  </si>
  <si>
    <t>[1970]</t>
  </si>
  <si>
    <t>[1987]</t>
  </si>
  <si>
    <t>[1988]</t>
  </si>
  <si>
    <t>[1991]</t>
  </si>
  <si>
    <t>[1992]</t>
  </si>
  <si>
    <t>[1993]</t>
  </si>
  <si>
    <t>[2023]</t>
  </si>
  <si>
    <t>[2024]</t>
  </si>
  <si>
    <t>[2025]</t>
  </si>
  <si>
    <t>[2026]</t>
  </si>
  <si>
    <t>[2027]</t>
  </si>
  <si>
    <t>[2040]</t>
  </si>
  <si>
    <t>[2041]</t>
  </si>
  <si>
    <t>[2042]</t>
  </si>
  <si>
    <t>[2043]</t>
  </si>
  <si>
    <t>[2044]</t>
  </si>
  <si>
    <t>[2058]</t>
  </si>
  <si>
    <t>[2067]</t>
  </si>
  <si>
    <t>[2068]</t>
  </si>
  <si>
    <t>[2069]</t>
  </si>
  <si>
    <t>[2070]</t>
  </si>
  <si>
    <t>[2071]</t>
  </si>
  <si>
    <t>[2100]</t>
  </si>
  <si>
    <t>[2101]</t>
  </si>
  <si>
    <t>[2102]</t>
  </si>
  <si>
    <t>[2103]</t>
  </si>
  <si>
    <t>[2104]</t>
  </si>
  <si>
    <t>[2123]</t>
  </si>
  <si>
    <t>[2124]</t>
  </si>
  <si>
    <t>[2131]</t>
  </si>
  <si>
    <t>[2132]</t>
  </si>
  <si>
    <t>[2137]</t>
  </si>
  <si>
    <t>[2138]</t>
  </si>
  <si>
    <t>[2151]</t>
  </si>
  <si>
    <t>[2152]</t>
  </si>
  <si>
    <t>[2170]</t>
  </si>
  <si>
    <t>[2171]</t>
  </si>
  <si>
    <t>[2172]</t>
  </si>
  <si>
    <t>[2173]</t>
  </si>
  <si>
    <t>[2174]</t>
  </si>
  <si>
    <t>[2182]</t>
  </si>
  <si>
    <t>[2183]</t>
  </si>
  <si>
    <t>[2184]</t>
  </si>
  <si>
    <t>[2185]</t>
  </si>
  <si>
    <t>[2186]</t>
  </si>
  <si>
    <t>[2187]</t>
  </si>
  <si>
    <t>[2188]</t>
  </si>
  <si>
    <t>[2189]</t>
  </si>
  <si>
    <t>[2190]</t>
  </si>
  <si>
    <t>[2203]</t>
  </si>
  <si>
    <t>[2204]</t>
  </si>
  <si>
    <t>[2210]</t>
  </si>
  <si>
    <t>[2211]</t>
  </si>
  <si>
    <t>[2212]</t>
  </si>
  <si>
    <t>[2213]</t>
  </si>
  <si>
    <t>[2222]</t>
  </si>
  <si>
    <t>[2223]</t>
  </si>
  <si>
    <t>[2224]</t>
  </si>
  <si>
    <t>[2225]</t>
  </si>
  <si>
    <t>[2226]</t>
  </si>
  <si>
    <t>[2227]</t>
  </si>
  <si>
    <t>[2228]</t>
  </si>
  <si>
    <t>[2229]</t>
  </si>
  <si>
    <t>[2250]</t>
  </si>
  <si>
    <t>[2268]</t>
  </si>
  <si>
    <t>[2269]</t>
  </si>
  <si>
    <t>[2270]</t>
  </si>
  <si>
    <t>[2271]</t>
  </si>
  <si>
    <t>[2272]</t>
  </si>
  <si>
    <t>[2273]</t>
  </si>
  <si>
    <t>[2274]</t>
  </si>
  <si>
    <t>[2275]</t>
  </si>
  <si>
    <t>[2292]</t>
  </si>
  <si>
    <t>[2293]</t>
  </si>
  <si>
    <t>[2294]</t>
  </si>
  <si>
    <t>[2295]</t>
  </si>
  <si>
    <t>[2310]</t>
  </si>
  <si>
    <t>[2311]</t>
  </si>
  <si>
    <t>[2312]</t>
  </si>
  <si>
    <t>[2313]</t>
  </si>
  <si>
    <t>[2314]</t>
  </si>
  <si>
    <t>[2315]</t>
  </si>
  <si>
    <t>[2316]</t>
  </si>
  <si>
    <t>[2317]</t>
  </si>
  <si>
    <t>[2319]</t>
  </si>
  <si>
    <t>[2320]</t>
  </si>
  <si>
    <t>[2321]</t>
  </si>
  <si>
    <t>[2337]</t>
  </si>
  <si>
    <t>[2338]</t>
  </si>
  <si>
    <t>[2339]</t>
  </si>
  <si>
    <t>[2340]</t>
  </si>
  <si>
    <t>[2360]</t>
  </si>
  <si>
    <t>[2361]</t>
  </si>
  <si>
    <t>[2362]</t>
  </si>
  <si>
    <t>[2363]</t>
  </si>
  <si>
    <t>[2364]</t>
  </si>
  <si>
    <t>[2365]</t>
  </si>
  <si>
    <t>[2366]</t>
  </si>
  <si>
    <t>[2367]</t>
  </si>
  <si>
    <t>[2374]</t>
  </si>
  <si>
    <t>[2375]</t>
  </si>
  <si>
    <t>[2376]</t>
  </si>
  <si>
    <t>[2377]</t>
  </si>
  <si>
    <t>[2378]</t>
  </si>
  <si>
    <t>[2394]</t>
  </si>
  <si>
    <t>[2395]</t>
  </si>
  <si>
    <t>[2396]</t>
  </si>
  <si>
    <t>[2402]</t>
  </si>
  <si>
    <t>[2403]</t>
  </si>
  <si>
    <t>[2404]</t>
  </si>
  <si>
    <t>[2405]</t>
  </si>
  <si>
    <t>[2406]</t>
  </si>
  <si>
    <t>[2407]</t>
  </si>
  <si>
    <t>[2408]</t>
  </si>
  <si>
    <t>[2409]</t>
  </si>
  <si>
    <t>[2410]</t>
  </si>
  <si>
    <t>[2411]</t>
  </si>
  <si>
    <t>[2420]</t>
  </si>
  <si>
    <t>[2421]</t>
  </si>
  <si>
    <t>[2422]</t>
  </si>
  <si>
    <t>[2423]</t>
  </si>
  <si>
    <t>[2424]</t>
  </si>
  <si>
    <t>[2440]</t>
  </si>
  <si>
    <t>[2441]</t>
  </si>
  <si>
    <t>[2442]</t>
  </si>
  <si>
    <t>[2455]</t>
  </si>
  <si>
    <t>[2456]</t>
  </si>
  <si>
    <t>[2457]</t>
  </si>
  <si>
    <t>[2467]</t>
  </si>
  <si>
    <t>[2468]</t>
  </si>
  <si>
    <t>[2469]</t>
  </si>
  <si>
    <t>[2470]</t>
  </si>
  <si>
    <t>[2471]</t>
  </si>
  <si>
    <t>[2485]</t>
  </si>
  <si>
    <t>[2486]</t>
  </si>
  <si>
    <t>[2487]</t>
  </si>
  <si>
    <t>[2508]</t>
  </si>
  <si>
    <t>[2509]</t>
  </si>
  <si>
    <t>[2510]</t>
  </si>
  <si>
    <t>[2518]</t>
  </si>
  <si>
    <t>[2519]</t>
  </si>
  <si>
    <t>[2528]</t>
  </si>
  <si>
    <t>[2529]</t>
  </si>
  <si>
    <t>[2530]</t>
  </si>
  <si>
    <t>[2547]</t>
  </si>
  <si>
    <t>[2556]</t>
  </si>
  <si>
    <t>[2557]</t>
  </si>
  <si>
    <t>[2558]</t>
  </si>
  <si>
    <t>[2559]</t>
  </si>
  <si>
    <t>[2581]</t>
  </si>
  <si>
    <t>[2582]</t>
  </si>
  <si>
    <t>[2602]</t>
  </si>
  <si>
    <t>[2603]</t>
  </si>
  <si>
    <t>[2604]</t>
  </si>
  <si>
    <t>[2605]</t>
  </si>
  <si>
    <t>[2606]</t>
  </si>
  <si>
    <t>[2607]</t>
  </si>
  <si>
    <t>[2608]</t>
  </si>
  <si>
    <t>[2609]</t>
  </si>
  <si>
    <t>[2610]</t>
  </si>
  <si>
    <t>[2611]</t>
  </si>
  <si>
    <t>[2612]</t>
  </si>
  <si>
    <t>[2613]</t>
  </si>
  <si>
    <t>[2623]</t>
  </si>
  <si>
    <t>[2624]</t>
  </si>
  <si>
    <t>[2637]</t>
  </si>
  <si>
    <t>[2638]</t>
  </si>
  <si>
    <t>[2639]</t>
  </si>
  <si>
    <t>[2640]</t>
  </si>
  <si>
    <t>[2641]</t>
  </si>
  <si>
    <t>[2642]</t>
  </si>
  <si>
    <t>[2643]</t>
  </si>
  <si>
    <t>[2644]</t>
  </si>
  <si>
    <t>[2645]</t>
  </si>
  <si>
    <t>[2646]</t>
  </si>
  <si>
    <t>[2647]</t>
  </si>
  <si>
    <t>[2649]</t>
  </si>
  <si>
    <t>[2650]</t>
  </si>
  <si>
    <t>[2651]</t>
  </si>
  <si>
    <t>[2675]</t>
  </si>
  <si>
    <t>[2713]</t>
  </si>
  <si>
    <t>[2714]</t>
  </si>
  <si>
    <t>[2715]</t>
  </si>
  <si>
    <t>[2716]</t>
  </si>
  <si>
    <t>[2717]</t>
  </si>
  <si>
    <t>[2718]</t>
  </si>
  <si>
    <t>[2719]</t>
  </si>
  <si>
    <t>[2720]</t>
  </si>
  <si>
    <t>[2749]</t>
  </si>
  <si>
    <t>[2750]</t>
  </si>
  <si>
    <t>[2751]</t>
  </si>
  <si>
    <t>[2752]</t>
  </si>
  <si>
    <t>[2774]</t>
  </si>
  <si>
    <t>[2775]</t>
  </si>
  <si>
    <t>[2808]</t>
  </si>
  <si>
    <t>[2809]</t>
  </si>
  <si>
    <t>[2810]</t>
  </si>
  <si>
    <t>[2811]</t>
  </si>
  <si>
    <t>[2820]</t>
  </si>
  <si>
    <t>[2821]</t>
  </si>
  <si>
    <t>[2822]</t>
  </si>
  <si>
    <t>[2823]</t>
  </si>
  <si>
    <t>[2831]</t>
  </si>
  <si>
    <t>[2832]</t>
  </si>
  <si>
    <t>[2843]</t>
  </si>
  <si>
    <t>[2844]</t>
  </si>
  <si>
    <t>[2854]</t>
  </si>
  <si>
    <t>[2855]</t>
  </si>
  <si>
    <t>[2856]</t>
  </si>
  <si>
    <t>[2857]</t>
  </si>
  <si>
    <t>[2891]</t>
  </si>
  <si>
    <t>[2892]</t>
  </si>
  <si>
    <t>[2893]</t>
  </si>
  <si>
    <t>[2894]</t>
  </si>
  <si>
    <t>[2895]</t>
  </si>
  <si>
    <t>[2896]</t>
  </si>
  <si>
    <t>[2912]</t>
  </si>
  <si>
    <t>[2913]</t>
  </si>
  <si>
    <t>[2914]</t>
  </si>
  <si>
    <t>[2915]</t>
  </si>
  <si>
    <t>[2916]</t>
  </si>
  <si>
    <t>[2917]</t>
  </si>
  <si>
    <t>[2918]</t>
  </si>
  <si>
    <t>[2919]</t>
  </si>
  <si>
    <t>[2923]</t>
  </si>
  <si>
    <t>[2924]</t>
  </si>
  <si>
    <t>[2925]</t>
  </si>
  <si>
    <t>[2928]</t>
  </si>
  <si>
    <t>[2929]</t>
  </si>
  <si>
    <t>[2930]</t>
  </si>
  <si>
    <t>[2941]</t>
  </si>
  <si>
    <t>[2942]</t>
  </si>
  <si>
    <t>[2943]</t>
  </si>
  <si>
    <t>[2944]</t>
  </si>
  <si>
    <t>[2958]</t>
  </si>
  <si>
    <t>[2959]</t>
  </si>
  <si>
    <t>[2960]</t>
  </si>
  <si>
    <t>[2961]</t>
  </si>
  <si>
    <t>[2962]</t>
  </si>
  <si>
    <t>[2977]</t>
  </si>
  <si>
    <t>[2978]</t>
  </si>
  <si>
    <t>[2979]</t>
  </si>
  <si>
    <t>[2986]</t>
  </si>
  <si>
    <t>[2993]</t>
  </si>
  <si>
    <t>[2994]</t>
  </si>
  <si>
    <t>[2995]</t>
  </si>
  <si>
    <t>[2996]</t>
  </si>
  <si>
    <t>[2997]</t>
  </si>
  <si>
    <t>[2998]</t>
  </si>
  <si>
    <t>[3054]</t>
  </si>
  <si>
    <t>[3055]</t>
  </si>
  <si>
    <t>[3056]</t>
  </si>
  <si>
    <t>[3057]</t>
  </si>
  <si>
    <t>[3058]</t>
  </si>
  <si>
    <t>[3081]</t>
  </si>
  <si>
    <t>[3082]</t>
  </si>
  <si>
    <t>[3083]</t>
  </si>
  <si>
    <t>[3084]</t>
  </si>
  <si>
    <t>[3090]</t>
  </si>
  <si>
    <t>[3091]</t>
  </si>
  <si>
    <t>[3100]</t>
  </si>
  <si>
    <t>[3101]</t>
  </si>
  <si>
    <t>[3102]</t>
  </si>
  <si>
    <t>[3103]</t>
  </si>
  <si>
    <t>[3104]</t>
  </si>
  <si>
    <t>[3107]</t>
  </si>
  <si>
    <t>[3108]</t>
  </si>
  <si>
    <t>[3163]</t>
  </si>
  <si>
    <t>[3164]</t>
  </si>
  <si>
    <t>[3173]</t>
  </si>
  <si>
    <t>[3174]</t>
  </si>
  <si>
    <t>[3175]</t>
  </si>
  <si>
    <t>[3197]</t>
  </si>
  <si>
    <t>[3205]</t>
  </si>
  <si>
    <t>[3206]</t>
  </si>
  <si>
    <t>[3207]</t>
  </si>
  <si>
    <t>[3259]</t>
  </si>
  <si>
    <t>[3264]</t>
  </si>
  <si>
    <t>[3265]</t>
  </si>
  <si>
    <t>[3266]</t>
  </si>
  <si>
    <t>[3267]</t>
  </si>
  <si>
    <t>[3268]</t>
  </si>
  <si>
    <t>[3269]</t>
  </si>
  <si>
    <t>[3270]</t>
  </si>
  <si>
    <t>[3288]</t>
  </si>
  <si>
    <t>[3289]</t>
  </si>
  <si>
    <t>[3290]</t>
  </si>
  <si>
    <t>[3345]</t>
  </si>
  <si>
    <t>[3346]</t>
  </si>
  <si>
    <t>[3347]</t>
  </si>
  <si>
    <t>[3348]</t>
  </si>
  <si>
    <t>[3349]</t>
  </si>
  <si>
    <t>[3363]</t>
  </si>
  <si>
    <t>[3364]</t>
  </si>
  <si>
    <t>[3370]</t>
  </si>
  <si>
    <t>[3371]</t>
  </si>
  <si>
    <t>[3372]</t>
  </si>
  <si>
    <t>[3373]</t>
  </si>
  <si>
    <t>[3374]</t>
  </si>
  <si>
    <t>[3375]</t>
  </si>
  <si>
    <t>[3376]</t>
  </si>
  <si>
    <t>[3383]</t>
  </si>
  <si>
    <t>[3384]</t>
  </si>
  <si>
    <t>[3385]</t>
  </si>
  <si>
    <t>[3386]</t>
  </si>
  <si>
    <t>[3387]</t>
  </si>
  <si>
    <t>[3388]</t>
  </si>
  <si>
    <t>[3393]</t>
  </si>
  <si>
    <t>[3394]</t>
  </si>
  <si>
    <t>[3395]</t>
  </si>
  <si>
    <t>[3396]</t>
  </si>
  <si>
    <t>[3397]</t>
  </si>
  <si>
    <t>[3426]</t>
  </si>
  <si>
    <t>[3427]</t>
  </si>
  <si>
    <t>[3431]</t>
  </si>
  <si>
    <t>[3432]</t>
  </si>
  <si>
    <t>[3433]</t>
  </si>
  <si>
    <t>[3434]</t>
  </si>
  <si>
    <t>[3435]</t>
  </si>
  <si>
    <t>[3498]</t>
  </si>
  <si>
    <t>[3499]</t>
  </si>
  <si>
    <t>[3500]</t>
  </si>
  <si>
    <t>[3501]</t>
  </si>
  <si>
    <t>[3502]</t>
  </si>
  <si>
    <t>[3504]</t>
  </si>
  <si>
    <t>[3505]</t>
  </si>
  <si>
    <t>[3506]</t>
  </si>
  <si>
    <t>[3507]</t>
  </si>
  <si>
    <t>[3523]</t>
  </si>
  <si>
    <t>[3524]</t>
  </si>
  <si>
    <t>[3531]</t>
  </si>
  <si>
    <t>[3532]</t>
  </si>
  <si>
    <t>[3535]</t>
  </si>
  <si>
    <t>[3536]</t>
  </si>
  <si>
    <t>[3543]</t>
  </si>
  <si>
    <t>[3544]</t>
  </si>
  <si>
    <t>[3545]</t>
  </si>
  <si>
    <t>[3554]</t>
  </si>
  <si>
    <t>[3555]</t>
  </si>
  <si>
    <t>[3556]</t>
  </si>
  <si>
    <t>[3557]</t>
  </si>
  <si>
    <t>[3558]</t>
  </si>
  <si>
    <t>[3559]</t>
  </si>
  <si>
    <t>[3560]</t>
  </si>
  <si>
    <t>[3561]</t>
  </si>
  <si>
    <t>[3562]</t>
  </si>
  <si>
    <t>[3563]</t>
  </si>
  <si>
    <t>[3588]</t>
  </si>
  <si>
    <t>[3589]</t>
  </si>
  <si>
    <t>[3590]</t>
  </si>
  <si>
    <t>[3591]</t>
  </si>
  <si>
    <t>[3599]</t>
  </si>
  <si>
    <t>[3600]</t>
  </si>
  <si>
    <t>[3601]</t>
  </si>
  <si>
    <t>[3602]</t>
  </si>
  <si>
    <t>[3603]</t>
  </si>
  <si>
    <t>[3604]</t>
  </si>
  <si>
    <t>[3615]</t>
  </si>
  <si>
    <t>[3616]</t>
  </si>
  <si>
    <t>[3620]</t>
  </si>
  <si>
    <t>[3621]</t>
  </si>
  <si>
    <t>[3622]</t>
  </si>
  <si>
    <t>[3629]</t>
  </si>
  <si>
    <t>[3630]</t>
  </si>
  <si>
    <t>[3642]</t>
  </si>
  <si>
    <t>[3643]</t>
  </si>
  <si>
    <t>[3644]</t>
  </si>
  <si>
    <t>[3645]</t>
  </si>
  <si>
    <t>[3646]</t>
  </si>
  <si>
    <t>[3647]</t>
  </si>
  <si>
    <t>[3657]</t>
  </si>
  <si>
    <t>[3661]</t>
  </si>
  <si>
    <t>[3662]</t>
  </si>
  <si>
    <t>[3684]</t>
  </si>
  <si>
    <t>[3685]</t>
  </si>
  <si>
    <t>[3686]</t>
  </si>
  <si>
    <t>[3687]</t>
  </si>
  <si>
    <t>[3688]</t>
  </si>
  <si>
    <t>[3693]</t>
  </si>
  <si>
    <t>[3699]</t>
  </si>
  <si>
    <t>[3728]</t>
  </si>
  <si>
    <t>[3729]</t>
  </si>
  <si>
    <t>[3730]</t>
  </si>
  <si>
    <t>[3731]</t>
  </si>
  <si>
    <t>[3732]</t>
  </si>
  <si>
    <t>[3733]</t>
  </si>
  <si>
    <t>[3734]</t>
  </si>
  <si>
    <t>[3735]</t>
  </si>
  <si>
    <t>[3736]</t>
  </si>
  <si>
    <t>[3737]</t>
  </si>
  <si>
    <t>[3738]</t>
  </si>
  <si>
    <t>[3739]</t>
  </si>
  <si>
    <t>[3740]</t>
  </si>
  <si>
    <t>[3743]</t>
  </si>
  <si>
    <t>[3744]</t>
  </si>
  <si>
    <t>[3745]</t>
  </si>
  <si>
    <t>[3746]</t>
  </si>
  <si>
    <t>[3747]</t>
  </si>
  <si>
    <t>[3748]</t>
  </si>
  <si>
    <t>[3749]</t>
  </si>
  <si>
    <t>[3761]</t>
  </si>
  <si>
    <t>[3762]</t>
  </si>
  <si>
    <t>[3773]</t>
  </si>
  <si>
    <t>[3774]</t>
  </si>
  <si>
    <t>[3775]</t>
  </si>
  <si>
    <t>[3776]</t>
  </si>
  <si>
    <t>[3777]</t>
  </si>
  <si>
    <t>[3796]</t>
  </si>
  <si>
    <t>[3797]</t>
  </si>
  <si>
    <t>[3798]</t>
  </si>
  <si>
    <t>[3853]</t>
  </si>
  <si>
    <t>[3854]</t>
  </si>
  <si>
    <t>[3855]</t>
  </si>
  <si>
    <t>[3888]</t>
  </si>
  <si>
    <t>[3889]</t>
  </si>
  <si>
    <t>[3901]</t>
  </si>
  <si>
    <t>[3902]</t>
  </si>
  <si>
    <t>[3903]</t>
  </si>
  <si>
    <t>[3904]</t>
  </si>
  <si>
    <t>[3905]</t>
  </si>
  <si>
    <t>[3906]</t>
  </si>
  <si>
    <t>[3907]</t>
  </si>
  <si>
    <t>[3917]</t>
  </si>
  <si>
    <t>[3922]</t>
  </si>
  <si>
    <t>[3923]</t>
  </si>
  <si>
    <t>[3924]</t>
  </si>
  <si>
    <t>[3933]</t>
  </si>
  <si>
    <t>[3934]</t>
  </si>
  <si>
    <t>[3935]</t>
  </si>
  <si>
    <t>[3958]</t>
  </si>
  <si>
    <t>[3959]</t>
  </si>
  <si>
    <t>[3960]</t>
  </si>
  <si>
    <t>[3961]</t>
  </si>
  <si>
    <t>[3962]</t>
  </si>
  <si>
    <t>[3965]</t>
  </si>
  <si>
    <t>[3966]</t>
  </si>
  <si>
    <t>[3974]</t>
  </si>
  <si>
    <t>[3975]</t>
  </si>
  <si>
    <t>[3976]</t>
  </si>
  <si>
    <t>[3977]</t>
  </si>
  <si>
    <t>[3978]</t>
  </si>
  <si>
    <t>[3979]</t>
  </si>
  <si>
    <t>[3989]</t>
  </si>
  <si>
    <t>[3990]</t>
  </si>
  <si>
    <t>[3996]</t>
  </si>
  <si>
    <t>[3997]</t>
  </si>
  <si>
    <t>[4028]</t>
  </si>
  <si>
    <t>[4029]</t>
  </si>
  <si>
    <t>[4030]</t>
  </si>
  <si>
    <t>[4031]</t>
  </si>
  <si>
    <t>[4032]</t>
  </si>
  <si>
    <t>[4033]</t>
  </si>
  <si>
    <t>[4034]</t>
  </si>
  <si>
    <t>[4035]</t>
  </si>
  <si>
    <t>Sum of product_sale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</si>
</sst>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hh:mm:ss"/>
    <numFmt numFmtId="165" formatCode="yyyy\-mm\-dd"/>
  </numFmts>
  <fonts count="5"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11"/>
      <color rgb="FFFA7D00"/>
      <name val="Calibri"/>
      <family val="2"/>
      <scheme val="minor"/>
    </font>
  </fonts>
  <fills count="3">
    <fill>
      <patternFill patternType="none"/>
    </fill>
    <fill>
      <patternFill patternType="gray125"/>
    </fill>
    <fill>
      <patternFill patternType="solid">
        <fgColor rgb="FFF2F2F2"/>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2" fillId="0" borderId="0" applyNumberFormat="0" applyFill="0" applyBorder="0" applyAlignment="0" applyProtection="0"/>
    <xf numFmtId="0" fontId="4" fillId="2" borderId="1" applyNumberFormat="0" applyAlignment="0" applyProtection="0"/>
  </cellStyleXfs>
  <cellXfs count="19">
    <xf numFmtId="0" fontId="0" fillId="0" borderId="0" xfId="0"/>
    <xf numFmtId="0" fontId="1" fillId="0" borderId="0" xfId="0" applyFont="1"/>
    <xf numFmtId="0" fontId="2" fillId="0" borderId="0" xfId="1"/>
    <xf numFmtId="49" fontId="0" fillId="0" borderId="0" xfId="0" applyNumberFormat="1"/>
    <xf numFmtId="49" fontId="1" fillId="0" borderId="0" xfId="0" applyNumberFormat="1" applyFont="1"/>
    <xf numFmtId="1" fontId="0" fillId="0" borderId="0" xfId="0" applyNumberFormat="1"/>
    <xf numFmtId="1" fontId="1" fillId="0" borderId="0" xfId="0" applyNumberFormat="1"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65" fontId="0" fillId="0" borderId="0" xfId="0" applyNumberFormat="1"/>
    <xf numFmtId="165" fontId="1" fillId="0" borderId="0" xfId="0" applyNumberFormat="1" applyFont="1"/>
    <xf numFmtId="0" fontId="0" fillId="0" borderId="0" xfId="0" applyAlignment="1">
      <alignment horizontal="left"/>
    </xf>
    <xf numFmtId="0" fontId="0" fillId="0" borderId="0" xfId="0" applyNumberFormat="1"/>
    <xf numFmtId="0" fontId="0" fillId="0" borderId="0" xfId="0" pivotButton="1"/>
    <xf numFmtId="0" fontId="4" fillId="2" borderId="1" xfId="2"/>
    <xf numFmtId="49" fontId="1" fillId="0" borderId="0" xfId="0" applyNumberFormat="1" applyFont="1" applyAlignment="1"/>
    <xf numFmtId="49" fontId="0" fillId="0" borderId="0" xfId="0" applyNumberFormat="1" applyAlignment="1"/>
  </cellXfs>
  <cellStyles count="3">
    <cellStyle name="Calculation" xfId="2" builtinId="22"/>
    <cellStyle name="Hyperlink" xfId="1" builtinId="8"/>
    <cellStyle name="Normal" xfId="0" builtinId="0"/>
  </cellStyles>
  <dxfs count="16662">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Kottow, Daniel" refreshedDate="42751.727587152775" createdVersion="5" refreshedVersion="5" minRefreshableVersion="3" recordCount="934">
  <cacheSource type="worksheet">
    <worksheetSource ref="D1:N1048576" sheet="orders.rows"/>
  </cacheSource>
  <cacheFields count="11">
    <cacheField name="ref" numFmtId="49">
      <sharedItems containsBlank="1"/>
    </cacheField>
    <cacheField name="id" numFmtId="1">
      <sharedItems containsString="0" containsBlank="1" containsNumber="1" containsInteger="1" minValue="4" maxValue="1191"/>
    </cacheField>
    <cacheField name="order_date" numFmtId="165">
      <sharedItems containsNonDate="0" containsDate="1" containsString="0" containsBlank="1" minDate="2015-01-01T00:00:00" maxDate="2015-06-02T00:00:00"/>
    </cacheField>
    <cacheField name="customer_ref" numFmtId="0">
      <sharedItems containsBlank="1" count="91">
        <m/>
        <s v="John Drake [32]"/>
        <s v="Jonah Griffin [89]"/>
        <s v="Marah West [44]"/>
        <s v="Armando Le [80]"/>
        <s v="Jescie Peck [58]"/>
        <s v="Nayda Shields [49]"/>
        <s v="Marny Boyer [92]"/>
        <s v="Yuri Oneal [76]"/>
        <s v="Zeus Trujillo [73]"/>
        <s v="Akeem Kennedy [23]"/>
        <s v="Stacey Kirk [62]"/>
        <s v="Cameron Burton [27]"/>
        <s v="Tanek Santos [16]"/>
        <s v="Theodore Mills [2]"/>
        <s v="Madeson Silva [95]"/>
        <s v="Rhonda Curtis [30]"/>
        <s v="Buffy Jennings [82]"/>
        <s v="Tate Lowery [74]"/>
        <s v="Lucius Gallagher [54]"/>
        <s v="Oprah Horton [11]"/>
        <s v="Claudia Crane [81]"/>
        <s v="Donna Molina [84]"/>
        <s v="Shelly Bridges [8]"/>
        <s v="Lillian Larsen [40]"/>
        <s v="Melvin Finch [34]"/>
        <s v="Cameron Rivera [14]"/>
        <s v="Eugenia Roman [47]"/>
        <s v="Indira Suarez [31]"/>
        <s v="Stuart Vega [17]"/>
        <s v="Hayley Foster [68]"/>
        <s v="Rhoda Vance [3]"/>
        <s v="Kendall Rocha [71]"/>
        <s v="Ora Mann [41]"/>
        <s v="Rhoda Jacobson [12]"/>
        <s v="Irene Carver [37]"/>
        <s v="Quinn Ewing [24]"/>
        <s v="Clio Carter [51]"/>
        <s v="April Buckley [50]"/>
        <s v="Mohammad Carrillo [56]"/>
        <s v="Mannix Owen [63]"/>
        <s v="Donovan Gomez [78]"/>
        <s v="Hermione Maldonado [18]"/>
        <s v="Serina Booker [83]"/>
        <s v="Zorita Rutledge [99]"/>
        <s v="Dale Fry [46]"/>
        <s v="Colby Clay [4]"/>
        <s v="Doris Valdez [91]"/>
        <s v="Cherokee Tanner [26]"/>
        <s v="Anne Slater [100]"/>
        <s v="Alexa Herring [85]"/>
        <s v="Morgan Hoffman [98]"/>
        <s v="Lionel Vargas [21]"/>
        <s v="Yoshi Bennett [9]"/>
        <s v="Lois Valdez [93]"/>
        <s v="Gabriel Carlson [45]"/>
        <s v="Christine Medina [66]"/>
        <s v="Bruce Woods [15]"/>
        <s v="Mary Moore [75]"/>
        <s v="Belle Short [36]"/>
        <s v="Cadman Huffman [87]"/>
        <s v="Cheryl Edwards [88]"/>
        <s v="Abigail Shepard [79]"/>
        <s v="Adrian Dodson [7]"/>
        <s v="Lesley Keith [65]"/>
        <s v="Angelica Ortiz [52]" u="1"/>
        <s v="Vivian Mendoza [94]" u="1"/>
        <s v="Aspen Fuentes [53]" u="1"/>
        <s v="Alma Salas [48]" u="1"/>
        <s v="Madeline Reynolds [22]" u="1"/>
        <s v="Sloane Goodwin [61]" u="1"/>
        <s v="Ferris Erickson [28]" u="1"/>
        <s v="Yetta Duke [67]" u="1"/>
        <s v="Maile Torres [5]" u="1"/>
        <s v="Mariko Cameron [77]" u="1"/>
        <s v="Sigourney Ramsey [86]" u="1"/>
        <s v="Alice Bray [57]" u="1"/>
        <s v="Aristotle Avery [55]" u="1"/>
        <s v="Dane Stafford [43]" u="1"/>
        <s v="Uta Workman [13]" u="1"/>
        <s v="Tashya Osborne [39]" u="1"/>
        <s v="Galvin Becker [72]" u="1"/>
        <s v="Blossom Mosley [10]" u="1"/>
        <s v="Prescott Nelson [90]" u="1"/>
        <s v="Martin Dunlap [64]" u="1"/>
        <s v="Renee Adkins [38]" u="1"/>
        <s v="Hanna Simpson [6]" u="1"/>
        <s v="Benedict Todd [96]" u="1"/>
        <s v="Yvonne Brewer [97]" u="1"/>
        <s v="Ivy Livingston [29]" u="1"/>
        <s v="Scarlett Odonnell [70]" u="1"/>
      </sharedItems>
    </cacheField>
    <cacheField name="total_amount" numFmtId="2">
      <sharedItems containsString="0" containsBlank="1" containsNumber="1" minValue="4.99" maxValue="102.89"/>
    </cacheField>
    <cacheField name="mod_by" numFmtId="164">
      <sharedItems containsBlank="1"/>
    </cacheField>
    <cacheField name="mod_on" numFmtId="164">
      <sharedItems containsNonDate="0" containsDate="1" containsString="0" containsBlank="1" minDate="2017-01-13T01:08:04" maxDate="2017-01-13T01:08:04"/>
    </cacheField>
    <cacheField name="add_by" numFmtId="49">
      <sharedItems containsBlank="1"/>
    </cacheField>
    <cacheField name="add_on" numFmtId="164">
      <sharedItems containsNonDate="0" containsDate="1" containsString="0" containsBlank="1" minDate="2017-01-13T01:08:04" maxDate="2017-01-13T01:08:04"/>
    </cacheField>
    <cacheField name="own_by" numFmtId="49">
      <sharedItems containsBlank="1"/>
    </cacheField>
    <cacheField name="YM" numFmtId="0">
      <sharedItems containsBlank="1" count="20">
        <s v="01-1900"/>
        <s v="01-2015"/>
        <s v="02-2015"/>
        <s v="03-2015"/>
        <s v="04-2015"/>
        <s v="05-2015"/>
        <s v="06-2015"/>
        <m/>
        <s v="11-2014" u="1"/>
        <s v="02-2014" u="1"/>
        <s v="04-2014" u="1"/>
        <s v="06-2014" u="1"/>
        <s v="08-2014" u="1"/>
        <s v="10-2014" u="1"/>
        <s v="12-2014" u="1"/>
        <s v="01-2014" u="1"/>
        <s v="03-2014" u="1"/>
        <s v="05-2014" u="1"/>
        <s v="07-2014" u="1"/>
        <s v="09-2014"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Kottow, Daniel" refreshedDate="42751.727587384259" createdVersion="5" refreshedVersion="5" minRefreshableVersion="3" recordCount="3227">
  <cacheSource type="worksheet">
    <worksheetSource ref="D1:P1048576" sheet="order_items.rows"/>
  </cacheSource>
  <cacheFields count="13">
    <cacheField name="ref" numFmtId="49">
      <sharedItems containsBlank="1"/>
    </cacheField>
    <cacheField name="id" numFmtId="1">
      <sharedItems containsString="0" containsBlank="1" containsNumber="1" containsInteger="1" minValue="7" maxValue="4035"/>
    </cacheField>
    <cacheField name="order_ref" numFmtId="0">
      <sharedItems containsBlank="1"/>
    </cacheField>
    <cacheField name="sandwich_ref" numFmtId="0">
      <sharedItems containsBlank="1" count="169">
        <s v="Tuna [1166]"/>
        <s v="Hagelslag or vlokken [1068]"/>
        <s v="Kottenbutter [1087]"/>
        <s v="Gerber [1065]"/>
        <s v="Peanut butter and jelly [1114]"/>
        <s v="Mortadella [1105]"/>
        <s v="Ham [1069]"/>
        <s v="Deli sandwich [1044]"/>
        <s v="Shawarma [1139]"/>
        <s v="Ham and egg bun [1071]"/>
        <s v="Shuco [1140]"/>
        <s v="Hot brown [1075]"/>
        <s v="Chivito [1031]"/>
        <s v="Open-faced sandwich [1109]"/>
        <s v="Lobster roll [1091]"/>
        <s v="Breakfast roll [1013]"/>
        <s v="Chili burger [1028]"/>
        <s v="Roti john [1131]"/>
        <s v="Submarine/Sub/Baguette [1153]"/>
        <s v="Steak bomb [1150]"/>
        <s v="French dip [1060]"/>
        <s v="Tea [1155]"/>
        <s v="Hamburger [1072]"/>
        <s v="Muffuletta [1107]"/>
        <s v="Luther burger [1093]"/>
        <s v="Meatball [1096]"/>
        <s v="Barros Luco [1007]"/>
        <s v="Tofu Sandwich [1160]"/>
        <s v="Pudgy Pie [1128]"/>
        <s v="Sausage [1138]"/>
        <s v="Kokoretsi [1086]"/>
        <s v="Italian beef [1079]"/>
        <s v="Choripán [1032]"/>
        <s v="Jambon-beurre [1082]"/>
        <s v="Butterbrot [1018]"/>
        <s v="Pebete [1115]"/>
        <s v="Medianoche [1097]"/>
        <s v="Spiedie [1148]"/>
        <s v="Vegemite [1168]"/>
        <s v="BLT [1010]"/>
        <s v="Mitraillette [1098]"/>
        <s v="Guajolota [1066]"/>
        <s v="Chicken [1024]"/>
        <s v="Pork chop bun [1123]"/>
        <s v="Montreal-style smoked meat [1104]"/>
        <s v="Steak [1152]"/>
        <s v="Cheese [1021]"/>
        <s v="Barbecue [1005]"/>
        <s v="De miga [1136]"/>
        <s v="Cheesesteak [1023]"/>
        <s v="Hot turkey [1077]"/>
        <s v="Torta ahogada [1163]"/>
        <s v="Sloppy joe (New Jersey) [1143]"/>
        <s v="Cheese and pickle [1022]"/>
        <s v="Pimento cheese [1116]"/>
        <s v="Monte Cristo [1103]"/>
        <s v="TLT (Tempeh, Lettuce, and Tomato) [1156]"/>
        <s v="Bauru [1008]"/>
        <s v="Fischbrötchen [1055]"/>
        <s v="Martino [1095]"/>
        <s v="Souvlaki [1147]"/>
        <s v="Toastie [1159]"/>
        <s v="Wurstbrot (sausage bread) [1172]"/>
        <s v="Pork tenderloin [1124]"/>
        <s v="Po' boy [1120]"/>
        <s v="Sol over Gudhjem [1146]"/>
        <s v="Tripleta [1165]"/>
        <s v="Ploughman's lunch [1119]"/>
        <s v="Fried brain [1061]"/>
        <s v="Egg [1052]"/>
        <s v="Falafel [1054]"/>
        <s v="Prawn roll [1125]"/>
        <s v="Elvis sandwich [1051]"/>
        <s v="Reuben [1130]"/>
        <s v="Barros Jarpa [1006]"/>
        <s v="Tongue toast [1161]"/>
        <s v="St. Paul [1149]"/>
        <s v="Italiano [1080]"/>
        <s v="Limburger sandwich [1090]"/>
        <s v="Chacarero [1020]"/>
        <s v="Crisp [1037]"/>
        <s v="Broodje kroket [1016]"/>
        <s v="Ice cream [1078]"/>
        <s v="Chicken salad [1025]"/>
        <s v="Yakisoba-pan [1173]"/>
        <s v="Porilainen [1122]"/>
        <s v="Bacon, egg and cheese [1002]"/>
        <s v="Pljeskavica [1118]"/>
        <s v="Cuban [1040]"/>
        <s v="British Rail [1015]"/>
        <s v="Vada pav [1167]"/>
        <s v="Ham and cheese [1070]"/>
        <s v="Panini [1112]"/>
        <s v="Croque-madame [1039]"/>
        <s v="Fool's Gold Loaf [1056]"/>
        <s v="Naan sandwich [1108]"/>
        <s v="Fruit [1062]"/>
        <s v="Smørrebrød [1145]"/>
        <s v="Bosna [1012]"/>
        <s v="Croque-monsieur [1038]"/>
        <s v="Primanti [1126]"/>
        <s v="Club [1035]"/>
        <s v="Lettuce [1089]"/>
        <s v="Francesinha poveira [1059]"/>
        <s v="Doner kebab [1046]"/>
        <s v="Welsh rarebit [1170]"/>
        <s v="Jucy Lucy [1084]"/>
        <s v="Steak burger [1151]"/>
        <s v="Chickpea salad [1027]"/>
        <s v="Horseshoe [1074]"/>
        <s v="Donkey burger [1047]"/>
        <s v="Hot chicken [1076]"/>
        <s v="Dyrlægens natmad [1050]"/>
        <s v="Prosperity Sandwich [1127]"/>
        <s v="Vegetable [1169]"/>
        <s v="Toast [1157]"/>
        <s v="Baked bean [1003]"/>
        <s v="Chip butty [1029]"/>
        <s v="Bacon [1001]"/>
        <s v="Fluffernutter [1057]"/>
        <s v="Marmite [1094]"/>
        <s v="Sandwich loaf [1135]"/>
        <s v="Bologna sandwich [1011]"/>
        <s v="Sloppy joe [1142]"/>
        <s v="Gatsby [1064]"/>
        <m/>
        <s v="Ftira [1063]" u="1"/>
        <s v="Beef on weck [1009]" u="1"/>
        <s v="Montadito [1102]" u="1"/>
        <s v="Dynamite [1049]" u="1"/>
        <s v="Wrap [1171]" u="1"/>
        <s v="Bánh mì [1004]" u="1"/>
        <s v="Polish boy [1121]" u="1"/>
        <s v="Katsu sando [1085]" u="1"/>
        <s v="Zapiekanka [1174]" u="1"/>
        <s v="Fairy bread [1053]" u="1"/>
        <s v="Leberkäse [1088]" u="1"/>
        <s v="Cucumber [1041]" u="1"/>
        <s v="Cemita [1019]" u="1"/>
        <s v="Francesinha [1058]" u="1"/>
        <s v="Corned beef [1036]" u="1"/>
        <s v="Melt [1099]" u="1"/>
        <s v="Doubles [1048]" u="1"/>
        <s v="Runza [1133]" u="1"/>
        <s v="Smörgåstårta [1144]" u="1"/>
        <s v="Bun kebab [1017]" u="1"/>
        <s v="Pan-bagnat [1111]" u="1"/>
        <s v="Salt beef bagel [1137]" u="1"/>
        <s v="Pambazo [1110]" u="1"/>
        <s v="Breakfast [1014]" u="1"/>
        <s v="Rou jia mo [1132]" u="1"/>
        <s v="Lox [1092]" u="1"/>
        <s v="Churrasco [1034]" u="1"/>
        <s v="Chipped beef [1030]" u="1"/>
        <s v="Mother-in-law [1106]" u="1"/>
        <s v="Pulled pork sandwich [1129]" u="1"/>
        <s v="Jam [1081]" u="1"/>
        <s v="Slider [1141]" u="1"/>
        <s v="Patty melt [1113]" u="1"/>
        <s v="Tramezzino [1164]" u="1"/>
        <s v="Chow mein [1033]" u="1"/>
        <s v="Dagwood [1043]" u="1"/>
        <s v="Chicken schnitzel [1026]" u="1"/>
        <s v="Hamdog [1073]" u="1"/>
        <s v="Mettbrötchen [1100]" u="1"/>
        <s v="Torta [1162]" u="1"/>
        <s v="Cudighi [1042]" u="1"/>
        <s v="Pistolette [1117]" u="1"/>
        <s v="Toast Hawaii [1158]" u="1"/>
      </sharedItems>
    </cacheField>
    <cacheField name="unit_price" numFmtId="2">
      <sharedItems containsString="0" containsBlank="1" containsNumber="1" minValue="4.99" maxValue="9.99"/>
    </cacheField>
    <cacheField name="quantity" numFmtId="1">
      <sharedItems containsString="0" containsBlank="1" containsNumber="1" containsInteger="1" minValue="1" maxValue="3"/>
    </cacheField>
    <cacheField name="mod_by" numFmtId="164">
      <sharedItems containsBlank="1"/>
    </cacheField>
    <cacheField name="mod_on" numFmtId="164">
      <sharedItems containsNonDate="0" containsDate="1" containsString="0" containsBlank="1" minDate="2017-01-13T01:08:04" maxDate="2017-01-13T01:08:04"/>
    </cacheField>
    <cacheField name="add_by" numFmtId="49">
      <sharedItems containsBlank="1"/>
    </cacheField>
    <cacheField name="add_on" numFmtId="164">
      <sharedItems containsNonDate="0" containsDate="1" containsString="0" containsBlank="1" minDate="2017-01-13T01:08:04" maxDate="2017-01-13T01:08:04"/>
    </cacheField>
    <cacheField name="own_by" numFmtId="49">
      <sharedItems containsBlank="1"/>
    </cacheField>
    <cacheField name="YM" numFmtId="0">
      <sharedItems containsBlank="1" count="20">
        <s v="01-2015"/>
        <s v="02-2015"/>
        <s v="03-2015"/>
        <s v="04-2015"/>
        <s v="05-2015"/>
        <s v="06-2015"/>
        <e v="#VALUE!"/>
        <m/>
        <s v="11-2014" u="1"/>
        <s v="02-2014" u="1"/>
        <s v="04-2014" u="1"/>
        <s v="06-2014" u="1"/>
        <s v="08-2014" u="1"/>
        <s v="10-2014" u="1"/>
        <s v="12-2014" u="1"/>
        <s v="01-2014" u="1"/>
        <s v="03-2014" u="1"/>
        <s v="05-2014" u="1"/>
        <s v="07-2014" u="1"/>
        <s v="09-2014" u="1"/>
      </sharedItems>
    </cacheField>
    <cacheField name="product_sale" numFmtId="0">
      <sharedItems containsString="0" containsBlank="1" containsNumber="1" minValue="0" maxValue="19.98" count="15">
        <n v="4.99"/>
        <n v="13.98"/>
        <n v="7.99"/>
        <n v="9.99"/>
        <n v="19.98"/>
        <n v="15.98"/>
        <n v="8.99"/>
        <n v="17.98"/>
        <n v="6.99"/>
        <n v="9.98"/>
        <n v="5.99"/>
        <n v="11.98"/>
        <n v="14.97"/>
        <n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34">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m/>
    <m/>
    <m/>
    <x v="0"/>
    <m/>
    <m/>
    <m/>
    <m/>
    <m/>
    <m/>
    <x v="0"/>
  </r>
  <r>
    <s v="2015-01-14 John Drake [18]"/>
    <n v="18"/>
    <d v="2015-01-14T00:00:00"/>
    <x v="1"/>
    <n v="31.95"/>
    <s v="unk"/>
    <d v="2017-01-13T01:08:04"/>
    <s v="unk"/>
    <d v="2017-01-13T01:08:04"/>
    <s v="unk"/>
    <x v="1"/>
  </r>
  <r>
    <s v="2015-01-10 Jonah Griffin [49]"/>
    <n v="49"/>
    <d v="2015-01-10T00:00:00"/>
    <x v="2"/>
    <n v="39.96"/>
    <s v="unk"/>
    <d v="2017-01-13T01:08:04"/>
    <s v="unk"/>
    <d v="2017-01-13T01:08:04"/>
    <s v="unk"/>
    <x v="1"/>
  </r>
  <r>
    <s v="2015-01-12 Marah West [50]"/>
    <n v="50"/>
    <d v="2015-01-12T00:00:00"/>
    <x v="3"/>
    <n v="9.99"/>
    <s v="unk"/>
    <d v="2017-01-13T01:08:04"/>
    <s v="unk"/>
    <d v="2017-01-13T01:08:04"/>
    <s v="unk"/>
    <x v="1"/>
  </r>
  <r>
    <s v="2015-01-18 John Drake [90]"/>
    <n v="90"/>
    <d v="2015-01-18T00:00:00"/>
    <x v="1"/>
    <n v="29.96"/>
    <s v="unk"/>
    <d v="2017-01-13T01:08:04"/>
    <s v="unk"/>
    <d v="2017-01-13T01:08:04"/>
    <s v="unk"/>
    <x v="1"/>
  </r>
  <r>
    <s v="2015-01-15 Armando Le [99]"/>
    <n v="99"/>
    <d v="2015-01-15T00:00:00"/>
    <x v="4"/>
    <n v="13.98"/>
    <s v="unk"/>
    <d v="2017-01-13T01:08:04"/>
    <s v="unk"/>
    <d v="2017-01-13T01:08:04"/>
    <s v="unk"/>
    <x v="1"/>
  </r>
  <r>
    <s v="2015-01-24 Jescie Peck [110]"/>
    <n v="110"/>
    <d v="2015-01-24T00:00:00"/>
    <x v="5"/>
    <n v="25.97"/>
    <s v="unk"/>
    <d v="2017-01-13T01:08:04"/>
    <s v="unk"/>
    <d v="2017-01-13T01:08:04"/>
    <s v="unk"/>
    <x v="1"/>
  </r>
  <r>
    <s v="2015-01-22 Nayda Shields [118]"/>
    <n v="118"/>
    <d v="2015-01-22T00:00:00"/>
    <x v="6"/>
    <n v="17.98"/>
    <s v="unk"/>
    <d v="2017-01-13T01:08:04"/>
    <s v="unk"/>
    <d v="2017-01-13T01:08:04"/>
    <s v="unk"/>
    <x v="1"/>
  </r>
  <r>
    <s v="2015-01-09 Marny Boyer [139]"/>
    <n v="139"/>
    <d v="2015-01-09T00:00:00"/>
    <x v="7"/>
    <n v="41.95"/>
    <s v="unk"/>
    <d v="2017-01-13T01:08:04"/>
    <s v="unk"/>
    <d v="2017-01-13T01:08:04"/>
    <s v="unk"/>
    <x v="1"/>
  </r>
  <r>
    <s v="2015-01-29 Yuri Oneal [149]"/>
    <n v="149"/>
    <d v="2015-01-29T00:00:00"/>
    <x v="8"/>
    <n v="45.95"/>
    <s v="unk"/>
    <d v="2017-01-13T01:08:04"/>
    <s v="unk"/>
    <d v="2017-01-13T01:08:04"/>
    <s v="unk"/>
    <x v="1"/>
  </r>
  <r>
    <s v="2015-01-09 Zeus Trujillo [226]"/>
    <n v="226"/>
    <d v="2015-01-09T00:00:00"/>
    <x v="9"/>
    <n v="19.97"/>
    <s v="unk"/>
    <d v="2017-01-13T01:08:04"/>
    <s v="unk"/>
    <d v="2017-01-13T01:08:04"/>
    <s v="unk"/>
    <x v="1"/>
  </r>
  <r>
    <s v="2015-01-30 Akeem Kennedy [234]"/>
    <n v="234"/>
    <d v="2015-01-30T00:00:00"/>
    <x v="10"/>
    <n v="10.98"/>
    <s v="unk"/>
    <d v="2017-01-13T01:08:04"/>
    <s v="unk"/>
    <d v="2017-01-13T01:08:04"/>
    <s v="unk"/>
    <x v="1"/>
  </r>
  <r>
    <s v="2015-01-25 Stacey Kirk [235]"/>
    <n v="235"/>
    <d v="2015-01-25T00:00:00"/>
    <x v="11"/>
    <n v="73.92"/>
    <s v="unk"/>
    <d v="2017-01-13T01:08:04"/>
    <s v="unk"/>
    <d v="2017-01-13T01:08:04"/>
    <s v="unk"/>
    <x v="1"/>
  </r>
  <r>
    <s v="2015-01-28 Cameron Burton [293]"/>
    <n v="293"/>
    <d v="2015-01-28T00:00:00"/>
    <x v="12"/>
    <n v="16.97"/>
    <s v="unk"/>
    <d v="2017-01-13T01:08:04"/>
    <s v="unk"/>
    <d v="2017-01-13T01:08:04"/>
    <s v="unk"/>
    <x v="1"/>
  </r>
  <r>
    <s v="2015-01-21 Tanek Santos [326]"/>
    <n v="326"/>
    <d v="2015-01-21T00:00:00"/>
    <x v="13"/>
    <n v="6.99"/>
    <s v="unk"/>
    <d v="2017-01-13T01:08:04"/>
    <s v="unk"/>
    <d v="2017-01-13T01:08:04"/>
    <s v="unk"/>
    <x v="1"/>
  </r>
  <r>
    <s v="2015-01-25 Theodore Mills [348]"/>
    <n v="348"/>
    <d v="2015-01-25T00:00:00"/>
    <x v="14"/>
    <n v="38.96"/>
    <s v="unk"/>
    <d v="2017-01-13T01:08:04"/>
    <s v="unk"/>
    <d v="2017-01-13T01:08:04"/>
    <s v="unk"/>
    <x v="1"/>
  </r>
  <r>
    <s v="2015-01-07 Theodore Mills [380]"/>
    <n v="380"/>
    <d v="2015-01-07T00:00:00"/>
    <x v="14"/>
    <n v="44.94"/>
    <s v="unk"/>
    <d v="2017-01-13T01:08:04"/>
    <s v="unk"/>
    <d v="2017-01-13T01:08:04"/>
    <s v="unk"/>
    <x v="1"/>
  </r>
  <r>
    <s v="2015-01-23 Akeem Kennedy [382]"/>
    <n v="382"/>
    <d v="2015-01-23T00:00:00"/>
    <x v="10"/>
    <n v="25.97"/>
    <s v="unk"/>
    <d v="2017-01-13T01:08:04"/>
    <s v="unk"/>
    <d v="2017-01-13T01:08:04"/>
    <s v="unk"/>
    <x v="1"/>
  </r>
  <r>
    <s v="2015-01-25 Madeson Silva [413]"/>
    <n v="413"/>
    <d v="2015-01-25T00:00:00"/>
    <x v="15"/>
    <n v="16.98"/>
    <s v="unk"/>
    <d v="2017-01-13T01:08:04"/>
    <s v="unk"/>
    <d v="2017-01-13T01:08:04"/>
    <s v="unk"/>
    <x v="1"/>
  </r>
  <r>
    <s v="2015-01-21 Rhonda Curtis [439]"/>
    <n v="439"/>
    <d v="2015-01-21T00:00:00"/>
    <x v="16"/>
    <n v="30.96"/>
    <s v="unk"/>
    <d v="2017-01-13T01:08:04"/>
    <s v="unk"/>
    <d v="2017-01-13T01:08:04"/>
    <s v="unk"/>
    <x v="1"/>
  </r>
  <r>
    <s v="2015-01-25 Buffy Jennings [474]"/>
    <n v="474"/>
    <d v="2015-01-25T00:00:00"/>
    <x v="17"/>
    <n v="95.88"/>
    <s v="unk"/>
    <d v="2017-01-13T01:08:04"/>
    <s v="unk"/>
    <d v="2017-01-13T01:08:04"/>
    <s v="unk"/>
    <x v="1"/>
  </r>
  <r>
    <s v="2015-01-24 Tate Lowery [511]"/>
    <n v="511"/>
    <d v="2015-01-24T00:00:00"/>
    <x v="18"/>
    <n v="82.9"/>
    <s v="unk"/>
    <d v="2017-01-13T01:08:04"/>
    <s v="unk"/>
    <d v="2017-01-13T01:08:04"/>
    <s v="unk"/>
    <x v="1"/>
  </r>
  <r>
    <s v="2015-01-07 Lucius Gallagher [547]"/>
    <n v="547"/>
    <d v="2015-01-07T00:00:00"/>
    <x v="19"/>
    <n v="18.98"/>
    <s v="unk"/>
    <d v="2017-01-13T01:08:04"/>
    <s v="unk"/>
    <d v="2017-01-13T01:08:04"/>
    <s v="unk"/>
    <x v="1"/>
  </r>
  <r>
    <s v="2015-01-25 Buffy Jennings [591]"/>
    <n v="591"/>
    <d v="2015-01-25T00:00:00"/>
    <x v="17"/>
    <n v="42.95"/>
    <s v="unk"/>
    <d v="2017-01-13T01:08:04"/>
    <s v="unk"/>
    <d v="2017-01-13T01:08:04"/>
    <s v="unk"/>
    <x v="1"/>
  </r>
  <r>
    <s v="2015-01-22 Oprah Horton [615]"/>
    <n v="615"/>
    <d v="2015-01-22T00:00:00"/>
    <x v="20"/>
    <n v="8.99"/>
    <s v="unk"/>
    <d v="2017-01-13T01:08:04"/>
    <s v="unk"/>
    <d v="2017-01-13T01:08:04"/>
    <s v="unk"/>
    <x v="1"/>
  </r>
  <r>
    <s v="2015-01-22 Claudia Crane [636]"/>
    <n v="636"/>
    <d v="2015-01-22T00:00:00"/>
    <x v="21"/>
    <n v="21.97"/>
    <s v="unk"/>
    <d v="2017-01-13T01:08:04"/>
    <s v="unk"/>
    <d v="2017-01-13T01:08:04"/>
    <s v="unk"/>
    <x v="1"/>
  </r>
  <r>
    <s v="2015-01-17 Donna Molina [674]"/>
    <n v="674"/>
    <d v="2015-01-17T00:00:00"/>
    <x v="22"/>
    <n v="4.99"/>
    <s v="unk"/>
    <d v="2017-01-13T01:08:04"/>
    <s v="unk"/>
    <d v="2017-01-13T01:08:04"/>
    <s v="unk"/>
    <x v="1"/>
  </r>
  <r>
    <s v="2015-01-15 Shelly Bridges [686]"/>
    <n v="686"/>
    <d v="2015-01-15T00:00:00"/>
    <x v="23"/>
    <n v="16.98"/>
    <s v="unk"/>
    <d v="2017-01-13T01:08:04"/>
    <s v="unk"/>
    <d v="2017-01-13T01:08:04"/>
    <s v="unk"/>
    <x v="1"/>
  </r>
  <r>
    <s v="2015-01-17 Lillian Larsen [706]"/>
    <n v="706"/>
    <d v="2015-01-17T00:00:00"/>
    <x v="24"/>
    <n v="88.89"/>
    <s v="unk"/>
    <d v="2017-01-13T01:08:04"/>
    <s v="unk"/>
    <d v="2017-01-13T01:08:04"/>
    <s v="unk"/>
    <x v="1"/>
  </r>
  <r>
    <s v="2015-01-29 Melvin Finch [710]"/>
    <n v="710"/>
    <d v="2015-01-29T00:00:00"/>
    <x v="25"/>
    <n v="17.98"/>
    <s v="unk"/>
    <d v="2017-01-13T01:08:04"/>
    <s v="unk"/>
    <d v="2017-01-13T01:08:04"/>
    <s v="unk"/>
    <x v="1"/>
  </r>
  <r>
    <s v="2015-01-07 Cameron Rivera [756]"/>
    <n v="756"/>
    <d v="2015-01-07T00:00:00"/>
    <x v="26"/>
    <n v="31.96"/>
    <s v="unk"/>
    <d v="2017-01-13T01:08:04"/>
    <s v="unk"/>
    <d v="2017-01-13T01:08:04"/>
    <s v="unk"/>
    <x v="1"/>
  </r>
  <r>
    <s v="2015-01-13 Melvin Finch [773]"/>
    <n v="773"/>
    <d v="2015-01-13T00:00:00"/>
    <x v="25"/>
    <n v="16.98"/>
    <s v="unk"/>
    <d v="2017-01-13T01:08:04"/>
    <s v="unk"/>
    <d v="2017-01-13T01:08:04"/>
    <s v="unk"/>
    <x v="1"/>
  </r>
  <r>
    <s v="2015-01-17 Eugenia Roman [783]"/>
    <n v="783"/>
    <d v="2015-01-17T00:00:00"/>
    <x v="27"/>
    <n v="29.96"/>
    <s v="unk"/>
    <d v="2017-01-13T01:08:04"/>
    <s v="unk"/>
    <d v="2017-01-13T01:08:04"/>
    <s v="unk"/>
    <x v="1"/>
  </r>
  <r>
    <s v="2015-01-07 Indira Suarez [787]"/>
    <n v="787"/>
    <d v="2015-01-07T00:00:00"/>
    <x v="28"/>
    <n v="102.89"/>
    <s v="unk"/>
    <d v="2017-01-13T01:08:04"/>
    <s v="unk"/>
    <d v="2017-01-13T01:08:04"/>
    <s v="unk"/>
    <x v="1"/>
  </r>
  <r>
    <s v="2015-01-16 Cameron Rivera [806]"/>
    <n v="806"/>
    <d v="2015-01-16T00:00:00"/>
    <x v="26"/>
    <n v="92.89"/>
    <s v="unk"/>
    <d v="2017-01-13T01:08:04"/>
    <s v="unk"/>
    <d v="2017-01-13T01:08:04"/>
    <s v="unk"/>
    <x v="1"/>
  </r>
  <r>
    <s v="2015-01-14 Stuart Vega [855]"/>
    <n v="855"/>
    <d v="2015-01-14T00:00:00"/>
    <x v="29"/>
    <n v="40.94"/>
    <s v="unk"/>
    <d v="2017-01-13T01:08:04"/>
    <s v="unk"/>
    <d v="2017-01-13T01:08:04"/>
    <s v="unk"/>
    <x v="1"/>
  </r>
  <r>
    <s v="2015-01-19 Cameron Burton [866]"/>
    <n v="866"/>
    <d v="2015-01-19T00:00:00"/>
    <x v="12"/>
    <n v="35.950000000000003"/>
    <s v="unk"/>
    <d v="2017-01-13T01:08:04"/>
    <s v="unk"/>
    <d v="2017-01-13T01:08:04"/>
    <s v="unk"/>
    <x v="1"/>
  </r>
  <r>
    <s v="2015-01-03 Cameron Burton [879]"/>
    <n v="879"/>
    <d v="2015-01-03T00:00:00"/>
    <x v="12"/>
    <n v="21.97"/>
    <s v="unk"/>
    <d v="2017-01-13T01:08:04"/>
    <s v="unk"/>
    <d v="2017-01-13T01:08:04"/>
    <s v="unk"/>
    <x v="1"/>
  </r>
  <r>
    <s v="2015-01-06 Lillian Larsen [888]"/>
    <n v="888"/>
    <d v="2015-01-06T00:00:00"/>
    <x v="24"/>
    <n v="74.900000000000006"/>
    <s v="unk"/>
    <d v="2017-01-13T01:08:04"/>
    <s v="unk"/>
    <d v="2017-01-13T01:08:04"/>
    <s v="unk"/>
    <x v="1"/>
  </r>
  <r>
    <s v="2015-01-06 Indira Suarez [912]"/>
    <n v="912"/>
    <d v="2015-01-06T00:00:00"/>
    <x v="28"/>
    <n v="54.94"/>
    <s v="unk"/>
    <d v="2017-01-13T01:08:04"/>
    <s v="unk"/>
    <d v="2017-01-13T01:08:04"/>
    <s v="unk"/>
    <x v="1"/>
  </r>
  <r>
    <s v="2015-01-01 Hayley Foster [922]"/>
    <n v="922"/>
    <d v="2015-01-01T00:00:00"/>
    <x v="30"/>
    <n v="27.97"/>
    <s v="unk"/>
    <d v="2017-01-13T01:08:04"/>
    <s v="unk"/>
    <d v="2017-01-13T01:08:04"/>
    <s v="unk"/>
    <x v="1"/>
  </r>
  <r>
    <s v="2015-01-26 Rhoda Vance [948]"/>
    <n v="948"/>
    <d v="2015-01-26T00:00:00"/>
    <x v="31"/>
    <n v="8.99"/>
    <s v="unk"/>
    <d v="2017-01-13T01:08:04"/>
    <s v="unk"/>
    <d v="2017-01-13T01:08:04"/>
    <s v="unk"/>
    <x v="1"/>
  </r>
  <r>
    <s v="2015-01-02 Kendall Rocha [992]"/>
    <n v="992"/>
    <d v="2015-01-02T00:00:00"/>
    <x v="32"/>
    <n v="49.94"/>
    <s v="unk"/>
    <d v="2017-01-13T01:08:04"/>
    <s v="unk"/>
    <d v="2017-01-13T01:08:04"/>
    <s v="unk"/>
    <x v="1"/>
  </r>
  <r>
    <s v="2015-01-04 Rhoda Vance [996]"/>
    <n v="996"/>
    <d v="2015-01-04T00:00:00"/>
    <x v="31"/>
    <n v="12.98"/>
    <s v="unk"/>
    <d v="2017-01-13T01:08:04"/>
    <s v="unk"/>
    <d v="2017-01-13T01:08:04"/>
    <s v="unk"/>
    <x v="1"/>
  </r>
  <r>
    <s v="2015-01-10 Melvin Finch [1017]"/>
    <n v="1017"/>
    <d v="2015-01-10T00:00:00"/>
    <x v="25"/>
    <n v="67.92"/>
    <s v="unk"/>
    <d v="2017-01-13T01:08:04"/>
    <s v="unk"/>
    <d v="2017-01-13T01:08:04"/>
    <s v="unk"/>
    <x v="1"/>
  </r>
  <r>
    <s v="2015-01-10 Indira Suarez [1044]"/>
    <n v="1044"/>
    <d v="2015-01-10T00:00:00"/>
    <x v="28"/>
    <n v="17.98"/>
    <s v="unk"/>
    <d v="2017-01-13T01:08:04"/>
    <s v="unk"/>
    <d v="2017-01-13T01:08:04"/>
    <s v="unk"/>
    <x v="1"/>
  </r>
  <r>
    <s v="2015-01-27 Cameron Burton [1046]"/>
    <n v="1046"/>
    <d v="2015-01-27T00:00:00"/>
    <x v="12"/>
    <n v="15.98"/>
    <s v="unk"/>
    <d v="2017-01-13T01:08:04"/>
    <s v="unk"/>
    <d v="2017-01-13T01:08:04"/>
    <s v="unk"/>
    <x v="1"/>
  </r>
  <r>
    <s v="2015-01-26 Indira Suarez [1050]"/>
    <n v="1050"/>
    <d v="2015-01-26T00:00:00"/>
    <x v="28"/>
    <n v="33.96"/>
    <s v="unk"/>
    <d v="2017-01-13T01:08:04"/>
    <s v="unk"/>
    <d v="2017-01-13T01:08:04"/>
    <s v="unk"/>
    <x v="1"/>
  </r>
  <r>
    <s v="2015-01-07 Cameron Rivera [1053]"/>
    <n v="1053"/>
    <d v="2015-01-07T00:00:00"/>
    <x v="26"/>
    <n v="29.97"/>
    <s v="unk"/>
    <d v="2017-01-13T01:08:04"/>
    <s v="unk"/>
    <d v="2017-01-13T01:08:04"/>
    <s v="unk"/>
    <x v="1"/>
  </r>
  <r>
    <s v="2015-01-23 Hayley Foster [1069]"/>
    <n v="1069"/>
    <d v="2015-01-23T00:00:00"/>
    <x v="30"/>
    <n v="28.96"/>
    <s v="unk"/>
    <d v="2017-01-13T01:08:04"/>
    <s v="unk"/>
    <d v="2017-01-13T01:08:04"/>
    <s v="unk"/>
    <x v="1"/>
  </r>
  <r>
    <s v="2015-01-02 Eugenia Roman [1072]"/>
    <n v="1072"/>
    <d v="2015-01-02T00:00:00"/>
    <x v="27"/>
    <n v="27.97"/>
    <s v="unk"/>
    <d v="2017-01-13T01:08:04"/>
    <s v="unk"/>
    <d v="2017-01-13T01:08:04"/>
    <s v="unk"/>
    <x v="1"/>
  </r>
  <r>
    <s v="2015-01-21 Cameron Rivera [1087]"/>
    <n v="1087"/>
    <d v="2015-01-21T00:00:00"/>
    <x v="26"/>
    <n v="7.99"/>
    <s v="unk"/>
    <d v="2017-01-13T01:08:04"/>
    <s v="unk"/>
    <d v="2017-01-13T01:08:04"/>
    <s v="unk"/>
    <x v="1"/>
  </r>
  <r>
    <s v="2015-01-09 Eugenia Roman [1102]"/>
    <n v="1102"/>
    <d v="2015-01-09T00:00:00"/>
    <x v="27"/>
    <n v="23.97"/>
    <s v="unk"/>
    <d v="2017-01-13T01:08:04"/>
    <s v="unk"/>
    <d v="2017-01-13T01:08:04"/>
    <s v="unk"/>
    <x v="1"/>
  </r>
  <r>
    <s v="2015-01-14 Eugenia Roman [1162]"/>
    <n v="1162"/>
    <d v="2015-01-14T00:00:00"/>
    <x v="27"/>
    <n v="35.96"/>
    <s v="unk"/>
    <d v="2017-01-13T01:08:04"/>
    <s v="unk"/>
    <d v="2017-01-13T01:08:04"/>
    <s v="unk"/>
    <x v="1"/>
  </r>
  <r>
    <s v="2015-01-30 Melvin Finch [1168]"/>
    <n v="1168"/>
    <d v="2015-01-30T00:00:00"/>
    <x v="25"/>
    <n v="49.94"/>
    <s v="unk"/>
    <d v="2017-01-13T01:08:04"/>
    <s v="unk"/>
    <d v="2017-01-13T01:08:04"/>
    <s v="unk"/>
    <x v="1"/>
  </r>
  <r>
    <s v="2015-01-29 Stuart Vega [1173]"/>
    <n v="1173"/>
    <d v="2015-01-29T00:00:00"/>
    <x v="29"/>
    <n v="71.92"/>
    <s v="unk"/>
    <d v="2017-01-13T01:08:04"/>
    <s v="unk"/>
    <d v="2017-01-13T01:08:04"/>
    <s v="unk"/>
    <x v="1"/>
  </r>
  <r>
    <s v="2015-01-07 Stuart Vega [1177]"/>
    <n v="1177"/>
    <d v="2015-01-07T00:00:00"/>
    <x v="29"/>
    <n v="27.97"/>
    <s v="unk"/>
    <d v="2017-01-13T01:08:04"/>
    <s v="unk"/>
    <d v="2017-01-13T01:08:04"/>
    <s v="unk"/>
    <x v="1"/>
  </r>
  <r>
    <s v="2015-02-22 Ora Mann [19]"/>
    <n v="19"/>
    <d v="2015-02-22T00:00:00"/>
    <x v="33"/>
    <n v="58.92"/>
    <s v="unk"/>
    <d v="2017-01-13T01:08:04"/>
    <s v="unk"/>
    <d v="2017-01-13T01:08:04"/>
    <s v="unk"/>
    <x v="2"/>
  </r>
  <r>
    <s v="2015-02-28 Madeson Silva [97]"/>
    <n v="97"/>
    <d v="2015-02-28T00:00:00"/>
    <x v="15"/>
    <n v="38.950000000000003"/>
    <s v="unk"/>
    <d v="2017-01-13T01:08:04"/>
    <s v="unk"/>
    <d v="2017-01-13T01:08:04"/>
    <s v="unk"/>
    <x v="2"/>
  </r>
  <r>
    <s v="2015-02-18 Rhoda Jacobson [102]"/>
    <n v="102"/>
    <d v="2015-02-18T00:00:00"/>
    <x v="34"/>
    <n v="28.97"/>
    <s v="unk"/>
    <d v="2017-01-13T01:08:04"/>
    <s v="unk"/>
    <d v="2017-01-13T01:08:04"/>
    <s v="unk"/>
    <x v="2"/>
  </r>
  <r>
    <s v="2015-02-12 Irene Carver [151]"/>
    <n v="151"/>
    <d v="2015-02-12T00:00:00"/>
    <x v="35"/>
    <n v="21.97"/>
    <s v="unk"/>
    <d v="2017-01-13T01:08:04"/>
    <s v="unk"/>
    <d v="2017-01-13T01:08:04"/>
    <s v="unk"/>
    <x v="2"/>
  </r>
  <r>
    <s v="2015-02-26 Tate Lowery [219]"/>
    <n v="219"/>
    <d v="2015-02-26T00:00:00"/>
    <x v="18"/>
    <n v="15.98"/>
    <s v="unk"/>
    <d v="2017-01-13T01:08:04"/>
    <s v="unk"/>
    <d v="2017-01-13T01:08:04"/>
    <s v="unk"/>
    <x v="2"/>
  </r>
  <r>
    <s v="2015-02-07 Marny Boyer [245]"/>
    <n v="245"/>
    <d v="2015-02-07T00:00:00"/>
    <x v="7"/>
    <n v="44.94"/>
    <s v="unk"/>
    <d v="2017-01-13T01:08:04"/>
    <s v="unk"/>
    <d v="2017-01-13T01:08:04"/>
    <s v="unk"/>
    <x v="2"/>
  </r>
  <r>
    <s v="2015-02-24 Marny Boyer [272]"/>
    <n v="272"/>
    <d v="2015-02-24T00:00:00"/>
    <x v="7"/>
    <n v="23.97"/>
    <s v="unk"/>
    <d v="2017-01-13T01:08:04"/>
    <s v="unk"/>
    <d v="2017-01-13T01:08:04"/>
    <s v="unk"/>
    <x v="2"/>
  </r>
  <r>
    <s v="2015-02-18 Quinn Ewing [280]"/>
    <n v="280"/>
    <d v="2015-02-18T00:00:00"/>
    <x v="36"/>
    <n v="55.94"/>
    <s v="unk"/>
    <d v="2017-01-13T01:08:04"/>
    <s v="unk"/>
    <d v="2017-01-13T01:08:04"/>
    <s v="unk"/>
    <x v="2"/>
  </r>
  <r>
    <s v="2015-02-12 Clio Carter [339]"/>
    <n v="339"/>
    <d v="2015-02-12T00:00:00"/>
    <x v="37"/>
    <n v="29.96"/>
    <s v="unk"/>
    <d v="2017-01-13T01:08:04"/>
    <s v="unk"/>
    <d v="2017-01-13T01:08:04"/>
    <s v="unk"/>
    <x v="2"/>
  </r>
  <r>
    <s v="2015-02-17 April Buckley [351]"/>
    <n v="351"/>
    <d v="2015-02-17T00:00:00"/>
    <x v="38"/>
    <n v="65.92"/>
    <s v="unk"/>
    <d v="2017-01-13T01:08:04"/>
    <s v="unk"/>
    <d v="2017-01-13T01:08:04"/>
    <s v="unk"/>
    <x v="2"/>
  </r>
  <r>
    <s v="2015-02-02 Rhonda Curtis [355]"/>
    <n v="355"/>
    <d v="2015-02-02T00:00:00"/>
    <x v="16"/>
    <n v="18.97"/>
    <s v="unk"/>
    <d v="2017-01-13T01:08:04"/>
    <s v="unk"/>
    <d v="2017-01-13T01:08:04"/>
    <s v="unk"/>
    <x v="2"/>
  </r>
  <r>
    <s v="2015-02-13 Mohammad Carrillo [370]"/>
    <n v="370"/>
    <d v="2015-02-13T00:00:00"/>
    <x v="39"/>
    <n v="47.94"/>
    <s v="unk"/>
    <d v="2017-01-13T01:08:04"/>
    <s v="unk"/>
    <d v="2017-01-13T01:08:04"/>
    <s v="unk"/>
    <x v="2"/>
  </r>
  <r>
    <s v="2015-02-09 Rhonda Curtis [372]"/>
    <n v="372"/>
    <d v="2015-02-09T00:00:00"/>
    <x v="16"/>
    <n v="45.94"/>
    <s v="unk"/>
    <d v="2017-01-13T01:08:04"/>
    <s v="unk"/>
    <d v="2017-01-13T01:08:04"/>
    <s v="unk"/>
    <x v="2"/>
  </r>
  <r>
    <s v="2015-02-14 Madeson Silva [386]"/>
    <n v="386"/>
    <d v="2015-02-14T00:00:00"/>
    <x v="15"/>
    <n v="55.92"/>
    <s v="unk"/>
    <d v="2017-01-13T01:08:04"/>
    <s v="unk"/>
    <d v="2017-01-13T01:08:04"/>
    <s v="unk"/>
    <x v="2"/>
  </r>
  <r>
    <s v="2015-02-19 Mannix Owen [389]"/>
    <n v="389"/>
    <d v="2015-02-19T00:00:00"/>
    <x v="40"/>
    <n v="24.97"/>
    <s v="unk"/>
    <d v="2017-01-13T01:08:04"/>
    <s v="unk"/>
    <d v="2017-01-13T01:08:04"/>
    <s v="unk"/>
    <x v="2"/>
  </r>
  <r>
    <s v="2015-02-17 Rhonda Curtis [408]"/>
    <n v="408"/>
    <d v="2015-02-17T00:00:00"/>
    <x v="16"/>
    <n v="85.89"/>
    <s v="unk"/>
    <d v="2017-01-13T01:08:04"/>
    <s v="unk"/>
    <d v="2017-01-13T01:08:04"/>
    <s v="unk"/>
    <x v="2"/>
  </r>
  <r>
    <s v="2015-02-21 Armando Le [447]"/>
    <n v="447"/>
    <d v="2015-02-21T00:00:00"/>
    <x v="4"/>
    <n v="85.9"/>
    <s v="unk"/>
    <d v="2017-01-13T01:08:04"/>
    <s v="unk"/>
    <d v="2017-01-13T01:08:04"/>
    <s v="unk"/>
    <x v="2"/>
  </r>
  <r>
    <s v="2015-02-24 Marny Boyer [456]"/>
    <n v="456"/>
    <d v="2015-02-24T00:00:00"/>
    <x v="7"/>
    <n v="35.96"/>
    <s v="unk"/>
    <d v="2017-01-13T01:08:04"/>
    <s v="unk"/>
    <d v="2017-01-13T01:08:04"/>
    <s v="unk"/>
    <x v="2"/>
  </r>
  <r>
    <s v="2015-02-14 Donovan Gomez [483]"/>
    <n v="483"/>
    <d v="2015-02-14T00:00:00"/>
    <x v="41"/>
    <n v="17.98"/>
    <s v="unk"/>
    <d v="2017-01-13T01:08:04"/>
    <s v="unk"/>
    <d v="2017-01-13T01:08:04"/>
    <s v="unk"/>
    <x v="2"/>
  </r>
  <r>
    <s v="2015-02-24 April Buckley [514]"/>
    <n v="514"/>
    <d v="2015-02-24T00:00:00"/>
    <x v="38"/>
    <n v="48.93"/>
    <s v="unk"/>
    <d v="2017-01-13T01:08:04"/>
    <s v="unk"/>
    <d v="2017-01-13T01:08:04"/>
    <s v="unk"/>
    <x v="2"/>
  </r>
  <r>
    <s v="2015-02-03 Lucius Gallagher [582]"/>
    <n v="582"/>
    <d v="2015-02-03T00:00:00"/>
    <x v="19"/>
    <n v="15.98"/>
    <s v="unk"/>
    <d v="2017-01-13T01:08:04"/>
    <s v="unk"/>
    <d v="2017-01-13T01:08:04"/>
    <s v="unk"/>
    <x v="2"/>
  </r>
  <r>
    <s v="2015-02-27 Hermione Maldonado [631]"/>
    <n v="631"/>
    <d v="2015-02-27T00:00:00"/>
    <x v="42"/>
    <n v="10.98"/>
    <s v="unk"/>
    <d v="2017-01-13T01:08:04"/>
    <s v="unk"/>
    <d v="2017-01-13T01:08:04"/>
    <s v="unk"/>
    <x v="2"/>
  </r>
  <r>
    <s v="2015-02-07 Serina Booker [652]"/>
    <n v="652"/>
    <d v="2015-02-07T00:00:00"/>
    <x v="43"/>
    <n v="16.97"/>
    <s v="unk"/>
    <d v="2017-01-13T01:08:04"/>
    <s v="unk"/>
    <d v="2017-01-13T01:08:04"/>
    <s v="unk"/>
    <x v="2"/>
  </r>
  <r>
    <s v="2015-02-07 Tate Lowery [654]"/>
    <n v="654"/>
    <d v="2015-02-07T00:00:00"/>
    <x v="18"/>
    <n v="20.97"/>
    <s v="unk"/>
    <d v="2017-01-13T01:08:04"/>
    <s v="unk"/>
    <d v="2017-01-13T01:08:04"/>
    <s v="unk"/>
    <x v="2"/>
  </r>
  <r>
    <s v="2015-02-09 Indira Suarez [660]"/>
    <n v="660"/>
    <d v="2015-02-09T00:00:00"/>
    <x v="28"/>
    <n v="24.97"/>
    <s v="unk"/>
    <d v="2017-01-13T01:08:04"/>
    <s v="unk"/>
    <d v="2017-01-13T01:08:04"/>
    <s v="unk"/>
    <x v="2"/>
  </r>
  <r>
    <s v="2015-02-25 Zorita Rutledge [662]"/>
    <n v="662"/>
    <d v="2015-02-25T00:00:00"/>
    <x v="44"/>
    <n v="35.950000000000003"/>
    <s v="unk"/>
    <d v="2017-01-13T01:08:04"/>
    <s v="unk"/>
    <d v="2017-01-13T01:08:04"/>
    <s v="unk"/>
    <x v="2"/>
  </r>
  <r>
    <s v="2015-02-01 Kendall Rocha [716]"/>
    <n v="716"/>
    <d v="2015-02-01T00:00:00"/>
    <x v="32"/>
    <n v="26.97"/>
    <s v="unk"/>
    <d v="2017-01-13T01:08:04"/>
    <s v="unk"/>
    <d v="2017-01-13T01:08:04"/>
    <s v="unk"/>
    <x v="2"/>
  </r>
  <r>
    <s v="2015-02-28 Rhoda Vance [719]"/>
    <n v="719"/>
    <d v="2015-02-28T00:00:00"/>
    <x v="31"/>
    <n v="9.99"/>
    <s v="unk"/>
    <d v="2017-01-13T01:08:04"/>
    <s v="unk"/>
    <d v="2017-01-13T01:08:04"/>
    <s v="unk"/>
    <x v="2"/>
  </r>
  <r>
    <s v="2015-02-27 Kendall Rocha [731]"/>
    <n v="731"/>
    <d v="2015-02-27T00:00:00"/>
    <x v="32"/>
    <n v="22.97"/>
    <s v="unk"/>
    <d v="2017-01-13T01:08:04"/>
    <s v="unk"/>
    <d v="2017-01-13T01:08:04"/>
    <s v="unk"/>
    <x v="2"/>
  </r>
  <r>
    <s v="2015-02-05 Kendall Rocha [744]"/>
    <n v="744"/>
    <d v="2015-02-05T00:00:00"/>
    <x v="32"/>
    <n v="35.96"/>
    <s v="unk"/>
    <d v="2017-01-13T01:08:04"/>
    <s v="unk"/>
    <d v="2017-01-13T01:08:04"/>
    <s v="unk"/>
    <x v="2"/>
  </r>
  <r>
    <s v="2015-02-16 Eugenia Roman [780]"/>
    <n v="780"/>
    <d v="2015-02-16T00:00:00"/>
    <x v="27"/>
    <n v="69.92"/>
    <s v="unk"/>
    <d v="2017-01-13T01:08:04"/>
    <s v="unk"/>
    <d v="2017-01-13T01:08:04"/>
    <s v="unk"/>
    <x v="2"/>
  </r>
  <r>
    <s v="2015-02-21 Eugenia Roman [816]"/>
    <n v="816"/>
    <d v="2015-02-21T00:00:00"/>
    <x v="27"/>
    <n v="38.950000000000003"/>
    <s v="unk"/>
    <d v="2017-01-13T01:08:04"/>
    <s v="unk"/>
    <d v="2017-01-13T01:08:04"/>
    <s v="unk"/>
    <x v="2"/>
  </r>
  <r>
    <s v="2015-02-24 Indira Suarez [823]"/>
    <n v="823"/>
    <d v="2015-02-24T00:00:00"/>
    <x v="28"/>
    <n v="17.98"/>
    <s v="unk"/>
    <d v="2017-01-13T01:08:04"/>
    <s v="unk"/>
    <d v="2017-01-13T01:08:04"/>
    <s v="unk"/>
    <x v="2"/>
  </r>
  <r>
    <s v="2015-02-02 Indira Suarez [920]"/>
    <n v="920"/>
    <d v="2015-02-02T00:00:00"/>
    <x v="28"/>
    <n v="5.99"/>
    <s v="unk"/>
    <d v="2017-01-13T01:08:04"/>
    <s v="unk"/>
    <d v="2017-01-13T01:08:04"/>
    <s v="unk"/>
    <x v="2"/>
  </r>
  <r>
    <s v="2015-02-12 Lillian Larsen [941]"/>
    <n v="941"/>
    <d v="2015-02-12T00:00:00"/>
    <x v="24"/>
    <n v="36.96"/>
    <s v="unk"/>
    <d v="2017-01-13T01:08:04"/>
    <s v="unk"/>
    <d v="2017-01-13T01:08:04"/>
    <s v="unk"/>
    <x v="2"/>
  </r>
  <r>
    <s v="2015-02-22 Melvin Finch [953]"/>
    <n v="953"/>
    <d v="2015-02-22T00:00:00"/>
    <x v="25"/>
    <n v="29.97"/>
    <s v="unk"/>
    <d v="2017-01-13T01:08:04"/>
    <s v="unk"/>
    <d v="2017-01-13T01:08:04"/>
    <s v="unk"/>
    <x v="2"/>
  </r>
  <r>
    <s v="2015-02-26 Cameron Burton [971]"/>
    <n v="971"/>
    <d v="2015-02-26T00:00:00"/>
    <x v="12"/>
    <n v="49.93"/>
    <s v="unk"/>
    <d v="2017-01-13T01:08:04"/>
    <s v="unk"/>
    <d v="2017-01-13T01:08:04"/>
    <s v="unk"/>
    <x v="2"/>
  </r>
  <r>
    <s v="2015-02-22 Cameron Burton [976]"/>
    <n v="976"/>
    <d v="2015-02-22T00:00:00"/>
    <x v="12"/>
    <n v="30.96"/>
    <s v="unk"/>
    <d v="2017-01-13T01:08:04"/>
    <s v="unk"/>
    <d v="2017-01-13T01:08:04"/>
    <s v="unk"/>
    <x v="2"/>
  </r>
  <r>
    <s v="2015-02-20 Eugenia Roman [1002]"/>
    <n v="1002"/>
    <d v="2015-02-20T00:00:00"/>
    <x v="27"/>
    <n v="49.93"/>
    <s v="unk"/>
    <d v="2017-01-13T01:08:04"/>
    <s v="unk"/>
    <d v="2017-01-13T01:08:04"/>
    <s v="unk"/>
    <x v="2"/>
  </r>
  <r>
    <s v="2015-02-24 Cameron Burton [1006]"/>
    <n v="1006"/>
    <d v="2015-02-24T00:00:00"/>
    <x v="12"/>
    <n v="47.95"/>
    <s v="unk"/>
    <d v="2017-01-13T01:08:04"/>
    <s v="unk"/>
    <d v="2017-01-13T01:08:04"/>
    <s v="unk"/>
    <x v="2"/>
  </r>
  <r>
    <s v="2015-02-19 Kendall Rocha [1015]"/>
    <n v="1015"/>
    <d v="2015-02-19T00:00:00"/>
    <x v="32"/>
    <n v="29.97"/>
    <s v="unk"/>
    <d v="2017-01-13T01:08:04"/>
    <s v="unk"/>
    <d v="2017-01-13T01:08:04"/>
    <s v="unk"/>
    <x v="2"/>
  </r>
  <r>
    <s v="2015-02-03 Eugenia Roman [1052]"/>
    <n v="1052"/>
    <d v="2015-02-03T00:00:00"/>
    <x v="27"/>
    <n v="100.88"/>
    <s v="unk"/>
    <d v="2017-01-13T01:08:04"/>
    <s v="unk"/>
    <d v="2017-01-13T01:08:04"/>
    <s v="unk"/>
    <x v="2"/>
  </r>
  <r>
    <s v="2015-02-28 Hayley Foster [1060]"/>
    <n v="1060"/>
    <d v="2015-02-28T00:00:00"/>
    <x v="30"/>
    <n v="40.950000000000003"/>
    <s v="unk"/>
    <d v="2017-01-13T01:08:04"/>
    <s v="unk"/>
    <d v="2017-01-13T01:08:04"/>
    <s v="unk"/>
    <x v="2"/>
  </r>
  <r>
    <s v="2015-02-10 Rhoda Vance [1062]"/>
    <n v="1062"/>
    <d v="2015-02-10T00:00:00"/>
    <x v="31"/>
    <n v="37.96"/>
    <s v="unk"/>
    <d v="2017-01-13T01:08:04"/>
    <s v="unk"/>
    <d v="2017-01-13T01:08:04"/>
    <s v="unk"/>
    <x v="2"/>
  </r>
  <r>
    <s v="2015-02-25 Hayley Foster [1067]"/>
    <n v="1067"/>
    <d v="2015-02-25T00:00:00"/>
    <x v="30"/>
    <n v="24.97"/>
    <s v="unk"/>
    <d v="2017-01-13T01:08:04"/>
    <s v="unk"/>
    <d v="2017-01-13T01:08:04"/>
    <s v="unk"/>
    <x v="2"/>
  </r>
  <r>
    <s v="2015-02-14 Melvin Finch [1075]"/>
    <n v="1075"/>
    <d v="2015-02-14T00:00:00"/>
    <x v="25"/>
    <n v="65.92"/>
    <s v="unk"/>
    <d v="2017-01-13T01:08:04"/>
    <s v="unk"/>
    <d v="2017-01-13T01:08:04"/>
    <s v="unk"/>
    <x v="2"/>
  </r>
  <r>
    <s v="2015-02-23 Kendall Rocha [1080]"/>
    <n v="1080"/>
    <d v="2015-02-23T00:00:00"/>
    <x v="32"/>
    <n v="23.97"/>
    <s v="unk"/>
    <d v="2017-01-13T01:08:04"/>
    <s v="unk"/>
    <d v="2017-01-13T01:08:04"/>
    <s v="unk"/>
    <x v="2"/>
  </r>
  <r>
    <s v="2015-02-14 Kendall Rocha [1090]"/>
    <n v="1090"/>
    <d v="2015-02-14T00:00:00"/>
    <x v="32"/>
    <n v="8.99"/>
    <s v="unk"/>
    <d v="2017-01-13T01:08:04"/>
    <s v="unk"/>
    <d v="2017-01-13T01:08:04"/>
    <s v="unk"/>
    <x v="2"/>
  </r>
  <r>
    <s v="2015-02-09 Melvin Finch [1112]"/>
    <n v="1112"/>
    <d v="2015-02-09T00:00:00"/>
    <x v="25"/>
    <n v="57.93"/>
    <s v="unk"/>
    <d v="2017-01-13T01:08:04"/>
    <s v="unk"/>
    <d v="2017-01-13T01:08:04"/>
    <s v="unk"/>
    <x v="2"/>
  </r>
  <r>
    <s v="2015-02-12 Lillian Larsen [1154]"/>
    <n v="1154"/>
    <d v="2015-02-12T00:00:00"/>
    <x v="24"/>
    <n v="61.92"/>
    <s v="unk"/>
    <d v="2017-01-13T01:08:04"/>
    <s v="unk"/>
    <d v="2017-01-13T01:08:04"/>
    <s v="unk"/>
    <x v="2"/>
  </r>
  <r>
    <s v="2015-02-05 Lillian Larsen [1157]"/>
    <n v="1157"/>
    <d v="2015-02-05T00:00:00"/>
    <x v="24"/>
    <n v="9.99"/>
    <s v="unk"/>
    <d v="2017-01-13T01:08:04"/>
    <s v="unk"/>
    <d v="2017-01-13T01:08:04"/>
    <s v="unk"/>
    <x v="2"/>
  </r>
  <r>
    <s v="2015-03-24 Dale Fry [4]"/>
    <n v="4"/>
    <d v="2015-03-24T00:00:00"/>
    <x v="45"/>
    <n v="15.98"/>
    <s v="unk"/>
    <d v="2017-01-13T01:08:04"/>
    <s v="unk"/>
    <d v="2017-01-13T01:08:04"/>
    <s v="unk"/>
    <x v="3"/>
  </r>
  <r>
    <s v="2015-03-08 Colby Clay [8]"/>
    <n v="8"/>
    <d v="2015-03-08T00:00:00"/>
    <x v="46"/>
    <n v="33.950000000000003"/>
    <s v="unk"/>
    <d v="2017-01-13T01:08:04"/>
    <s v="unk"/>
    <d v="2017-01-13T01:08:04"/>
    <s v="unk"/>
    <x v="3"/>
  </r>
  <r>
    <s v="2015-03-06 Doris Valdez [16]"/>
    <n v="16"/>
    <d v="2015-03-06T00:00:00"/>
    <x v="47"/>
    <n v="42.95"/>
    <s v="unk"/>
    <d v="2017-01-13T01:08:04"/>
    <s v="unk"/>
    <d v="2017-01-13T01:08:04"/>
    <s v="unk"/>
    <x v="3"/>
  </r>
  <r>
    <s v="2015-03-08 Zorita Rutledge [34]"/>
    <n v="34"/>
    <d v="2015-03-08T00:00:00"/>
    <x v="44"/>
    <n v="24.97"/>
    <s v="unk"/>
    <d v="2017-01-13T01:08:04"/>
    <s v="unk"/>
    <d v="2017-01-13T01:08:04"/>
    <s v="unk"/>
    <x v="3"/>
  </r>
  <r>
    <s v="2015-03-04 Mannix Owen [37]"/>
    <n v="37"/>
    <d v="2015-03-04T00:00:00"/>
    <x v="40"/>
    <n v="24.97"/>
    <s v="unk"/>
    <d v="2017-01-13T01:08:04"/>
    <s v="unk"/>
    <d v="2017-01-13T01:08:04"/>
    <s v="unk"/>
    <x v="3"/>
  </r>
  <r>
    <s v="2015-03-29 Ora Mann [45]"/>
    <n v="45"/>
    <d v="2015-03-29T00:00:00"/>
    <x v="33"/>
    <n v="17.98"/>
    <s v="unk"/>
    <d v="2017-01-13T01:08:04"/>
    <s v="unk"/>
    <d v="2017-01-13T01:08:04"/>
    <s v="unk"/>
    <x v="3"/>
  </r>
  <r>
    <s v="2015-03-12 Cherokee Tanner [68]"/>
    <n v="68"/>
    <d v="2015-03-12T00:00:00"/>
    <x v="48"/>
    <n v="61.93"/>
    <s v="unk"/>
    <d v="2017-01-13T01:08:04"/>
    <s v="unk"/>
    <d v="2017-01-13T01:08:04"/>
    <s v="unk"/>
    <x v="3"/>
  </r>
  <r>
    <s v="2015-03-27 Anne Slater [82]"/>
    <n v="82"/>
    <d v="2015-03-27T00:00:00"/>
    <x v="49"/>
    <n v="21.97"/>
    <s v="unk"/>
    <d v="2017-01-13T01:08:04"/>
    <s v="unk"/>
    <d v="2017-01-13T01:08:04"/>
    <s v="unk"/>
    <x v="3"/>
  </r>
  <r>
    <s v="2015-03-08 April Buckley [86]"/>
    <n v="86"/>
    <d v="2015-03-08T00:00:00"/>
    <x v="38"/>
    <n v="29.96"/>
    <s v="unk"/>
    <d v="2017-01-13T01:08:04"/>
    <s v="unk"/>
    <d v="2017-01-13T01:08:04"/>
    <s v="unk"/>
    <x v="3"/>
  </r>
  <r>
    <s v="2015-03-08 Armando Le [164]"/>
    <n v="164"/>
    <d v="2015-03-08T00:00:00"/>
    <x v="4"/>
    <n v="28.97"/>
    <s v="unk"/>
    <d v="2017-01-13T01:08:04"/>
    <s v="unk"/>
    <d v="2017-01-13T01:08:04"/>
    <s v="unk"/>
    <x v="3"/>
  </r>
  <r>
    <s v="2015-03-21 Alexa Herring [167]"/>
    <n v="167"/>
    <d v="2015-03-21T00:00:00"/>
    <x v="50"/>
    <n v="48.92"/>
    <s v="unk"/>
    <d v="2017-01-13T01:08:04"/>
    <s v="unk"/>
    <d v="2017-01-13T01:08:04"/>
    <s v="unk"/>
    <x v="3"/>
  </r>
  <r>
    <s v="2015-03-31 Morgan Hoffman [170]"/>
    <n v="170"/>
    <d v="2015-03-31T00:00:00"/>
    <x v="51"/>
    <n v="62.92"/>
    <s v="unk"/>
    <d v="2017-01-13T01:08:04"/>
    <s v="unk"/>
    <d v="2017-01-13T01:08:04"/>
    <s v="unk"/>
    <x v="3"/>
  </r>
  <r>
    <s v="2015-03-28 Dale Fry [177]"/>
    <n v="177"/>
    <d v="2015-03-28T00:00:00"/>
    <x v="45"/>
    <n v="43.94"/>
    <s v="unk"/>
    <d v="2017-01-13T01:08:04"/>
    <s v="unk"/>
    <d v="2017-01-13T01:08:04"/>
    <s v="unk"/>
    <x v="3"/>
  </r>
  <r>
    <s v="2015-03-25 Cameron Burton [180]"/>
    <n v="180"/>
    <d v="2015-03-25T00:00:00"/>
    <x v="12"/>
    <n v="14.98"/>
    <s v="unk"/>
    <d v="2017-01-13T01:08:04"/>
    <s v="unk"/>
    <d v="2017-01-13T01:08:04"/>
    <s v="unk"/>
    <x v="3"/>
  </r>
  <r>
    <s v="2015-03-05 Armando Le [202]"/>
    <n v="202"/>
    <d v="2015-03-05T00:00:00"/>
    <x v="4"/>
    <n v="34.950000000000003"/>
    <s v="unk"/>
    <d v="2017-01-13T01:08:04"/>
    <s v="unk"/>
    <d v="2017-01-13T01:08:04"/>
    <s v="unk"/>
    <x v="3"/>
  </r>
  <r>
    <s v="2015-03-12 Mannix Owen [253]"/>
    <n v="253"/>
    <d v="2015-03-12T00:00:00"/>
    <x v="40"/>
    <n v="33.96"/>
    <s v="unk"/>
    <d v="2017-01-13T01:08:04"/>
    <s v="unk"/>
    <d v="2017-01-13T01:08:04"/>
    <s v="unk"/>
    <x v="3"/>
  </r>
  <r>
    <s v="2015-03-03 Mannix Owen [257]"/>
    <n v="257"/>
    <d v="2015-03-03T00:00:00"/>
    <x v="40"/>
    <n v="59.93"/>
    <s v="unk"/>
    <d v="2017-01-13T01:08:04"/>
    <s v="unk"/>
    <d v="2017-01-13T01:08:04"/>
    <s v="unk"/>
    <x v="3"/>
  </r>
  <r>
    <s v="2015-03-24 April Buckley [260]"/>
    <n v="260"/>
    <d v="2015-03-24T00:00:00"/>
    <x v="38"/>
    <n v="32.96"/>
    <s v="unk"/>
    <d v="2017-01-13T01:08:04"/>
    <s v="unk"/>
    <d v="2017-01-13T01:08:04"/>
    <s v="unk"/>
    <x v="3"/>
  </r>
  <r>
    <s v="2015-03-18 Clio Carter [277]"/>
    <n v="277"/>
    <d v="2015-03-18T00:00:00"/>
    <x v="37"/>
    <n v="29.96"/>
    <s v="unk"/>
    <d v="2017-01-13T01:08:04"/>
    <s v="unk"/>
    <d v="2017-01-13T01:08:04"/>
    <s v="unk"/>
    <x v="3"/>
  </r>
  <r>
    <s v="2015-03-03 Zorita Rutledge [329]"/>
    <n v="329"/>
    <d v="2015-03-03T00:00:00"/>
    <x v="44"/>
    <n v="7.99"/>
    <s v="unk"/>
    <d v="2017-01-13T01:08:04"/>
    <s v="unk"/>
    <d v="2017-01-13T01:08:04"/>
    <s v="unk"/>
    <x v="3"/>
  </r>
  <r>
    <s v="2015-03-16 Lionel Vargas [346]"/>
    <n v="346"/>
    <d v="2015-03-16T00:00:00"/>
    <x v="52"/>
    <n v="21.97"/>
    <s v="unk"/>
    <d v="2017-01-13T01:08:04"/>
    <s v="unk"/>
    <d v="2017-01-13T01:08:04"/>
    <s v="unk"/>
    <x v="3"/>
  </r>
  <r>
    <s v="2015-03-12 Yoshi Bennett [373]"/>
    <n v="373"/>
    <d v="2015-03-12T00:00:00"/>
    <x v="53"/>
    <n v="30.96"/>
    <s v="unk"/>
    <d v="2017-01-13T01:08:04"/>
    <s v="unk"/>
    <d v="2017-01-13T01:08:04"/>
    <s v="unk"/>
    <x v="3"/>
  </r>
  <r>
    <s v="2015-03-30 Theodore Mills [383]"/>
    <n v="383"/>
    <d v="2015-03-30T00:00:00"/>
    <x v="14"/>
    <n v="13.98"/>
    <s v="unk"/>
    <d v="2017-01-13T01:08:04"/>
    <s v="unk"/>
    <d v="2017-01-13T01:08:04"/>
    <s v="unk"/>
    <x v="3"/>
  </r>
  <r>
    <s v="2015-03-06 Marny Boyer [396]"/>
    <n v="396"/>
    <d v="2015-03-06T00:00:00"/>
    <x v="7"/>
    <n v="18.98"/>
    <s v="unk"/>
    <d v="2017-01-13T01:08:04"/>
    <s v="unk"/>
    <d v="2017-01-13T01:08:04"/>
    <s v="unk"/>
    <x v="3"/>
  </r>
  <r>
    <s v="2015-03-11 Tate Lowery [429]"/>
    <n v="429"/>
    <d v="2015-03-11T00:00:00"/>
    <x v="18"/>
    <n v="20.97"/>
    <s v="unk"/>
    <d v="2017-01-13T01:08:04"/>
    <s v="unk"/>
    <d v="2017-01-13T01:08:04"/>
    <s v="unk"/>
    <x v="3"/>
  </r>
  <r>
    <s v="2015-03-09 Quinn Ewing [440]"/>
    <n v="440"/>
    <d v="2015-03-09T00:00:00"/>
    <x v="36"/>
    <n v="95.88"/>
    <s v="unk"/>
    <d v="2017-01-13T01:08:04"/>
    <s v="unk"/>
    <d v="2017-01-13T01:08:04"/>
    <s v="unk"/>
    <x v="3"/>
  </r>
  <r>
    <s v="2015-03-24 Serina Booker [442]"/>
    <n v="442"/>
    <d v="2015-03-24T00:00:00"/>
    <x v="43"/>
    <n v="24.97"/>
    <s v="unk"/>
    <d v="2017-01-13T01:08:04"/>
    <s v="unk"/>
    <d v="2017-01-13T01:08:04"/>
    <s v="unk"/>
    <x v="3"/>
  </r>
  <r>
    <s v="2015-03-28 Shelly Bridges [445]"/>
    <n v="445"/>
    <d v="2015-03-28T00:00:00"/>
    <x v="23"/>
    <n v="51.93"/>
    <s v="unk"/>
    <d v="2017-01-13T01:08:04"/>
    <s v="unk"/>
    <d v="2017-01-13T01:08:04"/>
    <s v="unk"/>
    <x v="3"/>
  </r>
  <r>
    <s v="2015-03-20 Indira Suarez [481]"/>
    <n v="481"/>
    <d v="2015-03-20T00:00:00"/>
    <x v="28"/>
    <n v="5.99"/>
    <s v="unk"/>
    <d v="2017-01-13T01:08:04"/>
    <s v="unk"/>
    <d v="2017-01-13T01:08:04"/>
    <s v="unk"/>
    <x v="3"/>
  </r>
  <r>
    <s v="2015-03-05 Hayley Foster [525]"/>
    <n v="525"/>
    <d v="2015-03-05T00:00:00"/>
    <x v="30"/>
    <n v="46.93"/>
    <s v="unk"/>
    <d v="2017-01-13T01:08:04"/>
    <s v="unk"/>
    <d v="2017-01-13T01:08:04"/>
    <s v="unk"/>
    <x v="3"/>
  </r>
  <r>
    <s v="2015-03-22 Lois Valdez [538]"/>
    <n v="538"/>
    <d v="2015-03-22T00:00:00"/>
    <x v="54"/>
    <n v="11.98"/>
    <s v="unk"/>
    <d v="2017-01-13T01:08:04"/>
    <s v="unk"/>
    <d v="2017-01-13T01:08:04"/>
    <s v="unk"/>
    <x v="3"/>
  </r>
  <r>
    <s v="2015-03-04 Gabriel Carlson [566]"/>
    <n v="566"/>
    <d v="2015-03-04T00:00:00"/>
    <x v="55"/>
    <n v="4.99"/>
    <s v="unk"/>
    <d v="2017-01-13T01:08:04"/>
    <s v="unk"/>
    <d v="2017-01-13T01:08:04"/>
    <s v="unk"/>
    <x v="3"/>
  </r>
  <r>
    <s v="2015-03-20 Marny Boyer [587]"/>
    <n v="587"/>
    <d v="2015-03-20T00:00:00"/>
    <x v="7"/>
    <n v="18.98"/>
    <s v="unk"/>
    <d v="2017-01-13T01:08:04"/>
    <s v="unk"/>
    <d v="2017-01-13T01:08:04"/>
    <s v="unk"/>
    <x v="3"/>
  </r>
  <r>
    <s v="2015-03-28 Christine Medina [604]"/>
    <n v="604"/>
    <d v="2015-03-28T00:00:00"/>
    <x v="56"/>
    <n v="38.950000000000003"/>
    <s v="unk"/>
    <d v="2017-01-13T01:08:04"/>
    <s v="unk"/>
    <d v="2017-01-13T01:08:04"/>
    <s v="unk"/>
    <x v="3"/>
  </r>
  <r>
    <s v="2015-03-16 Mohammad Carrillo [609]"/>
    <n v="609"/>
    <d v="2015-03-16T00:00:00"/>
    <x v="39"/>
    <n v="42.94"/>
    <s v="unk"/>
    <d v="2017-01-13T01:08:04"/>
    <s v="unk"/>
    <d v="2017-01-13T01:08:04"/>
    <s v="unk"/>
    <x v="3"/>
  </r>
  <r>
    <s v="2015-03-18 Christine Medina [618]"/>
    <n v="618"/>
    <d v="2015-03-18T00:00:00"/>
    <x v="56"/>
    <n v="56.94"/>
    <s v="unk"/>
    <d v="2017-01-13T01:08:04"/>
    <s v="unk"/>
    <d v="2017-01-13T01:08:04"/>
    <s v="unk"/>
    <x v="3"/>
  </r>
  <r>
    <s v="2015-03-16 Anne Slater [641]"/>
    <n v="641"/>
    <d v="2015-03-16T00:00:00"/>
    <x v="49"/>
    <n v="33.96"/>
    <s v="unk"/>
    <d v="2017-01-13T01:08:04"/>
    <s v="unk"/>
    <d v="2017-01-13T01:08:04"/>
    <s v="unk"/>
    <x v="3"/>
  </r>
  <r>
    <s v="2015-03-23 Theodore Mills [649]"/>
    <n v="649"/>
    <d v="2015-03-23T00:00:00"/>
    <x v="14"/>
    <n v="9.99"/>
    <s v="unk"/>
    <d v="2017-01-13T01:08:04"/>
    <s v="unk"/>
    <d v="2017-01-13T01:08:04"/>
    <s v="unk"/>
    <x v="3"/>
  </r>
  <r>
    <s v="2015-03-04 Bruce Woods [666]"/>
    <n v="666"/>
    <d v="2015-03-04T00:00:00"/>
    <x v="57"/>
    <n v="45.94"/>
    <s v="unk"/>
    <d v="2017-01-13T01:08:04"/>
    <s v="unk"/>
    <d v="2017-01-13T01:08:04"/>
    <s v="unk"/>
    <x v="3"/>
  </r>
  <r>
    <s v="2015-03-25 Mary Moore [680]"/>
    <n v="680"/>
    <d v="2015-03-25T00:00:00"/>
    <x v="58"/>
    <n v="67.900000000000006"/>
    <s v="unk"/>
    <d v="2017-01-13T01:08:04"/>
    <s v="unk"/>
    <d v="2017-01-13T01:08:04"/>
    <s v="unk"/>
    <x v="3"/>
  </r>
  <r>
    <s v="2015-03-17 Belle Short [693]"/>
    <n v="693"/>
    <d v="2015-03-17T00:00:00"/>
    <x v="59"/>
    <n v="24.97"/>
    <s v="unk"/>
    <d v="2017-01-13T01:08:04"/>
    <s v="unk"/>
    <d v="2017-01-13T01:08:04"/>
    <s v="unk"/>
    <x v="3"/>
  </r>
  <r>
    <s v="2015-03-02 Cadman Huffman [698]"/>
    <n v="698"/>
    <d v="2015-03-02T00:00:00"/>
    <x v="60"/>
    <n v="45.95"/>
    <s v="unk"/>
    <d v="2017-01-13T01:08:04"/>
    <s v="unk"/>
    <d v="2017-01-13T01:08:04"/>
    <s v="unk"/>
    <x v="3"/>
  </r>
  <r>
    <s v="2015-03-25 Kendall Rocha [718]"/>
    <n v="718"/>
    <d v="2015-03-25T00:00:00"/>
    <x v="32"/>
    <n v="57.92"/>
    <s v="unk"/>
    <d v="2017-01-13T01:08:04"/>
    <s v="unk"/>
    <d v="2017-01-13T01:08:04"/>
    <s v="unk"/>
    <x v="3"/>
  </r>
  <r>
    <s v="2015-03-04 Indira Suarez [753]"/>
    <n v="753"/>
    <d v="2015-03-04T00:00:00"/>
    <x v="28"/>
    <n v="41.95"/>
    <s v="unk"/>
    <d v="2017-01-13T01:08:04"/>
    <s v="unk"/>
    <d v="2017-01-13T01:08:04"/>
    <s v="unk"/>
    <x v="3"/>
  </r>
  <r>
    <s v="2015-03-15 Cameron Burton [764]"/>
    <n v="764"/>
    <d v="2015-03-15T00:00:00"/>
    <x v="12"/>
    <n v="8.99"/>
    <s v="unk"/>
    <d v="2017-01-13T01:08:04"/>
    <s v="unk"/>
    <d v="2017-01-13T01:08:04"/>
    <s v="unk"/>
    <x v="3"/>
  </r>
  <r>
    <s v="2015-03-14 Cameron Burton [779]"/>
    <n v="779"/>
    <d v="2015-03-14T00:00:00"/>
    <x v="12"/>
    <n v="69.92"/>
    <s v="unk"/>
    <d v="2017-01-13T01:08:04"/>
    <s v="unk"/>
    <d v="2017-01-13T01:08:04"/>
    <s v="unk"/>
    <x v="3"/>
  </r>
  <r>
    <s v="2015-03-03 Cameron Rivera [795]"/>
    <n v="795"/>
    <d v="2015-03-03T00:00:00"/>
    <x v="26"/>
    <n v="9.99"/>
    <s v="unk"/>
    <d v="2017-01-13T01:08:04"/>
    <s v="unk"/>
    <d v="2017-01-13T01:08:04"/>
    <s v="unk"/>
    <x v="3"/>
  </r>
  <r>
    <s v="2015-03-31 Cameron Burton [836]"/>
    <n v="836"/>
    <d v="2015-03-31T00:00:00"/>
    <x v="12"/>
    <n v="42.95"/>
    <s v="unk"/>
    <d v="2017-01-13T01:08:04"/>
    <s v="unk"/>
    <d v="2017-01-13T01:08:04"/>
    <s v="unk"/>
    <x v="3"/>
  </r>
  <r>
    <s v="2015-03-14 Lillian Larsen [846]"/>
    <n v="846"/>
    <d v="2015-03-14T00:00:00"/>
    <x v="24"/>
    <n v="43.95"/>
    <s v="unk"/>
    <d v="2017-01-13T01:08:04"/>
    <s v="unk"/>
    <d v="2017-01-13T01:08:04"/>
    <s v="unk"/>
    <x v="3"/>
  </r>
  <r>
    <s v="2015-03-10 Melvin Finch [878]"/>
    <n v="878"/>
    <d v="2015-03-10T00:00:00"/>
    <x v="25"/>
    <n v="17.98"/>
    <s v="unk"/>
    <d v="2017-01-13T01:08:04"/>
    <s v="unk"/>
    <d v="2017-01-13T01:08:04"/>
    <s v="unk"/>
    <x v="3"/>
  </r>
  <r>
    <s v="2015-03-11 Cameron Burton [886]"/>
    <n v="886"/>
    <d v="2015-03-11T00:00:00"/>
    <x v="12"/>
    <n v="15.98"/>
    <s v="unk"/>
    <d v="2017-01-13T01:08:04"/>
    <s v="unk"/>
    <d v="2017-01-13T01:08:04"/>
    <s v="unk"/>
    <x v="3"/>
  </r>
  <r>
    <s v="2015-03-27 Stuart Vega [1000]"/>
    <n v="1000"/>
    <d v="2015-03-27T00:00:00"/>
    <x v="29"/>
    <n v="61.93"/>
    <s v="unk"/>
    <d v="2017-01-13T01:08:04"/>
    <s v="unk"/>
    <d v="2017-01-13T01:08:04"/>
    <s v="unk"/>
    <x v="3"/>
  </r>
  <r>
    <s v="2015-03-24 Indira Suarez [1037]"/>
    <n v="1037"/>
    <d v="2015-03-24T00:00:00"/>
    <x v="28"/>
    <n v="31.96"/>
    <s v="unk"/>
    <d v="2017-01-13T01:08:04"/>
    <s v="unk"/>
    <d v="2017-01-13T01:08:04"/>
    <s v="unk"/>
    <x v="3"/>
  </r>
  <r>
    <s v="2015-03-27 Melvin Finch [1085]"/>
    <n v="1085"/>
    <d v="2015-03-27T00:00:00"/>
    <x v="25"/>
    <n v="52.94"/>
    <s v="unk"/>
    <d v="2017-01-13T01:08:04"/>
    <s v="unk"/>
    <d v="2017-01-13T01:08:04"/>
    <s v="unk"/>
    <x v="3"/>
  </r>
  <r>
    <s v="2015-03-30 Eugenia Roman [1100]"/>
    <n v="1100"/>
    <d v="2015-03-30T00:00:00"/>
    <x v="27"/>
    <n v="65.92"/>
    <s v="unk"/>
    <d v="2017-01-13T01:08:04"/>
    <s v="unk"/>
    <d v="2017-01-13T01:08:04"/>
    <s v="unk"/>
    <x v="3"/>
  </r>
  <r>
    <s v="2015-03-10 Cameron Burton [1107]"/>
    <n v="1107"/>
    <d v="2015-03-10T00:00:00"/>
    <x v="12"/>
    <n v="15.98"/>
    <s v="unk"/>
    <d v="2017-01-13T01:08:04"/>
    <s v="unk"/>
    <d v="2017-01-13T01:08:04"/>
    <s v="unk"/>
    <x v="3"/>
  </r>
  <r>
    <s v="2015-03-25 Rhoda Vance [1134]"/>
    <n v="1134"/>
    <d v="2015-03-25T00:00:00"/>
    <x v="31"/>
    <n v="22.97"/>
    <s v="unk"/>
    <d v="2017-01-13T01:08:04"/>
    <s v="unk"/>
    <d v="2017-01-13T01:08:04"/>
    <s v="unk"/>
    <x v="3"/>
  </r>
  <r>
    <s v="2015-03-28 Eugenia Roman [1159]"/>
    <n v="1159"/>
    <d v="2015-03-28T00:00:00"/>
    <x v="27"/>
    <n v="22.97"/>
    <s v="unk"/>
    <d v="2017-01-13T01:08:04"/>
    <s v="unk"/>
    <d v="2017-01-13T01:08:04"/>
    <s v="unk"/>
    <x v="3"/>
  </r>
  <r>
    <s v="2015-03-09 Eugenia Roman [1170]"/>
    <n v="1170"/>
    <d v="2015-03-09T00:00:00"/>
    <x v="27"/>
    <n v="21.97"/>
    <s v="unk"/>
    <d v="2017-01-13T01:08:04"/>
    <s v="unk"/>
    <d v="2017-01-13T01:08:04"/>
    <s v="unk"/>
    <x v="3"/>
  </r>
  <r>
    <s v="2015-04-21 Rhoda Vance [6]"/>
    <n v="6"/>
    <d v="2015-04-21T00:00:00"/>
    <x v="31"/>
    <n v="33.96"/>
    <s v="unk"/>
    <d v="2017-01-13T01:08:04"/>
    <s v="unk"/>
    <d v="2017-01-13T01:08:04"/>
    <s v="unk"/>
    <x v="4"/>
  </r>
  <r>
    <s v="2015-04-30 Zorita Rutledge [11]"/>
    <n v="11"/>
    <d v="2015-04-30T00:00:00"/>
    <x v="44"/>
    <n v="32.950000000000003"/>
    <s v="unk"/>
    <d v="2017-01-13T01:08:04"/>
    <s v="unk"/>
    <d v="2017-01-13T01:08:04"/>
    <s v="unk"/>
    <x v="4"/>
  </r>
  <r>
    <s v="2015-04-16 Cheryl Edwards [67]"/>
    <n v="67"/>
    <d v="2015-04-16T00:00:00"/>
    <x v="61"/>
    <n v="23.97"/>
    <s v="unk"/>
    <d v="2017-01-13T01:08:04"/>
    <s v="unk"/>
    <d v="2017-01-13T01:08:04"/>
    <s v="unk"/>
    <x v="4"/>
  </r>
  <r>
    <s v="2015-04-19 Donna Molina [70]"/>
    <n v="70"/>
    <d v="2015-04-19T00:00:00"/>
    <x v="22"/>
    <n v="55.93"/>
    <s v="unk"/>
    <d v="2017-01-13T01:08:04"/>
    <s v="unk"/>
    <d v="2017-01-13T01:08:04"/>
    <s v="unk"/>
    <x v="4"/>
  </r>
  <r>
    <s v="2015-04-08 Jonah Griffin [74]"/>
    <n v="74"/>
    <d v="2015-04-08T00:00:00"/>
    <x v="2"/>
    <n v="12.98"/>
    <s v="unk"/>
    <d v="2017-01-13T01:08:04"/>
    <s v="unk"/>
    <d v="2017-01-13T01:08:04"/>
    <s v="unk"/>
    <x v="4"/>
  </r>
  <r>
    <s v="2015-04-11 Lucius Gallagher [79]"/>
    <n v="79"/>
    <d v="2015-04-11T00:00:00"/>
    <x v="19"/>
    <n v="28.96"/>
    <s v="unk"/>
    <d v="2017-01-13T01:08:04"/>
    <s v="unk"/>
    <d v="2017-01-13T01:08:04"/>
    <s v="unk"/>
    <x v="4"/>
  </r>
  <r>
    <s v="2015-04-24 Marny Boyer [213]"/>
    <n v="213"/>
    <d v="2015-04-24T00:00:00"/>
    <x v="7"/>
    <n v="25.97"/>
    <s v="unk"/>
    <d v="2017-01-13T01:08:04"/>
    <s v="unk"/>
    <d v="2017-01-13T01:08:04"/>
    <s v="unk"/>
    <x v="4"/>
  </r>
  <r>
    <s v="2015-04-01 Mary Moore [220]"/>
    <n v="220"/>
    <d v="2015-04-01T00:00:00"/>
    <x v="58"/>
    <n v="9.98"/>
    <s v="unk"/>
    <d v="2017-01-13T01:08:04"/>
    <s v="unk"/>
    <d v="2017-01-13T01:08:04"/>
    <s v="unk"/>
    <x v="4"/>
  </r>
  <r>
    <s v="2015-04-04 Colby Clay [241]"/>
    <n v="241"/>
    <d v="2015-04-04T00:00:00"/>
    <x v="46"/>
    <n v="24.97"/>
    <s v="unk"/>
    <d v="2017-01-13T01:08:04"/>
    <s v="unk"/>
    <d v="2017-01-13T01:08:04"/>
    <s v="unk"/>
    <x v="4"/>
  </r>
  <r>
    <s v="2015-04-09 Cameron Burton [281]"/>
    <n v="281"/>
    <d v="2015-04-09T00:00:00"/>
    <x v="12"/>
    <n v="94.89"/>
    <s v="unk"/>
    <d v="2017-01-13T01:08:04"/>
    <s v="unk"/>
    <d v="2017-01-13T01:08:04"/>
    <s v="unk"/>
    <x v="4"/>
  </r>
  <r>
    <s v="2015-04-08 Madeson Silva [308]"/>
    <n v="308"/>
    <d v="2015-04-08T00:00:00"/>
    <x v="15"/>
    <n v="6.99"/>
    <s v="unk"/>
    <d v="2017-01-13T01:08:04"/>
    <s v="unk"/>
    <d v="2017-01-13T01:08:04"/>
    <s v="unk"/>
    <x v="4"/>
  </r>
  <r>
    <s v="2015-04-03 Tate Lowery [356]"/>
    <n v="356"/>
    <d v="2015-04-03T00:00:00"/>
    <x v="18"/>
    <n v="54.94"/>
    <s v="unk"/>
    <d v="2017-01-13T01:08:04"/>
    <s v="unk"/>
    <d v="2017-01-13T01:08:04"/>
    <s v="unk"/>
    <x v="4"/>
  </r>
  <r>
    <s v="2015-04-07 Hermione Maldonado [357]"/>
    <n v="357"/>
    <d v="2015-04-07T00:00:00"/>
    <x v="42"/>
    <n v="5.99"/>
    <s v="unk"/>
    <d v="2017-01-13T01:08:04"/>
    <s v="unk"/>
    <d v="2017-01-13T01:08:04"/>
    <s v="unk"/>
    <x v="4"/>
  </r>
  <r>
    <s v="2015-04-20 Buffy Jennings [399]"/>
    <n v="399"/>
    <d v="2015-04-20T00:00:00"/>
    <x v="17"/>
    <n v="26.97"/>
    <s v="unk"/>
    <d v="2017-01-13T01:08:04"/>
    <s v="unk"/>
    <d v="2017-01-13T01:08:04"/>
    <s v="unk"/>
    <x v="4"/>
  </r>
  <r>
    <s v="2015-04-18 Rhonda Curtis [415]"/>
    <n v="415"/>
    <d v="2015-04-18T00:00:00"/>
    <x v="16"/>
    <n v="13.98"/>
    <s v="unk"/>
    <d v="2017-01-13T01:08:04"/>
    <s v="unk"/>
    <d v="2017-01-13T01:08:04"/>
    <s v="unk"/>
    <x v="4"/>
  </r>
  <r>
    <s v="2015-04-24 Mannix Owen [521]"/>
    <n v="521"/>
    <d v="2015-04-24T00:00:00"/>
    <x v="40"/>
    <n v="23.97"/>
    <s v="unk"/>
    <d v="2017-01-13T01:08:04"/>
    <s v="unk"/>
    <d v="2017-01-13T01:08:04"/>
    <s v="unk"/>
    <x v="4"/>
  </r>
  <r>
    <s v="2015-04-10 Akeem Kennedy [530]"/>
    <n v="530"/>
    <d v="2015-04-10T00:00:00"/>
    <x v="10"/>
    <n v="17.98"/>
    <s v="unk"/>
    <d v="2017-01-13T01:08:04"/>
    <s v="unk"/>
    <d v="2017-01-13T01:08:04"/>
    <s v="unk"/>
    <x v="4"/>
  </r>
  <r>
    <s v="2015-04-17 Indira Suarez [563]"/>
    <n v="563"/>
    <d v="2015-04-17T00:00:00"/>
    <x v="28"/>
    <n v="50.94"/>
    <s v="unk"/>
    <d v="2017-01-13T01:08:04"/>
    <s v="unk"/>
    <d v="2017-01-13T01:08:04"/>
    <s v="unk"/>
    <x v="4"/>
  </r>
  <r>
    <s v="2015-04-21 Quinn Ewing [567]"/>
    <n v="567"/>
    <d v="2015-04-21T00:00:00"/>
    <x v="36"/>
    <n v="58.92"/>
    <s v="unk"/>
    <d v="2017-01-13T01:08:04"/>
    <s v="unk"/>
    <d v="2017-01-13T01:08:04"/>
    <s v="unk"/>
    <x v="4"/>
  </r>
  <r>
    <s v="2015-04-22 Tanek Santos [596]"/>
    <n v="596"/>
    <d v="2015-04-22T00:00:00"/>
    <x v="13"/>
    <n v="27.97"/>
    <s v="unk"/>
    <d v="2017-01-13T01:08:04"/>
    <s v="unk"/>
    <d v="2017-01-13T01:08:04"/>
    <s v="unk"/>
    <x v="4"/>
  </r>
  <r>
    <s v="2015-04-06 Cameron Burton [648]"/>
    <n v="648"/>
    <d v="2015-04-06T00:00:00"/>
    <x v="12"/>
    <n v="48.94"/>
    <s v="unk"/>
    <d v="2017-01-13T01:08:04"/>
    <s v="unk"/>
    <d v="2017-01-13T01:08:04"/>
    <s v="unk"/>
    <x v="4"/>
  </r>
  <r>
    <s v="2015-04-02 Rhonda Curtis [653]"/>
    <n v="653"/>
    <d v="2015-04-02T00:00:00"/>
    <x v="16"/>
    <n v="32.950000000000003"/>
    <s v="unk"/>
    <d v="2017-01-13T01:08:04"/>
    <s v="unk"/>
    <d v="2017-01-13T01:08:04"/>
    <s v="unk"/>
    <x v="4"/>
  </r>
  <r>
    <s v="2015-04-13 Zeus Trujillo [691]"/>
    <n v="691"/>
    <d v="2015-04-13T00:00:00"/>
    <x v="9"/>
    <n v="78.900000000000006"/>
    <s v="unk"/>
    <d v="2017-01-13T01:08:04"/>
    <s v="unk"/>
    <d v="2017-01-13T01:08:04"/>
    <s v="unk"/>
    <x v="4"/>
  </r>
  <r>
    <s v="2015-04-21 Indira Suarez [709]"/>
    <n v="709"/>
    <d v="2015-04-21T00:00:00"/>
    <x v="28"/>
    <n v="30.96"/>
    <s v="unk"/>
    <d v="2017-01-13T01:08:04"/>
    <s v="unk"/>
    <d v="2017-01-13T01:08:04"/>
    <s v="unk"/>
    <x v="4"/>
  </r>
  <r>
    <s v="2015-04-16 Hayley Foster [720]"/>
    <n v="720"/>
    <d v="2015-04-16T00:00:00"/>
    <x v="30"/>
    <n v="29.96"/>
    <s v="unk"/>
    <d v="2017-01-13T01:08:04"/>
    <s v="unk"/>
    <d v="2017-01-13T01:08:04"/>
    <s v="unk"/>
    <x v="4"/>
  </r>
  <r>
    <s v="2015-04-20 Stuart Vega [736]"/>
    <n v="736"/>
    <d v="2015-04-20T00:00:00"/>
    <x v="29"/>
    <n v="25.97"/>
    <s v="unk"/>
    <d v="2017-01-13T01:08:04"/>
    <s v="unk"/>
    <d v="2017-01-13T01:08:04"/>
    <s v="unk"/>
    <x v="4"/>
  </r>
  <r>
    <s v="2015-04-09 Rhoda Vance [760]"/>
    <n v="760"/>
    <d v="2015-04-09T00:00:00"/>
    <x v="31"/>
    <n v="29.96"/>
    <s v="unk"/>
    <d v="2017-01-13T01:08:04"/>
    <s v="unk"/>
    <d v="2017-01-13T01:08:04"/>
    <s v="unk"/>
    <x v="4"/>
  </r>
  <r>
    <s v="2015-04-15 Cameron Rivera [790]"/>
    <n v="790"/>
    <d v="2015-04-15T00:00:00"/>
    <x v="26"/>
    <n v="36.96"/>
    <s v="unk"/>
    <d v="2017-01-13T01:08:04"/>
    <s v="unk"/>
    <d v="2017-01-13T01:08:04"/>
    <s v="unk"/>
    <x v="4"/>
  </r>
  <r>
    <s v="2015-04-14 Kendall Rocha [835]"/>
    <n v="835"/>
    <d v="2015-04-14T00:00:00"/>
    <x v="32"/>
    <n v="5.99"/>
    <s v="unk"/>
    <d v="2017-01-13T01:08:04"/>
    <s v="unk"/>
    <d v="2017-01-13T01:08:04"/>
    <s v="unk"/>
    <x v="4"/>
  </r>
  <r>
    <s v="2015-04-10 Hayley Foster [839]"/>
    <n v="839"/>
    <d v="2015-04-10T00:00:00"/>
    <x v="30"/>
    <n v="17.98"/>
    <s v="unk"/>
    <d v="2017-01-13T01:08:04"/>
    <s v="unk"/>
    <d v="2017-01-13T01:08:04"/>
    <s v="unk"/>
    <x v="4"/>
  </r>
  <r>
    <s v="2015-04-05 Kendall Rocha [856]"/>
    <n v="856"/>
    <d v="2015-04-05T00:00:00"/>
    <x v="32"/>
    <n v="21.97"/>
    <s v="unk"/>
    <d v="2017-01-13T01:08:04"/>
    <s v="unk"/>
    <d v="2017-01-13T01:08:04"/>
    <s v="unk"/>
    <x v="4"/>
  </r>
  <r>
    <s v="2015-04-25 Stuart Vega [864]"/>
    <n v="864"/>
    <d v="2015-04-25T00:00:00"/>
    <x v="29"/>
    <n v="41.95"/>
    <s v="unk"/>
    <d v="2017-01-13T01:08:04"/>
    <s v="unk"/>
    <d v="2017-01-13T01:08:04"/>
    <s v="unk"/>
    <x v="4"/>
  </r>
  <r>
    <s v="2015-04-21 Melvin Finch [884]"/>
    <n v="884"/>
    <d v="2015-04-21T00:00:00"/>
    <x v="25"/>
    <n v="20.97"/>
    <s v="unk"/>
    <d v="2017-01-13T01:08:04"/>
    <s v="unk"/>
    <d v="2017-01-13T01:08:04"/>
    <s v="unk"/>
    <x v="4"/>
  </r>
  <r>
    <s v="2015-04-15 Indira Suarez [970]"/>
    <n v="970"/>
    <d v="2015-04-15T00:00:00"/>
    <x v="28"/>
    <n v="27.97"/>
    <s v="unk"/>
    <d v="2017-01-13T01:08:04"/>
    <s v="unk"/>
    <d v="2017-01-13T01:08:04"/>
    <s v="unk"/>
    <x v="4"/>
  </r>
  <r>
    <s v="2015-04-14 Kendall Rocha [1003]"/>
    <n v="1003"/>
    <d v="2015-04-14T00:00:00"/>
    <x v="32"/>
    <n v="16.98"/>
    <s v="unk"/>
    <d v="2017-01-13T01:08:04"/>
    <s v="unk"/>
    <d v="2017-01-13T01:08:04"/>
    <s v="unk"/>
    <x v="4"/>
  </r>
  <r>
    <s v="2015-04-19 Melvin Finch [1034]"/>
    <n v="1034"/>
    <d v="2015-04-19T00:00:00"/>
    <x v="25"/>
    <n v="11.98"/>
    <s v="unk"/>
    <d v="2017-01-13T01:08:04"/>
    <s v="unk"/>
    <d v="2017-01-13T01:08:04"/>
    <s v="unk"/>
    <x v="4"/>
  </r>
  <r>
    <s v="2015-04-20 Kendall Rocha [1078]"/>
    <n v="1078"/>
    <d v="2015-04-20T00:00:00"/>
    <x v="32"/>
    <n v="17.98"/>
    <s v="unk"/>
    <d v="2017-01-13T01:08:04"/>
    <s v="unk"/>
    <d v="2017-01-13T01:08:04"/>
    <s v="unk"/>
    <x v="4"/>
  </r>
  <r>
    <s v="2015-04-27 Rhoda Vance [1099]"/>
    <n v="1099"/>
    <d v="2015-04-27T00:00:00"/>
    <x v="31"/>
    <n v="87.9"/>
    <s v="unk"/>
    <d v="2017-01-13T01:08:04"/>
    <s v="unk"/>
    <d v="2017-01-13T01:08:04"/>
    <s v="unk"/>
    <x v="4"/>
  </r>
  <r>
    <s v="2015-04-01 Stuart Vega [1117]"/>
    <n v="1117"/>
    <d v="2015-04-01T00:00:00"/>
    <x v="29"/>
    <n v="14.98"/>
    <s v="unk"/>
    <d v="2017-01-13T01:08:04"/>
    <s v="unk"/>
    <d v="2017-01-13T01:08:04"/>
    <s v="unk"/>
    <x v="4"/>
  </r>
  <r>
    <s v="2015-04-17 Melvin Finch [1191]"/>
    <n v="1191"/>
    <d v="2015-04-17T00:00:00"/>
    <x v="25"/>
    <n v="94.88"/>
    <s v="unk"/>
    <d v="2017-01-13T01:08:04"/>
    <s v="unk"/>
    <d v="2017-01-13T01:08:04"/>
    <s v="unk"/>
    <x v="4"/>
  </r>
  <r>
    <s v="2015-05-26 April Buckley [54]"/>
    <n v="54"/>
    <d v="2015-05-26T00:00:00"/>
    <x v="38"/>
    <n v="44.94"/>
    <s v="unk"/>
    <d v="2017-01-13T01:08:04"/>
    <s v="unk"/>
    <d v="2017-01-13T01:08:04"/>
    <s v="unk"/>
    <x v="5"/>
  </r>
  <r>
    <s v="2015-05-20 Madeson Silva [120]"/>
    <n v="120"/>
    <d v="2015-05-20T00:00:00"/>
    <x v="15"/>
    <n v="23.97"/>
    <s v="unk"/>
    <d v="2017-01-13T01:08:04"/>
    <s v="unk"/>
    <d v="2017-01-13T01:08:04"/>
    <s v="unk"/>
    <x v="5"/>
  </r>
  <r>
    <s v="2015-05-12 Cadman Huffman [189]"/>
    <n v="189"/>
    <d v="2015-05-12T00:00:00"/>
    <x v="60"/>
    <n v="29.96"/>
    <s v="unk"/>
    <d v="2017-01-13T01:08:04"/>
    <s v="unk"/>
    <d v="2017-01-13T01:08:04"/>
    <s v="unk"/>
    <x v="5"/>
  </r>
  <r>
    <s v="2015-05-24 Cadman Huffman [204]"/>
    <n v="204"/>
    <d v="2015-05-24T00:00:00"/>
    <x v="60"/>
    <n v="44.95"/>
    <s v="unk"/>
    <d v="2017-01-13T01:08:04"/>
    <s v="unk"/>
    <d v="2017-01-13T01:08:04"/>
    <s v="unk"/>
    <x v="5"/>
  </r>
  <r>
    <s v="2015-05-25 Stacey Kirk [250]"/>
    <n v="250"/>
    <d v="2015-05-25T00:00:00"/>
    <x v="11"/>
    <n v="47.95"/>
    <s v="unk"/>
    <d v="2017-01-13T01:08:04"/>
    <s v="unk"/>
    <d v="2017-01-13T01:08:04"/>
    <s v="unk"/>
    <x v="5"/>
  </r>
  <r>
    <s v="2015-05-14 Abigail Shepard [262]"/>
    <n v="262"/>
    <d v="2015-05-14T00:00:00"/>
    <x v="62"/>
    <n v="19.97"/>
    <s v="unk"/>
    <d v="2017-01-13T01:08:04"/>
    <s v="unk"/>
    <d v="2017-01-13T01:08:04"/>
    <s v="unk"/>
    <x v="5"/>
  </r>
  <r>
    <s v="2015-05-18 Cadman Huffman [263]"/>
    <n v="263"/>
    <d v="2015-05-18T00:00:00"/>
    <x v="60"/>
    <n v="61.93"/>
    <s v="unk"/>
    <d v="2017-01-13T01:08:04"/>
    <s v="unk"/>
    <d v="2017-01-13T01:08:04"/>
    <s v="unk"/>
    <x v="5"/>
  </r>
  <r>
    <s v="2015-05-24 Anne Slater [266]"/>
    <n v="266"/>
    <d v="2015-05-24T00:00:00"/>
    <x v="49"/>
    <n v="25.97"/>
    <s v="unk"/>
    <d v="2017-01-13T01:08:04"/>
    <s v="unk"/>
    <d v="2017-01-13T01:08:04"/>
    <s v="unk"/>
    <x v="5"/>
  </r>
  <r>
    <s v="2015-05-30 Hayley Foster [279]"/>
    <n v="279"/>
    <d v="2015-05-30T00:00:00"/>
    <x v="30"/>
    <n v="7.99"/>
    <s v="unk"/>
    <d v="2017-01-13T01:08:04"/>
    <s v="unk"/>
    <d v="2017-01-13T01:08:04"/>
    <s v="unk"/>
    <x v="5"/>
  </r>
  <r>
    <s v="2015-05-18 Mary Moore [297]"/>
    <n v="297"/>
    <d v="2015-05-18T00:00:00"/>
    <x v="58"/>
    <n v="37.950000000000003"/>
    <s v="unk"/>
    <d v="2017-01-13T01:08:04"/>
    <s v="unk"/>
    <d v="2017-01-13T01:08:04"/>
    <s v="unk"/>
    <x v="5"/>
  </r>
  <r>
    <s v="2015-05-15 Mannix Owen [333]"/>
    <n v="333"/>
    <d v="2015-05-15T00:00:00"/>
    <x v="40"/>
    <n v="45.92"/>
    <s v="unk"/>
    <d v="2017-01-13T01:08:04"/>
    <s v="unk"/>
    <d v="2017-01-13T01:08:04"/>
    <s v="unk"/>
    <x v="5"/>
  </r>
  <r>
    <s v="2015-05-28 Clio Carter [337]"/>
    <n v="337"/>
    <d v="2015-05-28T00:00:00"/>
    <x v="37"/>
    <n v="34.94"/>
    <s v="unk"/>
    <d v="2017-01-13T01:08:04"/>
    <s v="unk"/>
    <d v="2017-01-13T01:08:04"/>
    <s v="unk"/>
    <x v="5"/>
  </r>
  <r>
    <s v="2015-05-04 Lois Valdez [362]"/>
    <n v="362"/>
    <d v="2015-05-04T00:00:00"/>
    <x v="54"/>
    <n v="30.96"/>
    <s v="unk"/>
    <d v="2017-01-13T01:08:04"/>
    <s v="unk"/>
    <d v="2017-01-13T01:08:04"/>
    <s v="unk"/>
    <x v="5"/>
  </r>
  <r>
    <s v="2015-05-01 Shelly Bridges [376]"/>
    <n v="376"/>
    <d v="2015-05-01T00:00:00"/>
    <x v="23"/>
    <n v="31.96"/>
    <s v="unk"/>
    <d v="2017-01-13T01:08:04"/>
    <s v="unk"/>
    <d v="2017-01-13T01:08:04"/>
    <s v="unk"/>
    <x v="5"/>
  </r>
  <r>
    <s v="2015-05-11 Oprah Horton [377]"/>
    <n v="377"/>
    <d v="2015-05-11T00:00:00"/>
    <x v="20"/>
    <n v="18.97"/>
    <s v="unk"/>
    <d v="2017-01-13T01:08:04"/>
    <s v="unk"/>
    <d v="2017-01-13T01:08:04"/>
    <s v="unk"/>
    <x v="5"/>
  </r>
  <r>
    <s v="2015-05-22 Lucius Gallagher [379]"/>
    <n v="379"/>
    <d v="2015-05-22T00:00:00"/>
    <x v="19"/>
    <n v="20.97"/>
    <s v="unk"/>
    <d v="2017-01-13T01:08:04"/>
    <s v="unk"/>
    <d v="2017-01-13T01:08:04"/>
    <s v="unk"/>
    <x v="5"/>
  </r>
  <r>
    <s v="2015-05-23 John Drake [388]"/>
    <n v="388"/>
    <d v="2015-05-23T00:00:00"/>
    <x v="1"/>
    <n v="59.92"/>
    <s v="unk"/>
    <d v="2017-01-13T01:08:04"/>
    <s v="unk"/>
    <d v="2017-01-13T01:08:04"/>
    <s v="unk"/>
    <x v="5"/>
  </r>
  <r>
    <s v="2015-05-22 Quinn Ewing [394]"/>
    <n v="394"/>
    <d v="2015-05-22T00:00:00"/>
    <x v="36"/>
    <n v="20.97"/>
    <s v="unk"/>
    <d v="2017-01-13T01:08:04"/>
    <s v="unk"/>
    <d v="2017-01-13T01:08:04"/>
    <s v="unk"/>
    <x v="5"/>
  </r>
  <r>
    <s v="2015-05-16 Donna Molina [409]"/>
    <n v="409"/>
    <d v="2015-05-16T00:00:00"/>
    <x v="22"/>
    <n v="18.98"/>
    <s v="unk"/>
    <d v="2017-01-13T01:08:04"/>
    <s v="unk"/>
    <d v="2017-01-13T01:08:04"/>
    <s v="unk"/>
    <x v="5"/>
  </r>
  <r>
    <s v="2015-05-12 Mohammad Carrillo [412]"/>
    <n v="412"/>
    <d v="2015-05-12T00:00:00"/>
    <x v="39"/>
    <n v="34.96"/>
    <s v="unk"/>
    <d v="2017-01-13T01:08:04"/>
    <s v="unk"/>
    <d v="2017-01-13T01:08:04"/>
    <s v="unk"/>
    <x v="5"/>
  </r>
  <r>
    <s v="2015-05-05 Adrian Dodson [426]"/>
    <n v="426"/>
    <d v="2015-05-05T00:00:00"/>
    <x v="63"/>
    <n v="45.95"/>
    <s v="unk"/>
    <d v="2017-01-13T01:08:04"/>
    <s v="unk"/>
    <d v="2017-01-13T01:08:04"/>
    <s v="unk"/>
    <x v="5"/>
  </r>
  <r>
    <s v="2015-05-08 Lesley Keith [460]"/>
    <n v="460"/>
    <d v="2015-05-08T00:00:00"/>
    <x v="64"/>
    <n v="8.99"/>
    <s v="unk"/>
    <d v="2017-01-13T01:08:04"/>
    <s v="unk"/>
    <d v="2017-01-13T01:08:04"/>
    <s v="unk"/>
    <x v="5"/>
  </r>
  <r>
    <s v="2015-05-18 Cadman Huffman [535]"/>
    <n v="535"/>
    <d v="2015-05-18T00:00:00"/>
    <x v="60"/>
    <n v="34.96"/>
    <s v="unk"/>
    <d v="2017-01-13T01:08:04"/>
    <s v="unk"/>
    <d v="2017-01-13T01:08:04"/>
    <s v="unk"/>
    <x v="5"/>
  </r>
  <r>
    <s v="2015-05-25 Akeem Kennedy [549]"/>
    <n v="549"/>
    <d v="2015-05-25T00:00:00"/>
    <x v="10"/>
    <n v="55.93"/>
    <s v="unk"/>
    <d v="2017-01-13T01:08:04"/>
    <s v="unk"/>
    <d v="2017-01-13T01:08:04"/>
    <s v="unk"/>
    <x v="5"/>
  </r>
  <r>
    <s v="2015-05-17 Bruce Woods [559]"/>
    <n v="559"/>
    <d v="2015-05-17T00:00:00"/>
    <x v="57"/>
    <n v="5.99"/>
    <s v="unk"/>
    <d v="2017-01-13T01:08:04"/>
    <s v="unk"/>
    <d v="2017-01-13T01:08:04"/>
    <s v="unk"/>
    <x v="5"/>
  </r>
  <r>
    <s v="2015-05-16 Armando Le [579]"/>
    <n v="579"/>
    <d v="2015-05-16T00:00:00"/>
    <x v="4"/>
    <n v="7.99"/>
    <s v="unk"/>
    <d v="2017-01-13T01:08:04"/>
    <s v="unk"/>
    <d v="2017-01-13T01:08:04"/>
    <s v="unk"/>
    <x v="5"/>
  </r>
  <r>
    <s v="2015-05-25 Lionel Vargas [598]"/>
    <n v="598"/>
    <d v="2015-05-25T00:00:00"/>
    <x v="52"/>
    <n v="19.97"/>
    <s v="unk"/>
    <d v="2017-01-13T01:08:04"/>
    <s v="unk"/>
    <d v="2017-01-13T01:08:04"/>
    <s v="unk"/>
    <x v="5"/>
  </r>
  <r>
    <s v="2015-05-27 Yoshi Bennett [610]"/>
    <n v="610"/>
    <d v="2015-05-27T00:00:00"/>
    <x v="53"/>
    <n v="13.98"/>
    <s v="unk"/>
    <d v="2017-01-13T01:08:04"/>
    <s v="unk"/>
    <d v="2017-01-13T01:08:04"/>
    <s v="unk"/>
    <x v="5"/>
  </r>
  <r>
    <s v="2015-05-09 Christine Medina [625]"/>
    <n v="625"/>
    <d v="2015-05-09T00:00:00"/>
    <x v="56"/>
    <n v="37.950000000000003"/>
    <s v="unk"/>
    <d v="2017-01-13T01:08:04"/>
    <s v="unk"/>
    <d v="2017-01-13T01:08:04"/>
    <s v="unk"/>
    <x v="5"/>
  </r>
  <r>
    <s v="2015-05-13 Hayley Foster [634]"/>
    <n v="634"/>
    <d v="2015-05-13T00:00:00"/>
    <x v="30"/>
    <n v="14.97"/>
    <s v="unk"/>
    <d v="2017-01-13T01:08:04"/>
    <s v="unk"/>
    <d v="2017-01-13T01:08:04"/>
    <s v="unk"/>
    <x v="5"/>
  </r>
  <r>
    <s v="2015-05-24 Cadman Huffman [665]"/>
    <n v="665"/>
    <d v="2015-05-24T00:00:00"/>
    <x v="60"/>
    <n v="25.96"/>
    <s v="unk"/>
    <d v="2017-01-13T01:08:04"/>
    <s v="unk"/>
    <d v="2017-01-13T01:08:04"/>
    <s v="unk"/>
    <x v="5"/>
  </r>
  <r>
    <s v="2015-05-01 Mary Moore [687]"/>
    <n v="687"/>
    <d v="2015-05-01T00:00:00"/>
    <x v="58"/>
    <n v="13.98"/>
    <s v="unk"/>
    <d v="2017-01-13T01:08:04"/>
    <s v="unk"/>
    <d v="2017-01-13T01:08:04"/>
    <s v="unk"/>
    <x v="5"/>
  </r>
  <r>
    <s v="2015-05-09 Stuart Vega [724]"/>
    <n v="724"/>
    <d v="2015-05-09T00:00:00"/>
    <x v="29"/>
    <n v="7.99"/>
    <s v="unk"/>
    <d v="2017-01-13T01:08:04"/>
    <s v="unk"/>
    <d v="2017-01-13T01:08:04"/>
    <s v="unk"/>
    <x v="5"/>
  </r>
  <r>
    <s v="2015-05-06 Stuart Vega [725]"/>
    <n v="725"/>
    <d v="2015-05-06T00:00:00"/>
    <x v="29"/>
    <n v="35.950000000000003"/>
    <s v="unk"/>
    <d v="2017-01-13T01:08:04"/>
    <s v="unk"/>
    <d v="2017-01-13T01:08:04"/>
    <s v="unk"/>
    <x v="5"/>
  </r>
  <r>
    <s v="2015-05-20 Melvin Finch [739]"/>
    <n v="739"/>
    <d v="2015-05-20T00:00:00"/>
    <x v="25"/>
    <n v="50.93"/>
    <s v="unk"/>
    <d v="2017-01-13T01:08:04"/>
    <s v="unk"/>
    <d v="2017-01-13T01:08:04"/>
    <s v="unk"/>
    <x v="5"/>
  </r>
  <r>
    <s v="2015-05-26 Cameron Rivera [766]"/>
    <n v="766"/>
    <d v="2015-05-26T00:00:00"/>
    <x v="26"/>
    <n v="50.94"/>
    <s v="unk"/>
    <d v="2017-01-13T01:08:04"/>
    <s v="unk"/>
    <d v="2017-01-13T01:08:04"/>
    <s v="unk"/>
    <x v="5"/>
  </r>
  <r>
    <s v="2015-05-10 Eugenia Roman [788]"/>
    <n v="788"/>
    <d v="2015-05-10T00:00:00"/>
    <x v="27"/>
    <n v="65.930000000000007"/>
    <s v="unk"/>
    <d v="2017-01-13T01:08:04"/>
    <s v="unk"/>
    <d v="2017-01-13T01:08:04"/>
    <s v="unk"/>
    <x v="5"/>
  </r>
  <r>
    <s v="2015-05-14 Lillian Larsen [832]"/>
    <n v="832"/>
    <d v="2015-05-14T00:00:00"/>
    <x v="24"/>
    <n v="42.95"/>
    <s v="unk"/>
    <d v="2017-01-13T01:08:04"/>
    <s v="unk"/>
    <d v="2017-01-13T01:08:04"/>
    <s v="unk"/>
    <x v="5"/>
  </r>
  <r>
    <s v="2015-05-10 Cameron Rivera [843]"/>
    <n v="843"/>
    <d v="2015-05-10T00:00:00"/>
    <x v="26"/>
    <n v="17.98"/>
    <s v="unk"/>
    <d v="2017-01-13T01:08:04"/>
    <s v="unk"/>
    <d v="2017-01-13T01:08:04"/>
    <s v="unk"/>
    <x v="5"/>
  </r>
  <r>
    <s v="2015-05-05 Indira Suarez [862]"/>
    <n v="862"/>
    <d v="2015-05-05T00:00:00"/>
    <x v="28"/>
    <n v="84.9"/>
    <s v="unk"/>
    <d v="2017-01-13T01:08:04"/>
    <s v="unk"/>
    <d v="2017-01-13T01:08:04"/>
    <s v="unk"/>
    <x v="5"/>
  </r>
  <r>
    <s v="2015-05-14 Melvin Finch [872]"/>
    <n v="872"/>
    <d v="2015-05-14T00:00:00"/>
    <x v="25"/>
    <n v="19.98"/>
    <s v="unk"/>
    <d v="2017-01-13T01:08:04"/>
    <s v="unk"/>
    <d v="2017-01-13T01:08:04"/>
    <s v="unk"/>
    <x v="5"/>
  </r>
  <r>
    <s v="2015-05-21 Cameron Burton [873]"/>
    <n v="873"/>
    <d v="2015-05-21T00:00:00"/>
    <x v="12"/>
    <n v="20.97"/>
    <s v="unk"/>
    <d v="2017-01-13T01:08:04"/>
    <s v="unk"/>
    <d v="2017-01-13T01:08:04"/>
    <s v="unk"/>
    <x v="5"/>
  </r>
  <r>
    <s v="2015-05-08 Cameron Rivera [904]"/>
    <n v="904"/>
    <d v="2015-05-08T00:00:00"/>
    <x v="26"/>
    <n v="34.950000000000003"/>
    <s v="unk"/>
    <d v="2017-01-13T01:08:04"/>
    <s v="unk"/>
    <d v="2017-01-13T01:08:04"/>
    <s v="unk"/>
    <x v="5"/>
  </r>
  <r>
    <s v="2015-05-27 Melvin Finch [916]"/>
    <n v="916"/>
    <d v="2015-05-27T00:00:00"/>
    <x v="25"/>
    <n v="14.98"/>
    <s v="unk"/>
    <d v="2017-01-13T01:08:04"/>
    <s v="unk"/>
    <d v="2017-01-13T01:08:04"/>
    <s v="unk"/>
    <x v="5"/>
  </r>
  <r>
    <s v="2015-05-22 Cameron Burton [919]"/>
    <n v="919"/>
    <d v="2015-05-22T00:00:00"/>
    <x v="12"/>
    <n v="59.93"/>
    <s v="unk"/>
    <d v="2017-01-13T01:08:04"/>
    <s v="unk"/>
    <d v="2017-01-13T01:08:04"/>
    <s v="unk"/>
    <x v="5"/>
  </r>
  <r>
    <s v="2015-05-20 Lillian Larsen [937]"/>
    <n v="937"/>
    <d v="2015-05-20T00:00:00"/>
    <x v="24"/>
    <n v="26.97"/>
    <s v="unk"/>
    <d v="2017-01-13T01:08:04"/>
    <s v="unk"/>
    <d v="2017-01-13T01:08:04"/>
    <s v="unk"/>
    <x v="5"/>
  </r>
  <r>
    <s v="2015-05-29 Kendall Rocha [967]"/>
    <n v="967"/>
    <d v="2015-05-29T00:00:00"/>
    <x v="32"/>
    <n v="11.98"/>
    <s v="unk"/>
    <d v="2017-01-13T01:08:04"/>
    <s v="unk"/>
    <d v="2017-01-13T01:08:04"/>
    <s v="unk"/>
    <x v="5"/>
  </r>
  <r>
    <s v="2015-05-23 Indira Suarez [1035]"/>
    <n v="1035"/>
    <d v="2015-05-23T00:00:00"/>
    <x v="28"/>
    <n v="34.950000000000003"/>
    <s v="unk"/>
    <d v="2017-01-13T01:08:04"/>
    <s v="unk"/>
    <d v="2017-01-13T01:08:04"/>
    <s v="unk"/>
    <x v="5"/>
  </r>
  <r>
    <s v="2015-05-03 Eugenia Roman [1048]"/>
    <n v="1048"/>
    <d v="2015-05-03T00:00:00"/>
    <x v="27"/>
    <n v="25.97"/>
    <s v="unk"/>
    <d v="2017-01-13T01:08:04"/>
    <s v="unk"/>
    <d v="2017-01-13T01:08:04"/>
    <s v="unk"/>
    <x v="5"/>
  </r>
  <r>
    <s v="2015-05-17 Eugenia Roman [1063]"/>
    <n v="1063"/>
    <d v="2015-05-17T00:00:00"/>
    <x v="27"/>
    <n v="29.96"/>
    <s v="unk"/>
    <d v="2017-01-13T01:08:04"/>
    <s v="unk"/>
    <d v="2017-01-13T01:08:04"/>
    <s v="unk"/>
    <x v="5"/>
  </r>
  <r>
    <s v="2015-05-16 Cameron Burton [1103]"/>
    <n v="1103"/>
    <d v="2015-05-16T00:00:00"/>
    <x v="12"/>
    <n v="71.92"/>
    <s v="unk"/>
    <d v="2017-01-13T01:08:04"/>
    <s v="unk"/>
    <d v="2017-01-13T01:08:04"/>
    <s v="unk"/>
    <x v="5"/>
  </r>
  <r>
    <s v="2015-05-15 Rhoda Vance [1118]"/>
    <n v="1118"/>
    <d v="2015-05-15T00:00:00"/>
    <x v="31"/>
    <n v="15.98"/>
    <s v="unk"/>
    <d v="2017-01-13T01:08:04"/>
    <s v="unk"/>
    <d v="2017-01-13T01:08:04"/>
    <s v="unk"/>
    <x v="5"/>
  </r>
  <r>
    <s v="2015-05-12 Lillian Larsen [1148]"/>
    <n v="1148"/>
    <d v="2015-05-12T00:00:00"/>
    <x v="24"/>
    <n v="23.97"/>
    <s v="unk"/>
    <d v="2017-01-13T01:08:04"/>
    <s v="unk"/>
    <d v="2017-01-13T01:08:04"/>
    <s v="unk"/>
    <x v="5"/>
  </r>
  <r>
    <s v="2015-05-20 Kendall Rocha [1180]"/>
    <n v="1180"/>
    <d v="2015-05-20T00:00:00"/>
    <x v="32"/>
    <n v="14.98"/>
    <s v="unk"/>
    <d v="2017-01-13T01:08:04"/>
    <s v="unk"/>
    <d v="2017-01-13T01:08:04"/>
    <s v="unk"/>
    <x v="5"/>
  </r>
  <r>
    <s v="2015-06-01 Belle Short [486]"/>
    <n v="486"/>
    <d v="2015-06-01T00:00:00"/>
    <x v="59"/>
    <n v="33.96"/>
    <s v="unk"/>
    <d v="2017-01-13T01:08:04"/>
    <s v="unk"/>
    <d v="2017-01-13T01:08:04"/>
    <s v="unk"/>
    <x v="6"/>
  </r>
  <r>
    <m/>
    <m/>
    <m/>
    <x v="0"/>
    <m/>
    <m/>
    <m/>
    <m/>
    <m/>
    <m/>
    <x v="7"/>
  </r>
  <r>
    <m/>
    <m/>
    <m/>
    <x v="0"/>
    <m/>
    <m/>
    <m/>
    <m/>
    <m/>
    <m/>
    <x v="7"/>
  </r>
</pivotCacheRecords>
</file>

<file path=xl/pivotCache/pivotCacheRecords2.xml><?xml version="1.0" encoding="utf-8"?>
<pivotCacheRecords xmlns="http://schemas.openxmlformats.org/spreadsheetml/2006/main" xmlns:r="http://schemas.openxmlformats.org/officeDocument/2006/relationships" count="3227">
  <r>
    <s v="[55]"/>
    <n v="55"/>
    <s v="2015-01-14 John Drake [18]"/>
    <x v="0"/>
    <n v="4.99"/>
    <n v="1"/>
    <s v="unk"/>
    <d v="2017-01-13T01:08:04"/>
    <s v="unk"/>
    <d v="2017-01-13T01:08:04"/>
    <s v="unk"/>
    <x v="0"/>
    <x v="0"/>
  </r>
  <r>
    <s v="[56]"/>
    <n v="56"/>
    <s v="2015-01-14 John Drake [18]"/>
    <x v="1"/>
    <n v="4.99"/>
    <n v="1"/>
    <s v="unk"/>
    <d v="2017-01-13T01:08:04"/>
    <s v="unk"/>
    <d v="2017-01-13T01:08:04"/>
    <s v="unk"/>
    <x v="0"/>
    <x v="0"/>
  </r>
  <r>
    <s v="[57]"/>
    <n v="57"/>
    <s v="2015-01-14 John Drake [18]"/>
    <x v="2"/>
    <n v="6.99"/>
    <n v="2"/>
    <s v="unk"/>
    <d v="2017-01-13T01:08:04"/>
    <s v="unk"/>
    <d v="2017-01-13T01:08:04"/>
    <s v="unk"/>
    <x v="0"/>
    <x v="1"/>
  </r>
  <r>
    <s v="[58]"/>
    <n v="58"/>
    <s v="2015-01-14 John Drake [18]"/>
    <x v="3"/>
    <n v="7.99"/>
    <n v="1"/>
    <s v="unk"/>
    <d v="2017-01-13T01:08:04"/>
    <s v="unk"/>
    <d v="2017-01-13T01:08:04"/>
    <s v="unk"/>
    <x v="0"/>
    <x v="2"/>
  </r>
  <r>
    <s v="[164]"/>
    <n v="164"/>
    <s v="2015-01-10 Jonah Griffin [49]"/>
    <x v="4"/>
    <n v="9.99"/>
    <n v="1"/>
    <s v="unk"/>
    <d v="2017-01-13T01:08:04"/>
    <s v="unk"/>
    <d v="2017-01-13T01:08:04"/>
    <s v="unk"/>
    <x v="0"/>
    <x v="3"/>
  </r>
  <r>
    <s v="[165]"/>
    <n v="165"/>
    <s v="2015-01-10 Jonah Griffin [49]"/>
    <x v="5"/>
    <n v="9.99"/>
    <n v="1"/>
    <s v="unk"/>
    <d v="2017-01-13T01:08:04"/>
    <s v="unk"/>
    <d v="2017-01-13T01:08:04"/>
    <s v="unk"/>
    <x v="0"/>
    <x v="3"/>
  </r>
  <r>
    <s v="[166]"/>
    <n v="166"/>
    <s v="2015-01-10 Jonah Griffin [49]"/>
    <x v="6"/>
    <n v="9.99"/>
    <n v="2"/>
    <s v="unk"/>
    <d v="2017-01-13T01:08:04"/>
    <s v="unk"/>
    <d v="2017-01-13T01:08:04"/>
    <s v="unk"/>
    <x v="0"/>
    <x v="4"/>
  </r>
  <r>
    <s v="[167]"/>
    <n v="167"/>
    <s v="2015-01-12 Marah West [50]"/>
    <x v="7"/>
    <n v="9.99"/>
    <n v="1"/>
    <s v="unk"/>
    <d v="2017-01-13T01:08:04"/>
    <s v="unk"/>
    <d v="2017-01-13T01:08:04"/>
    <s v="unk"/>
    <x v="0"/>
    <x v="3"/>
  </r>
  <r>
    <s v="[288]"/>
    <n v="288"/>
    <s v="2015-01-18 John Drake [90]"/>
    <x v="8"/>
    <n v="7.99"/>
    <n v="2"/>
    <s v="unk"/>
    <d v="2017-01-13T01:08:04"/>
    <s v="unk"/>
    <d v="2017-01-13T01:08:04"/>
    <s v="unk"/>
    <x v="0"/>
    <x v="5"/>
  </r>
  <r>
    <s v="[289]"/>
    <n v="289"/>
    <s v="2015-01-18 John Drake [90]"/>
    <x v="9"/>
    <n v="4.99"/>
    <n v="1"/>
    <s v="unk"/>
    <d v="2017-01-13T01:08:04"/>
    <s v="unk"/>
    <d v="2017-01-13T01:08:04"/>
    <s v="unk"/>
    <x v="0"/>
    <x v="0"/>
  </r>
  <r>
    <s v="[290]"/>
    <n v="290"/>
    <s v="2015-01-18 John Drake [90]"/>
    <x v="10"/>
    <n v="8.99"/>
    <n v="1"/>
    <s v="unk"/>
    <d v="2017-01-13T01:08:04"/>
    <s v="unk"/>
    <d v="2017-01-13T01:08:04"/>
    <s v="unk"/>
    <x v="0"/>
    <x v="6"/>
  </r>
  <r>
    <s v="[316]"/>
    <n v="316"/>
    <s v="2015-01-15 Armando Le [99]"/>
    <x v="11"/>
    <n v="4.99"/>
    <n v="1"/>
    <s v="unk"/>
    <d v="2017-01-13T01:08:04"/>
    <s v="unk"/>
    <d v="2017-01-13T01:08:04"/>
    <s v="unk"/>
    <x v="0"/>
    <x v="0"/>
  </r>
  <r>
    <s v="[317]"/>
    <n v="317"/>
    <s v="2015-01-15 Armando Le [99]"/>
    <x v="12"/>
    <n v="8.99"/>
    <n v="1"/>
    <s v="unk"/>
    <d v="2017-01-13T01:08:04"/>
    <s v="unk"/>
    <d v="2017-01-13T01:08:04"/>
    <s v="unk"/>
    <x v="0"/>
    <x v="6"/>
  </r>
  <r>
    <s v="[344]"/>
    <n v="344"/>
    <s v="2015-01-24 Jescie Peck [110]"/>
    <x v="13"/>
    <n v="7.99"/>
    <n v="2"/>
    <s v="unk"/>
    <d v="2017-01-13T01:08:04"/>
    <s v="unk"/>
    <d v="2017-01-13T01:08:04"/>
    <s v="unk"/>
    <x v="0"/>
    <x v="5"/>
  </r>
  <r>
    <s v="[345]"/>
    <n v="345"/>
    <s v="2015-01-24 Jescie Peck [110]"/>
    <x v="14"/>
    <n v="9.99"/>
    <n v="1"/>
    <s v="unk"/>
    <d v="2017-01-13T01:08:04"/>
    <s v="unk"/>
    <d v="2017-01-13T01:08:04"/>
    <s v="unk"/>
    <x v="0"/>
    <x v="3"/>
  </r>
  <r>
    <s v="[366]"/>
    <n v="366"/>
    <s v="2015-01-22 Nayda Shields [118]"/>
    <x v="15"/>
    <n v="8.99"/>
    <n v="2"/>
    <s v="unk"/>
    <d v="2017-01-13T01:08:04"/>
    <s v="unk"/>
    <d v="2017-01-13T01:08:04"/>
    <s v="unk"/>
    <x v="0"/>
    <x v="7"/>
  </r>
  <r>
    <s v="[435]"/>
    <n v="435"/>
    <s v="2015-01-09 Marny Boyer [139]"/>
    <x v="16"/>
    <n v="8.99"/>
    <n v="2"/>
    <s v="unk"/>
    <d v="2017-01-13T01:08:04"/>
    <s v="unk"/>
    <d v="2017-01-13T01:08:04"/>
    <s v="unk"/>
    <x v="0"/>
    <x v="7"/>
  </r>
  <r>
    <s v="[436]"/>
    <n v="436"/>
    <s v="2015-01-09 Marny Boyer [139]"/>
    <x v="17"/>
    <n v="7.99"/>
    <n v="1"/>
    <s v="unk"/>
    <d v="2017-01-13T01:08:04"/>
    <s v="unk"/>
    <d v="2017-01-13T01:08:04"/>
    <s v="unk"/>
    <x v="0"/>
    <x v="2"/>
  </r>
  <r>
    <s v="[437]"/>
    <n v="437"/>
    <s v="2015-01-09 Marny Boyer [139]"/>
    <x v="18"/>
    <n v="7.99"/>
    <n v="1"/>
    <s v="unk"/>
    <d v="2017-01-13T01:08:04"/>
    <s v="unk"/>
    <d v="2017-01-13T01:08:04"/>
    <s v="unk"/>
    <x v="0"/>
    <x v="2"/>
  </r>
  <r>
    <s v="[438]"/>
    <n v="438"/>
    <s v="2015-01-09 Marny Boyer [139]"/>
    <x v="19"/>
    <n v="7.99"/>
    <n v="1"/>
    <s v="unk"/>
    <d v="2017-01-13T01:08:04"/>
    <s v="unk"/>
    <d v="2017-01-13T01:08:04"/>
    <s v="unk"/>
    <x v="0"/>
    <x v="2"/>
  </r>
  <r>
    <s v="[478]"/>
    <n v="478"/>
    <s v="2015-01-29 Yuri Oneal [149]"/>
    <x v="20"/>
    <n v="9.99"/>
    <n v="2"/>
    <s v="unk"/>
    <d v="2017-01-13T01:08:04"/>
    <s v="unk"/>
    <d v="2017-01-13T01:08:04"/>
    <s v="unk"/>
    <x v="0"/>
    <x v="4"/>
  </r>
  <r>
    <s v="[479]"/>
    <n v="479"/>
    <s v="2015-01-29 Yuri Oneal [149]"/>
    <x v="21"/>
    <n v="8.99"/>
    <n v="1"/>
    <s v="unk"/>
    <d v="2017-01-13T01:08:04"/>
    <s v="unk"/>
    <d v="2017-01-13T01:08:04"/>
    <s v="unk"/>
    <x v="0"/>
    <x v="6"/>
  </r>
  <r>
    <s v="[480]"/>
    <n v="480"/>
    <s v="2015-01-29 Yuri Oneal [149]"/>
    <x v="22"/>
    <n v="6.99"/>
    <n v="1"/>
    <s v="unk"/>
    <d v="2017-01-13T01:08:04"/>
    <s v="unk"/>
    <d v="2017-01-13T01:08:04"/>
    <s v="unk"/>
    <x v="0"/>
    <x v="8"/>
  </r>
  <r>
    <s v="[481]"/>
    <n v="481"/>
    <s v="2015-01-29 Yuri Oneal [149]"/>
    <x v="23"/>
    <n v="9.99"/>
    <n v="1"/>
    <s v="unk"/>
    <d v="2017-01-13T01:08:04"/>
    <s v="unk"/>
    <d v="2017-01-13T01:08:04"/>
    <s v="unk"/>
    <x v="0"/>
    <x v="3"/>
  </r>
  <r>
    <s v="[732]"/>
    <n v="732"/>
    <s v="2015-01-09 Zeus Trujillo [226]"/>
    <x v="24"/>
    <n v="4.99"/>
    <n v="2"/>
    <s v="unk"/>
    <d v="2017-01-13T01:08:04"/>
    <s v="unk"/>
    <d v="2017-01-13T01:08:04"/>
    <s v="unk"/>
    <x v="0"/>
    <x v="9"/>
  </r>
  <r>
    <s v="[733]"/>
    <n v="733"/>
    <s v="2015-01-09 Zeus Trujillo [226]"/>
    <x v="25"/>
    <n v="9.99"/>
    <n v="1"/>
    <s v="unk"/>
    <d v="2017-01-13T01:08:04"/>
    <s v="unk"/>
    <d v="2017-01-13T01:08:04"/>
    <s v="unk"/>
    <x v="0"/>
    <x v="3"/>
  </r>
  <r>
    <s v="[757]"/>
    <n v="757"/>
    <s v="2015-01-30 Akeem Kennedy [234]"/>
    <x v="26"/>
    <n v="5.99"/>
    <n v="1"/>
    <s v="unk"/>
    <d v="2017-01-13T01:08:04"/>
    <s v="unk"/>
    <d v="2017-01-13T01:08:04"/>
    <s v="unk"/>
    <x v="0"/>
    <x v="10"/>
  </r>
  <r>
    <s v="[758]"/>
    <n v="758"/>
    <s v="2015-01-30 Akeem Kennedy [234]"/>
    <x v="27"/>
    <n v="4.99"/>
    <n v="1"/>
    <s v="unk"/>
    <d v="2017-01-13T01:08:04"/>
    <s v="unk"/>
    <d v="2017-01-13T01:08:04"/>
    <s v="unk"/>
    <x v="0"/>
    <x v="0"/>
  </r>
  <r>
    <s v="[759]"/>
    <n v="759"/>
    <s v="2015-01-25 Stacey Kirk [235]"/>
    <x v="28"/>
    <n v="9.99"/>
    <n v="2"/>
    <s v="unk"/>
    <d v="2017-01-13T01:08:04"/>
    <s v="unk"/>
    <d v="2017-01-13T01:08:04"/>
    <s v="unk"/>
    <x v="0"/>
    <x v="4"/>
  </r>
  <r>
    <s v="[760]"/>
    <n v="760"/>
    <s v="2015-01-25 Stacey Kirk [235]"/>
    <x v="28"/>
    <n v="9.99"/>
    <n v="2"/>
    <s v="unk"/>
    <d v="2017-01-13T01:08:04"/>
    <s v="unk"/>
    <d v="2017-01-13T01:08:04"/>
    <s v="unk"/>
    <x v="0"/>
    <x v="4"/>
  </r>
  <r>
    <s v="[761]"/>
    <n v="761"/>
    <s v="2015-01-25 Stacey Kirk [235]"/>
    <x v="29"/>
    <n v="8.99"/>
    <n v="2"/>
    <s v="unk"/>
    <d v="2017-01-13T01:08:04"/>
    <s v="unk"/>
    <d v="2017-01-13T01:08:04"/>
    <s v="unk"/>
    <x v="0"/>
    <x v="7"/>
  </r>
  <r>
    <s v="[762]"/>
    <n v="762"/>
    <s v="2015-01-25 Stacey Kirk [235]"/>
    <x v="8"/>
    <n v="7.99"/>
    <n v="2"/>
    <s v="unk"/>
    <d v="2017-01-13T01:08:04"/>
    <s v="unk"/>
    <d v="2017-01-13T01:08:04"/>
    <s v="unk"/>
    <x v="0"/>
    <x v="5"/>
  </r>
  <r>
    <s v="[947]"/>
    <n v="947"/>
    <s v="2015-01-28 Cameron Burton [293]"/>
    <x v="30"/>
    <n v="5.99"/>
    <n v="1"/>
    <s v="unk"/>
    <d v="2017-01-13T01:08:04"/>
    <s v="unk"/>
    <d v="2017-01-13T01:08:04"/>
    <s v="unk"/>
    <x v="0"/>
    <x v="10"/>
  </r>
  <r>
    <s v="[948]"/>
    <n v="948"/>
    <s v="2015-01-28 Cameron Burton [293]"/>
    <x v="31"/>
    <n v="5.99"/>
    <n v="1"/>
    <s v="unk"/>
    <d v="2017-01-13T01:08:04"/>
    <s v="unk"/>
    <d v="2017-01-13T01:08:04"/>
    <s v="unk"/>
    <x v="0"/>
    <x v="10"/>
  </r>
  <r>
    <s v="[949]"/>
    <n v="949"/>
    <s v="2015-01-28 Cameron Burton [293]"/>
    <x v="24"/>
    <n v="4.99"/>
    <n v="1"/>
    <s v="unk"/>
    <d v="2017-01-13T01:08:04"/>
    <s v="unk"/>
    <d v="2017-01-13T01:08:04"/>
    <s v="unk"/>
    <x v="0"/>
    <x v="0"/>
  </r>
  <r>
    <s v="[1055]"/>
    <n v="1055"/>
    <s v="2015-01-21 Tanek Santos [326]"/>
    <x v="32"/>
    <n v="6.99"/>
    <n v="1"/>
    <s v="unk"/>
    <d v="2017-01-13T01:08:04"/>
    <s v="unk"/>
    <d v="2017-01-13T01:08:04"/>
    <s v="unk"/>
    <x v="0"/>
    <x v="8"/>
  </r>
  <r>
    <s v="[1123]"/>
    <n v="1123"/>
    <s v="2015-01-25 Theodore Mills [348]"/>
    <x v="33"/>
    <n v="9.99"/>
    <n v="1"/>
    <s v="unk"/>
    <d v="2017-01-13T01:08:04"/>
    <s v="unk"/>
    <d v="2017-01-13T01:08:04"/>
    <s v="unk"/>
    <x v="0"/>
    <x v="3"/>
  </r>
  <r>
    <s v="[1124]"/>
    <n v="1124"/>
    <s v="2015-01-25 Theodore Mills [348]"/>
    <x v="5"/>
    <n v="9.99"/>
    <n v="2"/>
    <s v="unk"/>
    <d v="2017-01-13T01:08:04"/>
    <s v="unk"/>
    <d v="2017-01-13T01:08:04"/>
    <s v="unk"/>
    <x v="0"/>
    <x v="4"/>
  </r>
  <r>
    <s v="[1125]"/>
    <n v="1125"/>
    <s v="2015-01-25 Theodore Mills [348]"/>
    <x v="34"/>
    <n v="8.99"/>
    <n v="1"/>
    <s v="unk"/>
    <d v="2017-01-13T01:08:04"/>
    <s v="unk"/>
    <d v="2017-01-13T01:08:04"/>
    <s v="unk"/>
    <x v="0"/>
    <x v="6"/>
  </r>
  <r>
    <s v="[1246]"/>
    <n v="1246"/>
    <s v="2015-01-07 Theodore Mills [380]"/>
    <x v="35"/>
    <n v="6.99"/>
    <n v="2"/>
    <s v="unk"/>
    <d v="2017-01-13T01:08:04"/>
    <s v="unk"/>
    <d v="2017-01-13T01:08:04"/>
    <s v="unk"/>
    <x v="0"/>
    <x v="1"/>
  </r>
  <r>
    <s v="[1247]"/>
    <n v="1247"/>
    <s v="2015-01-07 Theodore Mills [380]"/>
    <x v="36"/>
    <n v="6.99"/>
    <n v="1"/>
    <s v="unk"/>
    <d v="2017-01-13T01:08:04"/>
    <s v="unk"/>
    <d v="2017-01-13T01:08:04"/>
    <s v="unk"/>
    <x v="0"/>
    <x v="8"/>
  </r>
  <r>
    <s v="[1248]"/>
    <n v="1248"/>
    <s v="2015-01-07 Theodore Mills [380]"/>
    <x v="33"/>
    <n v="9.99"/>
    <n v="1"/>
    <s v="unk"/>
    <d v="2017-01-13T01:08:04"/>
    <s v="unk"/>
    <d v="2017-01-13T01:08:04"/>
    <s v="unk"/>
    <x v="0"/>
    <x v="3"/>
  </r>
  <r>
    <s v="[1249]"/>
    <n v="1249"/>
    <s v="2015-01-07 Theodore Mills [380]"/>
    <x v="37"/>
    <n v="6.99"/>
    <n v="2"/>
    <s v="unk"/>
    <d v="2017-01-13T01:08:04"/>
    <s v="unk"/>
    <d v="2017-01-13T01:08:04"/>
    <s v="unk"/>
    <x v="0"/>
    <x v="1"/>
  </r>
  <r>
    <s v="[1255]"/>
    <n v="1255"/>
    <s v="2015-01-23 Akeem Kennedy [382]"/>
    <x v="38"/>
    <n v="7.99"/>
    <n v="2"/>
    <s v="unk"/>
    <d v="2017-01-13T01:08:04"/>
    <s v="unk"/>
    <d v="2017-01-13T01:08:04"/>
    <s v="unk"/>
    <x v="0"/>
    <x v="5"/>
  </r>
  <r>
    <s v="[1256]"/>
    <n v="1256"/>
    <s v="2015-01-23 Akeem Kennedy [382]"/>
    <x v="39"/>
    <n v="9.99"/>
    <n v="1"/>
    <s v="unk"/>
    <d v="2017-01-13T01:08:04"/>
    <s v="unk"/>
    <d v="2017-01-13T01:08:04"/>
    <s v="unk"/>
    <x v="0"/>
    <x v="3"/>
  </r>
  <r>
    <s v="[1360]"/>
    <n v="1360"/>
    <s v="2015-01-25 Madeson Silva [413]"/>
    <x v="40"/>
    <n v="6.99"/>
    <n v="1"/>
    <s v="unk"/>
    <d v="2017-01-13T01:08:04"/>
    <s v="unk"/>
    <d v="2017-01-13T01:08:04"/>
    <s v="unk"/>
    <x v="0"/>
    <x v="8"/>
  </r>
  <r>
    <s v="[1361]"/>
    <n v="1361"/>
    <s v="2015-01-25 Madeson Silva [413]"/>
    <x v="28"/>
    <n v="9.99"/>
    <n v="1"/>
    <s v="unk"/>
    <d v="2017-01-13T01:08:04"/>
    <s v="unk"/>
    <d v="2017-01-13T01:08:04"/>
    <s v="unk"/>
    <x v="0"/>
    <x v="3"/>
  </r>
  <r>
    <s v="[1449]"/>
    <n v="1449"/>
    <s v="2015-01-21 Rhonda Curtis [439]"/>
    <x v="41"/>
    <n v="7.99"/>
    <n v="2"/>
    <s v="unk"/>
    <d v="2017-01-13T01:08:04"/>
    <s v="unk"/>
    <d v="2017-01-13T01:08:04"/>
    <s v="unk"/>
    <x v="0"/>
    <x v="5"/>
  </r>
  <r>
    <s v="[1450]"/>
    <n v="1450"/>
    <s v="2015-01-21 Rhonda Curtis [439]"/>
    <x v="29"/>
    <n v="8.99"/>
    <n v="1"/>
    <s v="unk"/>
    <d v="2017-01-13T01:08:04"/>
    <s v="unk"/>
    <d v="2017-01-13T01:08:04"/>
    <s v="unk"/>
    <x v="0"/>
    <x v="6"/>
  </r>
  <r>
    <s v="[1451]"/>
    <n v="1451"/>
    <s v="2015-01-21 Rhonda Curtis [439]"/>
    <x v="42"/>
    <n v="5.99"/>
    <n v="1"/>
    <s v="unk"/>
    <d v="2017-01-13T01:08:04"/>
    <s v="unk"/>
    <d v="2017-01-13T01:08:04"/>
    <s v="unk"/>
    <x v="0"/>
    <x v="10"/>
  </r>
  <r>
    <s v="[1580]"/>
    <n v="1580"/>
    <s v="2015-01-25 Buffy Jennings [474]"/>
    <x v="35"/>
    <n v="6.99"/>
    <n v="2"/>
    <s v="unk"/>
    <d v="2017-01-13T01:08:04"/>
    <s v="unk"/>
    <d v="2017-01-13T01:08:04"/>
    <s v="unk"/>
    <x v="0"/>
    <x v="1"/>
  </r>
  <r>
    <s v="[1581]"/>
    <n v="1581"/>
    <s v="2015-01-25 Buffy Jennings [474]"/>
    <x v="43"/>
    <n v="5.99"/>
    <n v="2"/>
    <s v="unk"/>
    <d v="2017-01-13T01:08:04"/>
    <s v="unk"/>
    <d v="2017-01-13T01:08:04"/>
    <s v="unk"/>
    <x v="0"/>
    <x v="11"/>
  </r>
  <r>
    <s v="[1582]"/>
    <n v="1582"/>
    <s v="2015-01-25 Buffy Jennings [474]"/>
    <x v="44"/>
    <n v="9.99"/>
    <n v="2"/>
    <s v="unk"/>
    <d v="2017-01-13T01:08:04"/>
    <s v="unk"/>
    <d v="2017-01-13T01:08:04"/>
    <s v="unk"/>
    <x v="0"/>
    <x v="4"/>
  </r>
  <r>
    <s v="[1583]"/>
    <n v="1583"/>
    <s v="2015-01-25 Buffy Jennings [474]"/>
    <x v="39"/>
    <n v="9.99"/>
    <n v="1"/>
    <s v="unk"/>
    <d v="2017-01-13T01:08:04"/>
    <s v="unk"/>
    <d v="2017-01-13T01:08:04"/>
    <s v="unk"/>
    <x v="0"/>
    <x v="3"/>
  </r>
  <r>
    <s v="[1584]"/>
    <n v="1584"/>
    <s v="2015-01-25 Buffy Jennings [474]"/>
    <x v="5"/>
    <n v="9.99"/>
    <n v="1"/>
    <s v="unk"/>
    <d v="2017-01-13T01:08:04"/>
    <s v="unk"/>
    <d v="2017-01-13T01:08:04"/>
    <s v="unk"/>
    <x v="0"/>
    <x v="3"/>
  </r>
  <r>
    <s v="[1585]"/>
    <n v="1585"/>
    <s v="2015-01-25 Buffy Jennings [474]"/>
    <x v="45"/>
    <n v="8.99"/>
    <n v="1"/>
    <s v="unk"/>
    <d v="2017-01-13T01:08:04"/>
    <s v="unk"/>
    <d v="2017-01-13T01:08:04"/>
    <s v="unk"/>
    <x v="0"/>
    <x v="6"/>
  </r>
  <r>
    <s v="[1586]"/>
    <n v="1586"/>
    <s v="2015-01-25 Buffy Jennings [474]"/>
    <x v="46"/>
    <n v="7.99"/>
    <n v="2"/>
    <s v="unk"/>
    <d v="2017-01-13T01:08:04"/>
    <s v="unk"/>
    <d v="2017-01-13T01:08:04"/>
    <s v="unk"/>
    <x v="0"/>
    <x v="5"/>
  </r>
  <r>
    <s v="[1587]"/>
    <n v="1587"/>
    <s v="2015-01-25 Buffy Jennings [474]"/>
    <x v="47"/>
    <n v="4.99"/>
    <n v="1"/>
    <s v="unk"/>
    <d v="2017-01-13T01:08:04"/>
    <s v="unk"/>
    <d v="2017-01-13T01:08:04"/>
    <s v="unk"/>
    <x v="0"/>
    <x v="0"/>
  </r>
  <r>
    <s v="[1707]"/>
    <n v="1707"/>
    <s v="2015-01-24 Tate Lowery [511]"/>
    <x v="48"/>
    <n v="9.99"/>
    <n v="2"/>
    <s v="unk"/>
    <d v="2017-01-13T01:08:04"/>
    <s v="unk"/>
    <d v="2017-01-13T01:08:04"/>
    <s v="unk"/>
    <x v="0"/>
    <x v="4"/>
  </r>
  <r>
    <s v="[1708]"/>
    <n v="1708"/>
    <s v="2015-01-24 Tate Lowery [511]"/>
    <x v="49"/>
    <n v="8.99"/>
    <n v="1"/>
    <s v="unk"/>
    <d v="2017-01-13T01:08:04"/>
    <s v="unk"/>
    <d v="2017-01-13T01:08:04"/>
    <s v="unk"/>
    <x v="0"/>
    <x v="6"/>
  </r>
  <r>
    <s v="[1709]"/>
    <n v="1709"/>
    <s v="2015-01-24 Tate Lowery [511]"/>
    <x v="50"/>
    <n v="4.99"/>
    <n v="1"/>
    <s v="unk"/>
    <d v="2017-01-13T01:08:04"/>
    <s v="unk"/>
    <d v="2017-01-13T01:08:04"/>
    <s v="unk"/>
    <x v="0"/>
    <x v="0"/>
  </r>
  <r>
    <s v="[1710]"/>
    <n v="1710"/>
    <s v="2015-01-24 Tate Lowery [511]"/>
    <x v="25"/>
    <n v="9.99"/>
    <n v="1"/>
    <s v="unk"/>
    <d v="2017-01-13T01:08:04"/>
    <s v="unk"/>
    <d v="2017-01-13T01:08:04"/>
    <s v="unk"/>
    <x v="0"/>
    <x v="3"/>
  </r>
  <r>
    <s v="[1711]"/>
    <n v="1711"/>
    <s v="2015-01-24 Tate Lowery [511]"/>
    <x v="51"/>
    <n v="9.99"/>
    <n v="1"/>
    <s v="unk"/>
    <d v="2017-01-13T01:08:04"/>
    <s v="unk"/>
    <d v="2017-01-13T01:08:04"/>
    <s v="unk"/>
    <x v="0"/>
    <x v="3"/>
  </r>
  <r>
    <s v="[1712]"/>
    <n v="1712"/>
    <s v="2015-01-24 Tate Lowery [511]"/>
    <x v="30"/>
    <n v="5.99"/>
    <n v="2"/>
    <s v="unk"/>
    <d v="2017-01-13T01:08:04"/>
    <s v="unk"/>
    <d v="2017-01-13T01:08:04"/>
    <s v="unk"/>
    <x v="0"/>
    <x v="11"/>
  </r>
  <r>
    <s v="[1713]"/>
    <n v="1713"/>
    <s v="2015-01-24 Tate Lowery [511]"/>
    <x v="25"/>
    <n v="9.99"/>
    <n v="1"/>
    <s v="unk"/>
    <d v="2017-01-13T01:08:04"/>
    <s v="unk"/>
    <d v="2017-01-13T01:08:04"/>
    <s v="unk"/>
    <x v="0"/>
    <x v="3"/>
  </r>
  <r>
    <s v="[1714]"/>
    <n v="1714"/>
    <s v="2015-01-24 Tate Lowery [511]"/>
    <x v="52"/>
    <n v="6.99"/>
    <n v="1"/>
    <s v="unk"/>
    <d v="2017-01-13T01:08:04"/>
    <s v="unk"/>
    <d v="2017-01-13T01:08:04"/>
    <s v="unk"/>
    <x v="0"/>
    <x v="8"/>
  </r>
  <r>
    <s v="[1834]"/>
    <n v="1834"/>
    <s v="2015-01-07 Lucius Gallagher [547]"/>
    <x v="53"/>
    <n v="8.99"/>
    <n v="1"/>
    <s v="unk"/>
    <d v="2017-01-13T01:08:04"/>
    <s v="unk"/>
    <d v="2017-01-13T01:08:04"/>
    <s v="unk"/>
    <x v="0"/>
    <x v="6"/>
  </r>
  <r>
    <s v="[1835]"/>
    <n v="1835"/>
    <s v="2015-01-07 Lucius Gallagher [547]"/>
    <x v="28"/>
    <n v="9.99"/>
    <n v="1"/>
    <s v="unk"/>
    <d v="2017-01-13T01:08:04"/>
    <s v="unk"/>
    <d v="2017-01-13T01:08:04"/>
    <s v="unk"/>
    <x v="0"/>
    <x v="3"/>
  </r>
  <r>
    <s v="[1968]"/>
    <n v="1968"/>
    <s v="2015-01-25 Buffy Jennings [591]"/>
    <x v="24"/>
    <n v="4.99"/>
    <n v="1"/>
    <s v="unk"/>
    <d v="2017-01-13T01:08:04"/>
    <s v="unk"/>
    <d v="2017-01-13T01:08:04"/>
    <s v="unk"/>
    <x v="0"/>
    <x v="0"/>
  </r>
  <r>
    <s v="[1969]"/>
    <n v="1969"/>
    <s v="2015-01-25 Buffy Jennings [591]"/>
    <x v="29"/>
    <n v="8.99"/>
    <n v="2"/>
    <s v="unk"/>
    <d v="2017-01-13T01:08:04"/>
    <s v="unk"/>
    <d v="2017-01-13T01:08:04"/>
    <s v="unk"/>
    <x v="0"/>
    <x v="7"/>
  </r>
  <r>
    <s v="[1970]"/>
    <n v="1970"/>
    <s v="2015-01-25 Buffy Jennings [591]"/>
    <x v="33"/>
    <n v="9.99"/>
    <n v="2"/>
    <s v="unk"/>
    <d v="2017-01-13T01:08:04"/>
    <s v="unk"/>
    <d v="2017-01-13T01:08:04"/>
    <s v="unk"/>
    <x v="0"/>
    <x v="4"/>
  </r>
  <r>
    <s v="[2058]"/>
    <n v="2058"/>
    <s v="2015-01-22 Oprah Horton [615]"/>
    <x v="53"/>
    <n v="8.99"/>
    <n v="1"/>
    <s v="unk"/>
    <d v="2017-01-13T01:08:04"/>
    <s v="unk"/>
    <d v="2017-01-13T01:08:04"/>
    <s v="unk"/>
    <x v="0"/>
    <x v="6"/>
  </r>
  <r>
    <s v="[2137]"/>
    <n v="2137"/>
    <s v="2015-01-22 Claudia Crane [636]"/>
    <x v="5"/>
    <n v="9.99"/>
    <n v="1"/>
    <s v="unk"/>
    <d v="2017-01-13T01:08:04"/>
    <s v="unk"/>
    <d v="2017-01-13T01:08:04"/>
    <s v="unk"/>
    <x v="0"/>
    <x v="3"/>
  </r>
  <r>
    <s v="[2138]"/>
    <n v="2138"/>
    <s v="2015-01-22 Claudia Crane [636]"/>
    <x v="31"/>
    <n v="5.99"/>
    <n v="2"/>
    <s v="unk"/>
    <d v="2017-01-13T01:08:04"/>
    <s v="unk"/>
    <d v="2017-01-13T01:08:04"/>
    <s v="unk"/>
    <x v="0"/>
    <x v="11"/>
  </r>
  <r>
    <s v="[2250]"/>
    <n v="2250"/>
    <s v="2015-01-17 Donna Molina [674]"/>
    <x v="54"/>
    <n v="4.99"/>
    <n v="1"/>
    <s v="unk"/>
    <d v="2017-01-13T01:08:04"/>
    <s v="unk"/>
    <d v="2017-01-13T01:08:04"/>
    <s v="unk"/>
    <x v="0"/>
    <x v="0"/>
  </r>
  <r>
    <s v="[2292]"/>
    <n v="2292"/>
    <s v="2015-01-15 Shelly Bridges [686]"/>
    <x v="40"/>
    <n v="6.99"/>
    <n v="1"/>
    <s v="unk"/>
    <d v="2017-01-13T01:08:04"/>
    <s v="unk"/>
    <d v="2017-01-13T01:08:04"/>
    <s v="unk"/>
    <x v="0"/>
    <x v="8"/>
  </r>
  <r>
    <s v="[2293]"/>
    <n v="2293"/>
    <s v="2015-01-15 Shelly Bridges [686]"/>
    <x v="55"/>
    <n v="9.99"/>
    <n v="1"/>
    <s v="unk"/>
    <d v="2017-01-13T01:08:04"/>
    <s v="unk"/>
    <d v="2017-01-13T01:08:04"/>
    <s v="unk"/>
    <x v="0"/>
    <x v="3"/>
  </r>
  <r>
    <s v="[2360]"/>
    <n v="2360"/>
    <s v="2015-01-17 Lillian Larsen [706]"/>
    <x v="56"/>
    <n v="9.99"/>
    <n v="1"/>
    <s v="unk"/>
    <d v="2017-01-13T01:08:04"/>
    <s v="unk"/>
    <d v="2017-01-13T01:08:04"/>
    <s v="unk"/>
    <x v="0"/>
    <x v="3"/>
  </r>
  <r>
    <s v="[2361]"/>
    <n v="2361"/>
    <s v="2015-01-17 Lillian Larsen [706]"/>
    <x v="57"/>
    <n v="6.99"/>
    <n v="2"/>
    <s v="unk"/>
    <d v="2017-01-13T01:08:04"/>
    <s v="unk"/>
    <d v="2017-01-13T01:08:04"/>
    <s v="unk"/>
    <x v="0"/>
    <x v="1"/>
  </r>
  <r>
    <s v="[2362]"/>
    <n v="2362"/>
    <s v="2015-01-17 Lillian Larsen [706]"/>
    <x v="58"/>
    <n v="5.99"/>
    <n v="2"/>
    <s v="unk"/>
    <d v="2017-01-13T01:08:04"/>
    <s v="unk"/>
    <d v="2017-01-13T01:08:04"/>
    <s v="unk"/>
    <x v="0"/>
    <x v="11"/>
  </r>
  <r>
    <s v="[2363]"/>
    <n v="2363"/>
    <s v="2015-01-17 Lillian Larsen [706]"/>
    <x v="59"/>
    <n v="7.99"/>
    <n v="1"/>
    <s v="unk"/>
    <d v="2017-01-13T01:08:04"/>
    <s v="unk"/>
    <d v="2017-01-13T01:08:04"/>
    <s v="unk"/>
    <x v="0"/>
    <x v="2"/>
  </r>
  <r>
    <s v="[2364]"/>
    <n v="2364"/>
    <s v="2015-01-17 Lillian Larsen [706]"/>
    <x v="60"/>
    <n v="8.99"/>
    <n v="2"/>
    <s v="unk"/>
    <d v="2017-01-13T01:08:04"/>
    <s v="unk"/>
    <d v="2017-01-13T01:08:04"/>
    <s v="unk"/>
    <x v="0"/>
    <x v="7"/>
  </r>
  <r>
    <s v="[2365]"/>
    <n v="2365"/>
    <s v="2015-01-17 Lillian Larsen [706]"/>
    <x v="28"/>
    <n v="9.99"/>
    <n v="1"/>
    <s v="unk"/>
    <d v="2017-01-13T01:08:04"/>
    <s v="unk"/>
    <d v="2017-01-13T01:08:04"/>
    <s v="unk"/>
    <x v="0"/>
    <x v="3"/>
  </r>
  <r>
    <s v="[2366]"/>
    <n v="2366"/>
    <s v="2015-01-17 Lillian Larsen [706]"/>
    <x v="57"/>
    <n v="6.99"/>
    <n v="1"/>
    <s v="unk"/>
    <d v="2017-01-13T01:08:04"/>
    <s v="unk"/>
    <d v="2017-01-13T01:08:04"/>
    <s v="unk"/>
    <x v="0"/>
    <x v="8"/>
  </r>
  <r>
    <s v="[2367]"/>
    <n v="2367"/>
    <s v="2015-01-17 Lillian Larsen [706]"/>
    <x v="28"/>
    <n v="9.99"/>
    <n v="1"/>
    <s v="unk"/>
    <d v="2017-01-13T01:08:04"/>
    <s v="unk"/>
    <d v="2017-01-13T01:08:04"/>
    <s v="unk"/>
    <x v="0"/>
    <x v="3"/>
  </r>
  <r>
    <s v="[2377]"/>
    <n v="2377"/>
    <s v="2015-01-29 Melvin Finch [710]"/>
    <x v="49"/>
    <n v="8.99"/>
    <n v="1"/>
    <s v="unk"/>
    <d v="2017-01-13T01:08:04"/>
    <s v="unk"/>
    <d v="2017-01-13T01:08:04"/>
    <s v="unk"/>
    <x v="0"/>
    <x v="6"/>
  </r>
  <r>
    <s v="[2378]"/>
    <n v="2378"/>
    <s v="2015-01-29 Melvin Finch [710]"/>
    <x v="61"/>
    <n v="8.99"/>
    <n v="1"/>
    <s v="unk"/>
    <d v="2017-01-13T01:08:04"/>
    <s v="unk"/>
    <d v="2017-01-13T01:08:04"/>
    <s v="unk"/>
    <x v="0"/>
    <x v="6"/>
  </r>
  <r>
    <s v="[2518]"/>
    <n v="2518"/>
    <s v="2015-01-07 Cameron Rivera [756]"/>
    <x v="28"/>
    <n v="9.99"/>
    <n v="2"/>
    <s v="unk"/>
    <d v="2017-01-13T01:08:04"/>
    <s v="unk"/>
    <d v="2017-01-13T01:08:04"/>
    <s v="unk"/>
    <x v="0"/>
    <x v="4"/>
  </r>
  <r>
    <s v="[2519]"/>
    <n v="2519"/>
    <s v="2015-01-07 Cameron Rivera [756]"/>
    <x v="62"/>
    <n v="5.99"/>
    <n v="2"/>
    <s v="unk"/>
    <d v="2017-01-13T01:08:04"/>
    <s v="unk"/>
    <d v="2017-01-13T01:08:04"/>
    <s v="unk"/>
    <x v="0"/>
    <x v="11"/>
  </r>
  <r>
    <s v="[2581]"/>
    <n v="2581"/>
    <s v="2015-01-13 Melvin Finch [773]"/>
    <x v="61"/>
    <n v="8.99"/>
    <n v="1"/>
    <s v="unk"/>
    <d v="2017-01-13T01:08:04"/>
    <s v="unk"/>
    <d v="2017-01-13T01:08:04"/>
    <s v="unk"/>
    <x v="0"/>
    <x v="6"/>
  </r>
  <r>
    <s v="[2582]"/>
    <n v="2582"/>
    <s v="2015-01-13 Melvin Finch [773]"/>
    <x v="38"/>
    <n v="7.99"/>
    <n v="1"/>
    <s v="unk"/>
    <d v="2017-01-13T01:08:04"/>
    <s v="unk"/>
    <d v="2017-01-13T01:08:04"/>
    <s v="unk"/>
    <x v="0"/>
    <x v="2"/>
  </r>
  <r>
    <s v="[2623]"/>
    <n v="2623"/>
    <s v="2015-01-17 Eugenia Roman [783]"/>
    <x v="62"/>
    <n v="5.99"/>
    <n v="2"/>
    <s v="unk"/>
    <d v="2017-01-13T01:08:04"/>
    <s v="unk"/>
    <d v="2017-01-13T01:08:04"/>
    <s v="unk"/>
    <x v="0"/>
    <x v="11"/>
  </r>
  <r>
    <s v="[2624]"/>
    <n v="2624"/>
    <s v="2015-01-17 Eugenia Roman [783]"/>
    <x v="60"/>
    <n v="8.99"/>
    <n v="2"/>
    <s v="unk"/>
    <d v="2017-01-13T01:08:04"/>
    <s v="unk"/>
    <d v="2017-01-13T01:08:04"/>
    <s v="unk"/>
    <x v="0"/>
    <x v="7"/>
  </r>
  <r>
    <s v="[2637]"/>
    <n v="2637"/>
    <s v="2015-01-07 Indira Suarez [787]"/>
    <x v="60"/>
    <n v="8.99"/>
    <n v="2"/>
    <s v="unk"/>
    <d v="2017-01-13T01:08:04"/>
    <s v="unk"/>
    <d v="2017-01-13T01:08:04"/>
    <s v="unk"/>
    <x v="0"/>
    <x v="7"/>
  </r>
  <r>
    <s v="[2638]"/>
    <n v="2638"/>
    <s v="2015-01-07 Indira Suarez [787]"/>
    <x v="61"/>
    <n v="8.99"/>
    <n v="2"/>
    <s v="unk"/>
    <d v="2017-01-13T01:08:04"/>
    <s v="unk"/>
    <d v="2017-01-13T01:08:04"/>
    <s v="unk"/>
    <x v="0"/>
    <x v="7"/>
  </r>
  <r>
    <s v="[2639]"/>
    <n v="2639"/>
    <s v="2015-01-07 Indira Suarez [787]"/>
    <x v="61"/>
    <n v="8.99"/>
    <n v="2"/>
    <s v="unk"/>
    <d v="2017-01-13T01:08:04"/>
    <s v="unk"/>
    <d v="2017-01-13T01:08:04"/>
    <s v="unk"/>
    <x v="0"/>
    <x v="7"/>
  </r>
  <r>
    <s v="[2640]"/>
    <n v="2640"/>
    <s v="2015-01-07 Indira Suarez [787]"/>
    <x v="28"/>
    <n v="9.99"/>
    <n v="2"/>
    <s v="unk"/>
    <d v="2017-01-13T01:08:04"/>
    <s v="unk"/>
    <d v="2017-01-13T01:08:04"/>
    <s v="unk"/>
    <x v="0"/>
    <x v="4"/>
  </r>
  <r>
    <s v="[2641]"/>
    <n v="2641"/>
    <s v="2015-01-07 Indira Suarez [787]"/>
    <x v="61"/>
    <n v="8.99"/>
    <n v="1"/>
    <s v="unk"/>
    <d v="2017-01-13T01:08:04"/>
    <s v="unk"/>
    <d v="2017-01-13T01:08:04"/>
    <s v="unk"/>
    <x v="0"/>
    <x v="6"/>
  </r>
  <r>
    <s v="[2642]"/>
    <n v="2642"/>
    <s v="2015-01-07 Indira Suarez [787]"/>
    <x v="56"/>
    <n v="9.99"/>
    <n v="2"/>
    <s v="unk"/>
    <d v="2017-01-13T01:08:04"/>
    <s v="unk"/>
    <d v="2017-01-13T01:08:04"/>
    <s v="unk"/>
    <x v="0"/>
    <x v="4"/>
  </r>
  <r>
    <s v="[2713]"/>
    <n v="2713"/>
    <s v="2015-01-16 Cameron Rivera [806]"/>
    <x v="49"/>
    <n v="8.99"/>
    <n v="1"/>
    <s v="unk"/>
    <d v="2017-01-13T01:08:04"/>
    <s v="unk"/>
    <d v="2017-01-13T01:08:04"/>
    <s v="unk"/>
    <x v="0"/>
    <x v="6"/>
  </r>
  <r>
    <s v="[2714]"/>
    <n v="2714"/>
    <s v="2015-01-16 Cameron Rivera [806]"/>
    <x v="38"/>
    <n v="7.99"/>
    <n v="2"/>
    <s v="unk"/>
    <d v="2017-01-13T01:08:04"/>
    <s v="unk"/>
    <d v="2017-01-13T01:08:04"/>
    <s v="unk"/>
    <x v="0"/>
    <x v="5"/>
  </r>
  <r>
    <s v="[2715]"/>
    <n v="2715"/>
    <s v="2015-01-16 Cameron Rivera [806]"/>
    <x v="61"/>
    <n v="8.99"/>
    <n v="1"/>
    <s v="unk"/>
    <d v="2017-01-13T01:08:04"/>
    <s v="unk"/>
    <d v="2017-01-13T01:08:04"/>
    <s v="unk"/>
    <x v="0"/>
    <x v="6"/>
  </r>
  <r>
    <s v="[2716]"/>
    <n v="2716"/>
    <s v="2015-01-16 Cameron Rivera [806]"/>
    <x v="61"/>
    <n v="8.99"/>
    <n v="2"/>
    <s v="unk"/>
    <d v="2017-01-13T01:08:04"/>
    <s v="unk"/>
    <d v="2017-01-13T01:08:04"/>
    <s v="unk"/>
    <x v="0"/>
    <x v="7"/>
  </r>
  <r>
    <s v="[2717]"/>
    <n v="2717"/>
    <s v="2015-01-16 Cameron Rivera [806]"/>
    <x v="58"/>
    <n v="5.99"/>
    <n v="2"/>
    <s v="unk"/>
    <d v="2017-01-13T01:08:04"/>
    <s v="unk"/>
    <d v="2017-01-13T01:08:04"/>
    <s v="unk"/>
    <x v="0"/>
    <x v="11"/>
  </r>
  <r>
    <s v="[2718]"/>
    <n v="2718"/>
    <s v="2015-01-16 Cameron Rivera [806]"/>
    <x v="56"/>
    <n v="9.99"/>
    <n v="1"/>
    <s v="unk"/>
    <d v="2017-01-13T01:08:04"/>
    <s v="unk"/>
    <d v="2017-01-13T01:08:04"/>
    <s v="unk"/>
    <x v="0"/>
    <x v="3"/>
  </r>
  <r>
    <s v="[2719]"/>
    <n v="2719"/>
    <s v="2015-01-16 Cameron Rivera [806]"/>
    <x v="56"/>
    <n v="9.99"/>
    <n v="1"/>
    <s v="unk"/>
    <d v="2017-01-13T01:08:04"/>
    <s v="unk"/>
    <d v="2017-01-13T01:08:04"/>
    <s v="unk"/>
    <x v="0"/>
    <x v="3"/>
  </r>
  <r>
    <s v="[2720]"/>
    <n v="2720"/>
    <s v="2015-01-16 Cameron Rivera [806]"/>
    <x v="61"/>
    <n v="8.99"/>
    <n v="1"/>
    <s v="unk"/>
    <d v="2017-01-13T01:08:04"/>
    <s v="unk"/>
    <d v="2017-01-13T01:08:04"/>
    <s v="unk"/>
    <x v="0"/>
    <x v="6"/>
  </r>
  <r>
    <s v="[2891]"/>
    <n v="2891"/>
    <s v="2015-01-14 Stuart Vega [855]"/>
    <x v="58"/>
    <n v="5.99"/>
    <n v="1"/>
    <s v="unk"/>
    <d v="2017-01-13T01:08:04"/>
    <s v="unk"/>
    <d v="2017-01-13T01:08:04"/>
    <s v="unk"/>
    <x v="0"/>
    <x v="10"/>
  </r>
  <r>
    <s v="[2892]"/>
    <n v="2892"/>
    <s v="2015-01-14 Stuart Vega [855]"/>
    <x v="60"/>
    <n v="8.99"/>
    <n v="1"/>
    <s v="unk"/>
    <d v="2017-01-13T01:08:04"/>
    <s v="unk"/>
    <d v="2017-01-13T01:08:04"/>
    <s v="unk"/>
    <x v="0"/>
    <x v="6"/>
  </r>
  <r>
    <s v="[2893]"/>
    <n v="2893"/>
    <s v="2015-01-14 Stuart Vega [855]"/>
    <x v="57"/>
    <n v="6.99"/>
    <n v="2"/>
    <s v="unk"/>
    <d v="2017-01-13T01:08:04"/>
    <s v="unk"/>
    <d v="2017-01-13T01:08:04"/>
    <s v="unk"/>
    <x v="0"/>
    <x v="1"/>
  </r>
  <r>
    <s v="[2894]"/>
    <n v="2894"/>
    <s v="2015-01-14 Stuart Vega [855]"/>
    <x v="58"/>
    <n v="5.99"/>
    <n v="2"/>
    <s v="unk"/>
    <d v="2017-01-13T01:08:04"/>
    <s v="unk"/>
    <d v="2017-01-13T01:08:04"/>
    <s v="unk"/>
    <x v="0"/>
    <x v="11"/>
  </r>
  <r>
    <s v="[2928]"/>
    <n v="2928"/>
    <s v="2015-01-19 Cameron Burton [866]"/>
    <x v="58"/>
    <n v="5.99"/>
    <n v="1"/>
    <s v="unk"/>
    <d v="2017-01-13T01:08:04"/>
    <s v="unk"/>
    <d v="2017-01-13T01:08:04"/>
    <s v="unk"/>
    <x v="0"/>
    <x v="10"/>
  </r>
  <r>
    <s v="[2929]"/>
    <n v="2929"/>
    <s v="2015-01-19 Cameron Burton [866]"/>
    <x v="60"/>
    <n v="8.99"/>
    <n v="2"/>
    <s v="unk"/>
    <d v="2017-01-13T01:08:04"/>
    <s v="unk"/>
    <d v="2017-01-13T01:08:04"/>
    <s v="unk"/>
    <x v="0"/>
    <x v="7"/>
  </r>
  <r>
    <s v="[2930]"/>
    <n v="2930"/>
    <s v="2015-01-19 Cameron Burton [866]"/>
    <x v="58"/>
    <n v="5.99"/>
    <n v="2"/>
    <s v="unk"/>
    <d v="2017-01-13T01:08:04"/>
    <s v="unk"/>
    <d v="2017-01-13T01:08:04"/>
    <s v="unk"/>
    <x v="0"/>
    <x v="11"/>
  </r>
  <r>
    <s v="[2960]"/>
    <n v="2960"/>
    <s v="2015-01-03 Cameron Burton [879]"/>
    <x v="57"/>
    <n v="6.99"/>
    <n v="1"/>
    <s v="unk"/>
    <d v="2017-01-13T01:08:04"/>
    <s v="unk"/>
    <d v="2017-01-13T01:08:04"/>
    <s v="unk"/>
    <x v="0"/>
    <x v="8"/>
  </r>
  <r>
    <s v="[2961]"/>
    <n v="2961"/>
    <s v="2015-01-03 Cameron Burton [879]"/>
    <x v="62"/>
    <n v="5.99"/>
    <n v="1"/>
    <s v="unk"/>
    <d v="2017-01-13T01:08:04"/>
    <s v="unk"/>
    <d v="2017-01-13T01:08:04"/>
    <s v="unk"/>
    <x v="0"/>
    <x v="10"/>
  </r>
  <r>
    <s v="[2962]"/>
    <n v="2962"/>
    <s v="2015-01-03 Cameron Burton [879]"/>
    <x v="60"/>
    <n v="8.99"/>
    <n v="1"/>
    <s v="unk"/>
    <d v="2017-01-13T01:08:04"/>
    <s v="unk"/>
    <d v="2017-01-13T01:08:04"/>
    <s v="unk"/>
    <x v="0"/>
    <x v="6"/>
  </r>
  <r>
    <s v="[2993]"/>
    <n v="2993"/>
    <s v="2015-01-06 Lillian Larsen [888]"/>
    <x v="60"/>
    <n v="8.99"/>
    <n v="2"/>
    <s v="unk"/>
    <d v="2017-01-13T01:08:04"/>
    <s v="unk"/>
    <d v="2017-01-13T01:08:04"/>
    <s v="unk"/>
    <x v="0"/>
    <x v="7"/>
  </r>
  <r>
    <s v="[2994]"/>
    <n v="2994"/>
    <s v="2015-01-06 Lillian Larsen [888]"/>
    <x v="49"/>
    <n v="8.99"/>
    <n v="1"/>
    <s v="unk"/>
    <d v="2017-01-13T01:08:04"/>
    <s v="unk"/>
    <d v="2017-01-13T01:08:04"/>
    <s v="unk"/>
    <x v="0"/>
    <x v="6"/>
  </r>
  <r>
    <s v="[2995]"/>
    <n v="2995"/>
    <s v="2015-01-06 Lillian Larsen [888]"/>
    <x v="62"/>
    <n v="5.99"/>
    <n v="2"/>
    <s v="unk"/>
    <d v="2017-01-13T01:08:04"/>
    <s v="unk"/>
    <d v="2017-01-13T01:08:04"/>
    <s v="unk"/>
    <x v="0"/>
    <x v="11"/>
  </r>
  <r>
    <s v="[2996]"/>
    <n v="2996"/>
    <s v="2015-01-06 Lillian Larsen [888]"/>
    <x v="58"/>
    <n v="5.99"/>
    <n v="2"/>
    <s v="unk"/>
    <d v="2017-01-13T01:08:04"/>
    <s v="unk"/>
    <d v="2017-01-13T01:08:04"/>
    <s v="unk"/>
    <x v="0"/>
    <x v="11"/>
  </r>
  <r>
    <s v="[2997]"/>
    <n v="2997"/>
    <s v="2015-01-06 Lillian Larsen [888]"/>
    <x v="57"/>
    <n v="6.99"/>
    <n v="2"/>
    <s v="unk"/>
    <d v="2017-01-13T01:08:04"/>
    <s v="unk"/>
    <d v="2017-01-13T01:08:04"/>
    <s v="unk"/>
    <x v="0"/>
    <x v="1"/>
  </r>
  <r>
    <s v="[2998]"/>
    <n v="2998"/>
    <s v="2015-01-06 Lillian Larsen [888]"/>
    <x v="56"/>
    <n v="9.99"/>
    <n v="1"/>
    <s v="unk"/>
    <d v="2017-01-13T01:08:04"/>
    <s v="unk"/>
    <d v="2017-01-13T01:08:04"/>
    <s v="unk"/>
    <x v="0"/>
    <x v="3"/>
  </r>
  <r>
    <s v="[3081]"/>
    <n v="3081"/>
    <s v="2015-01-06 Indira Suarez [912]"/>
    <x v="38"/>
    <n v="7.99"/>
    <n v="1"/>
    <s v="unk"/>
    <d v="2017-01-13T01:08:04"/>
    <s v="unk"/>
    <d v="2017-01-13T01:08:04"/>
    <s v="unk"/>
    <x v="0"/>
    <x v="2"/>
  </r>
  <r>
    <s v="[3082]"/>
    <n v="3082"/>
    <s v="2015-01-06 Indira Suarez [912]"/>
    <x v="61"/>
    <n v="8.99"/>
    <n v="1"/>
    <s v="unk"/>
    <d v="2017-01-13T01:08:04"/>
    <s v="unk"/>
    <d v="2017-01-13T01:08:04"/>
    <s v="unk"/>
    <x v="0"/>
    <x v="6"/>
  </r>
  <r>
    <s v="[3083]"/>
    <n v="3083"/>
    <s v="2015-01-06 Indira Suarez [912]"/>
    <x v="49"/>
    <n v="8.99"/>
    <n v="2"/>
    <s v="unk"/>
    <d v="2017-01-13T01:08:04"/>
    <s v="unk"/>
    <d v="2017-01-13T01:08:04"/>
    <s v="unk"/>
    <x v="0"/>
    <x v="7"/>
  </r>
  <r>
    <s v="[3084]"/>
    <n v="3084"/>
    <s v="2015-01-06 Indira Suarez [912]"/>
    <x v="56"/>
    <n v="9.99"/>
    <n v="2"/>
    <s v="unk"/>
    <d v="2017-01-13T01:08:04"/>
    <s v="unk"/>
    <d v="2017-01-13T01:08:04"/>
    <s v="unk"/>
    <x v="0"/>
    <x v="4"/>
  </r>
  <r>
    <s v="[3107]"/>
    <n v="3107"/>
    <s v="2015-01-01 Hayley Foster [922]"/>
    <x v="56"/>
    <n v="9.99"/>
    <n v="2"/>
    <s v="unk"/>
    <d v="2017-01-13T01:08:04"/>
    <s v="unk"/>
    <d v="2017-01-13T01:08:04"/>
    <s v="unk"/>
    <x v="0"/>
    <x v="4"/>
  </r>
  <r>
    <s v="[3108]"/>
    <n v="3108"/>
    <s v="2015-01-01 Hayley Foster [922]"/>
    <x v="38"/>
    <n v="7.99"/>
    <n v="1"/>
    <s v="unk"/>
    <d v="2017-01-13T01:08:04"/>
    <s v="unk"/>
    <d v="2017-01-13T01:08:04"/>
    <s v="unk"/>
    <x v="0"/>
    <x v="2"/>
  </r>
  <r>
    <s v="[3197]"/>
    <n v="3197"/>
    <s v="2015-01-26 Rhoda Vance [948]"/>
    <x v="60"/>
    <n v="8.99"/>
    <n v="1"/>
    <s v="unk"/>
    <d v="2017-01-13T01:08:04"/>
    <s v="unk"/>
    <d v="2017-01-13T01:08:04"/>
    <s v="unk"/>
    <x v="0"/>
    <x v="6"/>
  </r>
  <r>
    <s v="[3345]"/>
    <n v="3345"/>
    <s v="2015-01-02 Kendall Rocha [992]"/>
    <x v="28"/>
    <n v="9.99"/>
    <n v="1"/>
    <s v="unk"/>
    <d v="2017-01-13T01:08:04"/>
    <s v="unk"/>
    <d v="2017-01-13T01:08:04"/>
    <s v="unk"/>
    <x v="0"/>
    <x v="3"/>
  </r>
  <r>
    <s v="[3346]"/>
    <n v="3346"/>
    <s v="2015-01-02 Kendall Rocha [992]"/>
    <x v="56"/>
    <n v="9.99"/>
    <n v="1"/>
    <s v="unk"/>
    <d v="2017-01-13T01:08:04"/>
    <s v="unk"/>
    <d v="2017-01-13T01:08:04"/>
    <s v="unk"/>
    <x v="0"/>
    <x v="3"/>
  </r>
  <r>
    <s v="[3347]"/>
    <n v="3347"/>
    <s v="2015-01-02 Kendall Rocha [992]"/>
    <x v="49"/>
    <n v="8.99"/>
    <n v="1"/>
    <s v="unk"/>
    <d v="2017-01-13T01:08:04"/>
    <s v="unk"/>
    <d v="2017-01-13T01:08:04"/>
    <s v="unk"/>
    <x v="0"/>
    <x v="6"/>
  </r>
  <r>
    <s v="[3348]"/>
    <n v="3348"/>
    <s v="2015-01-02 Kendall Rocha [992]"/>
    <x v="49"/>
    <n v="8.99"/>
    <n v="1"/>
    <s v="unk"/>
    <d v="2017-01-13T01:08:04"/>
    <s v="unk"/>
    <d v="2017-01-13T01:08:04"/>
    <s v="unk"/>
    <x v="0"/>
    <x v="6"/>
  </r>
  <r>
    <s v="[3349]"/>
    <n v="3349"/>
    <s v="2015-01-02 Kendall Rocha [992]"/>
    <x v="58"/>
    <n v="5.99"/>
    <n v="2"/>
    <s v="unk"/>
    <d v="2017-01-13T01:08:04"/>
    <s v="unk"/>
    <d v="2017-01-13T01:08:04"/>
    <s v="unk"/>
    <x v="0"/>
    <x v="11"/>
  </r>
  <r>
    <s v="[3363]"/>
    <n v="3363"/>
    <s v="2015-01-04 Rhoda Vance [996]"/>
    <x v="57"/>
    <n v="6.99"/>
    <n v="1"/>
    <s v="unk"/>
    <d v="2017-01-13T01:08:04"/>
    <s v="unk"/>
    <d v="2017-01-13T01:08:04"/>
    <s v="unk"/>
    <x v="0"/>
    <x v="8"/>
  </r>
  <r>
    <s v="[3364]"/>
    <n v="3364"/>
    <s v="2015-01-04 Rhoda Vance [996]"/>
    <x v="62"/>
    <n v="5.99"/>
    <n v="1"/>
    <s v="unk"/>
    <d v="2017-01-13T01:08:04"/>
    <s v="unk"/>
    <d v="2017-01-13T01:08:04"/>
    <s v="unk"/>
    <x v="0"/>
    <x v="10"/>
  </r>
  <r>
    <s v="[3431]"/>
    <n v="3431"/>
    <s v="2015-01-10 Melvin Finch [1017]"/>
    <x v="49"/>
    <n v="8.99"/>
    <n v="2"/>
    <s v="unk"/>
    <d v="2017-01-13T01:08:04"/>
    <s v="unk"/>
    <d v="2017-01-13T01:08:04"/>
    <s v="unk"/>
    <x v="0"/>
    <x v="7"/>
  </r>
  <r>
    <s v="[3432]"/>
    <n v="3432"/>
    <s v="2015-01-10 Melvin Finch [1017]"/>
    <x v="28"/>
    <n v="9.99"/>
    <n v="2"/>
    <s v="unk"/>
    <d v="2017-01-13T01:08:04"/>
    <s v="unk"/>
    <d v="2017-01-13T01:08:04"/>
    <s v="unk"/>
    <x v="0"/>
    <x v="4"/>
  </r>
  <r>
    <s v="[3433]"/>
    <n v="3433"/>
    <s v="2015-01-10 Melvin Finch [1017]"/>
    <x v="59"/>
    <n v="7.99"/>
    <n v="1"/>
    <s v="unk"/>
    <d v="2017-01-13T01:08:04"/>
    <s v="unk"/>
    <d v="2017-01-13T01:08:04"/>
    <s v="unk"/>
    <x v="0"/>
    <x v="2"/>
  </r>
  <r>
    <s v="[3434]"/>
    <n v="3434"/>
    <s v="2015-01-10 Melvin Finch [1017]"/>
    <x v="57"/>
    <n v="6.99"/>
    <n v="2"/>
    <s v="unk"/>
    <d v="2017-01-13T01:08:04"/>
    <s v="unk"/>
    <d v="2017-01-13T01:08:04"/>
    <s v="unk"/>
    <x v="0"/>
    <x v="1"/>
  </r>
  <r>
    <s v="[3435]"/>
    <n v="3435"/>
    <s v="2015-01-10 Melvin Finch [1017]"/>
    <x v="59"/>
    <n v="7.99"/>
    <n v="1"/>
    <s v="unk"/>
    <d v="2017-01-13T01:08:04"/>
    <s v="unk"/>
    <d v="2017-01-13T01:08:04"/>
    <s v="unk"/>
    <x v="0"/>
    <x v="2"/>
  </r>
  <r>
    <s v="[3523]"/>
    <n v="3523"/>
    <s v="2015-01-10 Indira Suarez [1044]"/>
    <x v="56"/>
    <n v="9.99"/>
    <n v="1"/>
    <s v="unk"/>
    <d v="2017-01-13T01:08:04"/>
    <s v="unk"/>
    <d v="2017-01-13T01:08:04"/>
    <s v="unk"/>
    <x v="0"/>
    <x v="3"/>
  </r>
  <r>
    <s v="[3524]"/>
    <n v="3524"/>
    <s v="2015-01-10 Indira Suarez [1044]"/>
    <x v="59"/>
    <n v="7.99"/>
    <n v="1"/>
    <s v="unk"/>
    <d v="2017-01-13T01:08:04"/>
    <s v="unk"/>
    <d v="2017-01-13T01:08:04"/>
    <s v="unk"/>
    <x v="0"/>
    <x v="2"/>
  </r>
  <r>
    <s v="[3531]"/>
    <n v="3531"/>
    <s v="2015-01-27 Cameron Burton [1046]"/>
    <x v="62"/>
    <n v="5.99"/>
    <n v="1"/>
    <s v="unk"/>
    <d v="2017-01-13T01:08:04"/>
    <s v="unk"/>
    <d v="2017-01-13T01:08:04"/>
    <s v="unk"/>
    <x v="0"/>
    <x v="10"/>
  </r>
  <r>
    <s v="[3532]"/>
    <n v="3532"/>
    <s v="2015-01-27 Cameron Burton [1046]"/>
    <x v="56"/>
    <n v="9.99"/>
    <n v="1"/>
    <s v="unk"/>
    <d v="2017-01-13T01:08:04"/>
    <s v="unk"/>
    <d v="2017-01-13T01:08:04"/>
    <s v="unk"/>
    <x v="0"/>
    <x v="3"/>
  </r>
  <r>
    <s v="[3543]"/>
    <n v="3543"/>
    <s v="2015-01-26 Indira Suarez [1050]"/>
    <x v="59"/>
    <n v="7.99"/>
    <n v="1"/>
    <s v="unk"/>
    <d v="2017-01-13T01:08:04"/>
    <s v="unk"/>
    <d v="2017-01-13T01:08:04"/>
    <s v="unk"/>
    <x v="0"/>
    <x v="2"/>
  </r>
  <r>
    <s v="[3544]"/>
    <n v="3544"/>
    <s v="2015-01-26 Indira Suarez [1050]"/>
    <x v="58"/>
    <n v="5.99"/>
    <n v="1"/>
    <s v="unk"/>
    <d v="2017-01-13T01:08:04"/>
    <s v="unk"/>
    <d v="2017-01-13T01:08:04"/>
    <s v="unk"/>
    <x v="0"/>
    <x v="10"/>
  </r>
  <r>
    <s v="[3545]"/>
    <n v="3545"/>
    <s v="2015-01-26 Indira Suarez [1050]"/>
    <x v="28"/>
    <n v="9.99"/>
    <n v="2"/>
    <s v="unk"/>
    <d v="2017-01-13T01:08:04"/>
    <s v="unk"/>
    <d v="2017-01-13T01:08:04"/>
    <s v="unk"/>
    <x v="0"/>
    <x v="4"/>
  </r>
  <r>
    <s v="[3562]"/>
    <n v="3562"/>
    <s v="2015-01-07 Cameron Rivera [1053]"/>
    <x v="28"/>
    <n v="9.99"/>
    <n v="2"/>
    <s v="unk"/>
    <d v="2017-01-13T01:08:04"/>
    <s v="unk"/>
    <d v="2017-01-13T01:08:04"/>
    <s v="unk"/>
    <x v="0"/>
    <x v="4"/>
  </r>
  <r>
    <s v="[3563]"/>
    <n v="3563"/>
    <s v="2015-01-07 Cameron Rivera [1053]"/>
    <x v="56"/>
    <n v="9.99"/>
    <n v="1"/>
    <s v="unk"/>
    <d v="2017-01-13T01:08:04"/>
    <s v="unk"/>
    <d v="2017-01-13T01:08:04"/>
    <s v="unk"/>
    <x v="0"/>
    <x v="3"/>
  </r>
  <r>
    <s v="[3620]"/>
    <n v="3620"/>
    <s v="2015-01-23 Hayley Foster [1069]"/>
    <x v="57"/>
    <n v="6.99"/>
    <n v="2"/>
    <s v="unk"/>
    <d v="2017-01-13T01:08:04"/>
    <s v="unk"/>
    <d v="2017-01-13T01:08:04"/>
    <s v="unk"/>
    <x v="0"/>
    <x v="1"/>
  </r>
  <r>
    <s v="[3621]"/>
    <n v="3621"/>
    <s v="2015-01-23 Hayley Foster [1069]"/>
    <x v="49"/>
    <n v="8.99"/>
    <n v="1"/>
    <s v="unk"/>
    <d v="2017-01-13T01:08:04"/>
    <s v="unk"/>
    <d v="2017-01-13T01:08:04"/>
    <s v="unk"/>
    <x v="0"/>
    <x v="6"/>
  </r>
  <r>
    <s v="[3622]"/>
    <n v="3622"/>
    <s v="2015-01-23 Hayley Foster [1069]"/>
    <x v="58"/>
    <n v="5.99"/>
    <n v="1"/>
    <s v="unk"/>
    <d v="2017-01-13T01:08:04"/>
    <s v="unk"/>
    <d v="2017-01-13T01:08:04"/>
    <s v="unk"/>
    <x v="0"/>
    <x v="10"/>
  </r>
  <r>
    <s v="[3629]"/>
    <n v="3629"/>
    <s v="2015-01-02 Eugenia Roman [1072]"/>
    <x v="28"/>
    <n v="9.99"/>
    <n v="2"/>
    <s v="unk"/>
    <d v="2017-01-13T01:08:04"/>
    <s v="unk"/>
    <d v="2017-01-13T01:08:04"/>
    <s v="unk"/>
    <x v="0"/>
    <x v="4"/>
  </r>
  <r>
    <s v="[3630]"/>
    <n v="3630"/>
    <s v="2015-01-02 Eugenia Roman [1072]"/>
    <x v="38"/>
    <n v="7.99"/>
    <n v="1"/>
    <s v="unk"/>
    <d v="2017-01-13T01:08:04"/>
    <s v="unk"/>
    <d v="2017-01-13T01:08:04"/>
    <s v="unk"/>
    <x v="0"/>
    <x v="2"/>
  </r>
  <r>
    <s v="[3693]"/>
    <n v="3693"/>
    <s v="2015-01-21 Cameron Rivera [1087]"/>
    <x v="59"/>
    <n v="7.99"/>
    <n v="1"/>
    <s v="unk"/>
    <d v="2017-01-13T01:08:04"/>
    <s v="unk"/>
    <d v="2017-01-13T01:08:04"/>
    <s v="unk"/>
    <x v="0"/>
    <x v="2"/>
  </r>
  <r>
    <s v="[3743]"/>
    <n v="3743"/>
    <s v="2015-01-09 Eugenia Roman [1102]"/>
    <x v="38"/>
    <n v="7.99"/>
    <n v="2"/>
    <s v="unk"/>
    <d v="2017-01-13T01:08:04"/>
    <s v="unk"/>
    <d v="2017-01-13T01:08:04"/>
    <s v="unk"/>
    <x v="0"/>
    <x v="5"/>
  </r>
  <r>
    <s v="[3744]"/>
    <n v="3744"/>
    <s v="2015-01-09 Eugenia Roman [1102]"/>
    <x v="59"/>
    <n v="7.99"/>
    <n v="1"/>
    <s v="unk"/>
    <d v="2017-01-13T01:08:04"/>
    <s v="unk"/>
    <d v="2017-01-13T01:08:04"/>
    <s v="unk"/>
    <x v="0"/>
    <x v="2"/>
  </r>
  <r>
    <s v="[3933]"/>
    <n v="3933"/>
    <s v="2015-01-14 Eugenia Roman [1162]"/>
    <x v="56"/>
    <n v="9.99"/>
    <n v="1"/>
    <s v="unk"/>
    <d v="2017-01-13T01:08:04"/>
    <s v="unk"/>
    <d v="2017-01-13T01:08:04"/>
    <s v="unk"/>
    <x v="0"/>
    <x v="3"/>
  </r>
  <r>
    <s v="[3934]"/>
    <n v="3934"/>
    <s v="2015-01-14 Eugenia Roman [1162]"/>
    <x v="62"/>
    <n v="5.99"/>
    <n v="1"/>
    <s v="unk"/>
    <d v="2017-01-13T01:08:04"/>
    <s v="unk"/>
    <d v="2017-01-13T01:08:04"/>
    <s v="unk"/>
    <x v="0"/>
    <x v="10"/>
  </r>
  <r>
    <s v="[3935]"/>
    <n v="3935"/>
    <s v="2015-01-14 Eugenia Roman [1162]"/>
    <x v="28"/>
    <n v="9.99"/>
    <n v="2"/>
    <s v="unk"/>
    <d v="2017-01-13T01:08:04"/>
    <s v="unk"/>
    <d v="2017-01-13T01:08:04"/>
    <s v="unk"/>
    <x v="0"/>
    <x v="4"/>
  </r>
  <r>
    <s v="[3958]"/>
    <n v="3958"/>
    <s v="2015-01-30 Melvin Finch [1168]"/>
    <x v="57"/>
    <n v="6.99"/>
    <n v="2"/>
    <s v="unk"/>
    <d v="2017-01-13T01:08:04"/>
    <s v="unk"/>
    <d v="2017-01-13T01:08:04"/>
    <s v="unk"/>
    <x v="0"/>
    <x v="1"/>
  </r>
  <r>
    <s v="[3959]"/>
    <n v="3959"/>
    <s v="2015-01-30 Melvin Finch [1168]"/>
    <x v="57"/>
    <n v="6.99"/>
    <n v="1"/>
    <s v="unk"/>
    <d v="2017-01-13T01:08:04"/>
    <s v="unk"/>
    <d v="2017-01-13T01:08:04"/>
    <s v="unk"/>
    <x v="0"/>
    <x v="8"/>
  </r>
  <r>
    <s v="[3960]"/>
    <n v="3960"/>
    <s v="2015-01-30 Melvin Finch [1168]"/>
    <x v="60"/>
    <n v="8.99"/>
    <n v="1"/>
    <s v="unk"/>
    <d v="2017-01-13T01:08:04"/>
    <s v="unk"/>
    <d v="2017-01-13T01:08:04"/>
    <s v="unk"/>
    <x v="0"/>
    <x v="6"/>
  </r>
  <r>
    <s v="[3961]"/>
    <n v="3961"/>
    <s v="2015-01-30 Melvin Finch [1168]"/>
    <x v="56"/>
    <n v="9.99"/>
    <n v="1"/>
    <s v="unk"/>
    <d v="2017-01-13T01:08:04"/>
    <s v="unk"/>
    <d v="2017-01-13T01:08:04"/>
    <s v="unk"/>
    <x v="0"/>
    <x v="3"/>
  </r>
  <r>
    <s v="[3962]"/>
    <n v="3962"/>
    <s v="2015-01-30 Melvin Finch [1168]"/>
    <x v="28"/>
    <n v="9.99"/>
    <n v="1"/>
    <s v="unk"/>
    <d v="2017-01-13T01:08:04"/>
    <s v="unk"/>
    <d v="2017-01-13T01:08:04"/>
    <s v="unk"/>
    <x v="0"/>
    <x v="3"/>
  </r>
  <r>
    <s v="[3974]"/>
    <n v="3974"/>
    <s v="2015-01-29 Stuart Vega [1173]"/>
    <x v="60"/>
    <n v="8.99"/>
    <n v="2"/>
    <s v="unk"/>
    <d v="2017-01-13T01:08:04"/>
    <s v="unk"/>
    <d v="2017-01-13T01:08:04"/>
    <s v="unk"/>
    <x v="0"/>
    <x v="7"/>
  </r>
  <r>
    <s v="[3975]"/>
    <n v="3975"/>
    <s v="2015-01-29 Stuart Vega [1173]"/>
    <x v="28"/>
    <n v="9.99"/>
    <n v="1"/>
    <s v="unk"/>
    <d v="2017-01-13T01:08:04"/>
    <s v="unk"/>
    <d v="2017-01-13T01:08:04"/>
    <s v="unk"/>
    <x v="0"/>
    <x v="3"/>
  </r>
  <r>
    <s v="[3976]"/>
    <n v="3976"/>
    <s v="2015-01-29 Stuart Vega [1173]"/>
    <x v="28"/>
    <n v="9.99"/>
    <n v="1"/>
    <s v="unk"/>
    <d v="2017-01-13T01:08:04"/>
    <s v="unk"/>
    <d v="2017-01-13T01:08:04"/>
    <s v="unk"/>
    <x v="0"/>
    <x v="3"/>
  </r>
  <r>
    <s v="[3977]"/>
    <n v="3977"/>
    <s v="2015-01-29 Stuart Vega [1173]"/>
    <x v="59"/>
    <n v="7.99"/>
    <n v="1"/>
    <s v="unk"/>
    <d v="2017-01-13T01:08:04"/>
    <s v="unk"/>
    <d v="2017-01-13T01:08:04"/>
    <s v="unk"/>
    <x v="0"/>
    <x v="2"/>
  </r>
  <r>
    <s v="[3978]"/>
    <n v="3978"/>
    <s v="2015-01-29 Stuart Vega [1173]"/>
    <x v="28"/>
    <n v="9.99"/>
    <n v="2"/>
    <s v="unk"/>
    <d v="2017-01-13T01:08:04"/>
    <s v="unk"/>
    <d v="2017-01-13T01:08:04"/>
    <s v="unk"/>
    <x v="0"/>
    <x v="4"/>
  </r>
  <r>
    <s v="[3979]"/>
    <n v="3979"/>
    <s v="2015-01-29 Stuart Vega [1173]"/>
    <x v="58"/>
    <n v="5.99"/>
    <n v="1"/>
    <s v="unk"/>
    <d v="2017-01-13T01:08:04"/>
    <s v="unk"/>
    <d v="2017-01-13T01:08:04"/>
    <s v="unk"/>
    <x v="0"/>
    <x v="10"/>
  </r>
  <r>
    <s v="[3989]"/>
    <n v="3989"/>
    <s v="2015-01-07 Stuart Vega [1177]"/>
    <x v="49"/>
    <n v="8.99"/>
    <n v="2"/>
    <s v="unk"/>
    <d v="2017-01-13T01:08:04"/>
    <s v="unk"/>
    <d v="2017-01-13T01:08:04"/>
    <s v="unk"/>
    <x v="0"/>
    <x v="7"/>
  </r>
  <r>
    <s v="[3990]"/>
    <n v="3990"/>
    <s v="2015-01-07 Stuart Vega [1177]"/>
    <x v="56"/>
    <n v="9.99"/>
    <n v="1"/>
    <s v="unk"/>
    <d v="2017-01-13T01:08:04"/>
    <s v="unk"/>
    <d v="2017-01-13T01:08:04"/>
    <s v="unk"/>
    <x v="0"/>
    <x v="3"/>
  </r>
  <r>
    <s v="[59]"/>
    <n v="59"/>
    <s v="2015-02-22 Ora Mann [19]"/>
    <x v="24"/>
    <n v="4.99"/>
    <n v="1"/>
    <s v="unk"/>
    <d v="2017-01-13T01:08:04"/>
    <s v="unk"/>
    <d v="2017-01-13T01:08:04"/>
    <s v="unk"/>
    <x v="1"/>
    <x v="0"/>
  </r>
  <r>
    <s v="[60]"/>
    <n v="60"/>
    <s v="2015-02-22 Ora Mann [19]"/>
    <x v="63"/>
    <n v="6.99"/>
    <n v="1"/>
    <s v="unk"/>
    <d v="2017-01-13T01:08:04"/>
    <s v="unk"/>
    <d v="2017-01-13T01:08:04"/>
    <s v="unk"/>
    <x v="1"/>
    <x v="8"/>
  </r>
  <r>
    <s v="[61]"/>
    <n v="61"/>
    <s v="2015-02-22 Ora Mann [19]"/>
    <x v="64"/>
    <n v="8.99"/>
    <n v="1"/>
    <s v="unk"/>
    <d v="2017-01-13T01:08:04"/>
    <s v="unk"/>
    <d v="2017-01-13T01:08:04"/>
    <s v="unk"/>
    <x v="1"/>
    <x v="6"/>
  </r>
  <r>
    <s v="[62]"/>
    <n v="62"/>
    <s v="2015-02-22 Ora Mann [19]"/>
    <x v="65"/>
    <n v="5.99"/>
    <n v="2"/>
    <s v="unk"/>
    <d v="2017-01-13T01:08:04"/>
    <s v="unk"/>
    <d v="2017-01-13T01:08:04"/>
    <s v="unk"/>
    <x v="1"/>
    <x v="11"/>
  </r>
  <r>
    <s v="[63]"/>
    <n v="63"/>
    <s v="2015-02-22 Ora Mann [19]"/>
    <x v="20"/>
    <n v="9.99"/>
    <n v="2"/>
    <s v="unk"/>
    <d v="2017-01-13T01:08:04"/>
    <s v="unk"/>
    <d v="2017-01-13T01:08:04"/>
    <s v="unk"/>
    <x v="1"/>
    <x v="4"/>
  </r>
  <r>
    <s v="[64]"/>
    <n v="64"/>
    <s v="2015-02-22 Ora Mann [19]"/>
    <x v="66"/>
    <n v="5.99"/>
    <n v="1"/>
    <s v="unk"/>
    <d v="2017-01-13T01:08:04"/>
    <s v="unk"/>
    <d v="2017-01-13T01:08:04"/>
    <s v="unk"/>
    <x v="1"/>
    <x v="10"/>
  </r>
  <r>
    <s v="[308]"/>
    <n v="308"/>
    <s v="2015-02-28 Madeson Silva [97]"/>
    <x v="17"/>
    <n v="7.99"/>
    <n v="1"/>
    <s v="unk"/>
    <d v="2017-01-13T01:08:04"/>
    <s v="unk"/>
    <d v="2017-01-13T01:08:04"/>
    <s v="unk"/>
    <x v="1"/>
    <x v="2"/>
  </r>
  <r>
    <s v="[309]"/>
    <n v="309"/>
    <s v="2015-02-28 Madeson Silva [97]"/>
    <x v="29"/>
    <n v="8.99"/>
    <n v="2"/>
    <s v="unk"/>
    <d v="2017-01-13T01:08:04"/>
    <s v="unk"/>
    <d v="2017-01-13T01:08:04"/>
    <s v="unk"/>
    <x v="1"/>
    <x v="7"/>
  </r>
  <r>
    <s v="[310]"/>
    <n v="310"/>
    <s v="2015-02-28 Madeson Silva [97]"/>
    <x v="67"/>
    <n v="6.99"/>
    <n v="1"/>
    <s v="unk"/>
    <d v="2017-01-13T01:08:04"/>
    <s v="unk"/>
    <d v="2017-01-13T01:08:04"/>
    <s v="unk"/>
    <x v="1"/>
    <x v="8"/>
  </r>
  <r>
    <s v="[311]"/>
    <n v="311"/>
    <s v="2015-02-28 Madeson Silva [97]"/>
    <x v="65"/>
    <n v="5.99"/>
    <n v="1"/>
    <s v="unk"/>
    <d v="2017-01-13T01:08:04"/>
    <s v="unk"/>
    <d v="2017-01-13T01:08:04"/>
    <s v="unk"/>
    <x v="1"/>
    <x v="10"/>
  </r>
  <r>
    <s v="[323]"/>
    <n v="323"/>
    <s v="2015-02-18 Rhoda Jacobson [102]"/>
    <x v="33"/>
    <n v="9.99"/>
    <n v="1"/>
    <s v="unk"/>
    <d v="2017-01-13T01:08:04"/>
    <s v="unk"/>
    <d v="2017-01-13T01:08:04"/>
    <s v="unk"/>
    <x v="1"/>
    <x v="3"/>
  </r>
  <r>
    <s v="[324]"/>
    <n v="324"/>
    <s v="2015-02-18 Rhoda Jacobson [102]"/>
    <x v="68"/>
    <n v="8.99"/>
    <n v="1"/>
    <s v="unk"/>
    <d v="2017-01-13T01:08:04"/>
    <s v="unk"/>
    <d v="2017-01-13T01:08:04"/>
    <s v="unk"/>
    <x v="1"/>
    <x v="6"/>
  </r>
  <r>
    <s v="[325]"/>
    <n v="325"/>
    <s v="2015-02-18 Rhoda Jacobson [102]"/>
    <x v="69"/>
    <n v="9.99"/>
    <n v="1"/>
    <s v="unk"/>
    <d v="2017-01-13T01:08:04"/>
    <s v="unk"/>
    <d v="2017-01-13T01:08:04"/>
    <s v="unk"/>
    <x v="1"/>
    <x v="3"/>
  </r>
  <r>
    <s v="[488]"/>
    <n v="488"/>
    <s v="2015-02-12 Irene Carver [151]"/>
    <x v="28"/>
    <n v="9.99"/>
    <n v="1"/>
    <s v="unk"/>
    <d v="2017-01-13T01:08:04"/>
    <s v="unk"/>
    <d v="2017-01-13T01:08:04"/>
    <s v="unk"/>
    <x v="1"/>
    <x v="3"/>
  </r>
  <r>
    <s v="[489]"/>
    <n v="489"/>
    <s v="2015-02-12 Irene Carver [151]"/>
    <x v="70"/>
    <n v="5.99"/>
    <n v="2"/>
    <s v="unk"/>
    <d v="2017-01-13T01:08:04"/>
    <s v="unk"/>
    <d v="2017-01-13T01:08:04"/>
    <s v="unk"/>
    <x v="1"/>
    <x v="11"/>
  </r>
  <r>
    <s v="[708]"/>
    <n v="708"/>
    <s v="2015-02-26 Tate Lowery [219]"/>
    <x v="30"/>
    <n v="5.99"/>
    <n v="1"/>
    <s v="unk"/>
    <d v="2017-01-13T01:08:04"/>
    <s v="unk"/>
    <d v="2017-01-13T01:08:04"/>
    <s v="unk"/>
    <x v="1"/>
    <x v="10"/>
  </r>
  <r>
    <s v="[709]"/>
    <n v="709"/>
    <s v="2015-02-26 Tate Lowery [219]"/>
    <x v="51"/>
    <n v="9.99"/>
    <n v="1"/>
    <s v="unk"/>
    <d v="2017-01-13T01:08:04"/>
    <s v="unk"/>
    <d v="2017-01-13T01:08:04"/>
    <s v="unk"/>
    <x v="1"/>
    <x v="3"/>
  </r>
  <r>
    <s v="[788]"/>
    <n v="788"/>
    <s v="2015-02-07 Marny Boyer [245]"/>
    <x v="41"/>
    <n v="7.99"/>
    <n v="2"/>
    <s v="unk"/>
    <d v="2017-01-13T01:08:04"/>
    <s v="unk"/>
    <d v="2017-01-13T01:08:04"/>
    <s v="unk"/>
    <x v="1"/>
    <x v="5"/>
  </r>
  <r>
    <s v="[789]"/>
    <n v="789"/>
    <s v="2015-02-07 Marny Boyer [245]"/>
    <x v="51"/>
    <n v="9.99"/>
    <n v="1"/>
    <s v="unk"/>
    <d v="2017-01-13T01:08:04"/>
    <s v="unk"/>
    <d v="2017-01-13T01:08:04"/>
    <s v="unk"/>
    <x v="1"/>
    <x v="3"/>
  </r>
  <r>
    <s v="[790]"/>
    <n v="790"/>
    <s v="2015-02-07 Marny Boyer [245]"/>
    <x v="42"/>
    <n v="5.99"/>
    <n v="1"/>
    <s v="unk"/>
    <d v="2017-01-13T01:08:04"/>
    <s v="unk"/>
    <d v="2017-01-13T01:08:04"/>
    <s v="unk"/>
    <x v="1"/>
    <x v="10"/>
  </r>
  <r>
    <s v="[791]"/>
    <n v="791"/>
    <s v="2015-02-07 Marny Boyer [245]"/>
    <x v="71"/>
    <n v="4.99"/>
    <n v="1"/>
    <s v="unk"/>
    <d v="2017-01-13T01:08:04"/>
    <s v="unk"/>
    <d v="2017-01-13T01:08:04"/>
    <s v="unk"/>
    <x v="1"/>
    <x v="0"/>
  </r>
  <r>
    <s v="[792]"/>
    <n v="792"/>
    <s v="2015-02-07 Marny Boyer [245]"/>
    <x v="3"/>
    <n v="7.99"/>
    <n v="1"/>
    <s v="unk"/>
    <d v="2017-01-13T01:08:04"/>
    <s v="unk"/>
    <d v="2017-01-13T01:08:04"/>
    <s v="unk"/>
    <x v="1"/>
    <x v="2"/>
  </r>
  <r>
    <s v="[869]"/>
    <n v="869"/>
    <s v="2015-02-24 Marny Boyer [272]"/>
    <x v="72"/>
    <n v="8.99"/>
    <n v="1"/>
    <s v="unk"/>
    <d v="2017-01-13T01:08:04"/>
    <s v="unk"/>
    <d v="2017-01-13T01:08:04"/>
    <s v="unk"/>
    <x v="1"/>
    <x v="6"/>
  </r>
  <r>
    <s v="[870]"/>
    <n v="870"/>
    <s v="2015-02-24 Marny Boyer [272]"/>
    <x v="48"/>
    <n v="9.99"/>
    <n v="1"/>
    <s v="unk"/>
    <d v="2017-01-13T01:08:04"/>
    <s v="unk"/>
    <d v="2017-01-13T01:08:04"/>
    <s v="unk"/>
    <x v="1"/>
    <x v="3"/>
  </r>
  <r>
    <s v="[871]"/>
    <n v="871"/>
    <s v="2015-02-24 Marny Boyer [272]"/>
    <x v="71"/>
    <n v="4.99"/>
    <n v="1"/>
    <s v="unk"/>
    <d v="2017-01-13T01:08:04"/>
    <s v="unk"/>
    <d v="2017-01-13T01:08:04"/>
    <s v="unk"/>
    <x v="1"/>
    <x v="0"/>
  </r>
  <r>
    <s v="[894]"/>
    <n v="894"/>
    <s v="2015-02-18 Quinn Ewing [280]"/>
    <x v="53"/>
    <n v="8.99"/>
    <n v="1"/>
    <s v="unk"/>
    <d v="2017-01-13T01:08:04"/>
    <s v="unk"/>
    <d v="2017-01-13T01:08:04"/>
    <s v="unk"/>
    <x v="1"/>
    <x v="6"/>
  </r>
  <r>
    <s v="[895]"/>
    <n v="895"/>
    <s v="2015-02-18 Quinn Ewing [280]"/>
    <x v="44"/>
    <n v="9.99"/>
    <n v="1"/>
    <s v="unk"/>
    <d v="2017-01-13T01:08:04"/>
    <s v="unk"/>
    <d v="2017-01-13T01:08:04"/>
    <s v="unk"/>
    <x v="1"/>
    <x v="3"/>
  </r>
  <r>
    <s v="[896]"/>
    <n v="896"/>
    <s v="2015-02-18 Quinn Ewing [280]"/>
    <x v="39"/>
    <n v="9.99"/>
    <n v="1"/>
    <s v="unk"/>
    <d v="2017-01-13T01:08:04"/>
    <s v="unk"/>
    <d v="2017-01-13T01:08:04"/>
    <s v="unk"/>
    <x v="1"/>
    <x v="3"/>
  </r>
  <r>
    <s v="[897]"/>
    <n v="897"/>
    <s v="2015-02-18 Quinn Ewing [280]"/>
    <x v="35"/>
    <n v="6.99"/>
    <n v="1"/>
    <s v="unk"/>
    <d v="2017-01-13T01:08:04"/>
    <s v="unk"/>
    <d v="2017-01-13T01:08:04"/>
    <s v="unk"/>
    <x v="1"/>
    <x v="8"/>
  </r>
  <r>
    <s v="[898]"/>
    <n v="898"/>
    <s v="2015-02-18 Quinn Ewing [280]"/>
    <x v="73"/>
    <n v="9.99"/>
    <n v="2"/>
    <s v="unk"/>
    <d v="2017-01-13T01:08:04"/>
    <s v="unk"/>
    <d v="2017-01-13T01:08:04"/>
    <s v="unk"/>
    <x v="1"/>
    <x v="4"/>
  </r>
  <r>
    <s v="[1094]"/>
    <n v="1094"/>
    <s v="2015-02-12 Clio Carter [339]"/>
    <x v="3"/>
    <n v="7.99"/>
    <n v="2"/>
    <s v="unk"/>
    <d v="2017-01-13T01:08:04"/>
    <s v="unk"/>
    <d v="2017-01-13T01:08:04"/>
    <s v="unk"/>
    <x v="1"/>
    <x v="5"/>
  </r>
  <r>
    <s v="[1095]"/>
    <n v="1095"/>
    <s v="2015-02-12 Clio Carter [339]"/>
    <x v="50"/>
    <n v="4.99"/>
    <n v="1"/>
    <s v="unk"/>
    <d v="2017-01-13T01:08:04"/>
    <s v="unk"/>
    <d v="2017-01-13T01:08:04"/>
    <s v="unk"/>
    <x v="1"/>
    <x v="0"/>
  </r>
  <r>
    <s v="[1096]"/>
    <n v="1096"/>
    <s v="2015-02-12 Clio Carter [339]"/>
    <x v="49"/>
    <n v="8.99"/>
    <n v="1"/>
    <s v="unk"/>
    <d v="2017-01-13T01:08:04"/>
    <s v="unk"/>
    <d v="2017-01-13T01:08:04"/>
    <s v="unk"/>
    <x v="1"/>
    <x v="6"/>
  </r>
  <r>
    <s v="[1134]"/>
    <n v="1134"/>
    <s v="2015-02-17 April Buckley [351]"/>
    <x v="36"/>
    <n v="6.99"/>
    <n v="1"/>
    <s v="unk"/>
    <d v="2017-01-13T01:08:04"/>
    <s v="unk"/>
    <d v="2017-01-13T01:08:04"/>
    <s v="unk"/>
    <x v="1"/>
    <x v="8"/>
  </r>
  <r>
    <s v="[1135]"/>
    <n v="1135"/>
    <s v="2015-02-17 April Buckley [351]"/>
    <x v="30"/>
    <n v="5.99"/>
    <n v="1"/>
    <s v="unk"/>
    <d v="2017-01-13T01:08:04"/>
    <s v="unk"/>
    <d v="2017-01-13T01:08:04"/>
    <s v="unk"/>
    <x v="1"/>
    <x v="10"/>
  </r>
  <r>
    <s v="[1136]"/>
    <n v="1136"/>
    <s v="2015-02-17 April Buckley [351]"/>
    <x v="25"/>
    <n v="9.99"/>
    <n v="1"/>
    <s v="unk"/>
    <d v="2017-01-13T01:08:04"/>
    <s v="unk"/>
    <d v="2017-01-13T01:08:04"/>
    <s v="unk"/>
    <x v="1"/>
    <x v="3"/>
  </r>
  <r>
    <s v="[1137]"/>
    <n v="1137"/>
    <s v="2015-02-17 April Buckley [351]"/>
    <x v="5"/>
    <n v="9.99"/>
    <n v="2"/>
    <s v="unk"/>
    <d v="2017-01-13T01:08:04"/>
    <s v="unk"/>
    <d v="2017-01-13T01:08:04"/>
    <s v="unk"/>
    <x v="1"/>
    <x v="4"/>
  </r>
  <r>
    <s v="[1138]"/>
    <n v="1138"/>
    <s v="2015-02-17 April Buckley [351]"/>
    <x v="51"/>
    <n v="9.99"/>
    <n v="1"/>
    <s v="unk"/>
    <d v="2017-01-13T01:08:04"/>
    <s v="unk"/>
    <d v="2017-01-13T01:08:04"/>
    <s v="unk"/>
    <x v="1"/>
    <x v="3"/>
  </r>
  <r>
    <s v="[1139]"/>
    <n v="1139"/>
    <s v="2015-02-17 April Buckley [351]"/>
    <x v="74"/>
    <n v="6.99"/>
    <n v="1"/>
    <s v="unk"/>
    <d v="2017-01-13T01:08:04"/>
    <s v="unk"/>
    <d v="2017-01-13T01:08:04"/>
    <s v="unk"/>
    <x v="1"/>
    <x v="8"/>
  </r>
  <r>
    <s v="[1140]"/>
    <n v="1140"/>
    <s v="2015-02-17 April Buckley [351]"/>
    <x v="75"/>
    <n v="5.99"/>
    <n v="1"/>
    <s v="unk"/>
    <d v="2017-01-13T01:08:04"/>
    <s v="unk"/>
    <d v="2017-01-13T01:08:04"/>
    <s v="unk"/>
    <x v="1"/>
    <x v="10"/>
  </r>
  <r>
    <s v="[1152]"/>
    <n v="1152"/>
    <s v="2015-02-02 Rhonda Curtis [355]"/>
    <x v="45"/>
    <n v="8.99"/>
    <n v="1"/>
    <s v="unk"/>
    <d v="2017-01-13T01:08:04"/>
    <s v="unk"/>
    <d v="2017-01-13T01:08:04"/>
    <s v="unk"/>
    <x v="1"/>
    <x v="6"/>
  </r>
  <r>
    <s v="[1153]"/>
    <n v="1153"/>
    <s v="2015-02-02 Rhonda Curtis [355]"/>
    <x v="54"/>
    <n v="4.99"/>
    <n v="2"/>
    <s v="unk"/>
    <d v="2017-01-13T01:08:04"/>
    <s v="unk"/>
    <d v="2017-01-13T01:08:04"/>
    <s v="unk"/>
    <x v="1"/>
    <x v="9"/>
  </r>
  <r>
    <s v="[1215]"/>
    <n v="1215"/>
    <s v="2015-02-13 Mohammad Carrillo [370]"/>
    <x v="29"/>
    <n v="8.99"/>
    <n v="1"/>
    <s v="unk"/>
    <d v="2017-01-13T01:08:04"/>
    <s v="unk"/>
    <d v="2017-01-13T01:08:04"/>
    <s v="unk"/>
    <x v="1"/>
    <x v="6"/>
  </r>
  <r>
    <s v="[1216]"/>
    <n v="1216"/>
    <s v="2015-02-13 Mohammad Carrillo [370]"/>
    <x v="34"/>
    <n v="8.99"/>
    <n v="1"/>
    <s v="unk"/>
    <d v="2017-01-13T01:08:04"/>
    <s v="unk"/>
    <d v="2017-01-13T01:08:04"/>
    <s v="unk"/>
    <x v="1"/>
    <x v="6"/>
  </r>
  <r>
    <s v="[1217]"/>
    <n v="1217"/>
    <s v="2015-02-13 Mohammad Carrillo [370]"/>
    <x v="76"/>
    <n v="4.99"/>
    <n v="1"/>
    <s v="unk"/>
    <d v="2017-01-13T01:08:04"/>
    <s v="unk"/>
    <d v="2017-01-13T01:08:04"/>
    <s v="unk"/>
    <x v="1"/>
    <x v="0"/>
  </r>
  <r>
    <s v="[1218]"/>
    <n v="1218"/>
    <s v="2015-02-13 Mohammad Carrillo [370]"/>
    <x v="33"/>
    <n v="9.99"/>
    <n v="2"/>
    <s v="unk"/>
    <d v="2017-01-13T01:08:04"/>
    <s v="unk"/>
    <d v="2017-01-13T01:08:04"/>
    <s v="unk"/>
    <x v="1"/>
    <x v="4"/>
  </r>
  <r>
    <s v="[1219]"/>
    <n v="1219"/>
    <s v="2015-02-13 Mohammad Carrillo [370]"/>
    <x v="27"/>
    <n v="4.99"/>
    <n v="1"/>
    <s v="unk"/>
    <d v="2017-01-13T01:08:04"/>
    <s v="unk"/>
    <d v="2017-01-13T01:08:04"/>
    <s v="unk"/>
    <x v="1"/>
    <x v="0"/>
  </r>
  <r>
    <s v="[1223]"/>
    <n v="1223"/>
    <s v="2015-02-09 Rhonda Curtis [372]"/>
    <x v="29"/>
    <n v="8.99"/>
    <n v="2"/>
    <s v="unk"/>
    <d v="2017-01-13T01:08:04"/>
    <s v="unk"/>
    <d v="2017-01-13T01:08:04"/>
    <s v="unk"/>
    <x v="1"/>
    <x v="7"/>
  </r>
  <r>
    <s v="[1224]"/>
    <n v="1224"/>
    <s v="2015-02-09 Rhonda Curtis [372]"/>
    <x v="57"/>
    <n v="6.99"/>
    <n v="2"/>
    <s v="unk"/>
    <d v="2017-01-13T01:08:04"/>
    <s v="unk"/>
    <d v="2017-01-13T01:08:04"/>
    <s v="unk"/>
    <x v="1"/>
    <x v="1"/>
  </r>
  <r>
    <s v="[1225]"/>
    <n v="1225"/>
    <s v="2015-02-09 Rhonda Curtis [372]"/>
    <x v="31"/>
    <n v="5.99"/>
    <n v="1"/>
    <s v="unk"/>
    <d v="2017-01-13T01:08:04"/>
    <s v="unk"/>
    <d v="2017-01-13T01:08:04"/>
    <s v="unk"/>
    <x v="1"/>
    <x v="10"/>
  </r>
  <r>
    <s v="[1226]"/>
    <n v="1226"/>
    <s v="2015-02-09 Rhonda Curtis [372]"/>
    <x v="77"/>
    <n v="7.99"/>
    <n v="1"/>
    <s v="unk"/>
    <d v="2017-01-13T01:08:04"/>
    <s v="unk"/>
    <d v="2017-01-13T01:08:04"/>
    <s v="unk"/>
    <x v="1"/>
    <x v="2"/>
  </r>
  <r>
    <s v="[1265]"/>
    <n v="1265"/>
    <s v="2015-02-14 Madeson Silva [386]"/>
    <x v="71"/>
    <n v="4.99"/>
    <n v="2"/>
    <s v="unk"/>
    <d v="2017-01-13T01:08:04"/>
    <s v="unk"/>
    <d v="2017-01-13T01:08:04"/>
    <s v="unk"/>
    <x v="1"/>
    <x v="9"/>
  </r>
  <r>
    <s v="[1266]"/>
    <n v="1266"/>
    <s v="2015-02-14 Madeson Silva [386]"/>
    <x v="27"/>
    <n v="4.99"/>
    <n v="2"/>
    <s v="unk"/>
    <d v="2017-01-13T01:08:04"/>
    <s v="unk"/>
    <d v="2017-01-13T01:08:04"/>
    <s v="unk"/>
    <x v="1"/>
    <x v="9"/>
  </r>
  <r>
    <s v="[1267]"/>
    <n v="1267"/>
    <s v="2015-02-14 Madeson Silva [386]"/>
    <x v="33"/>
    <n v="9.99"/>
    <n v="2"/>
    <s v="unk"/>
    <d v="2017-01-13T01:08:04"/>
    <s v="unk"/>
    <d v="2017-01-13T01:08:04"/>
    <s v="unk"/>
    <x v="1"/>
    <x v="4"/>
  </r>
  <r>
    <s v="[1268]"/>
    <n v="1268"/>
    <s v="2015-02-14 Madeson Silva [386]"/>
    <x v="26"/>
    <n v="5.99"/>
    <n v="1"/>
    <s v="unk"/>
    <d v="2017-01-13T01:08:04"/>
    <s v="unk"/>
    <d v="2017-01-13T01:08:04"/>
    <s v="unk"/>
    <x v="1"/>
    <x v="10"/>
  </r>
  <r>
    <s v="[1269]"/>
    <n v="1269"/>
    <s v="2015-02-14 Madeson Silva [386]"/>
    <x v="73"/>
    <n v="9.99"/>
    <n v="1"/>
    <s v="unk"/>
    <d v="2017-01-13T01:08:04"/>
    <s v="unk"/>
    <d v="2017-01-13T01:08:04"/>
    <s v="unk"/>
    <x v="1"/>
    <x v="3"/>
  </r>
  <r>
    <s v="[1280]"/>
    <n v="1280"/>
    <s v="2015-02-19 Mannix Owen [389]"/>
    <x v="78"/>
    <n v="8.99"/>
    <n v="2"/>
    <s v="unk"/>
    <d v="2017-01-13T01:08:04"/>
    <s v="unk"/>
    <d v="2017-01-13T01:08:04"/>
    <s v="unk"/>
    <x v="1"/>
    <x v="7"/>
  </r>
  <r>
    <s v="[1281]"/>
    <n v="1281"/>
    <s v="2015-02-19 Mannix Owen [389]"/>
    <x v="79"/>
    <n v="6.99"/>
    <n v="1"/>
    <s v="unk"/>
    <d v="2017-01-13T01:08:04"/>
    <s v="unk"/>
    <d v="2017-01-13T01:08:04"/>
    <s v="unk"/>
    <x v="1"/>
    <x v="8"/>
  </r>
  <r>
    <s v="[1344]"/>
    <n v="1344"/>
    <s v="2015-02-17 Rhonda Curtis [408]"/>
    <x v="3"/>
    <n v="7.99"/>
    <n v="2"/>
    <s v="unk"/>
    <d v="2017-01-13T01:08:04"/>
    <s v="unk"/>
    <d v="2017-01-13T01:08:04"/>
    <s v="unk"/>
    <x v="1"/>
    <x v="5"/>
  </r>
  <r>
    <s v="[1345]"/>
    <n v="1345"/>
    <s v="2015-02-17 Rhonda Curtis [408]"/>
    <x v="27"/>
    <n v="4.99"/>
    <n v="2"/>
    <s v="unk"/>
    <d v="2017-01-13T01:08:04"/>
    <s v="unk"/>
    <d v="2017-01-13T01:08:04"/>
    <s v="unk"/>
    <x v="1"/>
    <x v="9"/>
  </r>
  <r>
    <s v="[1346]"/>
    <n v="1346"/>
    <s v="2015-02-17 Rhonda Curtis [408]"/>
    <x v="53"/>
    <n v="8.99"/>
    <n v="1"/>
    <s v="unk"/>
    <d v="2017-01-13T01:08:04"/>
    <s v="unk"/>
    <d v="2017-01-13T01:08:04"/>
    <s v="unk"/>
    <x v="1"/>
    <x v="6"/>
  </r>
  <r>
    <s v="[1347]"/>
    <n v="1347"/>
    <s v="2015-02-17 Rhonda Curtis [408]"/>
    <x v="78"/>
    <n v="8.99"/>
    <n v="2"/>
    <s v="unk"/>
    <d v="2017-01-13T01:08:04"/>
    <s v="unk"/>
    <d v="2017-01-13T01:08:04"/>
    <s v="unk"/>
    <x v="1"/>
    <x v="7"/>
  </r>
  <r>
    <s v="[1348]"/>
    <n v="1348"/>
    <s v="2015-02-17 Rhonda Curtis [408]"/>
    <x v="39"/>
    <n v="9.99"/>
    <n v="2"/>
    <s v="unk"/>
    <d v="2017-01-13T01:08:04"/>
    <s v="unk"/>
    <d v="2017-01-13T01:08:04"/>
    <s v="unk"/>
    <x v="1"/>
    <x v="4"/>
  </r>
  <r>
    <s v="[1349]"/>
    <n v="1349"/>
    <s v="2015-02-17 Rhonda Curtis [408]"/>
    <x v="8"/>
    <n v="7.99"/>
    <n v="1"/>
    <s v="unk"/>
    <d v="2017-01-13T01:08:04"/>
    <s v="unk"/>
    <d v="2017-01-13T01:08:04"/>
    <s v="unk"/>
    <x v="1"/>
    <x v="2"/>
  </r>
  <r>
    <s v="[1350]"/>
    <n v="1350"/>
    <s v="2015-02-17 Rhonda Curtis [408]"/>
    <x v="71"/>
    <n v="4.99"/>
    <n v="1"/>
    <s v="unk"/>
    <d v="2017-01-13T01:08:04"/>
    <s v="unk"/>
    <d v="2017-01-13T01:08:04"/>
    <s v="unk"/>
    <x v="1"/>
    <x v="0"/>
  </r>
  <r>
    <s v="[1475]"/>
    <n v="1475"/>
    <s v="2015-02-21 Armando Le [447]"/>
    <x v="44"/>
    <n v="9.99"/>
    <n v="2"/>
    <s v="unk"/>
    <d v="2017-01-13T01:08:04"/>
    <s v="unk"/>
    <d v="2017-01-13T01:08:04"/>
    <s v="unk"/>
    <x v="1"/>
    <x v="4"/>
  </r>
  <r>
    <s v="[1476]"/>
    <n v="1476"/>
    <s v="2015-02-21 Armando Le [447]"/>
    <x v="42"/>
    <n v="5.99"/>
    <n v="1"/>
    <s v="unk"/>
    <d v="2017-01-13T01:08:04"/>
    <s v="unk"/>
    <d v="2017-01-13T01:08:04"/>
    <s v="unk"/>
    <x v="1"/>
    <x v="10"/>
  </r>
  <r>
    <s v="[1477]"/>
    <n v="1477"/>
    <s v="2015-02-21 Armando Le [447]"/>
    <x v="51"/>
    <n v="9.99"/>
    <n v="1"/>
    <s v="unk"/>
    <d v="2017-01-13T01:08:04"/>
    <s v="unk"/>
    <d v="2017-01-13T01:08:04"/>
    <s v="unk"/>
    <x v="1"/>
    <x v="3"/>
  </r>
  <r>
    <s v="[1478]"/>
    <n v="1478"/>
    <s v="2015-02-21 Armando Le [447]"/>
    <x v="48"/>
    <n v="9.99"/>
    <n v="1"/>
    <s v="unk"/>
    <d v="2017-01-13T01:08:04"/>
    <s v="unk"/>
    <d v="2017-01-13T01:08:04"/>
    <s v="unk"/>
    <x v="1"/>
    <x v="3"/>
  </r>
  <r>
    <s v="[1479]"/>
    <n v="1479"/>
    <s v="2015-02-21 Armando Le [447]"/>
    <x v="73"/>
    <n v="9.99"/>
    <n v="1"/>
    <s v="unk"/>
    <d v="2017-01-13T01:08:04"/>
    <s v="unk"/>
    <d v="2017-01-13T01:08:04"/>
    <s v="unk"/>
    <x v="1"/>
    <x v="3"/>
  </r>
  <r>
    <s v="[1480]"/>
    <n v="1480"/>
    <s v="2015-02-21 Armando Le [447]"/>
    <x v="77"/>
    <n v="7.99"/>
    <n v="2"/>
    <s v="unk"/>
    <d v="2017-01-13T01:08:04"/>
    <s v="unk"/>
    <d v="2017-01-13T01:08:04"/>
    <s v="unk"/>
    <x v="1"/>
    <x v="5"/>
  </r>
  <r>
    <s v="[1481]"/>
    <n v="1481"/>
    <s v="2015-02-21 Armando Le [447]"/>
    <x v="27"/>
    <n v="4.99"/>
    <n v="1"/>
    <s v="unk"/>
    <d v="2017-01-13T01:08:04"/>
    <s v="unk"/>
    <d v="2017-01-13T01:08:04"/>
    <s v="unk"/>
    <x v="1"/>
    <x v="0"/>
  </r>
  <r>
    <s v="[1482]"/>
    <n v="1482"/>
    <s v="2015-02-21 Armando Le [447]"/>
    <x v="29"/>
    <n v="8.99"/>
    <n v="1"/>
    <s v="unk"/>
    <d v="2017-01-13T01:08:04"/>
    <s v="unk"/>
    <d v="2017-01-13T01:08:04"/>
    <s v="unk"/>
    <x v="1"/>
    <x v="6"/>
  </r>
  <r>
    <s v="[1516]"/>
    <n v="1516"/>
    <s v="2015-02-24 Marny Boyer [456]"/>
    <x v="78"/>
    <n v="8.99"/>
    <n v="2"/>
    <s v="unk"/>
    <d v="2017-01-13T01:08:04"/>
    <s v="unk"/>
    <d v="2017-01-13T01:08:04"/>
    <s v="unk"/>
    <x v="1"/>
    <x v="7"/>
  </r>
  <r>
    <s v="[1517]"/>
    <n v="1517"/>
    <s v="2015-02-24 Marny Boyer [456]"/>
    <x v="78"/>
    <n v="8.99"/>
    <n v="2"/>
    <s v="unk"/>
    <d v="2017-01-13T01:08:04"/>
    <s v="unk"/>
    <d v="2017-01-13T01:08:04"/>
    <s v="unk"/>
    <x v="1"/>
    <x v="7"/>
  </r>
  <r>
    <s v="[1619]"/>
    <n v="1619"/>
    <s v="2015-02-14 Donovan Gomez [483]"/>
    <x v="38"/>
    <n v="7.99"/>
    <n v="1"/>
    <s v="unk"/>
    <d v="2017-01-13T01:08:04"/>
    <s v="unk"/>
    <d v="2017-01-13T01:08:04"/>
    <s v="unk"/>
    <x v="1"/>
    <x v="2"/>
  </r>
  <r>
    <s v="[1620]"/>
    <n v="1620"/>
    <s v="2015-02-14 Donovan Gomez [483]"/>
    <x v="28"/>
    <n v="9.99"/>
    <n v="1"/>
    <s v="unk"/>
    <d v="2017-01-13T01:08:04"/>
    <s v="unk"/>
    <d v="2017-01-13T01:08:04"/>
    <s v="unk"/>
    <x v="1"/>
    <x v="3"/>
  </r>
  <r>
    <s v="[1723]"/>
    <n v="1723"/>
    <s v="2015-02-24 April Buckley [514]"/>
    <x v="78"/>
    <n v="8.99"/>
    <n v="1"/>
    <s v="unk"/>
    <d v="2017-01-13T01:08:04"/>
    <s v="unk"/>
    <d v="2017-01-13T01:08:04"/>
    <s v="unk"/>
    <x v="1"/>
    <x v="6"/>
  </r>
  <r>
    <s v="[1724]"/>
    <n v="1724"/>
    <s v="2015-02-24 April Buckley [514]"/>
    <x v="76"/>
    <n v="4.99"/>
    <n v="2"/>
    <s v="unk"/>
    <d v="2017-01-13T01:08:04"/>
    <s v="unk"/>
    <d v="2017-01-13T01:08:04"/>
    <s v="unk"/>
    <x v="1"/>
    <x v="9"/>
  </r>
  <r>
    <s v="[1725]"/>
    <n v="1725"/>
    <s v="2015-02-24 April Buckley [514]"/>
    <x v="3"/>
    <n v="7.99"/>
    <n v="2"/>
    <s v="unk"/>
    <d v="2017-01-13T01:08:04"/>
    <s v="unk"/>
    <d v="2017-01-13T01:08:04"/>
    <s v="unk"/>
    <x v="1"/>
    <x v="5"/>
  </r>
  <r>
    <s v="[1726]"/>
    <n v="1726"/>
    <s v="2015-02-24 April Buckley [514]"/>
    <x v="79"/>
    <n v="6.99"/>
    <n v="2"/>
    <s v="unk"/>
    <d v="2017-01-13T01:08:04"/>
    <s v="unk"/>
    <d v="2017-01-13T01:08:04"/>
    <s v="unk"/>
    <x v="1"/>
    <x v="1"/>
  </r>
  <r>
    <s v="[1936]"/>
    <n v="1936"/>
    <s v="2015-02-03 Lucius Gallagher [582]"/>
    <x v="72"/>
    <n v="8.99"/>
    <n v="1"/>
    <s v="unk"/>
    <d v="2017-01-13T01:08:04"/>
    <s v="unk"/>
    <d v="2017-01-13T01:08:04"/>
    <s v="unk"/>
    <x v="1"/>
    <x v="6"/>
  </r>
  <r>
    <s v="[1937]"/>
    <n v="1937"/>
    <s v="2015-02-03 Lucius Gallagher [582]"/>
    <x v="35"/>
    <n v="6.99"/>
    <n v="1"/>
    <s v="unk"/>
    <d v="2017-01-13T01:08:04"/>
    <s v="unk"/>
    <d v="2017-01-13T01:08:04"/>
    <s v="unk"/>
    <x v="1"/>
    <x v="8"/>
  </r>
  <r>
    <s v="[2123]"/>
    <n v="2123"/>
    <s v="2015-02-27 Hermione Maldonado [631]"/>
    <x v="42"/>
    <n v="5.99"/>
    <n v="1"/>
    <s v="unk"/>
    <d v="2017-01-13T01:08:04"/>
    <s v="unk"/>
    <d v="2017-01-13T01:08:04"/>
    <s v="unk"/>
    <x v="1"/>
    <x v="10"/>
  </r>
  <r>
    <s v="[2124]"/>
    <n v="2124"/>
    <s v="2015-02-27 Hermione Maldonado [631]"/>
    <x v="24"/>
    <n v="4.99"/>
    <n v="1"/>
    <s v="unk"/>
    <d v="2017-01-13T01:08:04"/>
    <s v="unk"/>
    <d v="2017-01-13T01:08:04"/>
    <s v="unk"/>
    <x v="1"/>
    <x v="0"/>
  </r>
  <r>
    <s v="[2182]"/>
    <n v="2182"/>
    <s v="2015-02-07 Serina Booker [652]"/>
    <x v="74"/>
    <n v="6.99"/>
    <n v="1"/>
    <s v="unk"/>
    <d v="2017-01-13T01:08:04"/>
    <s v="unk"/>
    <d v="2017-01-13T01:08:04"/>
    <s v="unk"/>
    <x v="1"/>
    <x v="8"/>
  </r>
  <r>
    <s v="[2183]"/>
    <n v="2183"/>
    <s v="2015-02-07 Serina Booker [652]"/>
    <x v="54"/>
    <n v="4.99"/>
    <n v="2"/>
    <s v="unk"/>
    <d v="2017-01-13T01:08:04"/>
    <s v="unk"/>
    <d v="2017-01-13T01:08:04"/>
    <s v="unk"/>
    <x v="1"/>
    <x v="9"/>
  </r>
  <r>
    <s v="[2188]"/>
    <n v="2188"/>
    <s v="2015-02-07 Tate Lowery [654]"/>
    <x v="42"/>
    <n v="5.99"/>
    <n v="1"/>
    <s v="unk"/>
    <d v="2017-01-13T01:08:04"/>
    <s v="unk"/>
    <d v="2017-01-13T01:08:04"/>
    <s v="unk"/>
    <x v="1"/>
    <x v="10"/>
  </r>
  <r>
    <s v="[2189]"/>
    <n v="2189"/>
    <s v="2015-02-07 Tate Lowery [654]"/>
    <x v="76"/>
    <n v="4.99"/>
    <n v="1"/>
    <s v="unk"/>
    <d v="2017-01-13T01:08:04"/>
    <s v="unk"/>
    <d v="2017-01-13T01:08:04"/>
    <s v="unk"/>
    <x v="1"/>
    <x v="0"/>
  </r>
  <r>
    <s v="[2190]"/>
    <n v="2190"/>
    <s v="2015-02-07 Tate Lowery [654]"/>
    <x v="51"/>
    <n v="9.99"/>
    <n v="1"/>
    <s v="unk"/>
    <d v="2017-01-13T01:08:04"/>
    <s v="unk"/>
    <d v="2017-01-13T01:08:04"/>
    <s v="unk"/>
    <x v="1"/>
    <x v="3"/>
  </r>
  <r>
    <s v="[2203]"/>
    <n v="2203"/>
    <s v="2015-02-09 Indira Suarez [660]"/>
    <x v="80"/>
    <n v="4.99"/>
    <n v="1"/>
    <s v="unk"/>
    <d v="2017-01-13T01:08:04"/>
    <s v="unk"/>
    <d v="2017-01-13T01:08:04"/>
    <s v="unk"/>
    <x v="1"/>
    <x v="0"/>
  </r>
  <r>
    <s v="[2204]"/>
    <n v="2204"/>
    <s v="2015-02-09 Indira Suarez [660]"/>
    <x v="25"/>
    <n v="9.99"/>
    <n v="2"/>
    <s v="unk"/>
    <d v="2017-01-13T01:08:04"/>
    <s v="unk"/>
    <d v="2017-01-13T01:08:04"/>
    <s v="unk"/>
    <x v="1"/>
    <x v="4"/>
  </r>
  <r>
    <s v="[2210]"/>
    <n v="2210"/>
    <s v="2015-02-25 Zorita Rutledge [662]"/>
    <x v="49"/>
    <n v="8.99"/>
    <n v="1"/>
    <s v="unk"/>
    <d v="2017-01-13T01:08:04"/>
    <s v="unk"/>
    <d v="2017-01-13T01:08:04"/>
    <s v="unk"/>
    <x v="1"/>
    <x v="6"/>
  </r>
  <r>
    <s v="[2211]"/>
    <n v="2211"/>
    <s v="2015-02-25 Zorita Rutledge [662]"/>
    <x v="24"/>
    <n v="4.99"/>
    <n v="2"/>
    <s v="unk"/>
    <d v="2017-01-13T01:08:04"/>
    <s v="unk"/>
    <d v="2017-01-13T01:08:04"/>
    <s v="unk"/>
    <x v="1"/>
    <x v="9"/>
  </r>
  <r>
    <s v="[2212]"/>
    <n v="2212"/>
    <s v="2015-02-25 Zorita Rutledge [662]"/>
    <x v="8"/>
    <n v="7.99"/>
    <n v="1"/>
    <s v="unk"/>
    <d v="2017-01-13T01:08:04"/>
    <s v="unk"/>
    <d v="2017-01-13T01:08:04"/>
    <s v="unk"/>
    <x v="1"/>
    <x v="2"/>
  </r>
  <r>
    <s v="[2213]"/>
    <n v="2213"/>
    <s v="2015-02-25 Zorita Rutledge [662]"/>
    <x v="49"/>
    <n v="8.99"/>
    <n v="1"/>
    <s v="unk"/>
    <d v="2017-01-13T01:08:04"/>
    <s v="unk"/>
    <d v="2017-01-13T01:08:04"/>
    <s v="unk"/>
    <x v="1"/>
    <x v="6"/>
  </r>
  <r>
    <s v="[2394]"/>
    <n v="2394"/>
    <s v="2015-02-01 Kendall Rocha [716]"/>
    <x v="61"/>
    <n v="8.99"/>
    <n v="1"/>
    <s v="unk"/>
    <d v="2017-01-13T01:08:04"/>
    <s v="unk"/>
    <d v="2017-01-13T01:08:04"/>
    <s v="unk"/>
    <x v="1"/>
    <x v="6"/>
  </r>
  <r>
    <s v="[2395]"/>
    <n v="2395"/>
    <s v="2015-02-01 Kendall Rocha [716]"/>
    <x v="61"/>
    <n v="8.99"/>
    <n v="1"/>
    <s v="unk"/>
    <d v="2017-01-13T01:08:04"/>
    <s v="unk"/>
    <d v="2017-01-13T01:08:04"/>
    <s v="unk"/>
    <x v="1"/>
    <x v="6"/>
  </r>
  <r>
    <s v="[2396]"/>
    <n v="2396"/>
    <s v="2015-02-01 Kendall Rocha [716]"/>
    <x v="49"/>
    <n v="8.99"/>
    <n v="1"/>
    <s v="unk"/>
    <d v="2017-01-13T01:08:04"/>
    <s v="unk"/>
    <d v="2017-01-13T01:08:04"/>
    <s v="unk"/>
    <x v="1"/>
    <x v="6"/>
  </r>
  <r>
    <s v="[2408]"/>
    <n v="2408"/>
    <s v="2015-02-28 Rhoda Vance [719]"/>
    <x v="56"/>
    <n v="9.99"/>
    <n v="1"/>
    <s v="unk"/>
    <d v="2017-01-13T01:08:04"/>
    <s v="unk"/>
    <d v="2017-01-13T01:08:04"/>
    <s v="unk"/>
    <x v="1"/>
    <x v="3"/>
  </r>
  <r>
    <s v="[2440]"/>
    <n v="2440"/>
    <s v="2015-02-27 Kendall Rocha [731]"/>
    <x v="62"/>
    <n v="5.99"/>
    <n v="1"/>
    <s v="unk"/>
    <d v="2017-01-13T01:08:04"/>
    <s v="unk"/>
    <d v="2017-01-13T01:08:04"/>
    <s v="unk"/>
    <x v="1"/>
    <x v="10"/>
  </r>
  <r>
    <s v="[2441]"/>
    <n v="2441"/>
    <s v="2015-02-27 Kendall Rocha [731]"/>
    <x v="57"/>
    <n v="6.99"/>
    <n v="1"/>
    <s v="unk"/>
    <d v="2017-01-13T01:08:04"/>
    <s v="unk"/>
    <d v="2017-01-13T01:08:04"/>
    <s v="unk"/>
    <x v="1"/>
    <x v="8"/>
  </r>
  <r>
    <s v="[2442]"/>
    <n v="2442"/>
    <s v="2015-02-27 Kendall Rocha [731]"/>
    <x v="56"/>
    <n v="9.99"/>
    <n v="1"/>
    <s v="unk"/>
    <d v="2017-01-13T01:08:04"/>
    <s v="unk"/>
    <d v="2017-01-13T01:08:04"/>
    <s v="unk"/>
    <x v="1"/>
    <x v="3"/>
  </r>
  <r>
    <s v="[2485]"/>
    <n v="2485"/>
    <s v="2015-02-05 Kendall Rocha [744]"/>
    <x v="56"/>
    <n v="9.99"/>
    <n v="1"/>
    <s v="unk"/>
    <d v="2017-01-13T01:08:04"/>
    <s v="unk"/>
    <d v="2017-01-13T01:08:04"/>
    <s v="unk"/>
    <x v="1"/>
    <x v="3"/>
  </r>
  <r>
    <s v="[2486]"/>
    <n v="2486"/>
    <s v="2015-02-05 Kendall Rocha [744]"/>
    <x v="28"/>
    <n v="9.99"/>
    <n v="1"/>
    <s v="unk"/>
    <d v="2017-01-13T01:08:04"/>
    <s v="unk"/>
    <d v="2017-01-13T01:08:04"/>
    <s v="unk"/>
    <x v="1"/>
    <x v="3"/>
  </r>
  <r>
    <s v="[2487]"/>
    <n v="2487"/>
    <s v="2015-02-05 Kendall Rocha [744]"/>
    <x v="59"/>
    <n v="7.99"/>
    <n v="2"/>
    <s v="unk"/>
    <d v="2017-01-13T01:08:04"/>
    <s v="unk"/>
    <d v="2017-01-13T01:08:04"/>
    <s v="unk"/>
    <x v="1"/>
    <x v="5"/>
  </r>
  <r>
    <s v="[2608]"/>
    <n v="2608"/>
    <s v="2015-02-16 Eugenia Roman [780]"/>
    <x v="59"/>
    <n v="7.99"/>
    <n v="1"/>
    <s v="unk"/>
    <d v="2017-01-13T01:08:04"/>
    <s v="unk"/>
    <d v="2017-01-13T01:08:04"/>
    <s v="unk"/>
    <x v="1"/>
    <x v="2"/>
  </r>
  <r>
    <s v="[2609]"/>
    <n v="2609"/>
    <s v="2015-02-16 Eugenia Roman [780]"/>
    <x v="38"/>
    <n v="7.99"/>
    <n v="1"/>
    <s v="unk"/>
    <d v="2017-01-13T01:08:04"/>
    <s v="unk"/>
    <d v="2017-01-13T01:08:04"/>
    <s v="unk"/>
    <x v="1"/>
    <x v="2"/>
  </r>
  <r>
    <s v="[2610]"/>
    <n v="2610"/>
    <s v="2015-02-16 Eugenia Roman [780]"/>
    <x v="60"/>
    <n v="8.99"/>
    <n v="2"/>
    <s v="unk"/>
    <d v="2017-01-13T01:08:04"/>
    <s v="unk"/>
    <d v="2017-01-13T01:08:04"/>
    <s v="unk"/>
    <x v="1"/>
    <x v="7"/>
  </r>
  <r>
    <s v="[2611]"/>
    <n v="2611"/>
    <s v="2015-02-16 Eugenia Roman [780]"/>
    <x v="60"/>
    <n v="8.99"/>
    <n v="1"/>
    <s v="unk"/>
    <d v="2017-01-13T01:08:04"/>
    <s v="unk"/>
    <d v="2017-01-13T01:08:04"/>
    <s v="unk"/>
    <x v="1"/>
    <x v="6"/>
  </r>
  <r>
    <s v="[2612]"/>
    <n v="2612"/>
    <s v="2015-02-16 Eugenia Roman [780]"/>
    <x v="60"/>
    <n v="8.99"/>
    <n v="2"/>
    <s v="unk"/>
    <d v="2017-01-13T01:08:04"/>
    <s v="unk"/>
    <d v="2017-01-13T01:08:04"/>
    <s v="unk"/>
    <x v="1"/>
    <x v="7"/>
  </r>
  <r>
    <s v="[2613]"/>
    <n v="2613"/>
    <s v="2015-02-16 Eugenia Roman [780]"/>
    <x v="60"/>
    <n v="8.99"/>
    <n v="1"/>
    <s v="unk"/>
    <d v="2017-01-13T01:08:04"/>
    <s v="unk"/>
    <d v="2017-01-13T01:08:04"/>
    <s v="unk"/>
    <x v="1"/>
    <x v="6"/>
  </r>
  <r>
    <s v="[2749]"/>
    <n v="2749"/>
    <s v="2015-02-21 Eugenia Roman [816]"/>
    <x v="57"/>
    <n v="6.99"/>
    <n v="1"/>
    <s v="unk"/>
    <d v="2017-01-13T01:08:04"/>
    <s v="unk"/>
    <d v="2017-01-13T01:08:04"/>
    <s v="unk"/>
    <x v="1"/>
    <x v="8"/>
  </r>
  <r>
    <s v="[2750]"/>
    <n v="2750"/>
    <s v="2015-02-21 Eugenia Roman [816]"/>
    <x v="59"/>
    <n v="7.99"/>
    <n v="1"/>
    <s v="unk"/>
    <d v="2017-01-13T01:08:04"/>
    <s v="unk"/>
    <d v="2017-01-13T01:08:04"/>
    <s v="unk"/>
    <x v="1"/>
    <x v="2"/>
  </r>
  <r>
    <s v="[2751]"/>
    <n v="2751"/>
    <s v="2015-02-21 Eugenia Roman [816]"/>
    <x v="49"/>
    <n v="8.99"/>
    <n v="2"/>
    <s v="unk"/>
    <d v="2017-01-13T01:08:04"/>
    <s v="unk"/>
    <d v="2017-01-13T01:08:04"/>
    <s v="unk"/>
    <x v="1"/>
    <x v="7"/>
  </r>
  <r>
    <s v="[2752]"/>
    <n v="2752"/>
    <s v="2015-02-21 Eugenia Roman [816]"/>
    <x v="58"/>
    <n v="5.99"/>
    <n v="1"/>
    <s v="unk"/>
    <d v="2017-01-13T01:08:04"/>
    <s v="unk"/>
    <d v="2017-01-13T01:08:04"/>
    <s v="unk"/>
    <x v="1"/>
    <x v="10"/>
  </r>
  <r>
    <s v="[2774]"/>
    <n v="2774"/>
    <s v="2015-02-24 Indira Suarez [823]"/>
    <x v="59"/>
    <n v="7.99"/>
    <n v="1"/>
    <s v="unk"/>
    <d v="2017-01-13T01:08:04"/>
    <s v="unk"/>
    <d v="2017-01-13T01:08:04"/>
    <s v="unk"/>
    <x v="1"/>
    <x v="2"/>
  </r>
  <r>
    <s v="[2775]"/>
    <n v="2775"/>
    <s v="2015-02-24 Indira Suarez [823]"/>
    <x v="56"/>
    <n v="9.99"/>
    <n v="1"/>
    <s v="unk"/>
    <d v="2017-01-13T01:08:04"/>
    <s v="unk"/>
    <d v="2017-01-13T01:08:04"/>
    <s v="unk"/>
    <x v="1"/>
    <x v="3"/>
  </r>
  <r>
    <s v="[3104]"/>
    <n v="3104"/>
    <s v="2015-02-02 Indira Suarez [920]"/>
    <x v="62"/>
    <n v="5.99"/>
    <n v="1"/>
    <s v="unk"/>
    <d v="2017-01-13T01:08:04"/>
    <s v="unk"/>
    <d v="2017-01-13T01:08:04"/>
    <s v="unk"/>
    <x v="1"/>
    <x v="10"/>
  </r>
  <r>
    <s v="[3173]"/>
    <n v="3173"/>
    <s v="2015-02-12 Lillian Larsen [941]"/>
    <x v="60"/>
    <n v="8.99"/>
    <n v="1"/>
    <s v="unk"/>
    <d v="2017-01-13T01:08:04"/>
    <s v="unk"/>
    <d v="2017-01-13T01:08:04"/>
    <s v="unk"/>
    <x v="1"/>
    <x v="6"/>
  </r>
  <r>
    <s v="[3174]"/>
    <n v="3174"/>
    <s v="2015-02-12 Lillian Larsen [941]"/>
    <x v="61"/>
    <n v="8.99"/>
    <n v="2"/>
    <s v="unk"/>
    <d v="2017-01-13T01:08:04"/>
    <s v="unk"/>
    <d v="2017-01-13T01:08:04"/>
    <s v="unk"/>
    <x v="1"/>
    <x v="7"/>
  </r>
  <r>
    <s v="[3175]"/>
    <n v="3175"/>
    <s v="2015-02-12 Lillian Larsen [941]"/>
    <x v="28"/>
    <n v="9.99"/>
    <n v="1"/>
    <s v="unk"/>
    <d v="2017-01-13T01:08:04"/>
    <s v="unk"/>
    <d v="2017-01-13T01:08:04"/>
    <s v="unk"/>
    <x v="1"/>
    <x v="3"/>
  </r>
  <r>
    <s v="[3205]"/>
    <n v="3205"/>
    <s v="2015-02-22 Melvin Finch [953]"/>
    <x v="28"/>
    <n v="9.99"/>
    <n v="1"/>
    <s v="unk"/>
    <d v="2017-01-13T01:08:04"/>
    <s v="unk"/>
    <d v="2017-01-13T01:08:04"/>
    <s v="unk"/>
    <x v="1"/>
    <x v="3"/>
  </r>
  <r>
    <s v="[3206]"/>
    <n v="3206"/>
    <s v="2015-02-22 Melvin Finch [953]"/>
    <x v="28"/>
    <n v="9.99"/>
    <n v="1"/>
    <s v="unk"/>
    <d v="2017-01-13T01:08:04"/>
    <s v="unk"/>
    <d v="2017-01-13T01:08:04"/>
    <s v="unk"/>
    <x v="1"/>
    <x v="3"/>
  </r>
  <r>
    <s v="[3207]"/>
    <n v="3207"/>
    <s v="2015-02-22 Melvin Finch [953]"/>
    <x v="56"/>
    <n v="9.99"/>
    <n v="1"/>
    <s v="unk"/>
    <d v="2017-01-13T01:08:04"/>
    <s v="unk"/>
    <d v="2017-01-13T01:08:04"/>
    <s v="unk"/>
    <x v="1"/>
    <x v="3"/>
  </r>
  <r>
    <s v="[3266]"/>
    <n v="3266"/>
    <s v="2015-02-26 Cameron Burton [971]"/>
    <x v="56"/>
    <n v="9.99"/>
    <n v="1"/>
    <s v="unk"/>
    <d v="2017-01-13T01:08:04"/>
    <s v="unk"/>
    <d v="2017-01-13T01:08:04"/>
    <s v="unk"/>
    <x v="1"/>
    <x v="3"/>
  </r>
  <r>
    <s v="[3267]"/>
    <n v="3267"/>
    <s v="2015-02-26 Cameron Burton [971]"/>
    <x v="58"/>
    <n v="5.99"/>
    <n v="2"/>
    <s v="unk"/>
    <d v="2017-01-13T01:08:04"/>
    <s v="unk"/>
    <d v="2017-01-13T01:08:04"/>
    <s v="unk"/>
    <x v="1"/>
    <x v="11"/>
  </r>
  <r>
    <s v="[3268]"/>
    <n v="3268"/>
    <s v="2015-02-26 Cameron Burton [971]"/>
    <x v="62"/>
    <n v="5.99"/>
    <n v="1"/>
    <s v="unk"/>
    <d v="2017-01-13T01:08:04"/>
    <s v="unk"/>
    <d v="2017-01-13T01:08:04"/>
    <s v="unk"/>
    <x v="1"/>
    <x v="10"/>
  </r>
  <r>
    <s v="[3269]"/>
    <n v="3269"/>
    <s v="2015-02-26 Cameron Burton [971]"/>
    <x v="59"/>
    <n v="7.99"/>
    <n v="1"/>
    <s v="unk"/>
    <d v="2017-01-13T01:08:04"/>
    <s v="unk"/>
    <d v="2017-01-13T01:08:04"/>
    <s v="unk"/>
    <x v="1"/>
    <x v="2"/>
  </r>
  <r>
    <s v="[3270]"/>
    <n v="3270"/>
    <s v="2015-02-26 Cameron Burton [971]"/>
    <x v="57"/>
    <n v="6.99"/>
    <n v="2"/>
    <s v="unk"/>
    <d v="2017-01-13T01:08:04"/>
    <s v="unk"/>
    <d v="2017-01-13T01:08:04"/>
    <s v="unk"/>
    <x v="1"/>
    <x v="1"/>
  </r>
  <r>
    <s v="[3288]"/>
    <n v="3288"/>
    <s v="2015-02-22 Cameron Burton [976]"/>
    <x v="60"/>
    <n v="8.99"/>
    <n v="1"/>
    <s v="unk"/>
    <d v="2017-01-13T01:08:04"/>
    <s v="unk"/>
    <d v="2017-01-13T01:08:04"/>
    <s v="unk"/>
    <x v="1"/>
    <x v="6"/>
  </r>
  <r>
    <s v="[3289]"/>
    <n v="3289"/>
    <s v="2015-02-22 Cameron Burton [976]"/>
    <x v="57"/>
    <n v="6.99"/>
    <n v="2"/>
    <s v="unk"/>
    <d v="2017-01-13T01:08:04"/>
    <s v="unk"/>
    <d v="2017-01-13T01:08:04"/>
    <s v="unk"/>
    <x v="1"/>
    <x v="1"/>
  </r>
  <r>
    <s v="[3290]"/>
    <n v="3290"/>
    <s v="2015-02-22 Cameron Burton [976]"/>
    <x v="38"/>
    <n v="7.99"/>
    <n v="1"/>
    <s v="unk"/>
    <d v="2017-01-13T01:08:04"/>
    <s v="unk"/>
    <d v="2017-01-13T01:08:04"/>
    <s v="unk"/>
    <x v="1"/>
    <x v="2"/>
  </r>
  <r>
    <s v="[3383]"/>
    <n v="3383"/>
    <s v="2015-02-20 Eugenia Roman [1002]"/>
    <x v="62"/>
    <n v="5.99"/>
    <n v="2"/>
    <s v="unk"/>
    <d v="2017-01-13T01:08:04"/>
    <s v="unk"/>
    <d v="2017-01-13T01:08:04"/>
    <s v="unk"/>
    <x v="1"/>
    <x v="11"/>
  </r>
  <r>
    <s v="[3384]"/>
    <n v="3384"/>
    <s v="2015-02-20 Eugenia Roman [1002]"/>
    <x v="38"/>
    <n v="7.99"/>
    <n v="2"/>
    <s v="unk"/>
    <d v="2017-01-13T01:08:04"/>
    <s v="unk"/>
    <d v="2017-01-13T01:08:04"/>
    <s v="unk"/>
    <x v="1"/>
    <x v="5"/>
  </r>
  <r>
    <s v="[3385]"/>
    <n v="3385"/>
    <s v="2015-02-20 Eugenia Roman [1002]"/>
    <x v="58"/>
    <n v="5.99"/>
    <n v="1"/>
    <s v="unk"/>
    <d v="2017-01-13T01:08:04"/>
    <s v="unk"/>
    <d v="2017-01-13T01:08:04"/>
    <s v="unk"/>
    <x v="1"/>
    <x v="10"/>
  </r>
  <r>
    <s v="[3386]"/>
    <n v="3386"/>
    <s v="2015-02-20 Eugenia Roman [1002]"/>
    <x v="59"/>
    <n v="7.99"/>
    <n v="2"/>
    <s v="unk"/>
    <d v="2017-01-13T01:08:04"/>
    <s v="unk"/>
    <d v="2017-01-13T01:08:04"/>
    <s v="unk"/>
    <x v="1"/>
    <x v="5"/>
  </r>
  <r>
    <s v="[3393]"/>
    <n v="3393"/>
    <s v="2015-02-24 Cameron Burton [1006]"/>
    <x v="56"/>
    <n v="9.99"/>
    <n v="1"/>
    <s v="unk"/>
    <d v="2017-01-13T01:08:04"/>
    <s v="unk"/>
    <d v="2017-01-13T01:08:04"/>
    <s v="unk"/>
    <x v="1"/>
    <x v="3"/>
  </r>
  <r>
    <s v="[3394]"/>
    <n v="3394"/>
    <s v="2015-02-24 Cameron Burton [1006]"/>
    <x v="49"/>
    <n v="8.99"/>
    <n v="1"/>
    <s v="unk"/>
    <d v="2017-01-13T01:08:04"/>
    <s v="unk"/>
    <d v="2017-01-13T01:08:04"/>
    <s v="unk"/>
    <x v="1"/>
    <x v="6"/>
  </r>
  <r>
    <s v="[3395]"/>
    <n v="3395"/>
    <s v="2015-02-24 Cameron Burton [1006]"/>
    <x v="56"/>
    <n v="9.99"/>
    <n v="1"/>
    <s v="unk"/>
    <d v="2017-01-13T01:08:04"/>
    <s v="unk"/>
    <d v="2017-01-13T01:08:04"/>
    <s v="unk"/>
    <x v="1"/>
    <x v="3"/>
  </r>
  <r>
    <s v="[3396]"/>
    <n v="3396"/>
    <s v="2015-02-24 Cameron Burton [1006]"/>
    <x v="61"/>
    <n v="8.99"/>
    <n v="1"/>
    <s v="unk"/>
    <d v="2017-01-13T01:08:04"/>
    <s v="unk"/>
    <d v="2017-01-13T01:08:04"/>
    <s v="unk"/>
    <x v="1"/>
    <x v="6"/>
  </r>
  <r>
    <s v="[3397]"/>
    <n v="3397"/>
    <s v="2015-02-24 Cameron Burton [1006]"/>
    <x v="56"/>
    <n v="9.99"/>
    <n v="1"/>
    <s v="unk"/>
    <d v="2017-01-13T01:08:04"/>
    <s v="unk"/>
    <d v="2017-01-13T01:08:04"/>
    <s v="unk"/>
    <x v="1"/>
    <x v="3"/>
  </r>
  <r>
    <s v="[3426]"/>
    <n v="3426"/>
    <s v="2015-02-19 Kendall Rocha [1015]"/>
    <x v="28"/>
    <n v="9.99"/>
    <n v="1"/>
    <s v="unk"/>
    <d v="2017-01-13T01:08:04"/>
    <s v="unk"/>
    <d v="2017-01-13T01:08:04"/>
    <s v="unk"/>
    <x v="1"/>
    <x v="3"/>
  </r>
  <r>
    <s v="[3427]"/>
    <n v="3427"/>
    <s v="2015-02-19 Kendall Rocha [1015]"/>
    <x v="28"/>
    <n v="9.99"/>
    <n v="2"/>
    <s v="unk"/>
    <d v="2017-01-13T01:08:04"/>
    <s v="unk"/>
    <d v="2017-01-13T01:08:04"/>
    <s v="unk"/>
    <x v="1"/>
    <x v="4"/>
  </r>
  <r>
    <s v="[3554]"/>
    <n v="3554"/>
    <s v="2015-02-03 Eugenia Roman [1052]"/>
    <x v="28"/>
    <n v="9.99"/>
    <n v="2"/>
    <s v="unk"/>
    <d v="2017-01-13T01:08:04"/>
    <s v="unk"/>
    <d v="2017-01-13T01:08:04"/>
    <s v="unk"/>
    <x v="1"/>
    <x v="4"/>
  </r>
  <r>
    <s v="[3555]"/>
    <n v="3555"/>
    <s v="2015-02-03 Eugenia Roman [1052]"/>
    <x v="49"/>
    <n v="8.99"/>
    <n v="1"/>
    <s v="unk"/>
    <d v="2017-01-13T01:08:04"/>
    <s v="unk"/>
    <d v="2017-01-13T01:08:04"/>
    <s v="unk"/>
    <x v="1"/>
    <x v="6"/>
  </r>
  <r>
    <s v="[3556]"/>
    <n v="3556"/>
    <s v="2015-02-03 Eugenia Roman [1052]"/>
    <x v="56"/>
    <n v="9.99"/>
    <n v="2"/>
    <s v="unk"/>
    <d v="2017-01-13T01:08:04"/>
    <s v="unk"/>
    <d v="2017-01-13T01:08:04"/>
    <s v="unk"/>
    <x v="1"/>
    <x v="4"/>
  </r>
  <r>
    <s v="[3557]"/>
    <n v="3557"/>
    <s v="2015-02-03 Eugenia Roman [1052]"/>
    <x v="49"/>
    <n v="8.99"/>
    <n v="2"/>
    <s v="unk"/>
    <d v="2017-01-13T01:08:04"/>
    <s v="unk"/>
    <d v="2017-01-13T01:08:04"/>
    <s v="unk"/>
    <x v="1"/>
    <x v="7"/>
  </r>
  <r>
    <s v="[3558]"/>
    <n v="3558"/>
    <s v="2015-02-03 Eugenia Roman [1052]"/>
    <x v="59"/>
    <n v="7.99"/>
    <n v="1"/>
    <s v="unk"/>
    <d v="2017-01-13T01:08:04"/>
    <s v="unk"/>
    <d v="2017-01-13T01:08:04"/>
    <s v="unk"/>
    <x v="1"/>
    <x v="2"/>
  </r>
  <r>
    <s v="[3559]"/>
    <n v="3559"/>
    <s v="2015-02-03 Eugenia Roman [1052]"/>
    <x v="59"/>
    <n v="7.99"/>
    <n v="1"/>
    <s v="unk"/>
    <d v="2017-01-13T01:08:04"/>
    <s v="unk"/>
    <d v="2017-01-13T01:08:04"/>
    <s v="unk"/>
    <x v="1"/>
    <x v="2"/>
  </r>
  <r>
    <s v="[3560]"/>
    <n v="3560"/>
    <s v="2015-02-03 Eugenia Roman [1052]"/>
    <x v="62"/>
    <n v="5.99"/>
    <n v="1"/>
    <s v="unk"/>
    <d v="2017-01-13T01:08:04"/>
    <s v="unk"/>
    <d v="2017-01-13T01:08:04"/>
    <s v="unk"/>
    <x v="1"/>
    <x v="10"/>
  </r>
  <r>
    <s v="[3561]"/>
    <n v="3561"/>
    <s v="2015-02-03 Eugenia Roman [1052]"/>
    <x v="58"/>
    <n v="5.99"/>
    <n v="2"/>
    <s v="unk"/>
    <d v="2017-01-13T01:08:04"/>
    <s v="unk"/>
    <d v="2017-01-13T01:08:04"/>
    <s v="unk"/>
    <x v="1"/>
    <x v="11"/>
  </r>
  <r>
    <s v="[3588]"/>
    <n v="3588"/>
    <s v="2015-02-28 Hayley Foster [1060]"/>
    <x v="57"/>
    <n v="6.99"/>
    <n v="1"/>
    <s v="unk"/>
    <d v="2017-01-13T01:08:04"/>
    <s v="unk"/>
    <d v="2017-01-13T01:08:04"/>
    <s v="unk"/>
    <x v="1"/>
    <x v="8"/>
  </r>
  <r>
    <s v="[3589]"/>
    <n v="3589"/>
    <s v="2015-02-28 Hayley Foster [1060]"/>
    <x v="59"/>
    <n v="7.99"/>
    <n v="1"/>
    <s v="unk"/>
    <d v="2017-01-13T01:08:04"/>
    <s v="unk"/>
    <d v="2017-01-13T01:08:04"/>
    <s v="unk"/>
    <x v="1"/>
    <x v="2"/>
  </r>
  <r>
    <s v="[3590]"/>
    <n v="3590"/>
    <s v="2015-02-28 Hayley Foster [1060]"/>
    <x v="60"/>
    <n v="8.99"/>
    <n v="2"/>
    <s v="unk"/>
    <d v="2017-01-13T01:08:04"/>
    <s v="unk"/>
    <d v="2017-01-13T01:08:04"/>
    <s v="unk"/>
    <x v="1"/>
    <x v="7"/>
  </r>
  <r>
    <s v="[3591]"/>
    <n v="3591"/>
    <s v="2015-02-28 Hayley Foster [1060]"/>
    <x v="38"/>
    <n v="7.99"/>
    <n v="1"/>
    <s v="unk"/>
    <d v="2017-01-13T01:08:04"/>
    <s v="unk"/>
    <d v="2017-01-13T01:08:04"/>
    <s v="unk"/>
    <x v="1"/>
    <x v="2"/>
  </r>
  <r>
    <s v="[3599]"/>
    <n v="3599"/>
    <s v="2015-02-10 Rhoda Vance [1062]"/>
    <x v="56"/>
    <n v="9.99"/>
    <n v="1"/>
    <s v="unk"/>
    <d v="2017-01-13T01:08:04"/>
    <s v="unk"/>
    <d v="2017-01-13T01:08:04"/>
    <s v="unk"/>
    <x v="1"/>
    <x v="3"/>
  </r>
  <r>
    <s v="[3600]"/>
    <n v="3600"/>
    <s v="2015-02-10 Rhoda Vance [1062]"/>
    <x v="56"/>
    <n v="9.99"/>
    <n v="2"/>
    <s v="unk"/>
    <d v="2017-01-13T01:08:04"/>
    <s v="unk"/>
    <d v="2017-01-13T01:08:04"/>
    <s v="unk"/>
    <x v="1"/>
    <x v="4"/>
  </r>
  <r>
    <s v="[3601]"/>
    <n v="3601"/>
    <s v="2015-02-10 Rhoda Vance [1062]"/>
    <x v="59"/>
    <n v="7.99"/>
    <n v="1"/>
    <s v="unk"/>
    <d v="2017-01-13T01:08:04"/>
    <s v="unk"/>
    <d v="2017-01-13T01:08:04"/>
    <s v="unk"/>
    <x v="1"/>
    <x v="2"/>
  </r>
  <r>
    <s v="[3615]"/>
    <n v="3615"/>
    <s v="2015-02-25 Hayley Foster [1067]"/>
    <x v="60"/>
    <n v="8.99"/>
    <n v="1"/>
    <s v="unk"/>
    <d v="2017-01-13T01:08:04"/>
    <s v="unk"/>
    <d v="2017-01-13T01:08:04"/>
    <s v="unk"/>
    <x v="1"/>
    <x v="6"/>
  </r>
  <r>
    <s v="[3616]"/>
    <n v="3616"/>
    <s v="2015-02-25 Hayley Foster [1067]"/>
    <x v="59"/>
    <n v="7.99"/>
    <n v="2"/>
    <s v="unk"/>
    <d v="2017-01-13T01:08:04"/>
    <s v="unk"/>
    <d v="2017-01-13T01:08:04"/>
    <s v="unk"/>
    <x v="1"/>
    <x v="5"/>
  </r>
  <r>
    <s v="[3642]"/>
    <n v="3642"/>
    <s v="2015-02-14 Melvin Finch [1075]"/>
    <x v="58"/>
    <n v="5.99"/>
    <n v="1"/>
    <s v="unk"/>
    <d v="2017-01-13T01:08:04"/>
    <s v="unk"/>
    <d v="2017-01-13T01:08:04"/>
    <s v="unk"/>
    <x v="1"/>
    <x v="10"/>
  </r>
  <r>
    <s v="[3643]"/>
    <n v="3643"/>
    <s v="2015-02-14 Melvin Finch [1075]"/>
    <x v="61"/>
    <n v="8.99"/>
    <n v="1"/>
    <s v="unk"/>
    <d v="2017-01-13T01:08:04"/>
    <s v="unk"/>
    <d v="2017-01-13T01:08:04"/>
    <s v="unk"/>
    <x v="1"/>
    <x v="6"/>
  </r>
  <r>
    <s v="[3644]"/>
    <n v="3644"/>
    <s v="2015-02-14 Melvin Finch [1075]"/>
    <x v="57"/>
    <n v="6.99"/>
    <n v="2"/>
    <s v="unk"/>
    <d v="2017-01-13T01:08:04"/>
    <s v="unk"/>
    <d v="2017-01-13T01:08:04"/>
    <s v="unk"/>
    <x v="1"/>
    <x v="1"/>
  </r>
  <r>
    <s v="[3645]"/>
    <n v="3645"/>
    <s v="2015-02-14 Melvin Finch [1075]"/>
    <x v="61"/>
    <n v="8.99"/>
    <n v="1"/>
    <s v="unk"/>
    <d v="2017-01-13T01:08:04"/>
    <s v="unk"/>
    <d v="2017-01-13T01:08:04"/>
    <s v="unk"/>
    <x v="1"/>
    <x v="6"/>
  </r>
  <r>
    <s v="[3646]"/>
    <n v="3646"/>
    <s v="2015-02-14 Melvin Finch [1075]"/>
    <x v="28"/>
    <n v="9.99"/>
    <n v="1"/>
    <s v="unk"/>
    <d v="2017-01-13T01:08:04"/>
    <s v="unk"/>
    <d v="2017-01-13T01:08:04"/>
    <s v="unk"/>
    <x v="1"/>
    <x v="3"/>
  </r>
  <r>
    <s v="[3647]"/>
    <n v="3647"/>
    <s v="2015-02-14 Melvin Finch [1075]"/>
    <x v="61"/>
    <n v="8.99"/>
    <n v="2"/>
    <s v="unk"/>
    <d v="2017-01-13T01:08:04"/>
    <s v="unk"/>
    <d v="2017-01-13T01:08:04"/>
    <s v="unk"/>
    <x v="1"/>
    <x v="7"/>
  </r>
  <r>
    <s v="[3661]"/>
    <n v="3661"/>
    <s v="2015-02-23 Kendall Rocha [1080]"/>
    <x v="38"/>
    <n v="7.99"/>
    <n v="1"/>
    <s v="unk"/>
    <d v="2017-01-13T01:08:04"/>
    <s v="unk"/>
    <d v="2017-01-13T01:08:04"/>
    <s v="unk"/>
    <x v="1"/>
    <x v="2"/>
  </r>
  <r>
    <s v="[3662]"/>
    <n v="3662"/>
    <s v="2015-02-23 Kendall Rocha [1080]"/>
    <x v="38"/>
    <n v="7.99"/>
    <n v="2"/>
    <s v="unk"/>
    <d v="2017-01-13T01:08:04"/>
    <s v="unk"/>
    <d v="2017-01-13T01:08:04"/>
    <s v="unk"/>
    <x v="1"/>
    <x v="5"/>
  </r>
  <r>
    <s v="[3699]"/>
    <n v="3699"/>
    <s v="2015-02-14 Kendall Rocha [1090]"/>
    <x v="49"/>
    <n v="8.99"/>
    <n v="1"/>
    <s v="unk"/>
    <d v="2017-01-13T01:08:04"/>
    <s v="unk"/>
    <d v="2017-01-13T01:08:04"/>
    <s v="unk"/>
    <x v="1"/>
    <x v="6"/>
  </r>
  <r>
    <s v="[3773]"/>
    <n v="3773"/>
    <s v="2015-02-09 Melvin Finch [1112]"/>
    <x v="61"/>
    <n v="8.99"/>
    <n v="2"/>
    <s v="unk"/>
    <d v="2017-01-13T01:08:04"/>
    <s v="unk"/>
    <d v="2017-01-13T01:08:04"/>
    <s v="unk"/>
    <x v="1"/>
    <x v="7"/>
  </r>
  <r>
    <s v="[3774]"/>
    <n v="3774"/>
    <s v="2015-02-09 Melvin Finch [1112]"/>
    <x v="62"/>
    <n v="5.99"/>
    <n v="1"/>
    <s v="unk"/>
    <d v="2017-01-13T01:08:04"/>
    <s v="unk"/>
    <d v="2017-01-13T01:08:04"/>
    <s v="unk"/>
    <x v="1"/>
    <x v="10"/>
  </r>
  <r>
    <s v="[3775]"/>
    <n v="3775"/>
    <s v="2015-02-09 Melvin Finch [1112]"/>
    <x v="58"/>
    <n v="5.99"/>
    <n v="1"/>
    <s v="unk"/>
    <d v="2017-01-13T01:08:04"/>
    <s v="unk"/>
    <d v="2017-01-13T01:08:04"/>
    <s v="unk"/>
    <x v="1"/>
    <x v="10"/>
  </r>
  <r>
    <s v="[3776]"/>
    <n v="3776"/>
    <s v="2015-02-09 Melvin Finch [1112]"/>
    <x v="28"/>
    <n v="9.99"/>
    <n v="2"/>
    <s v="unk"/>
    <d v="2017-01-13T01:08:04"/>
    <s v="unk"/>
    <d v="2017-01-13T01:08:04"/>
    <s v="unk"/>
    <x v="1"/>
    <x v="4"/>
  </r>
  <r>
    <s v="[3777]"/>
    <n v="3777"/>
    <s v="2015-02-09 Melvin Finch [1112]"/>
    <x v="38"/>
    <n v="7.99"/>
    <n v="1"/>
    <s v="unk"/>
    <d v="2017-01-13T01:08:04"/>
    <s v="unk"/>
    <d v="2017-01-13T01:08:04"/>
    <s v="unk"/>
    <x v="1"/>
    <x v="2"/>
  </r>
  <r>
    <s v="[3901]"/>
    <n v="3901"/>
    <s v="2015-02-12 Lillian Larsen [1154]"/>
    <x v="61"/>
    <n v="8.99"/>
    <n v="1"/>
    <s v="unk"/>
    <d v="2017-01-13T01:08:04"/>
    <s v="unk"/>
    <d v="2017-01-13T01:08:04"/>
    <s v="unk"/>
    <x v="1"/>
    <x v="6"/>
  </r>
  <r>
    <s v="[3902]"/>
    <n v="3902"/>
    <s v="2015-02-12 Lillian Larsen [1154]"/>
    <x v="59"/>
    <n v="7.99"/>
    <n v="1"/>
    <s v="unk"/>
    <d v="2017-01-13T01:08:04"/>
    <s v="unk"/>
    <d v="2017-01-13T01:08:04"/>
    <s v="unk"/>
    <x v="1"/>
    <x v="2"/>
  </r>
  <r>
    <s v="[3903]"/>
    <n v="3903"/>
    <s v="2015-02-12 Lillian Larsen [1154]"/>
    <x v="57"/>
    <n v="6.99"/>
    <n v="2"/>
    <s v="unk"/>
    <d v="2017-01-13T01:08:04"/>
    <s v="unk"/>
    <d v="2017-01-13T01:08:04"/>
    <s v="unk"/>
    <x v="1"/>
    <x v="1"/>
  </r>
  <r>
    <s v="[3904]"/>
    <n v="3904"/>
    <s v="2015-02-12 Lillian Larsen [1154]"/>
    <x v="58"/>
    <n v="5.99"/>
    <n v="1"/>
    <s v="unk"/>
    <d v="2017-01-13T01:08:04"/>
    <s v="unk"/>
    <d v="2017-01-13T01:08:04"/>
    <s v="unk"/>
    <x v="1"/>
    <x v="10"/>
  </r>
  <r>
    <s v="[3905]"/>
    <n v="3905"/>
    <s v="2015-02-12 Lillian Larsen [1154]"/>
    <x v="38"/>
    <n v="7.99"/>
    <n v="1"/>
    <s v="unk"/>
    <d v="2017-01-13T01:08:04"/>
    <s v="unk"/>
    <d v="2017-01-13T01:08:04"/>
    <s v="unk"/>
    <x v="1"/>
    <x v="2"/>
  </r>
  <r>
    <s v="[3906]"/>
    <n v="3906"/>
    <s v="2015-02-12 Lillian Larsen [1154]"/>
    <x v="49"/>
    <n v="8.99"/>
    <n v="1"/>
    <s v="unk"/>
    <d v="2017-01-13T01:08:04"/>
    <s v="unk"/>
    <d v="2017-01-13T01:08:04"/>
    <s v="unk"/>
    <x v="1"/>
    <x v="6"/>
  </r>
  <r>
    <s v="[3907]"/>
    <n v="3907"/>
    <s v="2015-02-12 Lillian Larsen [1154]"/>
    <x v="38"/>
    <n v="7.99"/>
    <n v="1"/>
    <s v="unk"/>
    <d v="2017-01-13T01:08:04"/>
    <s v="unk"/>
    <d v="2017-01-13T01:08:04"/>
    <s v="unk"/>
    <x v="1"/>
    <x v="2"/>
  </r>
  <r>
    <s v="[3917]"/>
    <n v="3917"/>
    <s v="2015-02-05 Lillian Larsen [1157]"/>
    <x v="56"/>
    <n v="9.99"/>
    <n v="1"/>
    <s v="unk"/>
    <d v="2017-01-13T01:08:04"/>
    <s v="unk"/>
    <d v="2017-01-13T01:08:04"/>
    <s v="unk"/>
    <x v="1"/>
    <x v="3"/>
  </r>
  <r>
    <s v="[7]"/>
    <n v="7"/>
    <s v="2015-03-24 Dale Fry [4]"/>
    <x v="81"/>
    <n v="5.99"/>
    <n v="1"/>
    <s v="unk"/>
    <d v="2017-01-13T01:08:04"/>
    <s v="unk"/>
    <d v="2017-01-13T01:08:04"/>
    <s v="unk"/>
    <x v="2"/>
    <x v="10"/>
  </r>
  <r>
    <s v="[8]"/>
    <n v="8"/>
    <s v="2015-03-24 Dale Fry [4]"/>
    <x v="55"/>
    <n v="9.99"/>
    <n v="1"/>
    <s v="unk"/>
    <d v="2017-01-13T01:08:04"/>
    <s v="unk"/>
    <d v="2017-01-13T01:08:04"/>
    <s v="unk"/>
    <x v="2"/>
    <x v="3"/>
  </r>
  <r>
    <s v="[18]"/>
    <n v="18"/>
    <s v="2015-03-08 Colby Clay [8]"/>
    <x v="72"/>
    <n v="8.99"/>
    <n v="1"/>
    <s v="unk"/>
    <d v="2017-01-13T01:08:04"/>
    <s v="unk"/>
    <d v="2017-01-13T01:08:04"/>
    <s v="unk"/>
    <x v="2"/>
    <x v="6"/>
  </r>
  <r>
    <s v="[19]"/>
    <n v="19"/>
    <s v="2015-03-08 Colby Clay [8]"/>
    <x v="82"/>
    <n v="7.99"/>
    <n v="1"/>
    <s v="unk"/>
    <d v="2017-01-13T01:08:04"/>
    <s v="unk"/>
    <d v="2017-01-13T01:08:04"/>
    <s v="unk"/>
    <x v="2"/>
    <x v="2"/>
  </r>
  <r>
    <s v="[20]"/>
    <n v="20"/>
    <s v="2015-03-08 Colby Clay [8]"/>
    <x v="63"/>
    <n v="6.99"/>
    <n v="1"/>
    <s v="unk"/>
    <d v="2017-01-13T01:08:04"/>
    <s v="unk"/>
    <d v="2017-01-13T01:08:04"/>
    <s v="unk"/>
    <x v="2"/>
    <x v="8"/>
  </r>
  <r>
    <s v="[21]"/>
    <n v="21"/>
    <s v="2015-03-08 Colby Clay [8]"/>
    <x v="83"/>
    <n v="4.99"/>
    <n v="2"/>
    <s v="unk"/>
    <d v="2017-01-13T01:08:04"/>
    <s v="unk"/>
    <d v="2017-01-13T01:08:04"/>
    <s v="unk"/>
    <x v="2"/>
    <x v="9"/>
  </r>
  <r>
    <s v="[50]"/>
    <n v="50"/>
    <s v="2015-03-06 Doris Valdez [16]"/>
    <x v="21"/>
    <n v="8.99"/>
    <n v="1"/>
    <s v="unk"/>
    <d v="2017-01-13T01:08:04"/>
    <s v="unk"/>
    <d v="2017-01-13T01:08:04"/>
    <s v="unk"/>
    <x v="2"/>
    <x v="6"/>
  </r>
  <r>
    <s v="[51]"/>
    <n v="51"/>
    <s v="2015-03-06 Doris Valdez [16]"/>
    <x v="29"/>
    <n v="8.99"/>
    <n v="2"/>
    <s v="unk"/>
    <d v="2017-01-13T01:08:04"/>
    <s v="unk"/>
    <d v="2017-01-13T01:08:04"/>
    <s v="unk"/>
    <x v="2"/>
    <x v="7"/>
  </r>
  <r>
    <s v="[52]"/>
    <n v="52"/>
    <s v="2015-03-06 Doris Valdez [16]"/>
    <x v="84"/>
    <n v="7.99"/>
    <n v="2"/>
    <s v="unk"/>
    <d v="2017-01-13T01:08:04"/>
    <s v="unk"/>
    <d v="2017-01-13T01:08:04"/>
    <s v="unk"/>
    <x v="2"/>
    <x v="5"/>
  </r>
  <r>
    <s v="[113]"/>
    <n v="113"/>
    <s v="2015-03-08 Zorita Rutledge [34]"/>
    <x v="55"/>
    <n v="9.99"/>
    <n v="2"/>
    <s v="unk"/>
    <d v="2017-01-13T01:08:04"/>
    <s v="unk"/>
    <d v="2017-01-13T01:08:04"/>
    <s v="unk"/>
    <x v="2"/>
    <x v="4"/>
  </r>
  <r>
    <s v="[114]"/>
    <n v="114"/>
    <s v="2015-03-08 Zorita Rutledge [34]"/>
    <x v="83"/>
    <n v="4.99"/>
    <n v="1"/>
    <s v="unk"/>
    <d v="2017-01-13T01:08:04"/>
    <s v="unk"/>
    <d v="2017-01-13T01:08:04"/>
    <s v="unk"/>
    <x v="2"/>
    <x v="0"/>
  </r>
  <r>
    <s v="[123]"/>
    <n v="123"/>
    <s v="2015-03-04 Mannix Owen [37]"/>
    <x v="85"/>
    <n v="6.99"/>
    <n v="1"/>
    <s v="unk"/>
    <d v="2017-01-13T01:08:04"/>
    <s v="unk"/>
    <d v="2017-01-13T01:08:04"/>
    <s v="unk"/>
    <x v="2"/>
    <x v="8"/>
  </r>
  <r>
    <s v="[124]"/>
    <n v="124"/>
    <s v="2015-03-04 Mannix Owen [37]"/>
    <x v="86"/>
    <n v="8.99"/>
    <n v="2"/>
    <s v="unk"/>
    <d v="2017-01-13T01:08:04"/>
    <s v="unk"/>
    <d v="2017-01-13T01:08:04"/>
    <s v="unk"/>
    <x v="2"/>
    <x v="7"/>
  </r>
  <r>
    <s v="[149]"/>
    <n v="149"/>
    <s v="2015-03-29 Ora Mann [45]"/>
    <x v="49"/>
    <n v="8.99"/>
    <n v="2"/>
    <s v="unk"/>
    <d v="2017-01-13T01:08:04"/>
    <s v="unk"/>
    <d v="2017-01-13T01:08:04"/>
    <s v="unk"/>
    <x v="2"/>
    <x v="7"/>
  </r>
  <r>
    <s v="[216]"/>
    <n v="216"/>
    <s v="2015-03-12 Cherokee Tanner [68]"/>
    <x v="64"/>
    <n v="8.99"/>
    <n v="2"/>
    <s v="unk"/>
    <d v="2017-01-13T01:08:04"/>
    <s v="unk"/>
    <d v="2017-01-13T01:08:04"/>
    <s v="unk"/>
    <x v="2"/>
    <x v="7"/>
  </r>
  <r>
    <s v="[217]"/>
    <n v="217"/>
    <s v="2015-03-12 Cherokee Tanner [68]"/>
    <x v="87"/>
    <n v="6.99"/>
    <n v="1"/>
    <s v="unk"/>
    <d v="2017-01-13T01:08:04"/>
    <s v="unk"/>
    <d v="2017-01-13T01:08:04"/>
    <s v="unk"/>
    <x v="2"/>
    <x v="8"/>
  </r>
  <r>
    <s v="[218]"/>
    <n v="218"/>
    <s v="2015-03-12 Cherokee Tanner [68]"/>
    <x v="2"/>
    <n v="6.99"/>
    <n v="1"/>
    <s v="unk"/>
    <d v="2017-01-13T01:08:04"/>
    <s v="unk"/>
    <d v="2017-01-13T01:08:04"/>
    <s v="unk"/>
    <x v="2"/>
    <x v="8"/>
  </r>
  <r>
    <s v="[219]"/>
    <n v="219"/>
    <s v="2015-03-12 Cherokee Tanner [68]"/>
    <x v="69"/>
    <n v="9.99"/>
    <n v="2"/>
    <s v="unk"/>
    <d v="2017-01-13T01:08:04"/>
    <s v="unk"/>
    <d v="2017-01-13T01:08:04"/>
    <s v="unk"/>
    <x v="2"/>
    <x v="4"/>
  </r>
  <r>
    <s v="[220]"/>
    <n v="220"/>
    <s v="2015-03-12 Cherokee Tanner [68]"/>
    <x v="25"/>
    <n v="9.99"/>
    <n v="1"/>
    <s v="unk"/>
    <d v="2017-01-13T01:08:04"/>
    <s v="unk"/>
    <d v="2017-01-13T01:08:04"/>
    <s v="unk"/>
    <x v="2"/>
    <x v="3"/>
  </r>
  <r>
    <s v="[263]"/>
    <n v="263"/>
    <s v="2015-03-27 Anne Slater [82]"/>
    <x v="4"/>
    <n v="9.99"/>
    <n v="1"/>
    <s v="unk"/>
    <d v="2017-01-13T01:08:04"/>
    <s v="unk"/>
    <d v="2017-01-13T01:08:04"/>
    <s v="unk"/>
    <x v="2"/>
    <x v="3"/>
  </r>
  <r>
    <s v="[264]"/>
    <n v="264"/>
    <s v="2015-03-27 Anne Slater [82]"/>
    <x v="88"/>
    <n v="5.99"/>
    <n v="2"/>
    <s v="unk"/>
    <d v="2017-01-13T01:08:04"/>
    <s v="unk"/>
    <d v="2017-01-13T01:08:04"/>
    <s v="unk"/>
    <x v="2"/>
    <x v="11"/>
  </r>
  <r>
    <s v="[279]"/>
    <n v="279"/>
    <s v="2015-03-08 April Buckley [86]"/>
    <x v="54"/>
    <n v="4.99"/>
    <n v="1"/>
    <s v="unk"/>
    <d v="2017-01-13T01:08:04"/>
    <s v="unk"/>
    <d v="2017-01-13T01:08:04"/>
    <s v="unk"/>
    <x v="2"/>
    <x v="0"/>
  </r>
  <r>
    <s v="[280]"/>
    <n v="280"/>
    <s v="2015-03-08 April Buckley [86]"/>
    <x v="89"/>
    <n v="6.99"/>
    <n v="1"/>
    <s v="unk"/>
    <d v="2017-01-13T01:08:04"/>
    <s v="unk"/>
    <d v="2017-01-13T01:08:04"/>
    <s v="unk"/>
    <x v="2"/>
    <x v="8"/>
  </r>
  <r>
    <s v="[281]"/>
    <n v="281"/>
    <s v="2015-03-08 April Buckley [86]"/>
    <x v="90"/>
    <n v="8.99"/>
    <n v="1"/>
    <s v="unk"/>
    <d v="2017-01-13T01:08:04"/>
    <s v="unk"/>
    <d v="2017-01-13T01:08:04"/>
    <s v="unk"/>
    <x v="2"/>
    <x v="6"/>
  </r>
  <r>
    <s v="[282]"/>
    <n v="282"/>
    <s v="2015-03-08 April Buckley [86]"/>
    <x v="72"/>
    <n v="8.99"/>
    <n v="1"/>
    <s v="unk"/>
    <d v="2017-01-13T01:08:04"/>
    <s v="unk"/>
    <d v="2017-01-13T01:08:04"/>
    <s v="unk"/>
    <x v="2"/>
    <x v="6"/>
  </r>
  <r>
    <s v="[532]"/>
    <n v="532"/>
    <s v="2015-03-08 Armando Le [164]"/>
    <x v="91"/>
    <n v="8.99"/>
    <n v="1"/>
    <s v="unk"/>
    <d v="2017-01-13T01:08:04"/>
    <s v="unk"/>
    <d v="2017-01-13T01:08:04"/>
    <s v="unk"/>
    <x v="2"/>
    <x v="6"/>
  </r>
  <r>
    <s v="[533]"/>
    <n v="533"/>
    <s v="2015-03-08 Armando Le [164]"/>
    <x v="92"/>
    <n v="9.99"/>
    <n v="2"/>
    <s v="unk"/>
    <d v="2017-01-13T01:08:04"/>
    <s v="unk"/>
    <d v="2017-01-13T01:08:04"/>
    <s v="unk"/>
    <x v="2"/>
    <x v="4"/>
  </r>
  <r>
    <s v="[539]"/>
    <n v="539"/>
    <s v="2015-03-21 Alexa Herring [167]"/>
    <x v="93"/>
    <n v="7.99"/>
    <n v="2"/>
    <s v="unk"/>
    <d v="2017-01-13T01:08:04"/>
    <s v="unk"/>
    <d v="2017-01-13T01:08:04"/>
    <s v="unk"/>
    <x v="2"/>
    <x v="5"/>
  </r>
  <r>
    <s v="[540]"/>
    <n v="540"/>
    <s v="2015-03-21 Alexa Herring [167]"/>
    <x v="94"/>
    <n v="4.99"/>
    <n v="1"/>
    <s v="unk"/>
    <d v="2017-01-13T01:08:04"/>
    <s v="unk"/>
    <d v="2017-01-13T01:08:04"/>
    <s v="unk"/>
    <x v="2"/>
    <x v="0"/>
  </r>
  <r>
    <s v="[541]"/>
    <n v="541"/>
    <s v="2015-03-21 Alexa Herring [167]"/>
    <x v="95"/>
    <n v="5.99"/>
    <n v="1"/>
    <s v="unk"/>
    <d v="2017-01-13T01:08:04"/>
    <s v="unk"/>
    <d v="2017-01-13T01:08:04"/>
    <s v="unk"/>
    <x v="2"/>
    <x v="10"/>
  </r>
  <r>
    <s v="[542]"/>
    <n v="542"/>
    <s v="2015-03-21 Alexa Herring [167]"/>
    <x v="96"/>
    <n v="5.99"/>
    <n v="1"/>
    <s v="unk"/>
    <d v="2017-01-13T01:08:04"/>
    <s v="unk"/>
    <d v="2017-01-13T01:08:04"/>
    <s v="unk"/>
    <x v="2"/>
    <x v="10"/>
  </r>
  <r>
    <s v="[543]"/>
    <n v="543"/>
    <s v="2015-03-21 Alexa Herring [167]"/>
    <x v="76"/>
    <n v="4.99"/>
    <n v="1"/>
    <s v="unk"/>
    <d v="2017-01-13T01:08:04"/>
    <s v="unk"/>
    <d v="2017-01-13T01:08:04"/>
    <s v="unk"/>
    <x v="2"/>
    <x v="0"/>
  </r>
  <r>
    <s v="[544]"/>
    <n v="544"/>
    <s v="2015-03-21 Alexa Herring [167]"/>
    <x v="97"/>
    <n v="4.99"/>
    <n v="1"/>
    <s v="unk"/>
    <d v="2017-01-13T01:08:04"/>
    <s v="unk"/>
    <d v="2017-01-13T01:08:04"/>
    <s v="unk"/>
    <x v="2"/>
    <x v="0"/>
  </r>
  <r>
    <s v="[545]"/>
    <n v="545"/>
    <s v="2015-03-21 Alexa Herring [167]"/>
    <x v="98"/>
    <n v="5.99"/>
    <n v="1"/>
    <s v="unk"/>
    <d v="2017-01-13T01:08:04"/>
    <s v="unk"/>
    <d v="2017-01-13T01:08:04"/>
    <s v="unk"/>
    <x v="2"/>
    <x v="10"/>
  </r>
  <r>
    <s v="[552]"/>
    <n v="552"/>
    <s v="2015-03-31 Morgan Hoffman [170]"/>
    <x v="99"/>
    <n v="4.99"/>
    <n v="1"/>
    <s v="unk"/>
    <d v="2017-01-13T01:08:04"/>
    <s v="unk"/>
    <d v="2017-01-13T01:08:04"/>
    <s v="unk"/>
    <x v="2"/>
    <x v="0"/>
  </r>
  <r>
    <s v="[553]"/>
    <n v="553"/>
    <s v="2015-03-31 Morgan Hoffman [170]"/>
    <x v="100"/>
    <n v="8.99"/>
    <n v="2"/>
    <s v="unk"/>
    <d v="2017-01-13T01:08:04"/>
    <s v="unk"/>
    <d v="2017-01-13T01:08:04"/>
    <s v="unk"/>
    <x v="2"/>
    <x v="7"/>
  </r>
  <r>
    <s v="[554]"/>
    <n v="554"/>
    <s v="2015-03-31 Morgan Hoffman [170]"/>
    <x v="101"/>
    <n v="8.99"/>
    <n v="2"/>
    <s v="unk"/>
    <d v="2017-01-13T01:08:04"/>
    <s v="unk"/>
    <d v="2017-01-13T01:08:04"/>
    <s v="unk"/>
    <x v="2"/>
    <x v="7"/>
  </r>
  <r>
    <s v="[555]"/>
    <n v="555"/>
    <s v="2015-03-31 Morgan Hoffman [170]"/>
    <x v="102"/>
    <n v="7.99"/>
    <n v="1"/>
    <s v="unk"/>
    <d v="2017-01-13T01:08:04"/>
    <s v="unk"/>
    <d v="2017-01-13T01:08:04"/>
    <s v="unk"/>
    <x v="2"/>
    <x v="2"/>
  </r>
  <r>
    <s v="[556]"/>
    <n v="556"/>
    <s v="2015-03-31 Morgan Hoffman [170]"/>
    <x v="103"/>
    <n v="6.99"/>
    <n v="2"/>
    <s v="unk"/>
    <d v="2017-01-13T01:08:04"/>
    <s v="unk"/>
    <d v="2017-01-13T01:08:04"/>
    <s v="unk"/>
    <x v="2"/>
    <x v="1"/>
  </r>
  <r>
    <s v="[568]"/>
    <n v="568"/>
    <s v="2015-03-28 Dale Fry [177]"/>
    <x v="83"/>
    <n v="4.99"/>
    <n v="1"/>
    <s v="unk"/>
    <d v="2017-01-13T01:08:04"/>
    <s v="unk"/>
    <d v="2017-01-13T01:08:04"/>
    <s v="unk"/>
    <x v="2"/>
    <x v="0"/>
  </r>
  <r>
    <s v="[569]"/>
    <n v="569"/>
    <s v="2015-03-28 Dale Fry [177]"/>
    <x v="104"/>
    <n v="5.99"/>
    <n v="2"/>
    <s v="unk"/>
    <d v="2017-01-13T01:08:04"/>
    <s v="unk"/>
    <d v="2017-01-13T01:08:04"/>
    <s v="unk"/>
    <x v="2"/>
    <x v="11"/>
  </r>
  <r>
    <s v="[570]"/>
    <n v="570"/>
    <s v="2015-03-28 Dale Fry [177]"/>
    <x v="105"/>
    <n v="9.99"/>
    <n v="2"/>
    <s v="unk"/>
    <d v="2017-01-13T01:08:04"/>
    <s v="unk"/>
    <d v="2017-01-13T01:08:04"/>
    <s v="unk"/>
    <x v="2"/>
    <x v="4"/>
  </r>
  <r>
    <s v="[571]"/>
    <n v="571"/>
    <s v="2015-03-28 Dale Fry [177]"/>
    <x v="35"/>
    <n v="6.99"/>
    <n v="1"/>
    <s v="unk"/>
    <d v="2017-01-13T01:08:04"/>
    <s v="unk"/>
    <d v="2017-01-13T01:08:04"/>
    <s v="unk"/>
    <x v="2"/>
    <x v="8"/>
  </r>
  <r>
    <s v="[578]"/>
    <n v="578"/>
    <s v="2015-03-25 Cameron Burton [180]"/>
    <x v="106"/>
    <n v="8.99"/>
    <n v="1"/>
    <s v="unk"/>
    <d v="2017-01-13T01:08:04"/>
    <s v="unk"/>
    <d v="2017-01-13T01:08:04"/>
    <s v="unk"/>
    <x v="2"/>
    <x v="6"/>
  </r>
  <r>
    <s v="[579]"/>
    <n v="579"/>
    <s v="2015-03-25 Cameron Burton [180]"/>
    <x v="107"/>
    <n v="5.99"/>
    <n v="1"/>
    <s v="unk"/>
    <d v="2017-01-13T01:08:04"/>
    <s v="unk"/>
    <d v="2017-01-13T01:08:04"/>
    <s v="unk"/>
    <x v="2"/>
    <x v="10"/>
  </r>
  <r>
    <s v="[648]"/>
    <n v="648"/>
    <s v="2015-03-05 Armando Le [202]"/>
    <x v="29"/>
    <n v="8.99"/>
    <n v="1"/>
    <s v="unk"/>
    <d v="2017-01-13T01:08:04"/>
    <s v="unk"/>
    <d v="2017-01-13T01:08:04"/>
    <s v="unk"/>
    <x v="2"/>
    <x v="6"/>
  </r>
  <r>
    <s v="[649]"/>
    <n v="649"/>
    <s v="2015-03-05 Armando Le [202]"/>
    <x v="40"/>
    <n v="6.99"/>
    <n v="1"/>
    <s v="unk"/>
    <d v="2017-01-13T01:08:04"/>
    <s v="unk"/>
    <d v="2017-01-13T01:08:04"/>
    <s v="unk"/>
    <x v="2"/>
    <x v="8"/>
  </r>
  <r>
    <s v="[650]"/>
    <n v="650"/>
    <s v="2015-03-05 Armando Le [202]"/>
    <x v="57"/>
    <n v="6.99"/>
    <n v="2"/>
    <s v="unk"/>
    <d v="2017-01-13T01:08:04"/>
    <s v="unk"/>
    <d v="2017-01-13T01:08:04"/>
    <s v="unk"/>
    <x v="2"/>
    <x v="1"/>
  </r>
  <r>
    <s v="[651]"/>
    <n v="651"/>
    <s v="2015-03-05 Armando Le [202]"/>
    <x v="71"/>
    <n v="4.99"/>
    <n v="1"/>
    <s v="unk"/>
    <d v="2017-01-13T01:08:04"/>
    <s v="unk"/>
    <d v="2017-01-13T01:08:04"/>
    <s v="unk"/>
    <x v="2"/>
    <x v="0"/>
  </r>
  <r>
    <s v="[813]"/>
    <n v="813"/>
    <s v="2015-03-12 Mannix Owen [253]"/>
    <x v="49"/>
    <n v="8.99"/>
    <n v="2"/>
    <s v="unk"/>
    <d v="2017-01-13T01:08:04"/>
    <s v="unk"/>
    <d v="2017-01-13T01:08:04"/>
    <s v="unk"/>
    <x v="2"/>
    <x v="7"/>
  </r>
  <r>
    <s v="[814]"/>
    <n v="814"/>
    <s v="2015-03-12 Mannix Owen [253]"/>
    <x v="3"/>
    <n v="7.99"/>
    <n v="2"/>
    <s v="unk"/>
    <d v="2017-01-13T01:08:04"/>
    <s v="unk"/>
    <d v="2017-01-13T01:08:04"/>
    <s v="unk"/>
    <x v="2"/>
    <x v="5"/>
  </r>
  <r>
    <s v="[821]"/>
    <n v="821"/>
    <s v="2015-03-03 Mannix Owen [257]"/>
    <x v="75"/>
    <n v="5.99"/>
    <n v="1"/>
    <s v="unk"/>
    <d v="2017-01-13T01:08:04"/>
    <s v="unk"/>
    <d v="2017-01-13T01:08:04"/>
    <s v="unk"/>
    <x v="2"/>
    <x v="10"/>
  </r>
  <r>
    <s v="[822]"/>
    <n v="822"/>
    <s v="2015-03-03 Mannix Owen [257]"/>
    <x v="34"/>
    <n v="8.99"/>
    <n v="1"/>
    <s v="unk"/>
    <d v="2017-01-13T01:08:04"/>
    <s v="unk"/>
    <d v="2017-01-13T01:08:04"/>
    <s v="unk"/>
    <x v="2"/>
    <x v="6"/>
  </r>
  <r>
    <s v="[823]"/>
    <n v="823"/>
    <s v="2015-03-03 Mannix Owen [257]"/>
    <x v="69"/>
    <n v="9.99"/>
    <n v="1"/>
    <s v="unk"/>
    <d v="2017-01-13T01:08:04"/>
    <s v="unk"/>
    <d v="2017-01-13T01:08:04"/>
    <s v="unk"/>
    <x v="2"/>
    <x v="3"/>
  </r>
  <r>
    <s v="[824]"/>
    <n v="824"/>
    <s v="2015-03-03 Mannix Owen [257]"/>
    <x v="49"/>
    <n v="8.99"/>
    <n v="2"/>
    <s v="unk"/>
    <d v="2017-01-13T01:08:04"/>
    <s v="unk"/>
    <d v="2017-01-13T01:08:04"/>
    <s v="unk"/>
    <x v="2"/>
    <x v="7"/>
  </r>
  <r>
    <s v="[825]"/>
    <n v="825"/>
    <s v="2015-03-03 Mannix Owen [257]"/>
    <x v="55"/>
    <n v="9.99"/>
    <n v="1"/>
    <s v="unk"/>
    <d v="2017-01-13T01:08:04"/>
    <s v="unk"/>
    <d v="2017-01-13T01:08:04"/>
    <s v="unk"/>
    <x v="2"/>
    <x v="3"/>
  </r>
  <r>
    <s v="[826]"/>
    <n v="826"/>
    <s v="2015-03-03 Mannix Owen [257]"/>
    <x v="40"/>
    <n v="6.99"/>
    <n v="1"/>
    <s v="unk"/>
    <d v="2017-01-13T01:08:04"/>
    <s v="unk"/>
    <d v="2017-01-13T01:08:04"/>
    <s v="unk"/>
    <x v="2"/>
    <x v="8"/>
  </r>
  <r>
    <s v="[832]"/>
    <n v="832"/>
    <s v="2015-03-24 April Buckley [260]"/>
    <x v="37"/>
    <n v="6.99"/>
    <n v="1"/>
    <s v="unk"/>
    <d v="2017-01-13T01:08:04"/>
    <s v="unk"/>
    <d v="2017-01-13T01:08:04"/>
    <s v="unk"/>
    <x v="2"/>
    <x v="8"/>
  </r>
  <r>
    <s v="[833]"/>
    <n v="833"/>
    <s v="2015-03-24 April Buckley [260]"/>
    <x v="79"/>
    <n v="6.99"/>
    <n v="1"/>
    <s v="unk"/>
    <d v="2017-01-13T01:08:04"/>
    <s v="unk"/>
    <d v="2017-01-13T01:08:04"/>
    <s v="unk"/>
    <x v="2"/>
    <x v="8"/>
  </r>
  <r>
    <s v="[834]"/>
    <n v="834"/>
    <s v="2015-03-24 April Buckley [260]"/>
    <x v="39"/>
    <n v="9.99"/>
    <n v="1"/>
    <s v="unk"/>
    <d v="2017-01-13T01:08:04"/>
    <s v="unk"/>
    <d v="2017-01-13T01:08:04"/>
    <s v="unk"/>
    <x v="2"/>
    <x v="3"/>
  </r>
  <r>
    <s v="[835]"/>
    <n v="835"/>
    <s v="2015-03-24 April Buckley [260]"/>
    <x v="53"/>
    <n v="8.99"/>
    <n v="1"/>
    <s v="unk"/>
    <d v="2017-01-13T01:08:04"/>
    <s v="unk"/>
    <d v="2017-01-13T01:08:04"/>
    <s v="unk"/>
    <x v="2"/>
    <x v="6"/>
  </r>
  <r>
    <s v="[887]"/>
    <n v="887"/>
    <s v="2015-03-18 Clio Carter [277]"/>
    <x v="79"/>
    <n v="6.99"/>
    <n v="2"/>
    <s v="unk"/>
    <d v="2017-01-13T01:08:04"/>
    <s v="unk"/>
    <d v="2017-01-13T01:08:04"/>
    <s v="unk"/>
    <x v="2"/>
    <x v="1"/>
  </r>
  <r>
    <s v="[888]"/>
    <n v="888"/>
    <s v="2015-03-18 Clio Carter [277]"/>
    <x v="75"/>
    <n v="5.99"/>
    <n v="1"/>
    <s v="unk"/>
    <d v="2017-01-13T01:08:04"/>
    <s v="unk"/>
    <d v="2017-01-13T01:08:04"/>
    <s v="unk"/>
    <x v="2"/>
    <x v="10"/>
  </r>
  <r>
    <s v="[889]"/>
    <n v="889"/>
    <s v="2015-03-18 Clio Carter [277]"/>
    <x v="51"/>
    <n v="9.99"/>
    <n v="1"/>
    <s v="unk"/>
    <d v="2017-01-13T01:08:04"/>
    <s v="unk"/>
    <d v="2017-01-13T01:08:04"/>
    <s v="unk"/>
    <x v="2"/>
    <x v="3"/>
  </r>
  <r>
    <s v="[1061]"/>
    <n v="1061"/>
    <s v="2015-03-03 Zorita Rutledge [329]"/>
    <x v="46"/>
    <n v="7.99"/>
    <n v="1"/>
    <s v="unk"/>
    <d v="2017-01-13T01:08:04"/>
    <s v="unk"/>
    <d v="2017-01-13T01:08:04"/>
    <s v="unk"/>
    <x v="2"/>
    <x v="2"/>
  </r>
  <r>
    <s v="[1118]"/>
    <n v="1118"/>
    <s v="2015-03-16 Lionel Vargas [346]"/>
    <x v="30"/>
    <n v="5.99"/>
    <n v="1"/>
    <s v="unk"/>
    <d v="2017-01-13T01:08:04"/>
    <s v="unk"/>
    <d v="2017-01-13T01:08:04"/>
    <s v="unk"/>
    <x v="2"/>
    <x v="10"/>
  </r>
  <r>
    <s v="[1119]"/>
    <n v="1119"/>
    <s v="2015-03-16 Lionel Vargas [346]"/>
    <x v="69"/>
    <n v="9.99"/>
    <n v="1"/>
    <s v="unk"/>
    <d v="2017-01-13T01:08:04"/>
    <s v="unk"/>
    <d v="2017-01-13T01:08:04"/>
    <s v="unk"/>
    <x v="2"/>
    <x v="3"/>
  </r>
  <r>
    <s v="[1120]"/>
    <n v="1120"/>
    <s v="2015-03-16 Lionel Vargas [346]"/>
    <x v="26"/>
    <n v="5.99"/>
    <n v="1"/>
    <s v="unk"/>
    <d v="2017-01-13T01:08:04"/>
    <s v="unk"/>
    <d v="2017-01-13T01:08:04"/>
    <s v="unk"/>
    <x v="2"/>
    <x v="10"/>
  </r>
  <r>
    <s v="[1227]"/>
    <n v="1227"/>
    <s v="2015-03-12 Yoshi Bennett [373]"/>
    <x v="31"/>
    <n v="5.99"/>
    <n v="1"/>
    <s v="unk"/>
    <d v="2017-01-13T01:08:04"/>
    <s v="unk"/>
    <d v="2017-01-13T01:08:04"/>
    <s v="unk"/>
    <x v="2"/>
    <x v="10"/>
  </r>
  <r>
    <s v="[1228]"/>
    <n v="1228"/>
    <s v="2015-03-12 Yoshi Bennett [373]"/>
    <x v="108"/>
    <n v="8.99"/>
    <n v="1"/>
    <s v="unk"/>
    <d v="2017-01-13T01:08:04"/>
    <s v="unk"/>
    <d v="2017-01-13T01:08:04"/>
    <s v="unk"/>
    <x v="2"/>
    <x v="6"/>
  </r>
  <r>
    <s v="[1229]"/>
    <n v="1229"/>
    <s v="2015-03-12 Yoshi Bennett [373]"/>
    <x v="42"/>
    <n v="5.99"/>
    <n v="1"/>
    <s v="unk"/>
    <d v="2017-01-13T01:08:04"/>
    <s v="unk"/>
    <d v="2017-01-13T01:08:04"/>
    <s v="unk"/>
    <x v="2"/>
    <x v="10"/>
  </r>
  <r>
    <s v="[1230]"/>
    <n v="1230"/>
    <s v="2015-03-12 Yoshi Bennett [373]"/>
    <x v="69"/>
    <n v="9.99"/>
    <n v="1"/>
    <s v="unk"/>
    <d v="2017-01-13T01:08:04"/>
    <s v="unk"/>
    <d v="2017-01-13T01:08:04"/>
    <s v="unk"/>
    <x v="2"/>
    <x v="3"/>
  </r>
  <r>
    <s v="[1257]"/>
    <n v="1257"/>
    <s v="2015-03-30 Theodore Mills [383]"/>
    <x v="49"/>
    <n v="8.99"/>
    <n v="1"/>
    <s v="unk"/>
    <d v="2017-01-13T01:08:04"/>
    <s v="unk"/>
    <d v="2017-01-13T01:08:04"/>
    <s v="unk"/>
    <x v="2"/>
    <x v="6"/>
  </r>
  <r>
    <s v="[1258]"/>
    <n v="1258"/>
    <s v="2015-03-30 Theodore Mills [383]"/>
    <x v="76"/>
    <n v="4.99"/>
    <n v="1"/>
    <s v="unk"/>
    <d v="2017-01-13T01:08:04"/>
    <s v="unk"/>
    <d v="2017-01-13T01:08:04"/>
    <s v="unk"/>
    <x v="2"/>
    <x v="0"/>
  </r>
  <r>
    <s v="[1302]"/>
    <n v="1302"/>
    <s v="2015-03-06 Marny Boyer [396]"/>
    <x v="25"/>
    <n v="9.99"/>
    <n v="1"/>
    <s v="unk"/>
    <d v="2017-01-13T01:08:04"/>
    <s v="unk"/>
    <d v="2017-01-13T01:08:04"/>
    <s v="unk"/>
    <x v="2"/>
    <x v="3"/>
  </r>
  <r>
    <s v="[1303]"/>
    <n v="1303"/>
    <s v="2015-03-06 Marny Boyer [396]"/>
    <x v="49"/>
    <n v="8.99"/>
    <n v="1"/>
    <s v="unk"/>
    <d v="2017-01-13T01:08:04"/>
    <s v="unk"/>
    <d v="2017-01-13T01:08:04"/>
    <s v="unk"/>
    <x v="2"/>
    <x v="6"/>
  </r>
  <r>
    <s v="[1412]"/>
    <n v="1412"/>
    <s v="2015-03-11 Tate Lowery [429]"/>
    <x v="36"/>
    <n v="6.99"/>
    <n v="2"/>
    <s v="unk"/>
    <d v="2017-01-13T01:08:04"/>
    <s v="unk"/>
    <d v="2017-01-13T01:08:04"/>
    <s v="unk"/>
    <x v="2"/>
    <x v="1"/>
  </r>
  <r>
    <s v="[1413]"/>
    <n v="1413"/>
    <s v="2015-03-11 Tate Lowery [429]"/>
    <x v="40"/>
    <n v="6.99"/>
    <n v="1"/>
    <s v="unk"/>
    <d v="2017-01-13T01:08:04"/>
    <s v="unk"/>
    <d v="2017-01-13T01:08:04"/>
    <s v="unk"/>
    <x v="2"/>
    <x v="8"/>
  </r>
  <r>
    <s v="[1452]"/>
    <n v="1452"/>
    <s v="2015-03-09 Quinn Ewing [440]"/>
    <x v="38"/>
    <n v="7.99"/>
    <n v="1"/>
    <s v="unk"/>
    <d v="2017-01-13T01:08:04"/>
    <s v="unk"/>
    <d v="2017-01-13T01:08:04"/>
    <s v="unk"/>
    <x v="2"/>
    <x v="2"/>
  </r>
  <r>
    <s v="[1453]"/>
    <n v="1453"/>
    <s v="2015-03-09 Quinn Ewing [440]"/>
    <x v="36"/>
    <n v="6.99"/>
    <n v="2"/>
    <s v="unk"/>
    <d v="2017-01-13T01:08:04"/>
    <s v="unk"/>
    <d v="2017-01-13T01:08:04"/>
    <s v="unk"/>
    <x v="2"/>
    <x v="1"/>
  </r>
  <r>
    <s v="[1454]"/>
    <n v="1454"/>
    <s v="2015-03-09 Quinn Ewing [440]"/>
    <x v="31"/>
    <n v="5.99"/>
    <n v="1"/>
    <s v="unk"/>
    <d v="2017-01-13T01:08:04"/>
    <s v="unk"/>
    <d v="2017-01-13T01:08:04"/>
    <s v="unk"/>
    <x v="2"/>
    <x v="10"/>
  </r>
  <r>
    <s v="[1455]"/>
    <n v="1455"/>
    <s v="2015-03-09 Quinn Ewing [440]"/>
    <x v="25"/>
    <n v="9.99"/>
    <n v="2"/>
    <s v="unk"/>
    <d v="2017-01-13T01:08:04"/>
    <s v="unk"/>
    <d v="2017-01-13T01:08:04"/>
    <s v="unk"/>
    <x v="2"/>
    <x v="4"/>
  </r>
  <r>
    <s v="[1456]"/>
    <n v="1456"/>
    <s v="2015-03-09 Quinn Ewing [440]"/>
    <x v="71"/>
    <n v="4.99"/>
    <n v="1"/>
    <s v="unk"/>
    <d v="2017-01-13T01:08:04"/>
    <s v="unk"/>
    <d v="2017-01-13T01:08:04"/>
    <s v="unk"/>
    <x v="2"/>
    <x v="0"/>
  </r>
  <r>
    <s v="[1457]"/>
    <n v="1457"/>
    <s v="2015-03-09 Quinn Ewing [440]"/>
    <x v="53"/>
    <n v="8.99"/>
    <n v="2"/>
    <s v="unk"/>
    <d v="2017-01-13T01:08:04"/>
    <s v="unk"/>
    <d v="2017-01-13T01:08:04"/>
    <s v="unk"/>
    <x v="2"/>
    <x v="7"/>
  </r>
  <r>
    <s v="[1458]"/>
    <n v="1458"/>
    <s v="2015-03-09 Quinn Ewing [440]"/>
    <x v="49"/>
    <n v="8.99"/>
    <n v="2"/>
    <s v="unk"/>
    <d v="2017-01-13T01:08:04"/>
    <s v="unk"/>
    <d v="2017-01-13T01:08:04"/>
    <s v="unk"/>
    <x v="2"/>
    <x v="7"/>
  </r>
  <r>
    <s v="[1459]"/>
    <n v="1459"/>
    <s v="2015-03-09 Quinn Ewing [440]"/>
    <x v="37"/>
    <n v="6.99"/>
    <n v="1"/>
    <s v="unk"/>
    <d v="2017-01-13T01:08:04"/>
    <s v="unk"/>
    <d v="2017-01-13T01:08:04"/>
    <s v="unk"/>
    <x v="2"/>
    <x v="8"/>
  </r>
  <r>
    <s v="[1462]"/>
    <n v="1462"/>
    <s v="2015-03-24 Serina Booker [442]"/>
    <x v="72"/>
    <n v="8.99"/>
    <n v="1"/>
    <s v="unk"/>
    <d v="2017-01-13T01:08:04"/>
    <s v="unk"/>
    <d v="2017-01-13T01:08:04"/>
    <s v="unk"/>
    <x v="2"/>
    <x v="6"/>
  </r>
  <r>
    <s v="[1463]"/>
    <n v="1463"/>
    <s v="2015-03-24 Serina Booker [442]"/>
    <x v="38"/>
    <n v="7.99"/>
    <n v="2"/>
    <s v="unk"/>
    <d v="2017-01-13T01:08:04"/>
    <s v="unk"/>
    <d v="2017-01-13T01:08:04"/>
    <s v="unk"/>
    <x v="2"/>
    <x v="5"/>
  </r>
  <r>
    <s v="[1468]"/>
    <n v="1468"/>
    <s v="2015-03-28 Shelly Bridges [445]"/>
    <x v="75"/>
    <n v="5.99"/>
    <n v="1"/>
    <s v="unk"/>
    <d v="2017-01-13T01:08:04"/>
    <s v="unk"/>
    <d v="2017-01-13T01:08:04"/>
    <s v="unk"/>
    <x v="2"/>
    <x v="10"/>
  </r>
  <r>
    <s v="[1469]"/>
    <n v="1469"/>
    <s v="2015-03-28 Shelly Bridges [445]"/>
    <x v="46"/>
    <n v="7.99"/>
    <n v="1"/>
    <s v="unk"/>
    <d v="2017-01-13T01:08:04"/>
    <s v="unk"/>
    <d v="2017-01-13T01:08:04"/>
    <s v="unk"/>
    <x v="2"/>
    <x v="2"/>
  </r>
  <r>
    <s v="[1470]"/>
    <n v="1470"/>
    <s v="2015-03-28 Shelly Bridges [445]"/>
    <x v="76"/>
    <n v="4.99"/>
    <n v="2"/>
    <s v="unk"/>
    <d v="2017-01-13T01:08:04"/>
    <s v="unk"/>
    <d v="2017-01-13T01:08:04"/>
    <s v="unk"/>
    <x v="2"/>
    <x v="9"/>
  </r>
  <r>
    <s v="[1471]"/>
    <n v="1471"/>
    <s v="2015-03-28 Shelly Bridges [445]"/>
    <x v="25"/>
    <n v="9.99"/>
    <n v="2"/>
    <s v="unk"/>
    <d v="2017-01-13T01:08:04"/>
    <s v="unk"/>
    <d v="2017-01-13T01:08:04"/>
    <s v="unk"/>
    <x v="2"/>
    <x v="4"/>
  </r>
  <r>
    <s v="[1472]"/>
    <n v="1472"/>
    <s v="2015-03-28 Shelly Bridges [445]"/>
    <x v="8"/>
    <n v="7.99"/>
    <n v="1"/>
    <s v="unk"/>
    <d v="2017-01-13T01:08:04"/>
    <s v="unk"/>
    <d v="2017-01-13T01:08:04"/>
    <s v="unk"/>
    <x v="2"/>
    <x v="2"/>
  </r>
  <r>
    <s v="[1610]"/>
    <n v="1610"/>
    <s v="2015-03-20 Indira Suarez [481]"/>
    <x v="75"/>
    <n v="5.99"/>
    <n v="1"/>
    <s v="unk"/>
    <d v="2017-01-13T01:08:04"/>
    <s v="unk"/>
    <d v="2017-01-13T01:08:04"/>
    <s v="unk"/>
    <x v="2"/>
    <x v="10"/>
  </r>
  <r>
    <s v="[1760]"/>
    <n v="1760"/>
    <s v="2015-03-05 Hayley Foster [525]"/>
    <x v="53"/>
    <n v="8.99"/>
    <n v="2"/>
    <s v="unk"/>
    <d v="2017-01-13T01:08:04"/>
    <s v="unk"/>
    <d v="2017-01-13T01:08:04"/>
    <s v="unk"/>
    <x v="2"/>
    <x v="7"/>
  </r>
  <r>
    <s v="[1761]"/>
    <n v="1761"/>
    <s v="2015-03-05 Hayley Foster [525]"/>
    <x v="71"/>
    <n v="4.99"/>
    <n v="3"/>
    <s v="unk"/>
    <d v="2017-01-13T01:08:04"/>
    <s v="unk"/>
    <d v="2017-01-13T01:08:04"/>
    <s v="unk"/>
    <x v="2"/>
    <x v="12"/>
  </r>
  <r>
    <s v="[1762]"/>
    <n v="1762"/>
    <s v="2015-03-05 Hayley Foster [525]"/>
    <x v="79"/>
    <n v="6.99"/>
    <n v="2"/>
    <s v="unk"/>
    <d v="2017-01-13T01:08:04"/>
    <s v="unk"/>
    <d v="2017-01-13T01:08:04"/>
    <s v="unk"/>
    <x v="2"/>
    <x v="1"/>
  </r>
  <r>
    <s v="[1808]"/>
    <n v="1808"/>
    <s v="2015-03-22 Lois Valdez [538]"/>
    <x v="31"/>
    <n v="5.99"/>
    <n v="2"/>
    <s v="unk"/>
    <d v="2017-01-13T01:08:04"/>
    <s v="unk"/>
    <d v="2017-01-13T01:08:04"/>
    <s v="unk"/>
    <x v="2"/>
    <x v="11"/>
  </r>
  <r>
    <s v="[1894]"/>
    <n v="1894"/>
    <s v="2015-03-04 Gabriel Carlson [566]"/>
    <x v="27"/>
    <n v="4.99"/>
    <n v="1"/>
    <s v="unk"/>
    <d v="2017-01-13T01:08:04"/>
    <s v="unk"/>
    <d v="2017-01-13T01:08:04"/>
    <s v="unk"/>
    <x v="2"/>
    <x v="0"/>
  </r>
  <r>
    <s v="[1947]"/>
    <n v="1947"/>
    <s v="2015-03-20 Marny Boyer [587]"/>
    <x v="23"/>
    <n v="9.99"/>
    <n v="1"/>
    <s v="unk"/>
    <d v="2017-01-13T01:08:04"/>
    <s v="unk"/>
    <d v="2017-01-13T01:08:04"/>
    <s v="unk"/>
    <x v="2"/>
    <x v="3"/>
  </r>
  <r>
    <s v="[1948]"/>
    <n v="1948"/>
    <s v="2015-03-20 Marny Boyer [587]"/>
    <x v="49"/>
    <n v="8.99"/>
    <n v="1"/>
    <s v="unk"/>
    <d v="2017-01-13T01:08:04"/>
    <s v="unk"/>
    <d v="2017-01-13T01:08:04"/>
    <s v="unk"/>
    <x v="2"/>
    <x v="6"/>
  </r>
  <r>
    <s v="[2023]"/>
    <n v="2023"/>
    <s v="2015-03-28 Christine Medina [604]"/>
    <x v="43"/>
    <n v="5.99"/>
    <n v="1"/>
    <s v="unk"/>
    <d v="2017-01-13T01:08:04"/>
    <s v="unk"/>
    <d v="2017-01-13T01:08:04"/>
    <s v="unk"/>
    <x v="2"/>
    <x v="10"/>
  </r>
  <r>
    <s v="[2024]"/>
    <n v="2024"/>
    <s v="2015-03-28 Christine Medina [604]"/>
    <x v="32"/>
    <n v="6.99"/>
    <n v="1"/>
    <s v="unk"/>
    <d v="2017-01-13T01:08:04"/>
    <s v="unk"/>
    <d v="2017-01-13T01:08:04"/>
    <s v="unk"/>
    <x v="2"/>
    <x v="8"/>
  </r>
  <r>
    <s v="[2025]"/>
    <n v="2025"/>
    <s v="2015-03-28 Christine Medina [604]"/>
    <x v="29"/>
    <n v="8.99"/>
    <n v="1"/>
    <s v="unk"/>
    <d v="2017-01-13T01:08:04"/>
    <s v="unk"/>
    <d v="2017-01-13T01:08:04"/>
    <s v="unk"/>
    <x v="2"/>
    <x v="6"/>
  </r>
  <r>
    <s v="[2026]"/>
    <n v="2026"/>
    <s v="2015-03-28 Christine Medina [604]"/>
    <x v="79"/>
    <n v="6.99"/>
    <n v="1"/>
    <s v="unk"/>
    <d v="2017-01-13T01:08:04"/>
    <s v="unk"/>
    <d v="2017-01-13T01:08:04"/>
    <s v="unk"/>
    <x v="2"/>
    <x v="8"/>
  </r>
  <r>
    <s v="[2027]"/>
    <n v="2027"/>
    <s v="2015-03-28 Christine Medina [604]"/>
    <x v="55"/>
    <n v="9.99"/>
    <n v="1"/>
    <s v="unk"/>
    <d v="2017-01-13T01:08:04"/>
    <s v="unk"/>
    <d v="2017-01-13T01:08:04"/>
    <s v="unk"/>
    <x v="2"/>
    <x v="3"/>
  </r>
  <r>
    <s v="[2040]"/>
    <n v="2040"/>
    <s v="2015-03-16 Mohammad Carrillo [609]"/>
    <x v="52"/>
    <n v="6.99"/>
    <n v="1"/>
    <s v="unk"/>
    <d v="2017-01-13T01:08:04"/>
    <s v="unk"/>
    <d v="2017-01-13T01:08:04"/>
    <s v="unk"/>
    <x v="2"/>
    <x v="8"/>
  </r>
  <r>
    <s v="[2041]"/>
    <n v="2041"/>
    <s v="2015-03-16 Mohammad Carrillo [609]"/>
    <x v="44"/>
    <n v="9.99"/>
    <n v="1"/>
    <s v="unk"/>
    <d v="2017-01-13T01:08:04"/>
    <s v="unk"/>
    <d v="2017-01-13T01:08:04"/>
    <s v="unk"/>
    <x v="2"/>
    <x v="3"/>
  </r>
  <r>
    <s v="[2042]"/>
    <n v="2042"/>
    <s v="2015-03-16 Mohammad Carrillo [609]"/>
    <x v="80"/>
    <n v="4.99"/>
    <n v="2"/>
    <s v="unk"/>
    <d v="2017-01-13T01:08:04"/>
    <s v="unk"/>
    <d v="2017-01-13T01:08:04"/>
    <s v="unk"/>
    <x v="2"/>
    <x v="9"/>
  </r>
  <r>
    <s v="[2043]"/>
    <n v="2043"/>
    <s v="2015-03-16 Mohammad Carrillo [609]"/>
    <x v="41"/>
    <n v="7.99"/>
    <n v="2"/>
    <s v="unk"/>
    <d v="2017-01-13T01:08:04"/>
    <s v="unk"/>
    <d v="2017-01-13T01:08:04"/>
    <s v="unk"/>
    <x v="2"/>
    <x v="5"/>
  </r>
  <r>
    <s v="[2067]"/>
    <n v="2067"/>
    <s v="2015-03-18 Christine Medina [618]"/>
    <x v="69"/>
    <n v="9.99"/>
    <n v="1"/>
    <s v="unk"/>
    <d v="2017-01-13T01:08:04"/>
    <s v="unk"/>
    <d v="2017-01-13T01:08:04"/>
    <s v="unk"/>
    <x v="2"/>
    <x v="3"/>
  </r>
  <r>
    <s v="[2068]"/>
    <n v="2068"/>
    <s v="2015-03-18 Christine Medina [618]"/>
    <x v="33"/>
    <n v="9.99"/>
    <n v="1"/>
    <s v="unk"/>
    <d v="2017-01-13T01:08:04"/>
    <s v="unk"/>
    <d v="2017-01-13T01:08:04"/>
    <s v="unk"/>
    <x v="2"/>
    <x v="3"/>
  </r>
  <r>
    <s v="[2069]"/>
    <n v="2069"/>
    <s v="2015-03-18 Christine Medina [618]"/>
    <x v="44"/>
    <n v="9.99"/>
    <n v="2"/>
    <s v="unk"/>
    <d v="2017-01-13T01:08:04"/>
    <s v="unk"/>
    <d v="2017-01-13T01:08:04"/>
    <s v="unk"/>
    <x v="2"/>
    <x v="4"/>
  </r>
  <r>
    <s v="[2070]"/>
    <n v="2070"/>
    <s v="2015-03-18 Christine Medina [618]"/>
    <x v="73"/>
    <n v="9.99"/>
    <n v="1"/>
    <s v="unk"/>
    <d v="2017-01-13T01:08:04"/>
    <s v="unk"/>
    <d v="2017-01-13T01:08:04"/>
    <s v="unk"/>
    <x v="2"/>
    <x v="3"/>
  </r>
  <r>
    <s v="[2071]"/>
    <n v="2071"/>
    <s v="2015-03-18 Christine Medina [618]"/>
    <x v="32"/>
    <n v="6.99"/>
    <n v="1"/>
    <s v="unk"/>
    <d v="2017-01-13T01:08:04"/>
    <s v="unk"/>
    <d v="2017-01-13T01:08:04"/>
    <s v="unk"/>
    <x v="2"/>
    <x v="8"/>
  </r>
  <r>
    <s v="[2151]"/>
    <n v="2151"/>
    <s v="2015-03-16 Anne Slater [641]"/>
    <x v="35"/>
    <n v="6.99"/>
    <n v="2"/>
    <s v="unk"/>
    <d v="2017-01-13T01:08:04"/>
    <s v="unk"/>
    <d v="2017-01-13T01:08:04"/>
    <s v="unk"/>
    <x v="2"/>
    <x v="1"/>
  </r>
  <r>
    <s v="[2152]"/>
    <n v="2152"/>
    <s v="2015-03-16 Anne Slater [641]"/>
    <x v="51"/>
    <n v="9.99"/>
    <n v="2"/>
    <s v="unk"/>
    <d v="2017-01-13T01:08:04"/>
    <s v="unk"/>
    <d v="2017-01-13T01:08:04"/>
    <s v="unk"/>
    <x v="2"/>
    <x v="4"/>
  </r>
  <r>
    <s v="[2174]"/>
    <n v="2174"/>
    <s v="2015-03-23 Theodore Mills [649]"/>
    <x v="23"/>
    <n v="9.99"/>
    <n v="1"/>
    <s v="unk"/>
    <d v="2017-01-13T01:08:04"/>
    <s v="unk"/>
    <d v="2017-01-13T01:08:04"/>
    <s v="unk"/>
    <x v="2"/>
    <x v="3"/>
  </r>
  <r>
    <s v="[2225]"/>
    <n v="2225"/>
    <s v="2015-03-04 Bruce Woods [666]"/>
    <x v="51"/>
    <n v="9.99"/>
    <n v="2"/>
    <s v="unk"/>
    <d v="2017-01-13T01:08:04"/>
    <s v="unk"/>
    <d v="2017-01-13T01:08:04"/>
    <s v="unk"/>
    <x v="2"/>
    <x v="4"/>
  </r>
  <r>
    <s v="[2226]"/>
    <n v="2226"/>
    <s v="2015-03-04 Bruce Woods [666]"/>
    <x v="26"/>
    <n v="5.99"/>
    <n v="1"/>
    <s v="unk"/>
    <d v="2017-01-13T01:08:04"/>
    <s v="unk"/>
    <d v="2017-01-13T01:08:04"/>
    <s v="unk"/>
    <x v="2"/>
    <x v="10"/>
  </r>
  <r>
    <s v="[2227]"/>
    <n v="2227"/>
    <s v="2015-03-04 Bruce Woods [666]"/>
    <x v="24"/>
    <n v="4.99"/>
    <n v="1"/>
    <s v="unk"/>
    <d v="2017-01-13T01:08:04"/>
    <s v="unk"/>
    <d v="2017-01-13T01:08:04"/>
    <s v="unk"/>
    <x v="2"/>
    <x v="0"/>
  </r>
  <r>
    <s v="[2228]"/>
    <n v="2228"/>
    <s v="2015-03-04 Bruce Woods [666]"/>
    <x v="109"/>
    <n v="8.99"/>
    <n v="1"/>
    <s v="unk"/>
    <d v="2017-01-13T01:08:04"/>
    <s v="unk"/>
    <d v="2017-01-13T01:08:04"/>
    <s v="unk"/>
    <x v="2"/>
    <x v="6"/>
  </r>
  <r>
    <s v="[2229]"/>
    <n v="2229"/>
    <s v="2015-03-04 Bruce Woods [666]"/>
    <x v="26"/>
    <n v="5.99"/>
    <n v="1"/>
    <s v="unk"/>
    <d v="2017-01-13T01:08:04"/>
    <s v="unk"/>
    <d v="2017-01-13T01:08:04"/>
    <s v="unk"/>
    <x v="2"/>
    <x v="10"/>
  </r>
  <r>
    <s v="[2268]"/>
    <n v="2268"/>
    <s v="2015-03-25 Mary Moore [680]"/>
    <x v="45"/>
    <n v="8.99"/>
    <n v="1"/>
    <s v="unk"/>
    <d v="2017-01-13T01:08:04"/>
    <s v="unk"/>
    <d v="2017-01-13T01:08:04"/>
    <s v="unk"/>
    <x v="2"/>
    <x v="6"/>
  </r>
  <r>
    <s v="[2269]"/>
    <n v="2269"/>
    <s v="2015-03-25 Mary Moore [680]"/>
    <x v="37"/>
    <n v="6.99"/>
    <n v="1"/>
    <s v="unk"/>
    <d v="2017-01-13T01:08:04"/>
    <s v="unk"/>
    <d v="2017-01-13T01:08:04"/>
    <s v="unk"/>
    <x v="2"/>
    <x v="8"/>
  </r>
  <r>
    <s v="[2270]"/>
    <n v="2270"/>
    <s v="2015-03-25 Mary Moore [680]"/>
    <x v="3"/>
    <n v="7.99"/>
    <n v="1"/>
    <s v="unk"/>
    <d v="2017-01-13T01:08:04"/>
    <s v="unk"/>
    <d v="2017-01-13T01:08:04"/>
    <s v="unk"/>
    <x v="2"/>
    <x v="2"/>
  </r>
  <r>
    <s v="[2271]"/>
    <n v="2271"/>
    <s v="2015-03-25 Mary Moore [680]"/>
    <x v="39"/>
    <n v="9.99"/>
    <n v="1"/>
    <s v="unk"/>
    <d v="2017-01-13T01:08:04"/>
    <s v="unk"/>
    <d v="2017-01-13T01:08:04"/>
    <s v="unk"/>
    <x v="2"/>
    <x v="3"/>
  </r>
  <r>
    <s v="[2272]"/>
    <n v="2272"/>
    <s v="2015-03-25 Mary Moore [680]"/>
    <x v="75"/>
    <n v="5.99"/>
    <n v="1"/>
    <s v="unk"/>
    <d v="2017-01-13T01:08:04"/>
    <s v="unk"/>
    <d v="2017-01-13T01:08:04"/>
    <s v="unk"/>
    <x v="2"/>
    <x v="10"/>
  </r>
  <r>
    <s v="[2273]"/>
    <n v="2273"/>
    <s v="2015-03-25 Mary Moore [680]"/>
    <x v="24"/>
    <n v="4.99"/>
    <n v="2"/>
    <s v="unk"/>
    <d v="2017-01-13T01:08:04"/>
    <s v="unk"/>
    <d v="2017-01-13T01:08:04"/>
    <s v="unk"/>
    <x v="2"/>
    <x v="9"/>
  </r>
  <r>
    <s v="[2274]"/>
    <n v="2274"/>
    <s v="2015-03-25 Mary Moore [680]"/>
    <x v="43"/>
    <n v="5.99"/>
    <n v="2"/>
    <s v="unk"/>
    <d v="2017-01-13T01:08:04"/>
    <s v="unk"/>
    <d v="2017-01-13T01:08:04"/>
    <s v="unk"/>
    <x v="2"/>
    <x v="11"/>
  </r>
  <r>
    <s v="[2275]"/>
    <n v="2275"/>
    <s v="2015-03-25 Mary Moore [680]"/>
    <x v="31"/>
    <n v="5.99"/>
    <n v="1"/>
    <s v="unk"/>
    <d v="2017-01-13T01:08:04"/>
    <s v="unk"/>
    <d v="2017-01-13T01:08:04"/>
    <s v="unk"/>
    <x v="2"/>
    <x v="10"/>
  </r>
  <r>
    <s v="[2319]"/>
    <n v="2319"/>
    <s v="2015-03-17 Belle Short [693]"/>
    <x v="8"/>
    <n v="7.99"/>
    <n v="1"/>
    <s v="unk"/>
    <d v="2017-01-13T01:08:04"/>
    <s v="unk"/>
    <d v="2017-01-13T01:08:04"/>
    <s v="unk"/>
    <x v="2"/>
    <x v="2"/>
  </r>
  <r>
    <s v="[2320]"/>
    <n v="2320"/>
    <s v="2015-03-17 Belle Short [693]"/>
    <x v="38"/>
    <n v="7.99"/>
    <n v="1"/>
    <s v="unk"/>
    <d v="2017-01-13T01:08:04"/>
    <s v="unk"/>
    <d v="2017-01-13T01:08:04"/>
    <s v="unk"/>
    <x v="2"/>
    <x v="2"/>
  </r>
  <r>
    <s v="[2321]"/>
    <n v="2321"/>
    <s v="2015-03-17 Belle Short [693]"/>
    <x v="78"/>
    <n v="8.99"/>
    <n v="1"/>
    <s v="unk"/>
    <d v="2017-01-13T01:08:04"/>
    <s v="unk"/>
    <d v="2017-01-13T01:08:04"/>
    <s v="unk"/>
    <x v="2"/>
    <x v="6"/>
  </r>
  <r>
    <s v="[2337]"/>
    <n v="2337"/>
    <s v="2015-03-02 Cadman Huffman [698]"/>
    <x v="33"/>
    <n v="9.99"/>
    <n v="1"/>
    <s v="unk"/>
    <d v="2017-01-13T01:08:04"/>
    <s v="unk"/>
    <d v="2017-01-13T01:08:04"/>
    <s v="unk"/>
    <x v="2"/>
    <x v="3"/>
  </r>
  <r>
    <s v="[2338]"/>
    <n v="2338"/>
    <s v="2015-03-02 Cadman Huffman [698]"/>
    <x v="5"/>
    <n v="9.99"/>
    <n v="2"/>
    <s v="unk"/>
    <d v="2017-01-13T01:08:04"/>
    <s v="unk"/>
    <d v="2017-01-13T01:08:04"/>
    <s v="unk"/>
    <x v="2"/>
    <x v="4"/>
  </r>
  <r>
    <s v="[2339]"/>
    <n v="2339"/>
    <s v="2015-03-02 Cadman Huffman [698]"/>
    <x v="49"/>
    <n v="8.99"/>
    <n v="1"/>
    <s v="unk"/>
    <d v="2017-01-13T01:08:04"/>
    <s v="unk"/>
    <d v="2017-01-13T01:08:04"/>
    <s v="unk"/>
    <x v="2"/>
    <x v="6"/>
  </r>
  <r>
    <s v="[2340]"/>
    <n v="2340"/>
    <s v="2015-03-02 Cadman Huffman [698]"/>
    <x v="40"/>
    <n v="6.99"/>
    <n v="1"/>
    <s v="unk"/>
    <d v="2017-01-13T01:08:04"/>
    <s v="unk"/>
    <d v="2017-01-13T01:08:04"/>
    <s v="unk"/>
    <x v="2"/>
    <x v="8"/>
  </r>
  <r>
    <s v="[2402]"/>
    <n v="2402"/>
    <s v="2015-03-25 Kendall Rocha [718]"/>
    <x v="57"/>
    <n v="6.99"/>
    <n v="1"/>
    <s v="unk"/>
    <d v="2017-01-13T01:08:04"/>
    <s v="unk"/>
    <d v="2017-01-13T01:08:04"/>
    <s v="unk"/>
    <x v="2"/>
    <x v="8"/>
  </r>
  <r>
    <s v="[2403]"/>
    <n v="2403"/>
    <s v="2015-03-25 Kendall Rocha [718]"/>
    <x v="57"/>
    <n v="6.99"/>
    <n v="2"/>
    <s v="unk"/>
    <d v="2017-01-13T01:08:04"/>
    <s v="unk"/>
    <d v="2017-01-13T01:08:04"/>
    <s v="unk"/>
    <x v="2"/>
    <x v="1"/>
  </r>
  <r>
    <s v="[2404]"/>
    <n v="2404"/>
    <s v="2015-03-25 Kendall Rocha [718]"/>
    <x v="49"/>
    <n v="8.99"/>
    <n v="1"/>
    <s v="unk"/>
    <d v="2017-01-13T01:08:04"/>
    <s v="unk"/>
    <d v="2017-01-13T01:08:04"/>
    <s v="unk"/>
    <x v="2"/>
    <x v="6"/>
  </r>
  <r>
    <s v="[2405]"/>
    <n v="2405"/>
    <s v="2015-03-25 Kendall Rocha [718]"/>
    <x v="38"/>
    <n v="7.99"/>
    <n v="1"/>
    <s v="unk"/>
    <d v="2017-01-13T01:08:04"/>
    <s v="unk"/>
    <d v="2017-01-13T01:08:04"/>
    <s v="unk"/>
    <x v="2"/>
    <x v="2"/>
  </r>
  <r>
    <s v="[2406]"/>
    <n v="2406"/>
    <s v="2015-03-25 Kendall Rocha [718]"/>
    <x v="59"/>
    <n v="7.99"/>
    <n v="1"/>
    <s v="unk"/>
    <d v="2017-01-13T01:08:04"/>
    <s v="unk"/>
    <d v="2017-01-13T01:08:04"/>
    <s v="unk"/>
    <x v="2"/>
    <x v="2"/>
  </r>
  <r>
    <s v="[2407]"/>
    <n v="2407"/>
    <s v="2015-03-25 Kendall Rocha [718]"/>
    <x v="62"/>
    <n v="5.99"/>
    <n v="2"/>
    <s v="unk"/>
    <d v="2017-01-13T01:08:04"/>
    <s v="unk"/>
    <d v="2017-01-13T01:08:04"/>
    <s v="unk"/>
    <x v="2"/>
    <x v="11"/>
  </r>
  <r>
    <s v="[2508]"/>
    <n v="2508"/>
    <s v="2015-03-04 Indira Suarez [753]"/>
    <x v="57"/>
    <n v="6.99"/>
    <n v="2"/>
    <s v="unk"/>
    <d v="2017-01-13T01:08:04"/>
    <s v="unk"/>
    <d v="2017-01-13T01:08:04"/>
    <s v="unk"/>
    <x v="2"/>
    <x v="1"/>
  </r>
  <r>
    <s v="[2509]"/>
    <n v="2509"/>
    <s v="2015-03-04 Indira Suarez [753]"/>
    <x v="49"/>
    <n v="8.99"/>
    <n v="2"/>
    <s v="unk"/>
    <d v="2017-01-13T01:08:04"/>
    <s v="unk"/>
    <d v="2017-01-13T01:08:04"/>
    <s v="unk"/>
    <x v="2"/>
    <x v="7"/>
  </r>
  <r>
    <s v="[2510]"/>
    <n v="2510"/>
    <s v="2015-03-04 Indira Suarez [753]"/>
    <x v="28"/>
    <n v="9.99"/>
    <n v="1"/>
    <s v="unk"/>
    <d v="2017-01-13T01:08:04"/>
    <s v="unk"/>
    <d v="2017-01-13T01:08:04"/>
    <s v="unk"/>
    <x v="2"/>
    <x v="3"/>
  </r>
  <r>
    <s v="[2547]"/>
    <n v="2547"/>
    <s v="2015-03-15 Cameron Burton [764]"/>
    <x v="60"/>
    <n v="8.99"/>
    <n v="1"/>
    <s v="unk"/>
    <d v="2017-01-13T01:08:04"/>
    <s v="unk"/>
    <d v="2017-01-13T01:08:04"/>
    <s v="unk"/>
    <x v="2"/>
    <x v="6"/>
  </r>
  <r>
    <s v="[2602]"/>
    <n v="2602"/>
    <s v="2015-03-14 Cameron Burton [779]"/>
    <x v="58"/>
    <n v="5.99"/>
    <n v="1"/>
    <s v="unk"/>
    <d v="2017-01-13T01:08:04"/>
    <s v="unk"/>
    <d v="2017-01-13T01:08:04"/>
    <s v="unk"/>
    <x v="2"/>
    <x v="10"/>
  </r>
  <r>
    <s v="[2603]"/>
    <n v="2603"/>
    <s v="2015-03-14 Cameron Burton [779]"/>
    <x v="59"/>
    <n v="7.99"/>
    <n v="1"/>
    <s v="unk"/>
    <d v="2017-01-13T01:08:04"/>
    <s v="unk"/>
    <d v="2017-01-13T01:08:04"/>
    <s v="unk"/>
    <x v="2"/>
    <x v="2"/>
  </r>
  <r>
    <s v="[2604]"/>
    <n v="2604"/>
    <s v="2015-03-14 Cameron Burton [779]"/>
    <x v="49"/>
    <n v="8.99"/>
    <n v="1"/>
    <s v="unk"/>
    <d v="2017-01-13T01:08:04"/>
    <s v="unk"/>
    <d v="2017-01-13T01:08:04"/>
    <s v="unk"/>
    <x v="2"/>
    <x v="6"/>
  </r>
  <r>
    <s v="[2605]"/>
    <n v="2605"/>
    <s v="2015-03-14 Cameron Burton [779]"/>
    <x v="49"/>
    <n v="8.99"/>
    <n v="1"/>
    <s v="unk"/>
    <d v="2017-01-13T01:08:04"/>
    <s v="unk"/>
    <d v="2017-01-13T01:08:04"/>
    <s v="unk"/>
    <x v="2"/>
    <x v="6"/>
  </r>
  <r>
    <s v="[2606]"/>
    <n v="2606"/>
    <s v="2015-03-14 Cameron Burton [779]"/>
    <x v="61"/>
    <n v="8.99"/>
    <n v="2"/>
    <s v="unk"/>
    <d v="2017-01-13T01:08:04"/>
    <s v="unk"/>
    <d v="2017-01-13T01:08:04"/>
    <s v="unk"/>
    <x v="2"/>
    <x v="7"/>
  </r>
  <r>
    <s v="[2607]"/>
    <n v="2607"/>
    <s v="2015-03-14 Cameron Burton [779]"/>
    <x v="28"/>
    <n v="9.99"/>
    <n v="2"/>
    <s v="unk"/>
    <d v="2017-01-13T01:08:04"/>
    <s v="unk"/>
    <d v="2017-01-13T01:08:04"/>
    <s v="unk"/>
    <x v="2"/>
    <x v="4"/>
  </r>
  <r>
    <s v="[2675]"/>
    <n v="2675"/>
    <s v="2015-03-03 Cameron Rivera [795]"/>
    <x v="28"/>
    <n v="9.99"/>
    <n v="1"/>
    <s v="unk"/>
    <d v="2017-01-13T01:08:04"/>
    <s v="unk"/>
    <d v="2017-01-13T01:08:04"/>
    <s v="unk"/>
    <x v="2"/>
    <x v="3"/>
  </r>
  <r>
    <s v="[2821]"/>
    <n v="2821"/>
    <s v="2015-03-31 Cameron Burton [836]"/>
    <x v="56"/>
    <n v="9.99"/>
    <n v="2"/>
    <s v="unk"/>
    <d v="2017-01-13T01:08:04"/>
    <s v="unk"/>
    <d v="2017-01-13T01:08:04"/>
    <s v="unk"/>
    <x v="2"/>
    <x v="4"/>
  </r>
  <r>
    <s v="[2822]"/>
    <n v="2822"/>
    <s v="2015-03-31 Cameron Burton [836]"/>
    <x v="38"/>
    <n v="7.99"/>
    <n v="2"/>
    <s v="unk"/>
    <d v="2017-01-13T01:08:04"/>
    <s v="unk"/>
    <d v="2017-01-13T01:08:04"/>
    <s v="unk"/>
    <x v="2"/>
    <x v="5"/>
  </r>
  <r>
    <s v="[2823]"/>
    <n v="2823"/>
    <s v="2015-03-31 Cameron Burton [836]"/>
    <x v="57"/>
    <n v="6.99"/>
    <n v="1"/>
    <s v="unk"/>
    <d v="2017-01-13T01:08:04"/>
    <s v="unk"/>
    <d v="2017-01-13T01:08:04"/>
    <s v="unk"/>
    <x v="2"/>
    <x v="8"/>
  </r>
  <r>
    <s v="[2854]"/>
    <n v="2854"/>
    <s v="2015-03-14 Lillian Larsen [846]"/>
    <x v="59"/>
    <n v="7.99"/>
    <n v="1"/>
    <s v="unk"/>
    <d v="2017-01-13T01:08:04"/>
    <s v="unk"/>
    <d v="2017-01-13T01:08:04"/>
    <s v="unk"/>
    <x v="2"/>
    <x v="2"/>
  </r>
  <r>
    <s v="[2855]"/>
    <n v="2855"/>
    <s v="2015-03-14 Lillian Larsen [846]"/>
    <x v="28"/>
    <n v="9.99"/>
    <n v="1"/>
    <s v="unk"/>
    <d v="2017-01-13T01:08:04"/>
    <s v="unk"/>
    <d v="2017-01-13T01:08:04"/>
    <s v="unk"/>
    <x v="2"/>
    <x v="3"/>
  </r>
  <r>
    <s v="[2856]"/>
    <n v="2856"/>
    <s v="2015-03-14 Lillian Larsen [846]"/>
    <x v="38"/>
    <n v="7.99"/>
    <n v="1"/>
    <s v="unk"/>
    <d v="2017-01-13T01:08:04"/>
    <s v="unk"/>
    <d v="2017-01-13T01:08:04"/>
    <s v="unk"/>
    <x v="2"/>
    <x v="2"/>
  </r>
  <r>
    <s v="[2857]"/>
    <n v="2857"/>
    <s v="2015-03-14 Lillian Larsen [846]"/>
    <x v="60"/>
    <n v="8.99"/>
    <n v="2"/>
    <s v="unk"/>
    <d v="2017-01-13T01:08:04"/>
    <s v="unk"/>
    <d v="2017-01-13T01:08:04"/>
    <s v="unk"/>
    <x v="2"/>
    <x v="7"/>
  </r>
  <r>
    <s v="[2958]"/>
    <n v="2958"/>
    <s v="2015-03-10 Melvin Finch [878]"/>
    <x v="60"/>
    <n v="8.99"/>
    <n v="1"/>
    <s v="unk"/>
    <d v="2017-01-13T01:08:04"/>
    <s v="unk"/>
    <d v="2017-01-13T01:08:04"/>
    <s v="unk"/>
    <x v="2"/>
    <x v="6"/>
  </r>
  <r>
    <s v="[2959]"/>
    <n v="2959"/>
    <s v="2015-03-10 Melvin Finch [878]"/>
    <x v="60"/>
    <n v="8.99"/>
    <n v="1"/>
    <s v="unk"/>
    <d v="2017-01-13T01:08:04"/>
    <s v="unk"/>
    <d v="2017-01-13T01:08:04"/>
    <s v="unk"/>
    <x v="2"/>
    <x v="6"/>
  </r>
  <r>
    <s v="[2986]"/>
    <n v="2986"/>
    <s v="2015-03-11 Cameron Burton [886]"/>
    <x v="38"/>
    <n v="7.99"/>
    <n v="2"/>
    <s v="unk"/>
    <d v="2017-01-13T01:08:04"/>
    <s v="unk"/>
    <d v="2017-01-13T01:08:04"/>
    <s v="unk"/>
    <x v="2"/>
    <x v="5"/>
  </r>
  <r>
    <s v="[3370]"/>
    <n v="3370"/>
    <s v="2015-03-27 Stuart Vega [1000]"/>
    <x v="56"/>
    <n v="9.99"/>
    <n v="1"/>
    <s v="unk"/>
    <d v="2017-01-13T01:08:04"/>
    <s v="unk"/>
    <d v="2017-01-13T01:08:04"/>
    <s v="unk"/>
    <x v="2"/>
    <x v="3"/>
  </r>
  <r>
    <s v="[3371]"/>
    <n v="3371"/>
    <s v="2015-03-27 Stuart Vega [1000]"/>
    <x v="61"/>
    <n v="8.99"/>
    <n v="1"/>
    <s v="unk"/>
    <d v="2017-01-13T01:08:04"/>
    <s v="unk"/>
    <d v="2017-01-13T01:08:04"/>
    <s v="unk"/>
    <x v="2"/>
    <x v="6"/>
  </r>
  <r>
    <s v="[3372]"/>
    <n v="3372"/>
    <s v="2015-03-27 Stuart Vega [1000]"/>
    <x v="56"/>
    <n v="9.99"/>
    <n v="1"/>
    <s v="unk"/>
    <d v="2017-01-13T01:08:04"/>
    <s v="unk"/>
    <d v="2017-01-13T01:08:04"/>
    <s v="unk"/>
    <x v="2"/>
    <x v="3"/>
  </r>
  <r>
    <s v="[3373]"/>
    <n v="3373"/>
    <s v="2015-03-27 Stuart Vega [1000]"/>
    <x v="60"/>
    <n v="8.99"/>
    <n v="1"/>
    <s v="unk"/>
    <d v="2017-01-13T01:08:04"/>
    <s v="unk"/>
    <d v="2017-01-13T01:08:04"/>
    <s v="unk"/>
    <x v="2"/>
    <x v="6"/>
  </r>
  <r>
    <s v="[3374]"/>
    <n v="3374"/>
    <s v="2015-03-27 Stuart Vega [1000]"/>
    <x v="62"/>
    <n v="5.99"/>
    <n v="1"/>
    <s v="unk"/>
    <d v="2017-01-13T01:08:04"/>
    <s v="unk"/>
    <d v="2017-01-13T01:08:04"/>
    <s v="unk"/>
    <x v="2"/>
    <x v="10"/>
  </r>
  <r>
    <s v="[3375]"/>
    <n v="3375"/>
    <s v="2015-03-27 Stuart Vega [1000]"/>
    <x v="38"/>
    <n v="7.99"/>
    <n v="1"/>
    <s v="unk"/>
    <d v="2017-01-13T01:08:04"/>
    <s v="unk"/>
    <d v="2017-01-13T01:08:04"/>
    <s v="unk"/>
    <x v="2"/>
    <x v="2"/>
  </r>
  <r>
    <s v="[3376]"/>
    <n v="3376"/>
    <s v="2015-03-27 Stuart Vega [1000]"/>
    <x v="56"/>
    <n v="9.99"/>
    <n v="1"/>
    <s v="unk"/>
    <d v="2017-01-13T01:08:04"/>
    <s v="unk"/>
    <d v="2017-01-13T01:08:04"/>
    <s v="unk"/>
    <x v="2"/>
    <x v="3"/>
  </r>
  <r>
    <s v="[3504]"/>
    <n v="3504"/>
    <s v="2015-03-24 Indira Suarez [1037]"/>
    <x v="57"/>
    <n v="6.99"/>
    <n v="1"/>
    <s v="unk"/>
    <d v="2017-01-13T01:08:04"/>
    <s v="unk"/>
    <d v="2017-01-13T01:08:04"/>
    <s v="unk"/>
    <x v="2"/>
    <x v="8"/>
  </r>
  <r>
    <s v="[3505]"/>
    <n v="3505"/>
    <s v="2015-03-24 Indira Suarez [1037]"/>
    <x v="38"/>
    <n v="7.99"/>
    <n v="1"/>
    <s v="unk"/>
    <d v="2017-01-13T01:08:04"/>
    <s v="unk"/>
    <d v="2017-01-13T01:08:04"/>
    <s v="unk"/>
    <x v="2"/>
    <x v="2"/>
  </r>
  <r>
    <s v="[3506]"/>
    <n v="3506"/>
    <s v="2015-03-24 Indira Suarez [1037]"/>
    <x v="38"/>
    <n v="7.99"/>
    <n v="1"/>
    <s v="unk"/>
    <d v="2017-01-13T01:08:04"/>
    <s v="unk"/>
    <d v="2017-01-13T01:08:04"/>
    <s v="unk"/>
    <x v="2"/>
    <x v="2"/>
  </r>
  <r>
    <s v="[3507]"/>
    <n v="3507"/>
    <s v="2015-03-24 Indira Suarez [1037]"/>
    <x v="49"/>
    <n v="8.99"/>
    <n v="1"/>
    <s v="unk"/>
    <d v="2017-01-13T01:08:04"/>
    <s v="unk"/>
    <d v="2017-01-13T01:08:04"/>
    <s v="unk"/>
    <x v="2"/>
    <x v="6"/>
  </r>
  <r>
    <s v="[3684]"/>
    <n v="3684"/>
    <s v="2015-03-27 Melvin Finch [1085]"/>
    <x v="59"/>
    <n v="7.99"/>
    <n v="1"/>
    <s v="unk"/>
    <d v="2017-01-13T01:08:04"/>
    <s v="unk"/>
    <d v="2017-01-13T01:08:04"/>
    <s v="unk"/>
    <x v="2"/>
    <x v="2"/>
  </r>
  <r>
    <s v="[3685]"/>
    <n v="3685"/>
    <s v="2015-03-27 Melvin Finch [1085]"/>
    <x v="38"/>
    <n v="7.99"/>
    <n v="1"/>
    <s v="unk"/>
    <d v="2017-01-13T01:08:04"/>
    <s v="unk"/>
    <d v="2017-01-13T01:08:04"/>
    <s v="unk"/>
    <x v="2"/>
    <x v="2"/>
  </r>
  <r>
    <s v="[3686]"/>
    <n v="3686"/>
    <s v="2015-03-27 Melvin Finch [1085]"/>
    <x v="60"/>
    <n v="8.99"/>
    <n v="1"/>
    <s v="unk"/>
    <d v="2017-01-13T01:08:04"/>
    <s v="unk"/>
    <d v="2017-01-13T01:08:04"/>
    <s v="unk"/>
    <x v="2"/>
    <x v="6"/>
  </r>
  <r>
    <s v="[3687]"/>
    <n v="3687"/>
    <s v="2015-03-27 Melvin Finch [1085]"/>
    <x v="38"/>
    <n v="7.99"/>
    <n v="1"/>
    <s v="unk"/>
    <d v="2017-01-13T01:08:04"/>
    <s v="unk"/>
    <d v="2017-01-13T01:08:04"/>
    <s v="unk"/>
    <x v="2"/>
    <x v="2"/>
  </r>
  <r>
    <s v="[3688]"/>
    <n v="3688"/>
    <s v="2015-03-27 Melvin Finch [1085]"/>
    <x v="56"/>
    <n v="9.99"/>
    <n v="2"/>
    <s v="unk"/>
    <d v="2017-01-13T01:08:04"/>
    <s v="unk"/>
    <d v="2017-01-13T01:08:04"/>
    <s v="unk"/>
    <x v="2"/>
    <x v="4"/>
  </r>
  <r>
    <s v="[3735]"/>
    <n v="3735"/>
    <s v="2015-03-30 Eugenia Roman [1100]"/>
    <x v="60"/>
    <n v="8.99"/>
    <n v="2"/>
    <s v="unk"/>
    <d v="2017-01-13T01:08:04"/>
    <s v="unk"/>
    <d v="2017-01-13T01:08:04"/>
    <s v="unk"/>
    <x v="2"/>
    <x v="7"/>
  </r>
  <r>
    <s v="[3736]"/>
    <n v="3736"/>
    <s v="2015-03-30 Eugenia Roman [1100]"/>
    <x v="58"/>
    <n v="5.99"/>
    <n v="1"/>
    <s v="unk"/>
    <d v="2017-01-13T01:08:04"/>
    <s v="unk"/>
    <d v="2017-01-13T01:08:04"/>
    <s v="unk"/>
    <x v="2"/>
    <x v="10"/>
  </r>
  <r>
    <s v="[3737]"/>
    <n v="3737"/>
    <s v="2015-03-30 Eugenia Roman [1100]"/>
    <x v="49"/>
    <n v="8.99"/>
    <n v="1"/>
    <s v="unk"/>
    <d v="2017-01-13T01:08:04"/>
    <s v="unk"/>
    <d v="2017-01-13T01:08:04"/>
    <s v="unk"/>
    <x v="2"/>
    <x v="6"/>
  </r>
  <r>
    <s v="[3738]"/>
    <n v="3738"/>
    <s v="2015-03-30 Eugenia Roman [1100]"/>
    <x v="57"/>
    <n v="6.99"/>
    <n v="1"/>
    <s v="unk"/>
    <d v="2017-01-13T01:08:04"/>
    <s v="unk"/>
    <d v="2017-01-13T01:08:04"/>
    <s v="unk"/>
    <x v="2"/>
    <x v="8"/>
  </r>
  <r>
    <s v="[3739]"/>
    <n v="3739"/>
    <s v="2015-03-30 Eugenia Roman [1100]"/>
    <x v="59"/>
    <n v="7.99"/>
    <n v="2"/>
    <s v="unk"/>
    <d v="2017-01-13T01:08:04"/>
    <s v="unk"/>
    <d v="2017-01-13T01:08:04"/>
    <s v="unk"/>
    <x v="2"/>
    <x v="5"/>
  </r>
  <r>
    <s v="[3740]"/>
    <n v="3740"/>
    <s v="2015-03-30 Eugenia Roman [1100]"/>
    <x v="56"/>
    <n v="9.99"/>
    <n v="1"/>
    <s v="unk"/>
    <d v="2017-01-13T01:08:04"/>
    <s v="unk"/>
    <d v="2017-01-13T01:08:04"/>
    <s v="unk"/>
    <x v="2"/>
    <x v="3"/>
  </r>
  <r>
    <s v="[3761]"/>
    <n v="3761"/>
    <s v="2015-03-10 Cameron Burton [1107]"/>
    <x v="38"/>
    <n v="7.99"/>
    <n v="1"/>
    <s v="unk"/>
    <d v="2017-01-13T01:08:04"/>
    <s v="unk"/>
    <d v="2017-01-13T01:08:04"/>
    <s v="unk"/>
    <x v="2"/>
    <x v="2"/>
  </r>
  <r>
    <s v="[3762]"/>
    <n v="3762"/>
    <s v="2015-03-10 Cameron Burton [1107]"/>
    <x v="38"/>
    <n v="7.99"/>
    <n v="1"/>
    <s v="unk"/>
    <d v="2017-01-13T01:08:04"/>
    <s v="unk"/>
    <d v="2017-01-13T01:08:04"/>
    <s v="unk"/>
    <x v="2"/>
    <x v="2"/>
  </r>
  <r>
    <s v="[3853]"/>
    <n v="3853"/>
    <s v="2015-03-25 Rhoda Vance [1134]"/>
    <x v="62"/>
    <n v="5.99"/>
    <n v="1"/>
    <s v="unk"/>
    <d v="2017-01-13T01:08:04"/>
    <s v="unk"/>
    <d v="2017-01-13T01:08:04"/>
    <s v="unk"/>
    <x v="2"/>
    <x v="10"/>
  </r>
  <r>
    <s v="[3854]"/>
    <n v="3854"/>
    <s v="2015-03-25 Rhoda Vance [1134]"/>
    <x v="59"/>
    <n v="7.99"/>
    <n v="1"/>
    <s v="unk"/>
    <d v="2017-01-13T01:08:04"/>
    <s v="unk"/>
    <d v="2017-01-13T01:08:04"/>
    <s v="unk"/>
    <x v="2"/>
    <x v="2"/>
  </r>
  <r>
    <s v="[3855]"/>
    <n v="3855"/>
    <s v="2015-03-25 Rhoda Vance [1134]"/>
    <x v="61"/>
    <n v="8.99"/>
    <n v="1"/>
    <s v="unk"/>
    <d v="2017-01-13T01:08:04"/>
    <s v="unk"/>
    <d v="2017-01-13T01:08:04"/>
    <s v="unk"/>
    <x v="2"/>
    <x v="6"/>
  </r>
  <r>
    <s v="[3922]"/>
    <n v="3922"/>
    <s v="2015-03-28 Eugenia Roman [1159]"/>
    <x v="38"/>
    <n v="7.99"/>
    <n v="1"/>
    <s v="unk"/>
    <d v="2017-01-13T01:08:04"/>
    <s v="unk"/>
    <d v="2017-01-13T01:08:04"/>
    <s v="unk"/>
    <x v="2"/>
    <x v="2"/>
  </r>
  <r>
    <s v="[3923]"/>
    <n v="3923"/>
    <s v="2015-03-28 Eugenia Roman [1159]"/>
    <x v="61"/>
    <n v="8.99"/>
    <n v="1"/>
    <s v="unk"/>
    <d v="2017-01-13T01:08:04"/>
    <s v="unk"/>
    <d v="2017-01-13T01:08:04"/>
    <s v="unk"/>
    <x v="2"/>
    <x v="6"/>
  </r>
  <r>
    <s v="[3924]"/>
    <n v="3924"/>
    <s v="2015-03-28 Eugenia Roman [1159]"/>
    <x v="58"/>
    <n v="5.99"/>
    <n v="1"/>
    <s v="unk"/>
    <d v="2017-01-13T01:08:04"/>
    <s v="unk"/>
    <d v="2017-01-13T01:08:04"/>
    <s v="unk"/>
    <x v="2"/>
    <x v="10"/>
  </r>
  <r>
    <s v="[3965]"/>
    <n v="3965"/>
    <s v="2015-03-09 Eugenia Roman [1170]"/>
    <x v="57"/>
    <n v="6.99"/>
    <n v="2"/>
    <s v="unk"/>
    <d v="2017-01-13T01:08:04"/>
    <s v="unk"/>
    <d v="2017-01-13T01:08:04"/>
    <s v="unk"/>
    <x v="2"/>
    <x v="1"/>
  </r>
  <r>
    <s v="[3966]"/>
    <n v="3966"/>
    <s v="2015-03-09 Eugenia Roman [1170]"/>
    <x v="59"/>
    <n v="7.99"/>
    <n v="1"/>
    <s v="unk"/>
    <d v="2017-01-13T01:08:04"/>
    <s v="unk"/>
    <d v="2017-01-13T01:08:04"/>
    <s v="unk"/>
    <x v="2"/>
    <x v="2"/>
  </r>
  <r>
    <s v="[10]"/>
    <n v="10"/>
    <s v="2015-04-21 Rhoda Vance [6]"/>
    <x v="110"/>
    <n v="7.99"/>
    <n v="1"/>
    <s v="unk"/>
    <d v="2017-01-13T01:08:04"/>
    <s v="unk"/>
    <d v="2017-01-13T01:08:04"/>
    <s v="unk"/>
    <x v="3"/>
    <x v="2"/>
  </r>
  <r>
    <s v="[11]"/>
    <n v="11"/>
    <s v="2015-04-21 Rhoda Vance [6]"/>
    <x v="111"/>
    <n v="7.99"/>
    <n v="1"/>
    <s v="unk"/>
    <d v="2017-01-13T01:08:04"/>
    <s v="unk"/>
    <d v="2017-01-13T01:08:04"/>
    <s v="unk"/>
    <x v="3"/>
    <x v="2"/>
  </r>
  <r>
    <s v="[12]"/>
    <n v="12"/>
    <s v="2015-04-21 Rhoda Vance [6]"/>
    <x v="28"/>
    <n v="9.99"/>
    <n v="1"/>
    <s v="unk"/>
    <d v="2017-01-13T01:08:04"/>
    <s v="unk"/>
    <d v="2017-01-13T01:08:04"/>
    <s v="unk"/>
    <x v="3"/>
    <x v="3"/>
  </r>
  <r>
    <s v="[13]"/>
    <n v="13"/>
    <s v="2015-04-21 Rhoda Vance [6]"/>
    <x v="112"/>
    <n v="7.99"/>
    <n v="1"/>
    <s v="unk"/>
    <d v="2017-01-13T01:08:04"/>
    <s v="unk"/>
    <d v="2017-01-13T01:08:04"/>
    <s v="unk"/>
    <x v="3"/>
    <x v="2"/>
  </r>
  <r>
    <s v="[35]"/>
    <n v="35"/>
    <s v="2015-04-30 Zorita Rutledge [11]"/>
    <x v="113"/>
    <n v="4.99"/>
    <n v="1"/>
    <s v="unk"/>
    <d v="2017-01-13T01:08:04"/>
    <s v="unk"/>
    <d v="2017-01-13T01:08:04"/>
    <s v="unk"/>
    <x v="3"/>
    <x v="0"/>
  </r>
  <r>
    <s v="[36]"/>
    <n v="36"/>
    <s v="2015-04-30 Zorita Rutledge [11]"/>
    <x v="114"/>
    <n v="4.99"/>
    <n v="1"/>
    <s v="unk"/>
    <d v="2017-01-13T01:08:04"/>
    <s v="unk"/>
    <d v="2017-01-13T01:08:04"/>
    <s v="unk"/>
    <x v="3"/>
    <x v="0"/>
  </r>
  <r>
    <s v="[37]"/>
    <n v="37"/>
    <s v="2015-04-30 Zorita Rutledge [11]"/>
    <x v="74"/>
    <n v="6.99"/>
    <n v="1"/>
    <s v="unk"/>
    <d v="2017-01-13T01:08:04"/>
    <s v="unk"/>
    <d v="2017-01-13T01:08:04"/>
    <s v="unk"/>
    <x v="3"/>
    <x v="8"/>
  </r>
  <r>
    <s v="[38]"/>
    <n v="38"/>
    <s v="2015-04-30 Zorita Rutledge [11]"/>
    <x v="23"/>
    <n v="9.99"/>
    <n v="1"/>
    <s v="unk"/>
    <d v="2017-01-13T01:08:04"/>
    <s v="unk"/>
    <d v="2017-01-13T01:08:04"/>
    <s v="unk"/>
    <x v="3"/>
    <x v="3"/>
  </r>
  <r>
    <s v="[39]"/>
    <n v="39"/>
    <s v="2015-04-30 Zorita Rutledge [11]"/>
    <x v="95"/>
    <n v="5.99"/>
    <n v="1"/>
    <s v="unk"/>
    <d v="2017-01-13T01:08:04"/>
    <s v="unk"/>
    <d v="2017-01-13T01:08:04"/>
    <s v="unk"/>
    <x v="3"/>
    <x v="10"/>
  </r>
  <r>
    <s v="[214]"/>
    <n v="214"/>
    <s v="2015-04-16 Cheryl Edwards [67]"/>
    <x v="115"/>
    <n v="8.99"/>
    <n v="2"/>
    <s v="unk"/>
    <d v="2017-01-13T01:08:04"/>
    <s v="unk"/>
    <d v="2017-01-13T01:08:04"/>
    <s v="unk"/>
    <x v="3"/>
    <x v="7"/>
  </r>
  <r>
    <s v="[215]"/>
    <n v="215"/>
    <s v="2015-04-16 Cheryl Edwards [67]"/>
    <x v="65"/>
    <n v="5.99"/>
    <n v="1"/>
    <s v="unk"/>
    <d v="2017-01-13T01:08:04"/>
    <s v="unk"/>
    <d v="2017-01-13T01:08:04"/>
    <s v="unk"/>
    <x v="3"/>
    <x v="10"/>
  </r>
  <r>
    <s v="[225]"/>
    <n v="225"/>
    <s v="2015-04-19 Donna Molina [70]"/>
    <x v="104"/>
    <n v="5.99"/>
    <n v="2"/>
    <s v="unk"/>
    <d v="2017-01-13T01:08:04"/>
    <s v="unk"/>
    <d v="2017-01-13T01:08:04"/>
    <s v="unk"/>
    <x v="3"/>
    <x v="11"/>
  </r>
  <r>
    <s v="[226]"/>
    <n v="226"/>
    <s v="2015-04-19 Donna Molina [70]"/>
    <x v="41"/>
    <n v="7.99"/>
    <n v="1"/>
    <s v="unk"/>
    <d v="2017-01-13T01:08:04"/>
    <s v="unk"/>
    <d v="2017-01-13T01:08:04"/>
    <s v="unk"/>
    <x v="3"/>
    <x v="2"/>
  </r>
  <r>
    <s v="[227]"/>
    <n v="227"/>
    <s v="2015-04-19 Donna Molina [70]"/>
    <x v="116"/>
    <n v="9.99"/>
    <n v="1"/>
    <s v="unk"/>
    <d v="2017-01-13T01:08:04"/>
    <s v="unk"/>
    <d v="2017-01-13T01:08:04"/>
    <s v="unk"/>
    <x v="3"/>
    <x v="3"/>
  </r>
  <r>
    <s v="[228]"/>
    <n v="228"/>
    <s v="2015-04-19 Donna Molina [70]"/>
    <x v="58"/>
    <n v="5.99"/>
    <n v="1"/>
    <s v="unk"/>
    <d v="2017-01-13T01:08:04"/>
    <s v="unk"/>
    <d v="2017-01-13T01:08:04"/>
    <s v="unk"/>
    <x v="3"/>
    <x v="10"/>
  </r>
  <r>
    <s v="[229]"/>
    <n v="229"/>
    <s v="2015-04-19 Donna Molina [70]"/>
    <x v="105"/>
    <n v="9.99"/>
    <n v="2"/>
    <s v="unk"/>
    <d v="2017-01-13T01:08:04"/>
    <s v="unk"/>
    <d v="2017-01-13T01:08:04"/>
    <s v="unk"/>
    <x v="3"/>
    <x v="4"/>
  </r>
  <r>
    <s v="[246]"/>
    <n v="246"/>
    <s v="2015-04-08 Jonah Griffin [74]"/>
    <x v="117"/>
    <n v="4.99"/>
    <n v="1"/>
    <s v="unk"/>
    <d v="2017-01-13T01:08:04"/>
    <s v="unk"/>
    <d v="2017-01-13T01:08:04"/>
    <s v="unk"/>
    <x v="3"/>
    <x v="0"/>
  </r>
  <r>
    <s v="[247]"/>
    <n v="247"/>
    <s v="2015-04-08 Jonah Griffin [74]"/>
    <x v="93"/>
    <n v="7.99"/>
    <n v="1"/>
    <s v="unk"/>
    <d v="2017-01-13T01:08:04"/>
    <s v="unk"/>
    <d v="2017-01-13T01:08:04"/>
    <s v="unk"/>
    <x v="3"/>
    <x v="2"/>
  </r>
  <r>
    <s v="[256]"/>
    <n v="256"/>
    <s v="2015-04-11 Lucius Gallagher [79]"/>
    <x v="49"/>
    <n v="8.99"/>
    <n v="1"/>
    <s v="unk"/>
    <d v="2017-01-13T01:08:04"/>
    <s v="unk"/>
    <d v="2017-01-13T01:08:04"/>
    <s v="unk"/>
    <x v="3"/>
    <x v="6"/>
  </r>
  <r>
    <s v="[257]"/>
    <n v="257"/>
    <s v="2015-04-11 Lucius Gallagher [79]"/>
    <x v="62"/>
    <n v="5.99"/>
    <n v="1"/>
    <s v="unk"/>
    <d v="2017-01-13T01:08:04"/>
    <s v="unk"/>
    <d v="2017-01-13T01:08:04"/>
    <s v="unk"/>
    <x v="3"/>
    <x v="10"/>
  </r>
  <r>
    <s v="[258]"/>
    <n v="258"/>
    <s v="2015-04-11 Lucius Gallagher [79]"/>
    <x v="84"/>
    <n v="7.99"/>
    <n v="1"/>
    <s v="unk"/>
    <d v="2017-01-13T01:08:04"/>
    <s v="unk"/>
    <d v="2017-01-13T01:08:04"/>
    <s v="unk"/>
    <x v="3"/>
    <x v="2"/>
  </r>
  <r>
    <s v="[259]"/>
    <n v="259"/>
    <s v="2015-04-11 Lucius Gallagher [79]"/>
    <x v="118"/>
    <n v="5.99"/>
    <n v="1"/>
    <s v="unk"/>
    <d v="2017-01-13T01:08:04"/>
    <s v="unk"/>
    <d v="2017-01-13T01:08:04"/>
    <s v="unk"/>
    <x v="3"/>
    <x v="10"/>
  </r>
  <r>
    <s v="[687]"/>
    <n v="687"/>
    <s v="2015-04-24 Marny Boyer [213]"/>
    <x v="77"/>
    <n v="7.99"/>
    <n v="1"/>
    <s v="unk"/>
    <d v="2017-01-13T01:08:04"/>
    <s v="unk"/>
    <d v="2017-01-13T01:08:04"/>
    <s v="unk"/>
    <x v="3"/>
    <x v="2"/>
  </r>
  <r>
    <s v="[688]"/>
    <n v="688"/>
    <s v="2015-04-24 Marny Boyer [213]"/>
    <x v="109"/>
    <n v="8.99"/>
    <n v="2"/>
    <s v="unk"/>
    <d v="2017-01-13T01:08:04"/>
    <s v="unk"/>
    <d v="2017-01-13T01:08:04"/>
    <s v="unk"/>
    <x v="3"/>
    <x v="7"/>
  </r>
  <r>
    <s v="[710]"/>
    <n v="710"/>
    <s v="2015-04-01 Mary Moore [220]"/>
    <x v="50"/>
    <n v="4.99"/>
    <n v="2"/>
    <s v="unk"/>
    <d v="2017-01-13T01:08:04"/>
    <s v="unk"/>
    <d v="2017-01-13T01:08:04"/>
    <s v="unk"/>
    <x v="3"/>
    <x v="9"/>
  </r>
  <r>
    <s v="[780]"/>
    <n v="780"/>
    <s v="2015-04-04 Colby Clay [241]"/>
    <x v="46"/>
    <n v="7.99"/>
    <n v="1"/>
    <s v="unk"/>
    <d v="2017-01-13T01:08:04"/>
    <s v="unk"/>
    <d v="2017-01-13T01:08:04"/>
    <s v="unk"/>
    <x v="3"/>
    <x v="2"/>
  </r>
  <r>
    <s v="[781]"/>
    <n v="781"/>
    <s v="2015-04-04 Colby Clay [241]"/>
    <x v="5"/>
    <n v="9.99"/>
    <n v="1"/>
    <s v="unk"/>
    <d v="2017-01-13T01:08:04"/>
    <s v="unk"/>
    <d v="2017-01-13T01:08:04"/>
    <s v="unk"/>
    <x v="3"/>
    <x v="3"/>
  </r>
  <r>
    <s v="[782]"/>
    <n v="782"/>
    <s v="2015-04-04 Colby Clay [241]"/>
    <x v="57"/>
    <n v="6.99"/>
    <n v="1"/>
    <s v="unk"/>
    <d v="2017-01-13T01:08:04"/>
    <s v="unk"/>
    <d v="2017-01-13T01:08:04"/>
    <s v="unk"/>
    <x v="3"/>
    <x v="8"/>
  </r>
  <r>
    <s v="[899]"/>
    <n v="899"/>
    <s v="2015-04-09 Cameron Burton [281]"/>
    <x v="23"/>
    <n v="9.99"/>
    <n v="2"/>
    <s v="unk"/>
    <d v="2017-01-13T01:08:04"/>
    <s v="unk"/>
    <d v="2017-01-13T01:08:04"/>
    <s v="unk"/>
    <x v="3"/>
    <x v="4"/>
  </r>
  <r>
    <s v="[900]"/>
    <n v="900"/>
    <s v="2015-04-09 Cameron Burton [281]"/>
    <x v="32"/>
    <n v="6.99"/>
    <n v="1"/>
    <s v="unk"/>
    <d v="2017-01-13T01:08:04"/>
    <s v="unk"/>
    <d v="2017-01-13T01:08:04"/>
    <s v="unk"/>
    <x v="3"/>
    <x v="8"/>
  </r>
  <r>
    <s v="[901]"/>
    <n v="901"/>
    <s v="2015-04-09 Cameron Burton [281]"/>
    <x v="37"/>
    <n v="6.99"/>
    <n v="1"/>
    <s v="unk"/>
    <d v="2017-01-13T01:08:04"/>
    <s v="unk"/>
    <d v="2017-01-13T01:08:04"/>
    <s v="unk"/>
    <x v="3"/>
    <x v="8"/>
  </r>
  <r>
    <s v="[902]"/>
    <n v="902"/>
    <s v="2015-04-09 Cameron Burton [281]"/>
    <x v="29"/>
    <n v="8.99"/>
    <n v="2"/>
    <s v="unk"/>
    <d v="2017-01-13T01:08:04"/>
    <s v="unk"/>
    <d v="2017-01-13T01:08:04"/>
    <s v="unk"/>
    <x v="3"/>
    <x v="7"/>
  </r>
  <r>
    <s v="[903]"/>
    <n v="903"/>
    <s v="2015-04-09 Cameron Burton [281]"/>
    <x v="79"/>
    <n v="6.99"/>
    <n v="1"/>
    <s v="unk"/>
    <d v="2017-01-13T01:08:04"/>
    <s v="unk"/>
    <d v="2017-01-13T01:08:04"/>
    <s v="unk"/>
    <x v="3"/>
    <x v="8"/>
  </r>
  <r>
    <s v="[904]"/>
    <n v="904"/>
    <s v="2015-04-09 Cameron Burton [281]"/>
    <x v="108"/>
    <n v="8.99"/>
    <n v="2"/>
    <s v="unk"/>
    <d v="2017-01-13T01:08:04"/>
    <s v="unk"/>
    <d v="2017-01-13T01:08:04"/>
    <s v="unk"/>
    <x v="3"/>
    <x v="7"/>
  </r>
  <r>
    <s v="[905]"/>
    <n v="905"/>
    <s v="2015-04-09 Cameron Burton [281]"/>
    <x v="49"/>
    <n v="8.99"/>
    <n v="1"/>
    <s v="unk"/>
    <d v="2017-01-13T01:08:04"/>
    <s v="unk"/>
    <d v="2017-01-13T01:08:04"/>
    <s v="unk"/>
    <x v="3"/>
    <x v="6"/>
  </r>
  <r>
    <s v="[906]"/>
    <n v="906"/>
    <s v="2015-04-09 Cameron Burton [281]"/>
    <x v="53"/>
    <n v="8.99"/>
    <n v="1"/>
    <s v="unk"/>
    <d v="2017-01-13T01:08:04"/>
    <s v="unk"/>
    <d v="2017-01-13T01:08:04"/>
    <s v="unk"/>
    <x v="3"/>
    <x v="6"/>
  </r>
  <r>
    <s v="[998]"/>
    <n v="998"/>
    <s v="2015-04-08 Madeson Silva [308]"/>
    <x v="57"/>
    <n v="6.99"/>
    <n v="1"/>
    <s v="unk"/>
    <d v="2017-01-13T01:08:04"/>
    <s v="unk"/>
    <d v="2017-01-13T01:08:04"/>
    <s v="unk"/>
    <x v="3"/>
    <x v="8"/>
  </r>
  <r>
    <s v="[1154]"/>
    <n v="1154"/>
    <s v="2015-04-03 Tate Lowery [356]"/>
    <x v="69"/>
    <n v="9.99"/>
    <n v="1"/>
    <s v="unk"/>
    <d v="2017-01-13T01:08:04"/>
    <s v="unk"/>
    <d v="2017-01-13T01:08:04"/>
    <s v="unk"/>
    <x v="3"/>
    <x v="3"/>
  </r>
  <r>
    <s v="[1155]"/>
    <n v="1155"/>
    <s v="2015-04-03 Tate Lowery [356]"/>
    <x v="109"/>
    <n v="8.99"/>
    <n v="2"/>
    <s v="unk"/>
    <d v="2017-01-13T01:08:04"/>
    <s v="unk"/>
    <d v="2017-01-13T01:08:04"/>
    <s v="unk"/>
    <x v="3"/>
    <x v="7"/>
  </r>
  <r>
    <s v="[1156]"/>
    <n v="1156"/>
    <s v="2015-04-03 Tate Lowery [356]"/>
    <x v="48"/>
    <n v="9.99"/>
    <n v="2"/>
    <s v="unk"/>
    <d v="2017-01-13T01:08:04"/>
    <s v="unk"/>
    <d v="2017-01-13T01:08:04"/>
    <s v="unk"/>
    <x v="3"/>
    <x v="4"/>
  </r>
  <r>
    <s v="[1157]"/>
    <n v="1157"/>
    <s v="2015-04-03 Tate Lowery [356]"/>
    <x v="32"/>
    <n v="6.99"/>
    <n v="1"/>
    <s v="unk"/>
    <d v="2017-01-13T01:08:04"/>
    <s v="unk"/>
    <d v="2017-01-13T01:08:04"/>
    <s v="unk"/>
    <x v="3"/>
    <x v="8"/>
  </r>
  <r>
    <s v="[1158]"/>
    <n v="1158"/>
    <s v="2015-04-07 Hermione Maldonado [357]"/>
    <x v="43"/>
    <n v="5.99"/>
    <n v="1"/>
    <s v="unk"/>
    <d v="2017-01-13T01:08:04"/>
    <s v="unk"/>
    <d v="2017-01-13T01:08:04"/>
    <s v="unk"/>
    <x v="3"/>
    <x v="10"/>
  </r>
  <r>
    <s v="[1306]"/>
    <n v="1306"/>
    <s v="2015-04-20 Buffy Jennings [399]"/>
    <x v="44"/>
    <n v="9.99"/>
    <n v="2"/>
    <s v="unk"/>
    <d v="2017-01-13T01:08:04"/>
    <s v="unk"/>
    <d v="2017-01-13T01:08:04"/>
    <s v="unk"/>
    <x v="3"/>
    <x v="4"/>
  </r>
  <r>
    <s v="[1307]"/>
    <n v="1307"/>
    <s v="2015-04-20 Buffy Jennings [399]"/>
    <x v="52"/>
    <n v="6.99"/>
    <n v="1"/>
    <s v="unk"/>
    <d v="2017-01-13T01:08:04"/>
    <s v="unk"/>
    <d v="2017-01-13T01:08:04"/>
    <s v="unk"/>
    <x v="3"/>
    <x v="8"/>
  </r>
  <r>
    <s v="[1368]"/>
    <n v="1368"/>
    <s v="2015-04-18 Rhonda Curtis [415]"/>
    <x v="43"/>
    <n v="5.99"/>
    <n v="1"/>
    <s v="unk"/>
    <d v="2017-01-13T01:08:04"/>
    <s v="unk"/>
    <d v="2017-01-13T01:08:04"/>
    <s v="unk"/>
    <x v="3"/>
    <x v="10"/>
  </r>
  <r>
    <s v="[1369]"/>
    <n v="1369"/>
    <s v="2015-04-18 Rhonda Curtis [415]"/>
    <x v="3"/>
    <n v="7.99"/>
    <n v="1"/>
    <s v="unk"/>
    <d v="2017-01-13T01:08:04"/>
    <s v="unk"/>
    <d v="2017-01-13T01:08:04"/>
    <s v="unk"/>
    <x v="3"/>
    <x v="2"/>
  </r>
  <r>
    <s v="[1743]"/>
    <n v="1743"/>
    <s v="2015-04-24 Mannix Owen [521]"/>
    <x v="108"/>
    <n v="8.99"/>
    <n v="1"/>
    <s v="unk"/>
    <d v="2017-01-13T01:08:04"/>
    <s v="unk"/>
    <d v="2017-01-13T01:08:04"/>
    <s v="unk"/>
    <x v="3"/>
    <x v="6"/>
  </r>
  <r>
    <s v="[1744]"/>
    <n v="1744"/>
    <s v="2015-04-24 Mannix Owen [521]"/>
    <x v="5"/>
    <n v="9.99"/>
    <n v="1"/>
    <s v="unk"/>
    <d v="2017-01-13T01:08:04"/>
    <s v="unk"/>
    <d v="2017-01-13T01:08:04"/>
    <s v="unk"/>
    <x v="3"/>
    <x v="3"/>
  </r>
  <r>
    <s v="[1745]"/>
    <n v="1745"/>
    <s v="2015-04-24 Mannix Owen [521]"/>
    <x v="24"/>
    <n v="4.99"/>
    <n v="1"/>
    <s v="unk"/>
    <d v="2017-01-13T01:08:04"/>
    <s v="unk"/>
    <d v="2017-01-13T01:08:04"/>
    <s v="unk"/>
    <x v="3"/>
    <x v="0"/>
  </r>
  <r>
    <s v="[1782]"/>
    <n v="1782"/>
    <s v="2015-04-10 Akeem Kennedy [530]"/>
    <x v="34"/>
    <n v="8.99"/>
    <n v="2"/>
    <s v="unk"/>
    <d v="2017-01-13T01:08:04"/>
    <s v="unk"/>
    <d v="2017-01-13T01:08:04"/>
    <s v="unk"/>
    <x v="3"/>
    <x v="7"/>
  </r>
  <r>
    <s v="[1884]"/>
    <n v="1884"/>
    <s v="2015-04-17 Indira Suarez [563]"/>
    <x v="51"/>
    <n v="9.99"/>
    <n v="1"/>
    <s v="unk"/>
    <d v="2017-01-13T01:08:04"/>
    <s v="unk"/>
    <d v="2017-01-13T01:08:04"/>
    <s v="unk"/>
    <x v="3"/>
    <x v="3"/>
  </r>
  <r>
    <s v="[1885]"/>
    <n v="1885"/>
    <s v="2015-04-17 Indira Suarez [563]"/>
    <x v="52"/>
    <n v="6.99"/>
    <n v="1"/>
    <s v="unk"/>
    <d v="2017-01-13T01:08:04"/>
    <s v="unk"/>
    <d v="2017-01-13T01:08:04"/>
    <s v="unk"/>
    <x v="3"/>
    <x v="8"/>
  </r>
  <r>
    <s v="[1886]"/>
    <n v="1886"/>
    <s v="2015-04-17 Indira Suarez [563]"/>
    <x v="54"/>
    <n v="4.99"/>
    <n v="1"/>
    <s v="unk"/>
    <d v="2017-01-13T01:08:04"/>
    <s v="unk"/>
    <d v="2017-01-13T01:08:04"/>
    <s v="unk"/>
    <x v="3"/>
    <x v="0"/>
  </r>
  <r>
    <s v="[1887]"/>
    <n v="1887"/>
    <s v="2015-04-17 Indira Suarez [563]"/>
    <x v="44"/>
    <n v="9.99"/>
    <n v="2"/>
    <s v="unk"/>
    <d v="2017-01-13T01:08:04"/>
    <s v="unk"/>
    <d v="2017-01-13T01:08:04"/>
    <s v="unk"/>
    <x v="3"/>
    <x v="4"/>
  </r>
  <r>
    <s v="[1888]"/>
    <n v="1888"/>
    <s v="2015-04-17 Indira Suarez [563]"/>
    <x v="53"/>
    <n v="8.99"/>
    <n v="1"/>
    <s v="unk"/>
    <d v="2017-01-13T01:08:04"/>
    <s v="unk"/>
    <d v="2017-01-13T01:08:04"/>
    <s v="unk"/>
    <x v="3"/>
    <x v="6"/>
  </r>
  <r>
    <s v="[1895]"/>
    <n v="1895"/>
    <s v="2015-04-21 Quinn Ewing [567]"/>
    <x v="38"/>
    <n v="7.99"/>
    <n v="1"/>
    <s v="unk"/>
    <d v="2017-01-13T01:08:04"/>
    <s v="unk"/>
    <d v="2017-01-13T01:08:04"/>
    <s v="unk"/>
    <x v="3"/>
    <x v="2"/>
  </r>
  <r>
    <s v="[1896]"/>
    <n v="1896"/>
    <s v="2015-04-21 Quinn Ewing [567]"/>
    <x v="37"/>
    <n v="6.99"/>
    <n v="1"/>
    <s v="unk"/>
    <d v="2017-01-13T01:08:04"/>
    <s v="unk"/>
    <d v="2017-01-13T01:08:04"/>
    <s v="unk"/>
    <x v="3"/>
    <x v="8"/>
  </r>
  <r>
    <s v="[1897]"/>
    <n v="1897"/>
    <s v="2015-04-21 Quinn Ewing [567]"/>
    <x v="29"/>
    <n v="8.99"/>
    <n v="2"/>
    <s v="unk"/>
    <d v="2017-01-13T01:08:04"/>
    <s v="unk"/>
    <d v="2017-01-13T01:08:04"/>
    <s v="unk"/>
    <x v="3"/>
    <x v="7"/>
  </r>
  <r>
    <s v="[1898]"/>
    <n v="1898"/>
    <s v="2015-04-21 Quinn Ewing [567]"/>
    <x v="76"/>
    <n v="4.99"/>
    <n v="1"/>
    <s v="unk"/>
    <d v="2017-01-13T01:08:04"/>
    <s v="unk"/>
    <d v="2017-01-13T01:08:04"/>
    <s v="unk"/>
    <x v="3"/>
    <x v="0"/>
  </r>
  <r>
    <s v="[1899]"/>
    <n v="1899"/>
    <s v="2015-04-21 Quinn Ewing [567]"/>
    <x v="32"/>
    <n v="6.99"/>
    <n v="2"/>
    <s v="unk"/>
    <d v="2017-01-13T01:08:04"/>
    <s v="unk"/>
    <d v="2017-01-13T01:08:04"/>
    <s v="unk"/>
    <x v="3"/>
    <x v="1"/>
  </r>
  <r>
    <s v="[1900]"/>
    <n v="1900"/>
    <s v="2015-04-21 Quinn Ewing [567]"/>
    <x v="52"/>
    <n v="6.99"/>
    <n v="1"/>
    <s v="unk"/>
    <d v="2017-01-13T01:08:04"/>
    <s v="unk"/>
    <d v="2017-01-13T01:08:04"/>
    <s v="unk"/>
    <x v="3"/>
    <x v="8"/>
  </r>
  <r>
    <s v="[1987]"/>
    <n v="1987"/>
    <s v="2015-04-22 Tanek Santos [596]"/>
    <x v="44"/>
    <n v="9.99"/>
    <n v="1"/>
    <s v="unk"/>
    <d v="2017-01-13T01:08:04"/>
    <s v="unk"/>
    <d v="2017-01-13T01:08:04"/>
    <s v="unk"/>
    <x v="3"/>
    <x v="3"/>
  </r>
  <r>
    <s v="[1988]"/>
    <n v="1988"/>
    <s v="2015-04-22 Tanek Santos [596]"/>
    <x v="109"/>
    <n v="8.99"/>
    <n v="2"/>
    <s v="unk"/>
    <d v="2017-01-13T01:08:04"/>
    <s v="unk"/>
    <d v="2017-01-13T01:08:04"/>
    <s v="unk"/>
    <x v="3"/>
    <x v="7"/>
  </r>
  <r>
    <s v="[2170]"/>
    <n v="2170"/>
    <s v="2015-04-06 Cameron Burton [648]"/>
    <x v="32"/>
    <n v="6.99"/>
    <n v="2"/>
    <s v="unk"/>
    <d v="2017-01-13T01:08:04"/>
    <s v="unk"/>
    <d v="2017-01-13T01:08:04"/>
    <s v="unk"/>
    <x v="3"/>
    <x v="1"/>
  </r>
  <r>
    <s v="[2171]"/>
    <n v="2171"/>
    <s v="2015-04-06 Cameron Burton [648]"/>
    <x v="29"/>
    <n v="8.99"/>
    <n v="1"/>
    <s v="unk"/>
    <d v="2017-01-13T01:08:04"/>
    <s v="unk"/>
    <d v="2017-01-13T01:08:04"/>
    <s v="unk"/>
    <x v="3"/>
    <x v="6"/>
  </r>
  <r>
    <s v="[2172]"/>
    <n v="2172"/>
    <s v="2015-04-06 Cameron Burton [648]"/>
    <x v="38"/>
    <n v="7.99"/>
    <n v="1"/>
    <s v="unk"/>
    <d v="2017-01-13T01:08:04"/>
    <s v="unk"/>
    <d v="2017-01-13T01:08:04"/>
    <s v="unk"/>
    <x v="3"/>
    <x v="2"/>
  </r>
  <r>
    <s v="[2173]"/>
    <n v="2173"/>
    <s v="2015-04-06 Cameron Burton [648]"/>
    <x v="72"/>
    <n v="8.99"/>
    <n v="2"/>
    <s v="unk"/>
    <d v="2017-01-13T01:08:04"/>
    <s v="unk"/>
    <d v="2017-01-13T01:08:04"/>
    <s v="unk"/>
    <x v="3"/>
    <x v="7"/>
  </r>
  <r>
    <s v="[2184]"/>
    <n v="2184"/>
    <s v="2015-04-02 Rhonda Curtis [653]"/>
    <x v="37"/>
    <n v="6.99"/>
    <n v="1"/>
    <s v="unk"/>
    <d v="2017-01-13T01:08:04"/>
    <s v="unk"/>
    <d v="2017-01-13T01:08:04"/>
    <s v="unk"/>
    <x v="3"/>
    <x v="8"/>
  </r>
  <r>
    <s v="[2185]"/>
    <n v="2185"/>
    <s v="2015-04-02 Rhonda Curtis [653]"/>
    <x v="71"/>
    <n v="4.99"/>
    <n v="2"/>
    <s v="unk"/>
    <d v="2017-01-13T01:08:04"/>
    <s v="unk"/>
    <d v="2017-01-13T01:08:04"/>
    <s v="unk"/>
    <x v="3"/>
    <x v="9"/>
  </r>
  <r>
    <s v="[2186]"/>
    <n v="2186"/>
    <s v="2015-04-02 Rhonda Curtis [653]"/>
    <x v="32"/>
    <n v="6.99"/>
    <n v="1"/>
    <s v="unk"/>
    <d v="2017-01-13T01:08:04"/>
    <s v="unk"/>
    <d v="2017-01-13T01:08:04"/>
    <s v="unk"/>
    <x v="3"/>
    <x v="8"/>
  </r>
  <r>
    <s v="[2187]"/>
    <n v="2187"/>
    <s v="2015-04-02 Rhonda Curtis [653]"/>
    <x v="109"/>
    <n v="8.99"/>
    <n v="1"/>
    <s v="unk"/>
    <d v="2017-01-13T01:08:04"/>
    <s v="unk"/>
    <d v="2017-01-13T01:08:04"/>
    <s v="unk"/>
    <x v="3"/>
    <x v="6"/>
  </r>
  <r>
    <s v="[2310]"/>
    <n v="2310"/>
    <s v="2015-04-13 Zeus Trujillo [691]"/>
    <x v="35"/>
    <n v="6.99"/>
    <n v="2"/>
    <s v="unk"/>
    <d v="2017-01-13T01:08:04"/>
    <s v="unk"/>
    <d v="2017-01-13T01:08:04"/>
    <s v="unk"/>
    <x v="3"/>
    <x v="1"/>
  </r>
  <r>
    <s v="[2311]"/>
    <n v="2311"/>
    <s v="2015-04-13 Zeus Trujillo [691]"/>
    <x v="77"/>
    <n v="7.99"/>
    <n v="2"/>
    <s v="unk"/>
    <d v="2017-01-13T01:08:04"/>
    <s v="unk"/>
    <d v="2017-01-13T01:08:04"/>
    <s v="unk"/>
    <x v="3"/>
    <x v="5"/>
  </r>
  <r>
    <s v="[2312]"/>
    <n v="2312"/>
    <s v="2015-04-13 Zeus Trujillo [691]"/>
    <x v="27"/>
    <n v="4.99"/>
    <n v="1"/>
    <s v="unk"/>
    <d v="2017-01-13T01:08:04"/>
    <s v="unk"/>
    <d v="2017-01-13T01:08:04"/>
    <s v="unk"/>
    <x v="3"/>
    <x v="0"/>
  </r>
  <r>
    <s v="[2313]"/>
    <n v="2313"/>
    <s v="2015-04-13 Zeus Trujillo [691]"/>
    <x v="79"/>
    <n v="6.99"/>
    <n v="1"/>
    <s v="unk"/>
    <d v="2017-01-13T01:08:04"/>
    <s v="unk"/>
    <d v="2017-01-13T01:08:04"/>
    <s v="unk"/>
    <x v="3"/>
    <x v="8"/>
  </r>
  <r>
    <s v="[2314]"/>
    <n v="2314"/>
    <s v="2015-04-13 Zeus Trujillo [691]"/>
    <x v="109"/>
    <n v="8.99"/>
    <n v="1"/>
    <s v="unk"/>
    <d v="2017-01-13T01:08:04"/>
    <s v="unk"/>
    <d v="2017-01-13T01:08:04"/>
    <s v="unk"/>
    <x v="3"/>
    <x v="6"/>
  </r>
  <r>
    <s v="[2315]"/>
    <n v="2315"/>
    <s v="2015-04-13 Zeus Trujillo [691]"/>
    <x v="51"/>
    <n v="9.99"/>
    <n v="1"/>
    <s v="unk"/>
    <d v="2017-01-13T01:08:04"/>
    <s v="unk"/>
    <d v="2017-01-13T01:08:04"/>
    <s v="unk"/>
    <x v="3"/>
    <x v="3"/>
  </r>
  <r>
    <s v="[2316]"/>
    <n v="2316"/>
    <s v="2015-04-13 Zeus Trujillo [691]"/>
    <x v="3"/>
    <n v="7.99"/>
    <n v="1"/>
    <s v="unk"/>
    <d v="2017-01-13T01:08:04"/>
    <s v="unk"/>
    <d v="2017-01-13T01:08:04"/>
    <s v="unk"/>
    <x v="3"/>
    <x v="2"/>
  </r>
  <r>
    <s v="[2317]"/>
    <n v="2317"/>
    <s v="2015-04-13 Zeus Trujillo [691]"/>
    <x v="23"/>
    <n v="9.99"/>
    <n v="1"/>
    <s v="unk"/>
    <d v="2017-01-13T01:08:04"/>
    <s v="unk"/>
    <d v="2017-01-13T01:08:04"/>
    <s v="unk"/>
    <x v="3"/>
    <x v="3"/>
  </r>
  <r>
    <s v="[2374]"/>
    <n v="2374"/>
    <s v="2015-04-21 Indira Suarez [709]"/>
    <x v="57"/>
    <n v="6.99"/>
    <n v="2"/>
    <s v="unk"/>
    <d v="2017-01-13T01:08:04"/>
    <s v="unk"/>
    <d v="2017-01-13T01:08:04"/>
    <s v="unk"/>
    <x v="3"/>
    <x v="1"/>
  </r>
  <r>
    <s v="[2375]"/>
    <n v="2375"/>
    <s v="2015-04-21 Indira Suarez [709]"/>
    <x v="57"/>
    <n v="6.99"/>
    <n v="1"/>
    <s v="unk"/>
    <d v="2017-01-13T01:08:04"/>
    <s v="unk"/>
    <d v="2017-01-13T01:08:04"/>
    <s v="unk"/>
    <x v="3"/>
    <x v="8"/>
  </r>
  <r>
    <s v="[2376]"/>
    <n v="2376"/>
    <s v="2015-04-21 Indira Suarez [709]"/>
    <x v="56"/>
    <n v="9.99"/>
    <n v="1"/>
    <s v="unk"/>
    <d v="2017-01-13T01:08:04"/>
    <s v="unk"/>
    <d v="2017-01-13T01:08:04"/>
    <s v="unk"/>
    <x v="3"/>
    <x v="3"/>
  </r>
  <r>
    <s v="[2409]"/>
    <n v="2409"/>
    <s v="2015-04-16 Hayley Foster [720]"/>
    <x v="60"/>
    <n v="8.99"/>
    <n v="1"/>
    <s v="unk"/>
    <d v="2017-01-13T01:08:04"/>
    <s v="unk"/>
    <d v="2017-01-13T01:08:04"/>
    <s v="unk"/>
    <x v="3"/>
    <x v="6"/>
  </r>
  <r>
    <s v="[2410]"/>
    <n v="2410"/>
    <s v="2015-04-16 Hayley Foster [720]"/>
    <x v="62"/>
    <n v="5.99"/>
    <n v="2"/>
    <s v="unk"/>
    <d v="2017-01-13T01:08:04"/>
    <s v="unk"/>
    <d v="2017-01-13T01:08:04"/>
    <s v="unk"/>
    <x v="3"/>
    <x v="11"/>
  </r>
  <r>
    <s v="[2411]"/>
    <n v="2411"/>
    <s v="2015-04-16 Hayley Foster [720]"/>
    <x v="60"/>
    <n v="8.99"/>
    <n v="1"/>
    <s v="unk"/>
    <d v="2017-01-13T01:08:04"/>
    <s v="unk"/>
    <d v="2017-01-13T01:08:04"/>
    <s v="unk"/>
    <x v="3"/>
    <x v="6"/>
  </r>
  <r>
    <s v="[2455]"/>
    <n v="2455"/>
    <s v="2015-04-20 Stuart Vega [736]"/>
    <x v="56"/>
    <n v="9.99"/>
    <n v="1"/>
    <s v="unk"/>
    <d v="2017-01-13T01:08:04"/>
    <s v="unk"/>
    <d v="2017-01-13T01:08:04"/>
    <s v="unk"/>
    <x v="3"/>
    <x v="3"/>
  </r>
  <r>
    <s v="[2456]"/>
    <n v="2456"/>
    <s v="2015-04-20 Stuart Vega [736]"/>
    <x v="59"/>
    <n v="7.99"/>
    <n v="1"/>
    <s v="unk"/>
    <d v="2017-01-13T01:08:04"/>
    <s v="unk"/>
    <d v="2017-01-13T01:08:04"/>
    <s v="unk"/>
    <x v="3"/>
    <x v="2"/>
  </r>
  <r>
    <s v="[2457]"/>
    <n v="2457"/>
    <s v="2015-04-20 Stuart Vega [736]"/>
    <x v="59"/>
    <n v="7.99"/>
    <n v="1"/>
    <s v="unk"/>
    <d v="2017-01-13T01:08:04"/>
    <s v="unk"/>
    <d v="2017-01-13T01:08:04"/>
    <s v="unk"/>
    <x v="3"/>
    <x v="2"/>
  </r>
  <r>
    <s v="[2528]"/>
    <n v="2528"/>
    <s v="2015-04-09 Rhoda Vance [760]"/>
    <x v="59"/>
    <n v="7.99"/>
    <n v="1"/>
    <s v="unk"/>
    <d v="2017-01-13T01:08:04"/>
    <s v="unk"/>
    <d v="2017-01-13T01:08:04"/>
    <s v="unk"/>
    <x v="3"/>
    <x v="2"/>
  </r>
  <r>
    <s v="[2529]"/>
    <n v="2529"/>
    <s v="2015-04-09 Rhoda Vance [760]"/>
    <x v="59"/>
    <n v="7.99"/>
    <n v="2"/>
    <s v="unk"/>
    <d v="2017-01-13T01:08:04"/>
    <s v="unk"/>
    <d v="2017-01-13T01:08:04"/>
    <s v="unk"/>
    <x v="3"/>
    <x v="5"/>
  </r>
  <r>
    <s v="[2530]"/>
    <n v="2530"/>
    <s v="2015-04-09 Rhoda Vance [760]"/>
    <x v="58"/>
    <n v="5.99"/>
    <n v="1"/>
    <s v="unk"/>
    <d v="2017-01-13T01:08:04"/>
    <s v="unk"/>
    <d v="2017-01-13T01:08:04"/>
    <s v="unk"/>
    <x v="3"/>
    <x v="10"/>
  </r>
  <r>
    <s v="[2649]"/>
    <n v="2649"/>
    <s v="2015-04-15 Cameron Rivera [790]"/>
    <x v="49"/>
    <n v="8.99"/>
    <n v="2"/>
    <s v="unk"/>
    <d v="2017-01-13T01:08:04"/>
    <s v="unk"/>
    <d v="2017-01-13T01:08:04"/>
    <s v="unk"/>
    <x v="3"/>
    <x v="7"/>
  </r>
  <r>
    <s v="[2650]"/>
    <n v="2650"/>
    <s v="2015-04-15 Cameron Rivera [790]"/>
    <x v="28"/>
    <n v="9.99"/>
    <n v="1"/>
    <s v="unk"/>
    <d v="2017-01-13T01:08:04"/>
    <s v="unk"/>
    <d v="2017-01-13T01:08:04"/>
    <s v="unk"/>
    <x v="3"/>
    <x v="3"/>
  </r>
  <r>
    <s v="[2651]"/>
    <n v="2651"/>
    <s v="2015-04-15 Cameron Rivera [790]"/>
    <x v="49"/>
    <n v="8.99"/>
    <n v="1"/>
    <s v="unk"/>
    <d v="2017-01-13T01:08:04"/>
    <s v="unk"/>
    <d v="2017-01-13T01:08:04"/>
    <s v="unk"/>
    <x v="3"/>
    <x v="6"/>
  </r>
  <r>
    <s v="[2820]"/>
    <n v="2820"/>
    <s v="2015-04-14 Kendall Rocha [835]"/>
    <x v="58"/>
    <n v="5.99"/>
    <n v="1"/>
    <s v="unk"/>
    <d v="2017-01-13T01:08:04"/>
    <s v="unk"/>
    <d v="2017-01-13T01:08:04"/>
    <s v="unk"/>
    <x v="3"/>
    <x v="10"/>
  </r>
  <r>
    <s v="[2831]"/>
    <n v="2831"/>
    <s v="2015-04-10 Hayley Foster [839]"/>
    <x v="49"/>
    <n v="8.99"/>
    <n v="1"/>
    <s v="unk"/>
    <d v="2017-01-13T01:08:04"/>
    <s v="unk"/>
    <d v="2017-01-13T01:08:04"/>
    <s v="unk"/>
    <x v="3"/>
    <x v="6"/>
  </r>
  <r>
    <s v="[2832]"/>
    <n v="2832"/>
    <s v="2015-04-10 Hayley Foster [839]"/>
    <x v="49"/>
    <n v="8.99"/>
    <n v="1"/>
    <s v="unk"/>
    <d v="2017-01-13T01:08:04"/>
    <s v="unk"/>
    <d v="2017-01-13T01:08:04"/>
    <s v="unk"/>
    <x v="3"/>
    <x v="6"/>
  </r>
  <r>
    <s v="[2895]"/>
    <n v="2895"/>
    <s v="2015-04-05 Kendall Rocha [856]"/>
    <x v="56"/>
    <n v="9.99"/>
    <n v="1"/>
    <s v="unk"/>
    <d v="2017-01-13T01:08:04"/>
    <s v="unk"/>
    <d v="2017-01-13T01:08:04"/>
    <s v="unk"/>
    <x v="3"/>
    <x v="3"/>
  </r>
  <r>
    <s v="[2896]"/>
    <n v="2896"/>
    <s v="2015-04-05 Kendall Rocha [856]"/>
    <x v="58"/>
    <n v="5.99"/>
    <n v="2"/>
    <s v="unk"/>
    <d v="2017-01-13T01:08:04"/>
    <s v="unk"/>
    <d v="2017-01-13T01:08:04"/>
    <s v="unk"/>
    <x v="3"/>
    <x v="11"/>
  </r>
  <r>
    <s v="[2923]"/>
    <n v="2923"/>
    <s v="2015-04-25 Stuart Vega [864]"/>
    <x v="58"/>
    <n v="5.99"/>
    <n v="1"/>
    <s v="unk"/>
    <d v="2017-01-13T01:08:04"/>
    <s v="unk"/>
    <d v="2017-01-13T01:08:04"/>
    <s v="unk"/>
    <x v="3"/>
    <x v="10"/>
  </r>
  <r>
    <s v="[2924]"/>
    <n v="2924"/>
    <s v="2015-04-25 Stuart Vega [864]"/>
    <x v="60"/>
    <n v="8.99"/>
    <n v="2"/>
    <s v="unk"/>
    <d v="2017-01-13T01:08:04"/>
    <s v="unk"/>
    <d v="2017-01-13T01:08:04"/>
    <s v="unk"/>
    <x v="3"/>
    <x v="7"/>
  </r>
  <r>
    <s v="[2925]"/>
    <n v="2925"/>
    <s v="2015-04-25 Stuart Vega [864]"/>
    <x v="60"/>
    <n v="8.99"/>
    <n v="2"/>
    <s v="unk"/>
    <d v="2017-01-13T01:08:04"/>
    <s v="unk"/>
    <d v="2017-01-13T01:08:04"/>
    <s v="unk"/>
    <x v="3"/>
    <x v="7"/>
  </r>
  <r>
    <s v="[2977]"/>
    <n v="2977"/>
    <s v="2015-04-21 Melvin Finch [884]"/>
    <x v="58"/>
    <n v="5.99"/>
    <n v="1"/>
    <s v="unk"/>
    <d v="2017-01-13T01:08:04"/>
    <s v="unk"/>
    <d v="2017-01-13T01:08:04"/>
    <s v="unk"/>
    <x v="3"/>
    <x v="10"/>
  </r>
  <r>
    <s v="[2978]"/>
    <n v="2978"/>
    <s v="2015-04-21 Melvin Finch [884]"/>
    <x v="58"/>
    <n v="5.99"/>
    <n v="1"/>
    <s v="unk"/>
    <d v="2017-01-13T01:08:04"/>
    <s v="unk"/>
    <d v="2017-01-13T01:08:04"/>
    <s v="unk"/>
    <x v="3"/>
    <x v="10"/>
  </r>
  <r>
    <s v="[2979]"/>
    <n v="2979"/>
    <s v="2015-04-21 Melvin Finch [884]"/>
    <x v="49"/>
    <n v="8.99"/>
    <n v="1"/>
    <s v="unk"/>
    <d v="2017-01-13T01:08:04"/>
    <s v="unk"/>
    <d v="2017-01-13T01:08:04"/>
    <s v="unk"/>
    <x v="3"/>
    <x v="6"/>
  </r>
  <r>
    <s v="[3264]"/>
    <n v="3264"/>
    <s v="2015-04-15 Indira Suarez [970]"/>
    <x v="56"/>
    <n v="9.99"/>
    <n v="2"/>
    <s v="unk"/>
    <d v="2017-01-13T01:08:04"/>
    <s v="unk"/>
    <d v="2017-01-13T01:08:04"/>
    <s v="unk"/>
    <x v="3"/>
    <x v="4"/>
  </r>
  <r>
    <s v="[3265]"/>
    <n v="3265"/>
    <s v="2015-04-15 Indira Suarez [970]"/>
    <x v="59"/>
    <n v="7.99"/>
    <n v="1"/>
    <s v="unk"/>
    <d v="2017-01-13T01:08:04"/>
    <s v="unk"/>
    <d v="2017-01-13T01:08:04"/>
    <s v="unk"/>
    <x v="3"/>
    <x v="2"/>
  </r>
  <r>
    <s v="[3387]"/>
    <n v="3387"/>
    <s v="2015-04-14 Kendall Rocha [1003]"/>
    <x v="59"/>
    <n v="7.99"/>
    <n v="1"/>
    <s v="unk"/>
    <d v="2017-01-13T01:08:04"/>
    <s v="unk"/>
    <d v="2017-01-13T01:08:04"/>
    <s v="unk"/>
    <x v="3"/>
    <x v="2"/>
  </r>
  <r>
    <s v="[3388]"/>
    <n v="3388"/>
    <s v="2015-04-14 Kendall Rocha [1003]"/>
    <x v="49"/>
    <n v="8.99"/>
    <n v="1"/>
    <s v="unk"/>
    <d v="2017-01-13T01:08:04"/>
    <s v="unk"/>
    <d v="2017-01-13T01:08:04"/>
    <s v="unk"/>
    <x v="3"/>
    <x v="6"/>
  </r>
  <r>
    <s v="[3498]"/>
    <n v="3498"/>
    <s v="2015-04-19 Melvin Finch [1034]"/>
    <x v="62"/>
    <n v="5.99"/>
    <n v="2"/>
    <s v="unk"/>
    <d v="2017-01-13T01:08:04"/>
    <s v="unk"/>
    <d v="2017-01-13T01:08:04"/>
    <s v="unk"/>
    <x v="3"/>
    <x v="11"/>
  </r>
  <r>
    <s v="[3657]"/>
    <n v="3657"/>
    <s v="2015-04-20 Kendall Rocha [1078]"/>
    <x v="61"/>
    <n v="8.99"/>
    <n v="2"/>
    <s v="unk"/>
    <d v="2017-01-13T01:08:04"/>
    <s v="unk"/>
    <d v="2017-01-13T01:08:04"/>
    <s v="unk"/>
    <x v="3"/>
    <x v="7"/>
  </r>
  <r>
    <s v="[3728]"/>
    <n v="3728"/>
    <s v="2015-04-27 Rhoda Vance [1099]"/>
    <x v="28"/>
    <n v="9.99"/>
    <n v="1"/>
    <s v="unk"/>
    <d v="2017-01-13T01:08:04"/>
    <s v="unk"/>
    <d v="2017-01-13T01:08:04"/>
    <s v="unk"/>
    <x v="3"/>
    <x v="3"/>
  </r>
  <r>
    <s v="[3729]"/>
    <n v="3729"/>
    <s v="2015-04-27 Rhoda Vance [1099]"/>
    <x v="56"/>
    <n v="9.99"/>
    <n v="1"/>
    <s v="unk"/>
    <d v="2017-01-13T01:08:04"/>
    <s v="unk"/>
    <d v="2017-01-13T01:08:04"/>
    <s v="unk"/>
    <x v="3"/>
    <x v="3"/>
  </r>
  <r>
    <s v="[3730]"/>
    <n v="3730"/>
    <s v="2015-04-27 Rhoda Vance [1099]"/>
    <x v="56"/>
    <n v="9.99"/>
    <n v="2"/>
    <s v="unk"/>
    <d v="2017-01-13T01:08:04"/>
    <s v="unk"/>
    <d v="2017-01-13T01:08:04"/>
    <s v="unk"/>
    <x v="3"/>
    <x v="4"/>
  </r>
  <r>
    <s v="[3731]"/>
    <n v="3731"/>
    <s v="2015-04-27 Rhoda Vance [1099]"/>
    <x v="58"/>
    <n v="5.99"/>
    <n v="1"/>
    <s v="unk"/>
    <d v="2017-01-13T01:08:04"/>
    <s v="unk"/>
    <d v="2017-01-13T01:08:04"/>
    <s v="unk"/>
    <x v="3"/>
    <x v="10"/>
  </r>
  <r>
    <s v="[3732]"/>
    <n v="3732"/>
    <s v="2015-04-27 Rhoda Vance [1099]"/>
    <x v="56"/>
    <n v="9.99"/>
    <n v="1"/>
    <s v="unk"/>
    <d v="2017-01-13T01:08:04"/>
    <s v="unk"/>
    <d v="2017-01-13T01:08:04"/>
    <s v="unk"/>
    <x v="3"/>
    <x v="3"/>
  </r>
  <r>
    <s v="[3733]"/>
    <n v="3733"/>
    <s v="2015-04-27 Rhoda Vance [1099]"/>
    <x v="28"/>
    <n v="9.99"/>
    <n v="2"/>
    <s v="unk"/>
    <d v="2017-01-13T01:08:04"/>
    <s v="unk"/>
    <d v="2017-01-13T01:08:04"/>
    <s v="unk"/>
    <x v="3"/>
    <x v="4"/>
  </r>
  <r>
    <s v="[3734]"/>
    <n v="3734"/>
    <s v="2015-04-27 Rhoda Vance [1099]"/>
    <x v="58"/>
    <n v="5.99"/>
    <n v="2"/>
    <s v="unk"/>
    <d v="2017-01-13T01:08:04"/>
    <s v="unk"/>
    <d v="2017-01-13T01:08:04"/>
    <s v="unk"/>
    <x v="3"/>
    <x v="11"/>
  </r>
  <r>
    <s v="[3796]"/>
    <n v="3796"/>
    <s v="2015-04-01 Stuart Vega [1117]"/>
    <x v="38"/>
    <n v="7.99"/>
    <n v="1"/>
    <s v="unk"/>
    <d v="2017-01-13T01:08:04"/>
    <s v="unk"/>
    <d v="2017-01-13T01:08:04"/>
    <s v="unk"/>
    <x v="3"/>
    <x v="2"/>
  </r>
  <r>
    <s v="[3797]"/>
    <n v="3797"/>
    <s v="2015-04-01 Stuart Vega [1117]"/>
    <x v="57"/>
    <n v="6.99"/>
    <n v="1"/>
    <s v="unk"/>
    <d v="2017-01-13T01:08:04"/>
    <s v="unk"/>
    <d v="2017-01-13T01:08:04"/>
    <s v="unk"/>
    <x v="3"/>
    <x v="8"/>
  </r>
  <r>
    <s v="[4028]"/>
    <n v="4028"/>
    <s v="2015-04-17 Melvin Finch [1191]"/>
    <x v="49"/>
    <n v="8.99"/>
    <n v="1"/>
    <s v="unk"/>
    <d v="2017-01-13T01:08:04"/>
    <s v="unk"/>
    <d v="2017-01-13T01:08:04"/>
    <s v="unk"/>
    <x v="3"/>
    <x v="6"/>
  </r>
  <r>
    <s v="[4029]"/>
    <n v="4029"/>
    <s v="2015-04-17 Melvin Finch [1191]"/>
    <x v="61"/>
    <n v="8.99"/>
    <n v="2"/>
    <s v="unk"/>
    <d v="2017-01-13T01:08:04"/>
    <s v="unk"/>
    <d v="2017-01-13T01:08:04"/>
    <s v="unk"/>
    <x v="3"/>
    <x v="7"/>
  </r>
  <r>
    <s v="[4030]"/>
    <n v="4030"/>
    <s v="2015-04-17 Melvin Finch [1191]"/>
    <x v="38"/>
    <n v="7.99"/>
    <n v="2"/>
    <s v="unk"/>
    <d v="2017-01-13T01:08:04"/>
    <s v="unk"/>
    <d v="2017-01-13T01:08:04"/>
    <s v="unk"/>
    <x v="3"/>
    <x v="5"/>
  </r>
  <r>
    <s v="[4031]"/>
    <n v="4031"/>
    <s v="2015-04-17 Melvin Finch [1191]"/>
    <x v="61"/>
    <n v="8.99"/>
    <n v="1"/>
    <s v="unk"/>
    <d v="2017-01-13T01:08:04"/>
    <s v="unk"/>
    <d v="2017-01-13T01:08:04"/>
    <s v="unk"/>
    <x v="3"/>
    <x v="6"/>
  </r>
  <r>
    <s v="[4032]"/>
    <n v="4032"/>
    <s v="2015-04-17 Melvin Finch [1191]"/>
    <x v="38"/>
    <n v="7.99"/>
    <n v="2"/>
    <s v="unk"/>
    <d v="2017-01-13T01:08:04"/>
    <s v="unk"/>
    <d v="2017-01-13T01:08:04"/>
    <s v="unk"/>
    <x v="3"/>
    <x v="5"/>
  </r>
  <r>
    <s v="[4033]"/>
    <n v="4033"/>
    <s v="2015-04-17 Melvin Finch [1191]"/>
    <x v="57"/>
    <n v="6.99"/>
    <n v="1"/>
    <s v="unk"/>
    <d v="2017-01-13T01:08:04"/>
    <s v="unk"/>
    <d v="2017-01-13T01:08:04"/>
    <s v="unk"/>
    <x v="3"/>
    <x v="8"/>
  </r>
  <r>
    <s v="[4034]"/>
    <n v="4034"/>
    <s v="2015-04-17 Melvin Finch [1191]"/>
    <x v="59"/>
    <n v="7.99"/>
    <n v="1"/>
    <s v="unk"/>
    <d v="2017-01-13T01:08:04"/>
    <s v="unk"/>
    <d v="2017-01-13T01:08:04"/>
    <s v="unk"/>
    <x v="3"/>
    <x v="2"/>
  </r>
  <r>
    <s v="[4035]"/>
    <n v="4035"/>
    <s v="2015-04-17 Melvin Finch [1191]"/>
    <x v="62"/>
    <n v="5.99"/>
    <n v="2"/>
    <s v="unk"/>
    <d v="2017-01-13T01:08:04"/>
    <s v="unk"/>
    <d v="2017-01-13T01:08:04"/>
    <s v="unk"/>
    <x v="3"/>
    <x v="11"/>
  </r>
  <r>
    <s v="[176]"/>
    <n v="176"/>
    <s v="2015-05-26 April Buckley [54]"/>
    <x v="20"/>
    <n v="9.99"/>
    <n v="2"/>
    <s v="unk"/>
    <d v="2017-01-13T01:08:04"/>
    <s v="unk"/>
    <d v="2017-01-13T01:08:04"/>
    <s v="unk"/>
    <x v="4"/>
    <x v="4"/>
  </r>
  <r>
    <s v="[177]"/>
    <n v="177"/>
    <s v="2015-05-26 April Buckley [54]"/>
    <x v="97"/>
    <n v="4.99"/>
    <n v="1"/>
    <s v="unk"/>
    <d v="2017-01-13T01:08:04"/>
    <s v="unk"/>
    <d v="2017-01-13T01:08:04"/>
    <s v="unk"/>
    <x v="4"/>
    <x v="0"/>
  </r>
  <r>
    <s v="[178]"/>
    <n v="178"/>
    <s v="2015-05-26 April Buckley [54]"/>
    <x v="119"/>
    <n v="5.99"/>
    <n v="1"/>
    <s v="unk"/>
    <d v="2017-01-13T01:08:04"/>
    <s v="unk"/>
    <d v="2017-01-13T01:08:04"/>
    <s v="unk"/>
    <x v="4"/>
    <x v="10"/>
  </r>
  <r>
    <s v="[179]"/>
    <n v="179"/>
    <s v="2015-05-26 April Buckley [54]"/>
    <x v="120"/>
    <n v="6.99"/>
    <n v="2"/>
    <s v="unk"/>
    <d v="2017-01-13T01:08:04"/>
    <s v="unk"/>
    <d v="2017-01-13T01:08:04"/>
    <s v="unk"/>
    <x v="4"/>
    <x v="1"/>
  </r>
  <r>
    <s v="[369]"/>
    <n v="369"/>
    <s v="2015-05-20 Madeson Silva [120]"/>
    <x v="121"/>
    <n v="6.99"/>
    <n v="2"/>
    <s v="unk"/>
    <d v="2017-01-13T01:08:04"/>
    <s v="unk"/>
    <d v="2017-01-13T01:08:04"/>
    <s v="unk"/>
    <x v="4"/>
    <x v="1"/>
  </r>
  <r>
    <s v="[370]"/>
    <n v="370"/>
    <s v="2015-05-20 Madeson Silva [120]"/>
    <x v="122"/>
    <n v="9.99"/>
    <n v="1"/>
    <s v="unk"/>
    <d v="2017-01-13T01:08:04"/>
    <s v="unk"/>
    <d v="2017-01-13T01:08:04"/>
    <s v="unk"/>
    <x v="4"/>
    <x v="3"/>
  </r>
  <r>
    <s v="[611]"/>
    <n v="611"/>
    <s v="2015-05-12 Cadman Huffman [189]"/>
    <x v="123"/>
    <n v="8.99"/>
    <n v="2"/>
    <s v="unk"/>
    <d v="2017-01-13T01:08:04"/>
    <s v="unk"/>
    <d v="2017-01-13T01:08:04"/>
    <s v="unk"/>
    <x v="4"/>
    <x v="7"/>
  </r>
  <r>
    <s v="[612]"/>
    <n v="612"/>
    <s v="2015-05-12 Cadman Huffman [189]"/>
    <x v="124"/>
    <n v="5.99"/>
    <n v="2"/>
    <s v="unk"/>
    <d v="2017-01-13T01:08:04"/>
    <s v="unk"/>
    <d v="2017-01-13T01:08:04"/>
    <s v="unk"/>
    <x v="4"/>
    <x v="11"/>
  </r>
  <r>
    <s v="[655]"/>
    <n v="655"/>
    <s v="2015-05-24 Cadman Huffman [204]"/>
    <x v="53"/>
    <n v="8.99"/>
    <n v="1"/>
    <s v="unk"/>
    <d v="2017-01-13T01:08:04"/>
    <s v="unk"/>
    <d v="2017-01-13T01:08:04"/>
    <s v="unk"/>
    <x v="4"/>
    <x v="6"/>
  </r>
  <r>
    <s v="[656]"/>
    <n v="656"/>
    <s v="2015-05-24 Cadman Huffman [204]"/>
    <x v="28"/>
    <n v="9.99"/>
    <n v="1"/>
    <s v="unk"/>
    <d v="2017-01-13T01:08:04"/>
    <s v="unk"/>
    <d v="2017-01-13T01:08:04"/>
    <s v="unk"/>
    <x v="4"/>
    <x v="3"/>
  </r>
  <r>
    <s v="[657]"/>
    <n v="657"/>
    <s v="2015-05-24 Cadman Huffman [204]"/>
    <x v="40"/>
    <n v="6.99"/>
    <n v="1"/>
    <s v="unk"/>
    <d v="2017-01-13T01:08:04"/>
    <s v="unk"/>
    <d v="2017-01-13T01:08:04"/>
    <s v="unk"/>
    <x v="4"/>
    <x v="8"/>
  </r>
  <r>
    <s v="[658]"/>
    <n v="658"/>
    <s v="2015-05-24 Cadman Huffman [204]"/>
    <x v="23"/>
    <n v="9.99"/>
    <n v="1"/>
    <s v="unk"/>
    <d v="2017-01-13T01:08:04"/>
    <s v="unk"/>
    <d v="2017-01-13T01:08:04"/>
    <s v="unk"/>
    <x v="4"/>
    <x v="3"/>
  </r>
  <r>
    <s v="[659]"/>
    <n v="659"/>
    <s v="2015-05-24 Cadman Huffman [204]"/>
    <x v="72"/>
    <n v="8.99"/>
    <n v="1"/>
    <s v="unk"/>
    <d v="2017-01-13T01:08:04"/>
    <s v="unk"/>
    <d v="2017-01-13T01:08:04"/>
    <s v="unk"/>
    <x v="4"/>
    <x v="6"/>
  </r>
  <r>
    <s v="[799]"/>
    <n v="799"/>
    <s v="2015-05-25 Stacey Kirk [250]"/>
    <x v="46"/>
    <n v="7.99"/>
    <n v="1"/>
    <s v="unk"/>
    <d v="2017-01-13T01:08:04"/>
    <s v="unk"/>
    <d v="2017-01-13T01:08:04"/>
    <s v="unk"/>
    <x v="4"/>
    <x v="2"/>
  </r>
  <r>
    <s v="[800]"/>
    <n v="800"/>
    <s v="2015-05-25 Stacey Kirk [250]"/>
    <x v="39"/>
    <n v="9.99"/>
    <n v="1"/>
    <s v="unk"/>
    <d v="2017-01-13T01:08:04"/>
    <s v="unk"/>
    <d v="2017-01-13T01:08:04"/>
    <s v="unk"/>
    <x v="4"/>
    <x v="3"/>
  </r>
  <r>
    <s v="[801]"/>
    <n v="801"/>
    <s v="2015-05-25 Stacey Kirk [250]"/>
    <x v="25"/>
    <n v="9.99"/>
    <n v="1"/>
    <s v="unk"/>
    <d v="2017-01-13T01:08:04"/>
    <s v="unk"/>
    <d v="2017-01-13T01:08:04"/>
    <s v="unk"/>
    <x v="4"/>
    <x v="3"/>
  </r>
  <r>
    <s v="[802]"/>
    <n v="802"/>
    <s v="2015-05-25 Stacey Kirk [250]"/>
    <x v="23"/>
    <n v="9.99"/>
    <n v="2"/>
    <s v="unk"/>
    <d v="2017-01-13T01:08:04"/>
    <s v="unk"/>
    <d v="2017-01-13T01:08:04"/>
    <s v="unk"/>
    <x v="4"/>
    <x v="4"/>
  </r>
  <r>
    <s v="[837]"/>
    <n v="837"/>
    <s v="2015-05-14 Abigail Shepard [262]"/>
    <x v="73"/>
    <n v="9.99"/>
    <n v="1"/>
    <s v="unk"/>
    <d v="2017-01-13T01:08:04"/>
    <s v="unk"/>
    <d v="2017-01-13T01:08:04"/>
    <s v="unk"/>
    <x v="4"/>
    <x v="3"/>
  </r>
  <r>
    <s v="[838]"/>
    <n v="838"/>
    <s v="2015-05-14 Abigail Shepard [262]"/>
    <x v="27"/>
    <n v="4.99"/>
    <n v="2"/>
    <s v="unk"/>
    <d v="2017-01-13T01:08:04"/>
    <s v="unk"/>
    <d v="2017-01-13T01:08:04"/>
    <s v="unk"/>
    <x v="4"/>
    <x v="9"/>
  </r>
  <r>
    <s v="[839]"/>
    <n v="839"/>
    <s v="2015-05-18 Cadman Huffman [263]"/>
    <x v="38"/>
    <n v="7.99"/>
    <n v="1"/>
    <s v="unk"/>
    <d v="2017-01-13T01:08:04"/>
    <s v="unk"/>
    <d v="2017-01-13T01:08:04"/>
    <s v="unk"/>
    <x v="4"/>
    <x v="2"/>
  </r>
  <r>
    <s v="[840]"/>
    <n v="840"/>
    <s v="2015-05-18 Cadman Huffman [263]"/>
    <x v="37"/>
    <n v="6.99"/>
    <n v="1"/>
    <s v="unk"/>
    <d v="2017-01-13T01:08:04"/>
    <s v="unk"/>
    <d v="2017-01-13T01:08:04"/>
    <s v="unk"/>
    <x v="4"/>
    <x v="8"/>
  </r>
  <r>
    <s v="[841]"/>
    <n v="841"/>
    <s v="2015-05-18 Cadman Huffman [263]"/>
    <x v="109"/>
    <n v="8.99"/>
    <n v="2"/>
    <s v="unk"/>
    <d v="2017-01-13T01:08:04"/>
    <s v="unk"/>
    <d v="2017-01-13T01:08:04"/>
    <s v="unk"/>
    <x v="4"/>
    <x v="7"/>
  </r>
  <r>
    <s v="[842]"/>
    <n v="842"/>
    <s v="2015-05-18 Cadman Huffman [263]"/>
    <x v="23"/>
    <n v="9.99"/>
    <n v="2"/>
    <s v="unk"/>
    <d v="2017-01-13T01:08:04"/>
    <s v="unk"/>
    <d v="2017-01-13T01:08:04"/>
    <s v="unk"/>
    <x v="4"/>
    <x v="4"/>
  </r>
  <r>
    <s v="[843]"/>
    <n v="843"/>
    <s v="2015-05-18 Cadman Huffman [263]"/>
    <x v="72"/>
    <n v="8.99"/>
    <n v="1"/>
    <s v="unk"/>
    <d v="2017-01-13T01:08:04"/>
    <s v="unk"/>
    <d v="2017-01-13T01:08:04"/>
    <s v="unk"/>
    <x v="4"/>
    <x v="6"/>
  </r>
  <r>
    <s v="[849]"/>
    <n v="849"/>
    <s v="2015-05-24 Anne Slater [266]"/>
    <x v="78"/>
    <n v="8.99"/>
    <n v="1"/>
    <s v="unk"/>
    <d v="2017-01-13T01:08:04"/>
    <s v="unk"/>
    <d v="2017-01-13T01:08:04"/>
    <s v="unk"/>
    <x v="4"/>
    <x v="6"/>
  </r>
  <r>
    <s v="[850]"/>
    <n v="850"/>
    <s v="2015-05-24 Anne Slater [266]"/>
    <x v="23"/>
    <n v="9.99"/>
    <n v="1"/>
    <s v="unk"/>
    <d v="2017-01-13T01:08:04"/>
    <s v="unk"/>
    <d v="2017-01-13T01:08:04"/>
    <s v="unk"/>
    <x v="4"/>
    <x v="3"/>
  </r>
  <r>
    <s v="[851]"/>
    <n v="851"/>
    <s v="2015-05-24 Anne Slater [266]"/>
    <x v="32"/>
    <n v="6.99"/>
    <n v="1"/>
    <s v="unk"/>
    <d v="2017-01-13T01:08:04"/>
    <s v="unk"/>
    <d v="2017-01-13T01:08:04"/>
    <s v="unk"/>
    <x v="4"/>
    <x v="8"/>
  </r>
  <r>
    <s v="[893]"/>
    <n v="893"/>
    <s v="2015-05-30 Hayley Foster [279]"/>
    <x v="3"/>
    <n v="7.99"/>
    <n v="1"/>
    <s v="unk"/>
    <d v="2017-01-13T01:08:04"/>
    <s v="unk"/>
    <d v="2017-01-13T01:08:04"/>
    <s v="unk"/>
    <x v="4"/>
    <x v="2"/>
  </r>
  <r>
    <s v="[958]"/>
    <n v="958"/>
    <s v="2015-05-18 Mary Moore [297]"/>
    <x v="40"/>
    <n v="6.99"/>
    <n v="2"/>
    <s v="unk"/>
    <d v="2017-01-13T01:08:04"/>
    <s v="unk"/>
    <d v="2017-01-13T01:08:04"/>
    <s v="unk"/>
    <x v="4"/>
    <x v="1"/>
  </r>
  <r>
    <s v="[959]"/>
    <n v="959"/>
    <s v="2015-05-18 Mary Moore [297]"/>
    <x v="72"/>
    <n v="8.99"/>
    <n v="2"/>
    <s v="unk"/>
    <d v="2017-01-13T01:08:04"/>
    <s v="unk"/>
    <d v="2017-01-13T01:08:04"/>
    <s v="unk"/>
    <x v="4"/>
    <x v="7"/>
  </r>
  <r>
    <s v="[960]"/>
    <n v="960"/>
    <s v="2015-05-18 Mary Moore [297]"/>
    <x v="43"/>
    <n v="5.99"/>
    <n v="1"/>
    <s v="unk"/>
    <d v="2017-01-13T01:08:04"/>
    <s v="unk"/>
    <d v="2017-01-13T01:08:04"/>
    <s v="unk"/>
    <x v="4"/>
    <x v="10"/>
  </r>
  <r>
    <s v="[1069]"/>
    <n v="1069"/>
    <s v="2015-05-15 Mannix Owen [333]"/>
    <x v="47"/>
    <n v="4.99"/>
    <n v="2"/>
    <s v="unk"/>
    <d v="2017-01-13T01:08:04"/>
    <s v="unk"/>
    <d v="2017-01-13T01:08:04"/>
    <s v="unk"/>
    <x v="4"/>
    <x v="9"/>
  </r>
  <r>
    <s v="[1070]"/>
    <n v="1070"/>
    <s v="2015-05-15 Mannix Owen [333]"/>
    <x v="26"/>
    <n v="5.99"/>
    <n v="2"/>
    <s v="unk"/>
    <d v="2017-01-13T01:08:04"/>
    <s v="unk"/>
    <d v="2017-01-13T01:08:04"/>
    <s v="unk"/>
    <x v="4"/>
    <x v="11"/>
  </r>
  <r>
    <s v="[1071]"/>
    <n v="1071"/>
    <s v="2015-05-15 Mannix Owen [333]"/>
    <x v="75"/>
    <n v="5.99"/>
    <n v="1"/>
    <s v="unk"/>
    <d v="2017-01-13T01:08:04"/>
    <s v="unk"/>
    <d v="2017-01-13T01:08:04"/>
    <s v="unk"/>
    <x v="4"/>
    <x v="10"/>
  </r>
  <r>
    <s v="[1072]"/>
    <n v="1072"/>
    <s v="2015-05-15 Mannix Owen [333]"/>
    <x v="54"/>
    <n v="4.99"/>
    <n v="1"/>
    <s v="unk"/>
    <d v="2017-01-13T01:08:04"/>
    <s v="unk"/>
    <d v="2017-01-13T01:08:04"/>
    <s v="unk"/>
    <x v="4"/>
    <x v="0"/>
  </r>
  <r>
    <s v="[1073]"/>
    <n v="1073"/>
    <s v="2015-05-15 Mannix Owen [333]"/>
    <x v="8"/>
    <n v="7.99"/>
    <n v="1"/>
    <s v="unk"/>
    <d v="2017-01-13T01:08:04"/>
    <s v="unk"/>
    <d v="2017-01-13T01:08:04"/>
    <s v="unk"/>
    <x v="4"/>
    <x v="2"/>
  </r>
  <r>
    <s v="[1074]"/>
    <n v="1074"/>
    <s v="2015-05-15 Mannix Owen [333]"/>
    <x v="50"/>
    <n v="4.99"/>
    <n v="1"/>
    <s v="unk"/>
    <d v="2017-01-13T01:08:04"/>
    <s v="unk"/>
    <d v="2017-01-13T01:08:04"/>
    <s v="unk"/>
    <x v="4"/>
    <x v="0"/>
  </r>
  <r>
    <s v="[1085]"/>
    <n v="1085"/>
    <s v="2015-05-28 Clio Carter [337]"/>
    <x v="71"/>
    <n v="4.99"/>
    <n v="2"/>
    <s v="unk"/>
    <d v="2017-01-13T01:08:04"/>
    <s v="unk"/>
    <d v="2017-01-13T01:08:04"/>
    <s v="unk"/>
    <x v="4"/>
    <x v="9"/>
  </r>
  <r>
    <s v="[1086]"/>
    <n v="1086"/>
    <s v="2015-05-28 Clio Carter [337]"/>
    <x v="26"/>
    <n v="5.99"/>
    <n v="2"/>
    <s v="unk"/>
    <d v="2017-01-13T01:08:04"/>
    <s v="unk"/>
    <d v="2017-01-13T01:08:04"/>
    <s v="unk"/>
    <x v="4"/>
    <x v="11"/>
  </r>
  <r>
    <s v="[1087]"/>
    <n v="1087"/>
    <s v="2015-05-28 Clio Carter [337]"/>
    <x v="79"/>
    <n v="6.99"/>
    <n v="1"/>
    <s v="unk"/>
    <d v="2017-01-13T01:08:04"/>
    <s v="unk"/>
    <d v="2017-01-13T01:08:04"/>
    <s v="unk"/>
    <x v="4"/>
    <x v="8"/>
  </r>
  <r>
    <s v="[1088]"/>
    <n v="1088"/>
    <s v="2015-05-28 Clio Carter [337]"/>
    <x v="75"/>
    <n v="5.99"/>
    <n v="1"/>
    <s v="unk"/>
    <d v="2017-01-13T01:08:04"/>
    <s v="unk"/>
    <d v="2017-01-13T01:08:04"/>
    <s v="unk"/>
    <x v="4"/>
    <x v="10"/>
  </r>
  <r>
    <s v="[1177]"/>
    <n v="1177"/>
    <s v="2015-05-04 Lois Valdez [362]"/>
    <x v="109"/>
    <n v="8.99"/>
    <n v="2"/>
    <s v="unk"/>
    <d v="2017-01-13T01:08:04"/>
    <s v="unk"/>
    <d v="2017-01-13T01:08:04"/>
    <s v="unk"/>
    <x v="4"/>
    <x v="7"/>
  </r>
  <r>
    <s v="[1178]"/>
    <n v="1178"/>
    <s v="2015-05-04 Lois Valdez [362]"/>
    <x v="47"/>
    <n v="4.99"/>
    <n v="1"/>
    <s v="unk"/>
    <d v="2017-01-13T01:08:04"/>
    <s v="unk"/>
    <d v="2017-01-13T01:08:04"/>
    <s v="unk"/>
    <x v="4"/>
    <x v="0"/>
  </r>
  <r>
    <s v="[1179]"/>
    <n v="1179"/>
    <s v="2015-05-04 Lois Valdez [362]"/>
    <x v="38"/>
    <n v="7.99"/>
    <n v="1"/>
    <s v="unk"/>
    <d v="2017-01-13T01:08:04"/>
    <s v="unk"/>
    <d v="2017-01-13T01:08:04"/>
    <s v="unk"/>
    <x v="4"/>
    <x v="2"/>
  </r>
  <r>
    <s v="[1234]"/>
    <n v="1234"/>
    <s v="2015-05-01 Shelly Bridges [376]"/>
    <x v="69"/>
    <n v="9.99"/>
    <n v="1"/>
    <s v="unk"/>
    <d v="2017-01-13T01:08:04"/>
    <s v="unk"/>
    <d v="2017-01-13T01:08:04"/>
    <s v="unk"/>
    <x v="4"/>
    <x v="3"/>
  </r>
  <r>
    <s v="[1235]"/>
    <n v="1235"/>
    <s v="2015-05-01 Shelly Bridges [376]"/>
    <x v="26"/>
    <n v="5.99"/>
    <n v="2"/>
    <s v="unk"/>
    <d v="2017-01-13T01:08:04"/>
    <s v="unk"/>
    <d v="2017-01-13T01:08:04"/>
    <s v="unk"/>
    <x v="4"/>
    <x v="11"/>
  </r>
  <r>
    <s v="[1236]"/>
    <n v="1236"/>
    <s v="2015-05-01 Shelly Bridges [376]"/>
    <x v="48"/>
    <n v="9.99"/>
    <n v="1"/>
    <s v="unk"/>
    <d v="2017-01-13T01:08:04"/>
    <s v="unk"/>
    <d v="2017-01-13T01:08:04"/>
    <s v="unk"/>
    <x v="4"/>
    <x v="3"/>
  </r>
  <r>
    <s v="[1237]"/>
    <n v="1237"/>
    <s v="2015-05-11 Oprah Horton [377]"/>
    <x v="24"/>
    <n v="4.99"/>
    <n v="1"/>
    <s v="unk"/>
    <d v="2017-01-13T01:08:04"/>
    <s v="unk"/>
    <d v="2017-01-13T01:08:04"/>
    <s v="unk"/>
    <x v="4"/>
    <x v="0"/>
  </r>
  <r>
    <s v="[1238]"/>
    <n v="1238"/>
    <s v="2015-05-11 Oprah Horton [377]"/>
    <x v="52"/>
    <n v="6.99"/>
    <n v="2"/>
    <s v="unk"/>
    <d v="2017-01-13T01:08:04"/>
    <s v="unk"/>
    <d v="2017-01-13T01:08:04"/>
    <s v="unk"/>
    <x v="4"/>
    <x v="1"/>
  </r>
  <r>
    <s v="[1243]"/>
    <n v="1243"/>
    <s v="2015-05-22 Lucius Gallagher [379]"/>
    <x v="38"/>
    <n v="7.99"/>
    <n v="1"/>
    <s v="unk"/>
    <d v="2017-01-13T01:08:04"/>
    <s v="unk"/>
    <d v="2017-01-13T01:08:04"/>
    <s v="unk"/>
    <x v="4"/>
    <x v="2"/>
  </r>
  <r>
    <s v="[1244]"/>
    <n v="1244"/>
    <s v="2015-05-22 Lucius Gallagher [379]"/>
    <x v="31"/>
    <n v="5.99"/>
    <n v="1"/>
    <s v="unk"/>
    <d v="2017-01-13T01:08:04"/>
    <s v="unk"/>
    <d v="2017-01-13T01:08:04"/>
    <s v="unk"/>
    <x v="4"/>
    <x v="10"/>
  </r>
  <r>
    <s v="[1245]"/>
    <n v="1245"/>
    <s v="2015-05-22 Lucius Gallagher [379]"/>
    <x v="37"/>
    <n v="6.99"/>
    <n v="1"/>
    <s v="unk"/>
    <d v="2017-01-13T01:08:04"/>
    <s v="unk"/>
    <d v="2017-01-13T01:08:04"/>
    <s v="unk"/>
    <x v="4"/>
    <x v="8"/>
  </r>
  <r>
    <s v="[1273]"/>
    <n v="1273"/>
    <s v="2015-05-23 John Drake [388]"/>
    <x v="39"/>
    <n v="9.99"/>
    <n v="1"/>
    <s v="unk"/>
    <d v="2017-01-13T01:08:04"/>
    <s v="unk"/>
    <d v="2017-01-13T01:08:04"/>
    <s v="unk"/>
    <x v="4"/>
    <x v="3"/>
  </r>
  <r>
    <s v="[1274]"/>
    <n v="1274"/>
    <s v="2015-05-23 John Drake [388]"/>
    <x v="31"/>
    <n v="5.99"/>
    <n v="1"/>
    <s v="unk"/>
    <d v="2017-01-13T01:08:04"/>
    <s v="unk"/>
    <d v="2017-01-13T01:08:04"/>
    <s v="unk"/>
    <x v="4"/>
    <x v="10"/>
  </r>
  <r>
    <s v="[1275]"/>
    <n v="1275"/>
    <s v="2015-05-23 John Drake [388]"/>
    <x v="42"/>
    <n v="5.99"/>
    <n v="1"/>
    <s v="unk"/>
    <d v="2017-01-13T01:08:04"/>
    <s v="unk"/>
    <d v="2017-01-13T01:08:04"/>
    <s v="unk"/>
    <x v="4"/>
    <x v="10"/>
  </r>
  <r>
    <s v="[1276]"/>
    <n v="1276"/>
    <s v="2015-05-23 John Drake [388]"/>
    <x v="37"/>
    <n v="6.99"/>
    <n v="1"/>
    <s v="unk"/>
    <d v="2017-01-13T01:08:04"/>
    <s v="unk"/>
    <d v="2017-01-13T01:08:04"/>
    <s v="unk"/>
    <x v="4"/>
    <x v="8"/>
  </r>
  <r>
    <s v="[1277]"/>
    <n v="1277"/>
    <s v="2015-05-23 John Drake [388]"/>
    <x v="5"/>
    <n v="9.99"/>
    <n v="1"/>
    <s v="unk"/>
    <d v="2017-01-13T01:08:04"/>
    <s v="unk"/>
    <d v="2017-01-13T01:08:04"/>
    <s v="unk"/>
    <x v="4"/>
    <x v="3"/>
  </r>
  <r>
    <s v="[1278]"/>
    <n v="1278"/>
    <s v="2015-05-23 John Drake [388]"/>
    <x v="37"/>
    <n v="6.99"/>
    <n v="2"/>
    <s v="unk"/>
    <d v="2017-01-13T01:08:04"/>
    <s v="unk"/>
    <d v="2017-01-13T01:08:04"/>
    <s v="unk"/>
    <x v="4"/>
    <x v="1"/>
  </r>
  <r>
    <s v="[1279]"/>
    <n v="1279"/>
    <s v="2015-05-23 John Drake [388]"/>
    <x v="37"/>
    <n v="6.99"/>
    <n v="1"/>
    <s v="unk"/>
    <d v="2017-01-13T01:08:04"/>
    <s v="unk"/>
    <d v="2017-01-13T01:08:04"/>
    <s v="unk"/>
    <x v="4"/>
    <x v="8"/>
  </r>
  <r>
    <s v="[1297]"/>
    <n v="1297"/>
    <s v="2015-05-22 Quinn Ewing [394]"/>
    <x v="36"/>
    <n v="6.99"/>
    <n v="1"/>
    <s v="unk"/>
    <d v="2017-01-13T01:08:04"/>
    <s v="unk"/>
    <d v="2017-01-13T01:08:04"/>
    <s v="unk"/>
    <x v="4"/>
    <x v="8"/>
  </r>
  <r>
    <s v="[1298]"/>
    <n v="1298"/>
    <s v="2015-05-22 Quinn Ewing [394]"/>
    <x v="74"/>
    <n v="6.99"/>
    <n v="1"/>
    <s v="unk"/>
    <d v="2017-01-13T01:08:04"/>
    <s v="unk"/>
    <d v="2017-01-13T01:08:04"/>
    <s v="unk"/>
    <x v="4"/>
    <x v="8"/>
  </r>
  <r>
    <s v="[1299]"/>
    <n v="1299"/>
    <s v="2015-05-22 Quinn Ewing [394]"/>
    <x v="74"/>
    <n v="6.99"/>
    <n v="1"/>
    <s v="unk"/>
    <d v="2017-01-13T01:08:04"/>
    <s v="unk"/>
    <d v="2017-01-13T01:08:04"/>
    <s v="unk"/>
    <x v="4"/>
    <x v="8"/>
  </r>
  <r>
    <s v="[1351]"/>
    <n v="1351"/>
    <s v="2015-05-16 Donna Molina [409]"/>
    <x v="55"/>
    <n v="9.99"/>
    <n v="1"/>
    <s v="unk"/>
    <d v="2017-01-13T01:08:04"/>
    <s v="unk"/>
    <d v="2017-01-13T01:08:04"/>
    <s v="unk"/>
    <x v="4"/>
    <x v="3"/>
  </r>
  <r>
    <s v="[1352]"/>
    <n v="1352"/>
    <s v="2015-05-16 Donna Molina [409]"/>
    <x v="53"/>
    <n v="8.99"/>
    <n v="1"/>
    <s v="unk"/>
    <d v="2017-01-13T01:08:04"/>
    <s v="unk"/>
    <d v="2017-01-13T01:08:04"/>
    <s v="unk"/>
    <x v="4"/>
    <x v="6"/>
  </r>
  <r>
    <s v="[1357]"/>
    <n v="1357"/>
    <s v="2015-05-12 Mohammad Carrillo [412]"/>
    <x v="34"/>
    <n v="8.99"/>
    <n v="2"/>
    <s v="unk"/>
    <d v="2017-01-13T01:08:04"/>
    <s v="unk"/>
    <d v="2017-01-13T01:08:04"/>
    <s v="unk"/>
    <x v="4"/>
    <x v="7"/>
  </r>
  <r>
    <s v="[1358]"/>
    <n v="1358"/>
    <s v="2015-05-12 Mohammad Carrillo [412]"/>
    <x v="34"/>
    <n v="8.99"/>
    <n v="1"/>
    <s v="unk"/>
    <d v="2017-01-13T01:08:04"/>
    <s v="unk"/>
    <d v="2017-01-13T01:08:04"/>
    <s v="unk"/>
    <x v="4"/>
    <x v="6"/>
  </r>
  <r>
    <s v="[1359]"/>
    <n v="1359"/>
    <s v="2015-05-12 Mohammad Carrillo [412]"/>
    <x v="41"/>
    <n v="7.99"/>
    <n v="1"/>
    <s v="unk"/>
    <d v="2017-01-13T01:08:04"/>
    <s v="unk"/>
    <d v="2017-01-13T01:08:04"/>
    <s v="unk"/>
    <x v="4"/>
    <x v="2"/>
  </r>
  <r>
    <s v="[1401]"/>
    <n v="1401"/>
    <s v="2015-05-05 Adrian Dodson [426]"/>
    <x v="29"/>
    <n v="8.99"/>
    <n v="1"/>
    <s v="unk"/>
    <d v="2017-01-13T01:08:04"/>
    <s v="unk"/>
    <d v="2017-01-13T01:08:04"/>
    <s v="unk"/>
    <x v="4"/>
    <x v="6"/>
  </r>
  <r>
    <s v="[1402]"/>
    <n v="1402"/>
    <s v="2015-05-05 Adrian Dodson [426]"/>
    <x v="33"/>
    <n v="9.99"/>
    <n v="1"/>
    <s v="unk"/>
    <d v="2017-01-13T01:08:04"/>
    <s v="unk"/>
    <d v="2017-01-13T01:08:04"/>
    <s v="unk"/>
    <x v="4"/>
    <x v="3"/>
  </r>
  <r>
    <s v="[1403]"/>
    <n v="1403"/>
    <s v="2015-05-05 Adrian Dodson [426]"/>
    <x v="69"/>
    <n v="9.99"/>
    <n v="2"/>
    <s v="unk"/>
    <d v="2017-01-13T01:08:04"/>
    <s v="unk"/>
    <d v="2017-01-13T01:08:04"/>
    <s v="unk"/>
    <x v="4"/>
    <x v="4"/>
  </r>
  <r>
    <s v="[1404]"/>
    <n v="1404"/>
    <s v="2015-05-05 Adrian Dodson [426]"/>
    <x v="52"/>
    <n v="6.99"/>
    <n v="1"/>
    <s v="unk"/>
    <d v="2017-01-13T01:08:04"/>
    <s v="unk"/>
    <d v="2017-01-13T01:08:04"/>
    <s v="unk"/>
    <x v="4"/>
    <x v="8"/>
  </r>
  <r>
    <s v="[1532]"/>
    <n v="1532"/>
    <s v="2015-05-08 Lesley Keith [460]"/>
    <x v="45"/>
    <n v="8.99"/>
    <n v="1"/>
    <s v="unk"/>
    <d v="2017-01-13T01:08:04"/>
    <s v="unk"/>
    <d v="2017-01-13T01:08:04"/>
    <s v="unk"/>
    <x v="4"/>
    <x v="6"/>
  </r>
  <r>
    <s v="[1799]"/>
    <n v="1799"/>
    <s v="2015-05-18 Cadman Huffman [535]"/>
    <x v="73"/>
    <n v="9.99"/>
    <n v="1"/>
    <s v="unk"/>
    <d v="2017-01-13T01:08:04"/>
    <s v="unk"/>
    <d v="2017-01-13T01:08:04"/>
    <s v="unk"/>
    <x v="4"/>
    <x v="3"/>
  </r>
  <r>
    <s v="[1800]"/>
    <n v="1800"/>
    <s v="2015-05-18 Cadman Huffman [535]"/>
    <x v="33"/>
    <n v="9.99"/>
    <n v="1"/>
    <s v="unk"/>
    <d v="2017-01-13T01:08:04"/>
    <s v="unk"/>
    <d v="2017-01-13T01:08:04"/>
    <s v="unk"/>
    <x v="4"/>
    <x v="3"/>
  </r>
  <r>
    <s v="[1801]"/>
    <n v="1801"/>
    <s v="2015-05-18 Cadman Huffman [535]"/>
    <x v="76"/>
    <n v="4.99"/>
    <n v="1"/>
    <s v="unk"/>
    <d v="2017-01-13T01:08:04"/>
    <s v="unk"/>
    <d v="2017-01-13T01:08:04"/>
    <s v="unk"/>
    <x v="4"/>
    <x v="0"/>
  </r>
  <r>
    <s v="[1802]"/>
    <n v="1802"/>
    <s v="2015-05-18 Cadman Huffman [535]"/>
    <x v="28"/>
    <n v="9.99"/>
    <n v="1"/>
    <s v="unk"/>
    <d v="2017-01-13T01:08:04"/>
    <s v="unk"/>
    <d v="2017-01-13T01:08:04"/>
    <s v="unk"/>
    <x v="4"/>
    <x v="3"/>
  </r>
  <r>
    <s v="[1841]"/>
    <n v="1841"/>
    <s v="2015-05-25 Akeem Kennedy [549]"/>
    <x v="51"/>
    <n v="9.99"/>
    <n v="1"/>
    <s v="unk"/>
    <d v="2017-01-13T01:08:04"/>
    <s v="unk"/>
    <d v="2017-01-13T01:08:04"/>
    <s v="unk"/>
    <x v="4"/>
    <x v="3"/>
  </r>
  <r>
    <s v="[1842]"/>
    <n v="1842"/>
    <s v="2015-05-25 Akeem Kennedy [549]"/>
    <x v="46"/>
    <n v="7.99"/>
    <n v="1"/>
    <s v="unk"/>
    <d v="2017-01-13T01:08:04"/>
    <s v="unk"/>
    <d v="2017-01-13T01:08:04"/>
    <s v="unk"/>
    <x v="4"/>
    <x v="2"/>
  </r>
  <r>
    <s v="[1843]"/>
    <n v="1843"/>
    <s v="2015-05-25 Akeem Kennedy [549]"/>
    <x v="46"/>
    <n v="7.99"/>
    <n v="1"/>
    <s v="unk"/>
    <d v="2017-01-13T01:08:04"/>
    <s v="unk"/>
    <d v="2017-01-13T01:08:04"/>
    <s v="unk"/>
    <x v="4"/>
    <x v="2"/>
  </r>
  <r>
    <s v="[1844]"/>
    <n v="1844"/>
    <s v="2015-05-25 Akeem Kennedy [549]"/>
    <x v="43"/>
    <n v="5.99"/>
    <n v="2"/>
    <s v="unk"/>
    <d v="2017-01-13T01:08:04"/>
    <s v="unk"/>
    <d v="2017-01-13T01:08:04"/>
    <s v="unk"/>
    <x v="4"/>
    <x v="11"/>
  </r>
  <r>
    <s v="[1845]"/>
    <n v="1845"/>
    <s v="2015-05-25 Akeem Kennedy [549]"/>
    <x v="72"/>
    <n v="8.99"/>
    <n v="2"/>
    <s v="unk"/>
    <d v="2017-01-13T01:08:04"/>
    <s v="unk"/>
    <d v="2017-01-13T01:08:04"/>
    <s v="unk"/>
    <x v="4"/>
    <x v="7"/>
  </r>
  <r>
    <s v="[1876]"/>
    <n v="1876"/>
    <s v="2015-05-17 Bruce Woods [559]"/>
    <x v="31"/>
    <n v="5.99"/>
    <n v="1"/>
    <s v="unk"/>
    <d v="2017-01-13T01:08:04"/>
    <s v="unk"/>
    <d v="2017-01-13T01:08:04"/>
    <s v="unk"/>
    <x v="4"/>
    <x v="10"/>
  </r>
  <r>
    <s v="[1931]"/>
    <n v="1931"/>
    <s v="2015-05-16 Armando Le [579]"/>
    <x v="46"/>
    <n v="7.99"/>
    <n v="1"/>
    <s v="unk"/>
    <d v="2017-01-13T01:08:04"/>
    <s v="unk"/>
    <d v="2017-01-13T01:08:04"/>
    <s v="unk"/>
    <x v="4"/>
    <x v="2"/>
  </r>
  <r>
    <s v="[1991]"/>
    <n v="1991"/>
    <s v="2015-05-25 Lionel Vargas [598]"/>
    <x v="53"/>
    <n v="8.99"/>
    <n v="1"/>
    <s v="unk"/>
    <d v="2017-01-13T01:08:04"/>
    <s v="unk"/>
    <d v="2017-01-13T01:08:04"/>
    <s v="unk"/>
    <x v="4"/>
    <x v="6"/>
  </r>
  <r>
    <s v="[1992]"/>
    <n v="1992"/>
    <s v="2015-05-25 Lionel Vargas [598]"/>
    <x v="50"/>
    <n v="4.99"/>
    <n v="1"/>
    <s v="unk"/>
    <d v="2017-01-13T01:08:04"/>
    <s v="unk"/>
    <d v="2017-01-13T01:08:04"/>
    <s v="unk"/>
    <x v="4"/>
    <x v="0"/>
  </r>
  <r>
    <s v="[1993]"/>
    <n v="1993"/>
    <s v="2015-05-25 Lionel Vargas [598]"/>
    <x v="30"/>
    <n v="5.99"/>
    <n v="1"/>
    <s v="unk"/>
    <d v="2017-01-13T01:08:04"/>
    <s v="unk"/>
    <d v="2017-01-13T01:08:04"/>
    <s v="unk"/>
    <x v="4"/>
    <x v="10"/>
  </r>
  <r>
    <s v="[2044]"/>
    <n v="2044"/>
    <s v="2015-05-27 Yoshi Bennett [610]"/>
    <x v="57"/>
    <n v="6.99"/>
    <n v="2"/>
    <s v="unk"/>
    <d v="2017-01-13T01:08:04"/>
    <s v="unk"/>
    <d v="2017-01-13T01:08:04"/>
    <s v="unk"/>
    <x v="4"/>
    <x v="1"/>
  </r>
  <r>
    <s v="[2100]"/>
    <n v="2100"/>
    <s v="2015-05-09 Christine Medina [625]"/>
    <x v="73"/>
    <n v="9.99"/>
    <n v="1"/>
    <s v="unk"/>
    <d v="2017-01-13T01:08:04"/>
    <s v="unk"/>
    <d v="2017-01-13T01:08:04"/>
    <s v="unk"/>
    <x v="4"/>
    <x v="3"/>
  </r>
  <r>
    <s v="[2101]"/>
    <n v="2101"/>
    <s v="2015-05-09 Christine Medina [625]"/>
    <x v="35"/>
    <n v="6.99"/>
    <n v="1"/>
    <s v="unk"/>
    <d v="2017-01-13T01:08:04"/>
    <s v="unk"/>
    <d v="2017-01-13T01:08:04"/>
    <s v="unk"/>
    <x v="4"/>
    <x v="8"/>
  </r>
  <r>
    <s v="[2102]"/>
    <n v="2102"/>
    <s v="2015-05-09 Christine Medina [625]"/>
    <x v="43"/>
    <n v="5.99"/>
    <n v="1"/>
    <s v="unk"/>
    <d v="2017-01-13T01:08:04"/>
    <s v="unk"/>
    <d v="2017-01-13T01:08:04"/>
    <s v="unk"/>
    <x v="4"/>
    <x v="10"/>
  </r>
  <r>
    <s v="[2103]"/>
    <n v="2103"/>
    <s v="2015-05-09 Christine Medina [625]"/>
    <x v="45"/>
    <n v="8.99"/>
    <n v="1"/>
    <s v="unk"/>
    <d v="2017-01-13T01:08:04"/>
    <s v="unk"/>
    <d v="2017-01-13T01:08:04"/>
    <s v="unk"/>
    <x v="4"/>
    <x v="6"/>
  </r>
  <r>
    <s v="[2104]"/>
    <n v="2104"/>
    <s v="2015-05-09 Christine Medina [625]"/>
    <x v="31"/>
    <n v="5.99"/>
    <n v="1"/>
    <s v="unk"/>
    <d v="2017-01-13T01:08:04"/>
    <s v="unk"/>
    <d v="2017-01-13T01:08:04"/>
    <s v="unk"/>
    <x v="4"/>
    <x v="10"/>
  </r>
  <r>
    <s v="[2131]"/>
    <n v="2131"/>
    <s v="2015-05-13 Hayley Foster [634]"/>
    <x v="47"/>
    <n v="4.99"/>
    <n v="1"/>
    <s v="unk"/>
    <d v="2017-01-13T01:08:04"/>
    <s v="unk"/>
    <d v="2017-01-13T01:08:04"/>
    <s v="unk"/>
    <x v="4"/>
    <x v="0"/>
  </r>
  <r>
    <s v="[2132]"/>
    <n v="2132"/>
    <s v="2015-05-13 Hayley Foster [634]"/>
    <x v="27"/>
    <n v="4.99"/>
    <n v="2"/>
    <s v="unk"/>
    <d v="2017-01-13T01:08:04"/>
    <s v="unk"/>
    <d v="2017-01-13T01:08:04"/>
    <s v="unk"/>
    <x v="4"/>
    <x v="9"/>
  </r>
  <r>
    <s v="[2222]"/>
    <n v="2222"/>
    <s v="2015-05-24 Cadman Huffman [665]"/>
    <x v="36"/>
    <n v="6.99"/>
    <n v="1"/>
    <s v="unk"/>
    <d v="2017-01-13T01:08:04"/>
    <s v="unk"/>
    <d v="2017-01-13T01:08:04"/>
    <s v="unk"/>
    <x v="4"/>
    <x v="8"/>
  </r>
  <r>
    <s v="[2223]"/>
    <n v="2223"/>
    <s v="2015-05-24 Cadman Huffman [665]"/>
    <x v="40"/>
    <n v="6.99"/>
    <n v="1"/>
    <s v="unk"/>
    <d v="2017-01-13T01:08:04"/>
    <s v="unk"/>
    <d v="2017-01-13T01:08:04"/>
    <s v="unk"/>
    <x v="4"/>
    <x v="8"/>
  </r>
  <r>
    <s v="[2224]"/>
    <n v="2224"/>
    <s v="2015-05-24 Cadman Huffman [665]"/>
    <x v="43"/>
    <n v="5.99"/>
    <n v="2"/>
    <s v="unk"/>
    <d v="2017-01-13T01:08:04"/>
    <s v="unk"/>
    <d v="2017-01-13T01:08:04"/>
    <s v="unk"/>
    <x v="4"/>
    <x v="11"/>
  </r>
  <r>
    <s v="[2294]"/>
    <n v="2294"/>
    <s v="2015-05-01 Mary Moore [687]"/>
    <x v="71"/>
    <n v="4.99"/>
    <n v="1"/>
    <s v="unk"/>
    <d v="2017-01-13T01:08:04"/>
    <s v="unk"/>
    <d v="2017-01-13T01:08:04"/>
    <s v="unk"/>
    <x v="4"/>
    <x v="0"/>
  </r>
  <r>
    <s v="[2295]"/>
    <n v="2295"/>
    <s v="2015-05-01 Mary Moore [687]"/>
    <x v="109"/>
    <n v="8.99"/>
    <n v="1"/>
    <s v="unk"/>
    <d v="2017-01-13T01:08:04"/>
    <s v="unk"/>
    <d v="2017-01-13T01:08:04"/>
    <s v="unk"/>
    <x v="4"/>
    <x v="6"/>
  </r>
  <r>
    <s v="[2420]"/>
    <n v="2420"/>
    <s v="2015-05-09 Stuart Vega [724]"/>
    <x v="59"/>
    <n v="7.99"/>
    <n v="1"/>
    <s v="unk"/>
    <d v="2017-01-13T01:08:04"/>
    <s v="unk"/>
    <d v="2017-01-13T01:08:04"/>
    <s v="unk"/>
    <x v="4"/>
    <x v="2"/>
  </r>
  <r>
    <s v="[2421]"/>
    <n v="2421"/>
    <s v="2015-05-06 Stuart Vega [725]"/>
    <x v="56"/>
    <n v="9.99"/>
    <n v="1"/>
    <s v="unk"/>
    <d v="2017-01-13T01:08:04"/>
    <s v="unk"/>
    <d v="2017-01-13T01:08:04"/>
    <s v="unk"/>
    <x v="4"/>
    <x v="3"/>
  </r>
  <r>
    <s v="[2422]"/>
    <n v="2422"/>
    <s v="2015-05-06 Stuart Vega [725]"/>
    <x v="38"/>
    <n v="7.99"/>
    <n v="1"/>
    <s v="unk"/>
    <d v="2017-01-13T01:08:04"/>
    <s v="unk"/>
    <d v="2017-01-13T01:08:04"/>
    <s v="unk"/>
    <x v="4"/>
    <x v="2"/>
  </r>
  <r>
    <s v="[2423]"/>
    <n v="2423"/>
    <s v="2015-05-06 Stuart Vega [725]"/>
    <x v="62"/>
    <n v="5.99"/>
    <n v="1"/>
    <s v="unk"/>
    <d v="2017-01-13T01:08:04"/>
    <s v="unk"/>
    <d v="2017-01-13T01:08:04"/>
    <s v="unk"/>
    <x v="4"/>
    <x v="10"/>
  </r>
  <r>
    <s v="[2424]"/>
    <n v="2424"/>
    <s v="2015-05-06 Stuart Vega [725]"/>
    <x v="58"/>
    <n v="5.99"/>
    <n v="2"/>
    <s v="unk"/>
    <d v="2017-01-13T01:08:04"/>
    <s v="unk"/>
    <d v="2017-01-13T01:08:04"/>
    <s v="unk"/>
    <x v="4"/>
    <x v="11"/>
  </r>
  <r>
    <s v="[2467]"/>
    <n v="2467"/>
    <s v="2015-05-20 Melvin Finch [739]"/>
    <x v="58"/>
    <n v="5.99"/>
    <n v="2"/>
    <s v="unk"/>
    <d v="2017-01-13T01:08:04"/>
    <s v="unk"/>
    <d v="2017-01-13T01:08:04"/>
    <s v="unk"/>
    <x v="4"/>
    <x v="11"/>
  </r>
  <r>
    <s v="[2468]"/>
    <n v="2468"/>
    <s v="2015-05-20 Melvin Finch [739]"/>
    <x v="60"/>
    <n v="8.99"/>
    <n v="2"/>
    <s v="unk"/>
    <d v="2017-01-13T01:08:04"/>
    <s v="unk"/>
    <d v="2017-01-13T01:08:04"/>
    <s v="unk"/>
    <x v="4"/>
    <x v="7"/>
  </r>
  <r>
    <s v="[2469]"/>
    <n v="2469"/>
    <s v="2015-05-20 Melvin Finch [739]"/>
    <x v="57"/>
    <n v="6.99"/>
    <n v="1"/>
    <s v="unk"/>
    <d v="2017-01-13T01:08:04"/>
    <s v="unk"/>
    <d v="2017-01-13T01:08:04"/>
    <s v="unk"/>
    <x v="4"/>
    <x v="8"/>
  </r>
  <r>
    <s v="[2470]"/>
    <n v="2470"/>
    <s v="2015-05-20 Melvin Finch [739]"/>
    <x v="62"/>
    <n v="5.99"/>
    <n v="1"/>
    <s v="unk"/>
    <d v="2017-01-13T01:08:04"/>
    <s v="unk"/>
    <d v="2017-01-13T01:08:04"/>
    <s v="unk"/>
    <x v="4"/>
    <x v="10"/>
  </r>
  <r>
    <s v="[2471]"/>
    <n v="2471"/>
    <s v="2015-05-20 Melvin Finch [739]"/>
    <x v="59"/>
    <n v="7.99"/>
    <n v="1"/>
    <s v="unk"/>
    <d v="2017-01-13T01:08:04"/>
    <s v="unk"/>
    <d v="2017-01-13T01:08:04"/>
    <s v="unk"/>
    <x v="4"/>
    <x v="2"/>
  </r>
  <r>
    <s v="[2556]"/>
    <n v="2556"/>
    <s v="2015-05-26 Cameron Rivera [766]"/>
    <x v="56"/>
    <n v="9.99"/>
    <n v="2"/>
    <s v="unk"/>
    <d v="2017-01-13T01:08:04"/>
    <s v="unk"/>
    <d v="2017-01-13T01:08:04"/>
    <s v="unk"/>
    <x v="4"/>
    <x v="4"/>
  </r>
  <r>
    <s v="[2557]"/>
    <n v="2557"/>
    <s v="2015-05-26 Cameron Rivera [766]"/>
    <x v="61"/>
    <n v="8.99"/>
    <n v="1"/>
    <s v="unk"/>
    <d v="2017-01-13T01:08:04"/>
    <s v="unk"/>
    <d v="2017-01-13T01:08:04"/>
    <s v="unk"/>
    <x v="4"/>
    <x v="6"/>
  </r>
  <r>
    <s v="[2558]"/>
    <n v="2558"/>
    <s v="2015-05-26 Cameron Rivera [766]"/>
    <x v="58"/>
    <n v="5.99"/>
    <n v="2"/>
    <s v="unk"/>
    <d v="2017-01-13T01:08:04"/>
    <s v="unk"/>
    <d v="2017-01-13T01:08:04"/>
    <s v="unk"/>
    <x v="4"/>
    <x v="11"/>
  </r>
  <r>
    <s v="[2559]"/>
    <n v="2559"/>
    <s v="2015-05-26 Cameron Rivera [766]"/>
    <x v="28"/>
    <n v="9.99"/>
    <n v="1"/>
    <s v="unk"/>
    <d v="2017-01-13T01:08:04"/>
    <s v="unk"/>
    <d v="2017-01-13T01:08:04"/>
    <s v="unk"/>
    <x v="4"/>
    <x v="3"/>
  </r>
  <r>
    <s v="[2643]"/>
    <n v="2643"/>
    <s v="2015-05-10 Eugenia Roman [788]"/>
    <x v="49"/>
    <n v="8.99"/>
    <n v="1"/>
    <s v="unk"/>
    <d v="2017-01-13T01:08:04"/>
    <s v="unk"/>
    <d v="2017-01-13T01:08:04"/>
    <s v="unk"/>
    <x v="4"/>
    <x v="6"/>
  </r>
  <r>
    <s v="[2644]"/>
    <n v="2644"/>
    <s v="2015-05-10 Eugenia Roman [788]"/>
    <x v="56"/>
    <n v="9.99"/>
    <n v="1"/>
    <s v="unk"/>
    <d v="2017-01-13T01:08:04"/>
    <s v="unk"/>
    <d v="2017-01-13T01:08:04"/>
    <s v="unk"/>
    <x v="4"/>
    <x v="3"/>
  </r>
  <r>
    <s v="[2645]"/>
    <n v="2645"/>
    <s v="2015-05-10 Eugenia Roman [788]"/>
    <x v="60"/>
    <n v="8.99"/>
    <n v="2"/>
    <s v="unk"/>
    <d v="2017-01-13T01:08:04"/>
    <s v="unk"/>
    <d v="2017-01-13T01:08:04"/>
    <s v="unk"/>
    <x v="4"/>
    <x v="7"/>
  </r>
  <r>
    <s v="[2646]"/>
    <n v="2646"/>
    <s v="2015-05-10 Eugenia Roman [788]"/>
    <x v="28"/>
    <n v="9.99"/>
    <n v="2"/>
    <s v="unk"/>
    <d v="2017-01-13T01:08:04"/>
    <s v="unk"/>
    <d v="2017-01-13T01:08:04"/>
    <s v="unk"/>
    <x v="4"/>
    <x v="4"/>
  </r>
  <r>
    <s v="[2647]"/>
    <n v="2647"/>
    <s v="2015-05-10 Eugenia Roman [788]"/>
    <x v="49"/>
    <n v="8.99"/>
    <n v="1"/>
    <s v="unk"/>
    <d v="2017-01-13T01:08:04"/>
    <s v="unk"/>
    <d v="2017-01-13T01:08:04"/>
    <s v="unk"/>
    <x v="4"/>
    <x v="6"/>
  </r>
  <r>
    <s v="[2808]"/>
    <n v="2808"/>
    <s v="2015-05-14 Lillian Larsen [832]"/>
    <x v="28"/>
    <n v="9.99"/>
    <n v="2"/>
    <s v="unk"/>
    <d v="2017-01-13T01:08:04"/>
    <s v="unk"/>
    <d v="2017-01-13T01:08:04"/>
    <s v="unk"/>
    <x v="4"/>
    <x v="4"/>
  </r>
  <r>
    <s v="[2809]"/>
    <n v="2809"/>
    <s v="2015-05-14 Lillian Larsen [832]"/>
    <x v="57"/>
    <n v="6.99"/>
    <n v="1"/>
    <s v="unk"/>
    <d v="2017-01-13T01:08:04"/>
    <s v="unk"/>
    <d v="2017-01-13T01:08:04"/>
    <s v="unk"/>
    <x v="4"/>
    <x v="8"/>
  </r>
  <r>
    <s v="[2810]"/>
    <n v="2810"/>
    <s v="2015-05-14 Lillian Larsen [832]"/>
    <x v="28"/>
    <n v="9.99"/>
    <n v="1"/>
    <s v="unk"/>
    <d v="2017-01-13T01:08:04"/>
    <s v="unk"/>
    <d v="2017-01-13T01:08:04"/>
    <s v="unk"/>
    <x v="4"/>
    <x v="3"/>
  </r>
  <r>
    <s v="[2811]"/>
    <n v="2811"/>
    <s v="2015-05-14 Lillian Larsen [832]"/>
    <x v="62"/>
    <n v="5.99"/>
    <n v="1"/>
    <s v="unk"/>
    <d v="2017-01-13T01:08:04"/>
    <s v="unk"/>
    <d v="2017-01-13T01:08:04"/>
    <s v="unk"/>
    <x v="4"/>
    <x v="10"/>
  </r>
  <r>
    <s v="[2843]"/>
    <n v="2843"/>
    <s v="2015-05-10 Cameron Rivera [843]"/>
    <x v="61"/>
    <n v="8.99"/>
    <n v="1"/>
    <s v="unk"/>
    <d v="2017-01-13T01:08:04"/>
    <s v="unk"/>
    <d v="2017-01-13T01:08:04"/>
    <s v="unk"/>
    <x v="4"/>
    <x v="6"/>
  </r>
  <r>
    <s v="[2844]"/>
    <n v="2844"/>
    <s v="2015-05-10 Cameron Rivera [843]"/>
    <x v="61"/>
    <n v="8.99"/>
    <n v="1"/>
    <s v="unk"/>
    <d v="2017-01-13T01:08:04"/>
    <s v="unk"/>
    <d v="2017-01-13T01:08:04"/>
    <s v="unk"/>
    <x v="4"/>
    <x v="6"/>
  </r>
  <r>
    <s v="[2912]"/>
    <n v="2912"/>
    <s v="2015-05-05 Indira Suarez [862]"/>
    <x v="49"/>
    <n v="8.99"/>
    <n v="2"/>
    <s v="unk"/>
    <d v="2017-01-13T01:08:04"/>
    <s v="unk"/>
    <d v="2017-01-13T01:08:04"/>
    <s v="unk"/>
    <x v="4"/>
    <x v="7"/>
  </r>
  <r>
    <s v="[2913]"/>
    <n v="2913"/>
    <s v="2015-05-05 Indira Suarez [862]"/>
    <x v="61"/>
    <n v="8.99"/>
    <n v="1"/>
    <s v="unk"/>
    <d v="2017-01-13T01:08:04"/>
    <s v="unk"/>
    <d v="2017-01-13T01:08:04"/>
    <s v="unk"/>
    <x v="4"/>
    <x v="6"/>
  </r>
  <r>
    <s v="[2914]"/>
    <n v="2914"/>
    <s v="2015-05-05 Indira Suarez [862]"/>
    <x v="61"/>
    <n v="8.99"/>
    <n v="1"/>
    <s v="unk"/>
    <d v="2017-01-13T01:08:04"/>
    <s v="unk"/>
    <d v="2017-01-13T01:08:04"/>
    <s v="unk"/>
    <x v="4"/>
    <x v="6"/>
  </r>
  <r>
    <s v="[2915]"/>
    <n v="2915"/>
    <s v="2015-05-05 Indira Suarez [862]"/>
    <x v="49"/>
    <n v="8.99"/>
    <n v="1"/>
    <s v="unk"/>
    <d v="2017-01-13T01:08:04"/>
    <s v="unk"/>
    <d v="2017-01-13T01:08:04"/>
    <s v="unk"/>
    <x v="4"/>
    <x v="6"/>
  </r>
  <r>
    <s v="[2916]"/>
    <n v="2916"/>
    <s v="2015-05-05 Indira Suarez [862]"/>
    <x v="60"/>
    <n v="8.99"/>
    <n v="2"/>
    <s v="unk"/>
    <d v="2017-01-13T01:08:04"/>
    <s v="unk"/>
    <d v="2017-01-13T01:08:04"/>
    <s v="unk"/>
    <x v="4"/>
    <x v="7"/>
  </r>
  <r>
    <s v="[2917]"/>
    <n v="2917"/>
    <s v="2015-05-05 Indira Suarez [862]"/>
    <x v="62"/>
    <n v="5.99"/>
    <n v="1"/>
    <s v="unk"/>
    <d v="2017-01-13T01:08:04"/>
    <s v="unk"/>
    <d v="2017-01-13T01:08:04"/>
    <s v="unk"/>
    <x v="4"/>
    <x v="10"/>
  </r>
  <r>
    <s v="[2918]"/>
    <n v="2918"/>
    <s v="2015-05-05 Indira Suarez [862]"/>
    <x v="56"/>
    <n v="9.99"/>
    <n v="1"/>
    <s v="unk"/>
    <d v="2017-01-13T01:08:04"/>
    <s v="unk"/>
    <d v="2017-01-13T01:08:04"/>
    <s v="unk"/>
    <x v="4"/>
    <x v="3"/>
  </r>
  <r>
    <s v="[2919]"/>
    <n v="2919"/>
    <s v="2015-05-05 Indira Suarez [862]"/>
    <x v="62"/>
    <n v="5.99"/>
    <n v="1"/>
    <s v="unk"/>
    <d v="2017-01-13T01:08:04"/>
    <s v="unk"/>
    <d v="2017-01-13T01:08:04"/>
    <s v="unk"/>
    <x v="4"/>
    <x v="10"/>
  </r>
  <r>
    <s v="[2941]"/>
    <n v="2941"/>
    <s v="2015-05-14 Melvin Finch [872]"/>
    <x v="28"/>
    <n v="9.99"/>
    <n v="2"/>
    <s v="unk"/>
    <d v="2017-01-13T01:08:04"/>
    <s v="unk"/>
    <d v="2017-01-13T01:08:04"/>
    <s v="unk"/>
    <x v="4"/>
    <x v="4"/>
  </r>
  <r>
    <s v="[2942]"/>
    <n v="2942"/>
    <s v="2015-05-21 Cameron Burton [873]"/>
    <x v="58"/>
    <n v="5.99"/>
    <n v="1"/>
    <s v="unk"/>
    <d v="2017-01-13T01:08:04"/>
    <s v="unk"/>
    <d v="2017-01-13T01:08:04"/>
    <s v="unk"/>
    <x v="4"/>
    <x v="10"/>
  </r>
  <r>
    <s v="[2943]"/>
    <n v="2943"/>
    <s v="2015-05-21 Cameron Burton [873]"/>
    <x v="62"/>
    <n v="5.99"/>
    <n v="1"/>
    <s v="unk"/>
    <d v="2017-01-13T01:08:04"/>
    <s v="unk"/>
    <d v="2017-01-13T01:08:04"/>
    <s v="unk"/>
    <x v="4"/>
    <x v="10"/>
  </r>
  <r>
    <s v="[2944]"/>
    <n v="2944"/>
    <s v="2015-05-21 Cameron Burton [873]"/>
    <x v="61"/>
    <n v="8.99"/>
    <n v="1"/>
    <s v="unk"/>
    <d v="2017-01-13T01:08:04"/>
    <s v="unk"/>
    <d v="2017-01-13T01:08:04"/>
    <s v="unk"/>
    <x v="4"/>
    <x v="6"/>
  </r>
  <r>
    <s v="[3054]"/>
    <n v="3054"/>
    <s v="2015-05-08 Cameron Rivera [904]"/>
    <x v="60"/>
    <n v="8.99"/>
    <n v="1"/>
    <s v="unk"/>
    <d v="2017-01-13T01:08:04"/>
    <s v="unk"/>
    <d v="2017-01-13T01:08:04"/>
    <s v="unk"/>
    <x v="4"/>
    <x v="6"/>
  </r>
  <r>
    <s v="[3055]"/>
    <n v="3055"/>
    <s v="2015-05-08 Cameron Rivera [904]"/>
    <x v="62"/>
    <n v="5.99"/>
    <n v="1"/>
    <s v="unk"/>
    <d v="2017-01-13T01:08:04"/>
    <s v="unk"/>
    <d v="2017-01-13T01:08:04"/>
    <s v="unk"/>
    <x v="4"/>
    <x v="10"/>
  </r>
  <r>
    <s v="[3056]"/>
    <n v="3056"/>
    <s v="2015-05-08 Cameron Rivera [904]"/>
    <x v="58"/>
    <n v="5.99"/>
    <n v="1"/>
    <s v="unk"/>
    <d v="2017-01-13T01:08:04"/>
    <s v="unk"/>
    <d v="2017-01-13T01:08:04"/>
    <s v="unk"/>
    <x v="4"/>
    <x v="10"/>
  </r>
  <r>
    <s v="[3057]"/>
    <n v="3057"/>
    <s v="2015-05-08 Cameron Rivera [904]"/>
    <x v="59"/>
    <n v="7.99"/>
    <n v="1"/>
    <s v="unk"/>
    <d v="2017-01-13T01:08:04"/>
    <s v="unk"/>
    <d v="2017-01-13T01:08:04"/>
    <s v="unk"/>
    <x v="4"/>
    <x v="2"/>
  </r>
  <r>
    <s v="[3058]"/>
    <n v="3058"/>
    <s v="2015-05-08 Cameron Rivera [904]"/>
    <x v="62"/>
    <n v="5.99"/>
    <n v="1"/>
    <s v="unk"/>
    <d v="2017-01-13T01:08:04"/>
    <s v="unk"/>
    <d v="2017-01-13T01:08:04"/>
    <s v="unk"/>
    <x v="4"/>
    <x v="10"/>
  </r>
  <r>
    <s v="[3090]"/>
    <n v="3090"/>
    <s v="2015-05-27 Melvin Finch [916]"/>
    <x v="60"/>
    <n v="8.99"/>
    <n v="1"/>
    <s v="unk"/>
    <d v="2017-01-13T01:08:04"/>
    <s v="unk"/>
    <d v="2017-01-13T01:08:04"/>
    <s v="unk"/>
    <x v="4"/>
    <x v="6"/>
  </r>
  <r>
    <s v="[3091]"/>
    <n v="3091"/>
    <s v="2015-05-27 Melvin Finch [916]"/>
    <x v="62"/>
    <n v="5.99"/>
    <n v="1"/>
    <s v="unk"/>
    <d v="2017-01-13T01:08:04"/>
    <s v="unk"/>
    <d v="2017-01-13T01:08:04"/>
    <s v="unk"/>
    <x v="4"/>
    <x v="10"/>
  </r>
  <r>
    <s v="[3100]"/>
    <n v="3100"/>
    <s v="2015-05-22 Cameron Burton [919]"/>
    <x v="59"/>
    <n v="7.99"/>
    <n v="1"/>
    <s v="unk"/>
    <d v="2017-01-13T01:08:04"/>
    <s v="unk"/>
    <d v="2017-01-13T01:08:04"/>
    <s v="unk"/>
    <x v="4"/>
    <x v="2"/>
  </r>
  <r>
    <s v="[3101]"/>
    <n v="3101"/>
    <s v="2015-05-22 Cameron Burton [919]"/>
    <x v="56"/>
    <n v="9.99"/>
    <n v="2"/>
    <s v="unk"/>
    <d v="2017-01-13T01:08:04"/>
    <s v="unk"/>
    <d v="2017-01-13T01:08:04"/>
    <s v="unk"/>
    <x v="4"/>
    <x v="4"/>
  </r>
  <r>
    <s v="[3102]"/>
    <n v="3102"/>
    <s v="2015-05-22 Cameron Burton [919]"/>
    <x v="58"/>
    <n v="5.99"/>
    <n v="2"/>
    <s v="unk"/>
    <d v="2017-01-13T01:08:04"/>
    <s v="unk"/>
    <d v="2017-01-13T01:08:04"/>
    <s v="unk"/>
    <x v="4"/>
    <x v="11"/>
  </r>
  <r>
    <s v="[3103]"/>
    <n v="3103"/>
    <s v="2015-05-22 Cameron Burton [919]"/>
    <x v="56"/>
    <n v="9.99"/>
    <n v="2"/>
    <s v="unk"/>
    <d v="2017-01-13T01:08:04"/>
    <s v="unk"/>
    <d v="2017-01-13T01:08:04"/>
    <s v="unk"/>
    <x v="4"/>
    <x v="4"/>
  </r>
  <r>
    <s v="[3163]"/>
    <n v="3163"/>
    <s v="2015-05-20 Lillian Larsen [937]"/>
    <x v="60"/>
    <n v="8.99"/>
    <n v="1"/>
    <s v="unk"/>
    <d v="2017-01-13T01:08:04"/>
    <s v="unk"/>
    <d v="2017-01-13T01:08:04"/>
    <s v="unk"/>
    <x v="4"/>
    <x v="6"/>
  </r>
  <r>
    <s v="[3164]"/>
    <n v="3164"/>
    <s v="2015-05-20 Lillian Larsen [937]"/>
    <x v="61"/>
    <n v="8.99"/>
    <n v="2"/>
    <s v="unk"/>
    <d v="2017-01-13T01:08:04"/>
    <s v="unk"/>
    <d v="2017-01-13T01:08:04"/>
    <s v="unk"/>
    <x v="4"/>
    <x v="7"/>
  </r>
  <r>
    <s v="[3259]"/>
    <n v="3259"/>
    <s v="2015-05-29 Kendall Rocha [967]"/>
    <x v="58"/>
    <n v="5.99"/>
    <n v="2"/>
    <s v="unk"/>
    <d v="2017-01-13T01:08:04"/>
    <s v="unk"/>
    <d v="2017-01-13T01:08:04"/>
    <s v="unk"/>
    <x v="4"/>
    <x v="11"/>
  </r>
  <r>
    <s v="[3499]"/>
    <n v="3499"/>
    <s v="2015-05-23 Indira Suarez [1035]"/>
    <x v="58"/>
    <n v="5.99"/>
    <n v="2"/>
    <s v="unk"/>
    <d v="2017-01-13T01:08:04"/>
    <s v="unk"/>
    <d v="2017-01-13T01:08:04"/>
    <s v="unk"/>
    <x v="4"/>
    <x v="11"/>
  </r>
  <r>
    <s v="[3500]"/>
    <n v="3500"/>
    <s v="2015-05-23 Indira Suarez [1035]"/>
    <x v="28"/>
    <n v="9.99"/>
    <n v="1"/>
    <s v="unk"/>
    <d v="2017-01-13T01:08:04"/>
    <s v="unk"/>
    <d v="2017-01-13T01:08:04"/>
    <s v="unk"/>
    <x v="4"/>
    <x v="3"/>
  </r>
  <r>
    <s v="[3501]"/>
    <n v="3501"/>
    <s v="2015-05-23 Indira Suarez [1035]"/>
    <x v="62"/>
    <n v="5.99"/>
    <n v="1"/>
    <s v="unk"/>
    <d v="2017-01-13T01:08:04"/>
    <s v="unk"/>
    <d v="2017-01-13T01:08:04"/>
    <s v="unk"/>
    <x v="4"/>
    <x v="10"/>
  </r>
  <r>
    <s v="[3502]"/>
    <n v="3502"/>
    <s v="2015-05-23 Indira Suarez [1035]"/>
    <x v="57"/>
    <n v="6.99"/>
    <n v="1"/>
    <s v="unk"/>
    <d v="2017-01-13T01:08:04"/>
    <s v="unk"/>
    <d v="2017-01-13T01:08:04"/>
    <s v="unk"/>
    <x v="4"/>
    <x v="8"/>
  </r>
  <r>
    <s v="[3535]"/>
    <n v="3535"/>
    <s v="2015-05-03 Eugenia Roman [1048]"/>
    <x v="58"/>
    <n v="5.99"/>
    <n v="1"/>
    <s v="unk"/>
    <d v="2017-01-13T01:08:04"/>
    <s v="unk"/>
    <d v="2017-01-13T01:08:04"/>
    <s v="unk"/>
    <x v="4"/>
    <x v="10"/>
  </r>
  <r>
    <s v="[3536]"/>
    <n v="3536"/>
    <s v="2015-05-03 Eugenia Roman [1048]"/>
    <x v="56"/>
    <n v="9.99"/>
    <n v="2"/>
    <s v="unk"/>
    <d v="2017-01-13T01:08:04"/>
    <s v="unk"/>
    <d v="2017-01-13T01:08:04"/>
    <s v="unk"/>
    <x v="4"/>
    <x v="4"/>
  </r>
  <r>
    <s v="[3602]"/>
    <n v="3602"/>
    <s v="2015-05-17 Eugenia Roman [1063]"/>
    <x v="61"/>
    <n v="8.99"/>
    <n v="2"/>
    <s v="unk"/>
    <d v="2017-01-13T01:08:04"/>
    <s v="unk"/>
    <d v="2017-01-13T01:08:04"/>
    <s v="unk"/>
    <x v="4"/>
    <x v="7"/>
  </r>
  <r>
    <s v="[3603]"/>
    <n v="3603"/>
    <s v="2015-05-17 Eugenia Roman [1063]"/>
    <x v="58"/>
    <n v="5.99"/>
    <n v="1"/>
    <s v="unk"/>
    <d v="2017-01-13T01:08:04"/>
    <s v="unk"/>
    <d v="2017-01-13T01:08:04"/>
    <s v="unk"/>
    <x v="4"/>
    <x v="10"/>
  </r>
  <r>
    <s v="[3604]"/>
    <n v="3604"/>
    <s v="2015-05-17 Eugenia Roman [1063]"/>
    <x v="58"/>
    <n v="5.99"/>
    <n v="1"/>
    <s v="unk"/>
    <d v="2017-01-13T01:08:04"/>
    <s v="unk"/>
    <d v="2017-01-13T01:08:04"/>
    <s v="unk"/>
    <x v="4"/>
    <x v="10"/>
  </r>
  <r>
    <s v="[3745]"/>
    <n v="3745"/>
    <s v="2015-05-16 Cameron Burton [1103]"/>
    <x v="49"/>
    <n v="8.99"/>
    <n v="2"/>
    <s v="unk"/>
    <d v="2017-01-13T01:08:04"/>
    <s v="unk"/>
    <d v="2017-01-13T01:08:04"/>
    <s v="unk"/>
    <x v="4"/>
    <x v="7"/>
  </r>
  <r>
    <s v="[3746]"/>
    <n v="3746"/>
    <s v="2015-05-16 Cameron Burton [1103]"/>
    <x v="49"/>
    <n v="8.99"/>
    <n v="2"/>
    <s v="unk"/>
    <d v="2017-01-13T01:08:04"/>
    <s v="unk"/>
    <d v="2017-01-13T01:08:04"/>
    <s v="unk"/>
    <x v="4"/>
    <x v="7"/>
  </r>
  <r>
    <s v="[3747]"/>
    <n v="3747"/>
    <s v="2015-05-16 Cameron Burton [1103]"/>
    <x v="61"/>
    <n v="8.99"/>
    <n v="2"/>
    <s v="unk"/>
    <d v="2017-01-13T01:08:04"/>
    <s v="unk"/>
    <d v="2017-01-13T01:08:04"/>
    <s v="unk"/>
    <x v="4"/>
    <x v="7"/>
  </r>
  <r>
    <s v="[3748]"/>
    <n v="3748"/>
    <s v="2015-05-16 Cameron Burton [1103]"/>
    <x v="28"/>
    <n v="9.99"/>
    <n v="1"/>
    <s v="unk"/>
    <d v="2017-01-13T01:08:04"/>
    <s v="unk"/>
    <d v="2017-01-13T01:08:04"/>
    <s v="unk"/>
    <x v="4"/>
    <x v="3"/>
  </r>
  <r>
    <s v="[3749]"/>
    <n v="3749"/>
    <s v="2015-05-16 Cameron Burton [1103]"/>
    <x v="38"/>
    <n v="7.99"/>
    <n v="1"/>
    <s v="unk"/>
    <d v="2017-01-13T01:08:04"/>
    <s v="unk"/>
    <d v="2017-01-13T01:08:04"/>
    <s v="unk"/>
    <x v="4"/>
    <x v="2"/>
  </r>
  <r>
    <s v="[3798]"/>
    <n v="3798"/>
    <s v="2015-05-15 Rhoda Vance [1118]"/>
    <x v="59"/>
    <n v="7.99"/>
    <n v="2"/>
    <s v="unk"/>
    <d v="2017-01-13T01:08:04"/>
    <s v="unk"/>
    <d v="2017-01-13T01:08:04"/>
    <s v="unk"/>
    <x v="4"/>
    <x v="5"/>
  </r>
  <r>
    <s v="[3888]"/>
    <n v="3888"/>
    <s v="2015-05-12 Lillian Larsen [1148]"/>
    <x v="49"/>
    <n v="8.99"/>
    <n v="2"/>
    <s v="unk"/>
    <d v="2017-01-13T01:08:04"/>
    <s v="unk"/>
    <d v="2017-01-13T01:08:04"/>
    <s v="unk"/>
    <x v="4"/>
    <x v="7"/>
  </r>
  <r>
    <s v="[3889]"/>
    <n v="3889"/>
    <s v="2015-05-12 Lillian Larsen [1148]"/>
    <x v="58"/>
    <n v="5.99"/>
    <n v="1"/>
    <s v="unk"/>
    <d v="2017-01-13T01:08:04"/>
    <s v="unk"/>
    <d v="2017-01-13T01:08:04"/>
    <s v="unk"/>
    <x v="4"/>
    <x v="10"/>
  </r>
  <r>
    <s v="[3996]"/>
    <n v="3996"/>
    <s v="2015-05-20 Kendall Rocha [1180]"/>
    <x v="61"/>
    <n v="8.99"/>
    <n v="1"/>
    <s v="unk"/>
    <d v="2017-01-13T01:08:04"/>
    <s v="unk"/>
    <d v="2017-01-13T01:08:04"/>
    <s v="unk"/>
    <x v="4"/>
    <x v="6"/>
  </r>
  <r>
    <s v="[3997]"/>
    <n v="3997"/>
    <s v="2015-05-20 Kendall Rocha [1180]"/>
    <x v="58"/>
    <n v="5.99"/>
    <n v="1"/>
    <s v="unk"/>
    <d v="2017-01-13T01:08:04"/>
    <s v="unk"/>
    <d v="2017-01-13T01:08:04"/>
    <s v="unk"/>
    <x v="4"/>
    <x v="10"/>
  </r>
  <r>
    <s v="[1626]"/>
    <n v="1626"/>
    <s v="2015-06-01 Belle Short [486]"/>
    <x v="29"/>
    <n v="8.99"/>
    <n v="1"/>
    <s v="unk"/>
    <d v="2017-01-13T01:08:04"/>
    <s v="unk"/>
    <d v="2017-01-13T01:08:04"/>
    <s v="unk"/>
    <x v="5"/>
    <x v="6"/>
  </r>
  <r>
    <s v="[1627]"/>
    <n v="1627"/>
    <s v="2015-06-01 Belle Short [486]"/>
    <x v="75"/>
    <n v="5.99"/>
    <n v="1"/>
    <s v="unk"/>
    <d v="2017-01-13T01:08:04"/>
    <s v="unk"/>
    <d v="2017-01-13T01:08:04"/>
    <s v="unk"/>
    <x v="5"/>
    <x v="10"/>
  </r>
  <r>
    <s v="[1628]"/>
    <n v="1628"/>
    <s v="2015-06-01 Belle Short [486]"/>
    <x v="48"/>
    <n v="9.99"/>
    <n v="1"/>
    <s v="unk"/>
    <d v="2017-01-13T01:08:04"/>
    <s v="unk"/>
    <d v="2017-01-13T01:08:04"/>
    <s v="unk"/>
    <x v="5"/>
    <x v="3"/>
  </r>
  <r>
    <s v="[1629]"/>
    <n v="1629"/>
    <s v="2015-06-01 Belle Short [486]"/>
    <x v="72"/>
    <n v="8.99"/>
    <n v="1"/>
    <s v="unk"/>
    <d v="2017-01-13T01:08:04"/>
    <s v="unk"/>
    <d v="2017-01-13T01:08:04"/>
    <s v="unk"/>
    <x v="5"/>
    <x v="6"/>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6"/>
    <x v="13"/>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r>
    <m/>
    <m/>
    <m/>
    <x v="125"/>
    <m/>
    <m/>
    <m/>
    <m/>
    <m/>
    <m/>
    <m/>
    <x v="7"/>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0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1:H67" firstHeaderRow="1" firstDataRow="2" firstDataCol="1"/>
  <pivotFields count="11">
    <pivotField showAll="0"/>
    <pivotField showAll="0"/>
    <pivotField showAll="0"/>
    <pivotField axis="axisRow" showAll="0" defaultSubtotal="0">
      <items count="91">
        <item x="62"/>
        <item x="63"/>
        <item x="10"/>
        <item m="1" x="76"/>
        <item m="1" x="68"/>
        <item m="1" x="65"/>
        <item x="49"/>
        <item x="38"/>
        <item m="1" x="77"/>
        <item x="4"/>
        <item m="1" x="67"/>
        <item x="59"/>
        <item m="1" x="87"/>
        <item m="1" x="82"/>
        <item x="57"/>
        <item x="17"/>
        <item x="60"/>
        <item x="12"/>
        <item x="26"/>
        <item x="61"/>
        <item x="56"/>
        <item x="21"/>
        <item x="37"/>
        <item x="46"/>
        <item x="45"/>
        <item m="1" x="78"/>
        <item x="22"/>
        <item x="41"/>
        <item x="47"/>
        <item x="27"/>
        <item m="1" x="71"/>
        <item x="55"/>
        <item m="1" x="81"/>
        <item m="1" x="86"/>
        <item x="30"/>
        <item x="42"/>
        <item x="28"/>
        <item x="35"/>
        <item m="1" x="89"/>
        <item x="5"/>
        <item x="1"/>
        <item x="32"/>
        <item x="64"/>
        <item x="24"/>
        <item x="52"/>
        <item x="54"/>
        <item x="19"/>
        <item m="1" x="69"/>
        <item x="15"/>
        <item m="1" x="73"/>
        <item x="40"/>
        <item x="3"/>
        <item m="1" x="74"/>
        <item x="7"/>
        <item m="1" x="84"/>
        <item x="58"/>
        <item x="25"/>
        <item x="39"/>
        <item x="51"/>
        <item x="6"/>
        <item x="20"/>
        <item x="33"/>
        <item m="1" x="83"/>
        <item x="36"/>
        <item m="1" x="85"/>
        <item x="34"/>
        <item x="31"/>
        <item x="16"/>
        <item m="1" x="90"/>
        <item x="43"/>
        <item x="23"/>
        <item m="1" x="75"/>
        <item m="1" x="70"/>
        <item x="11"/>
        <item x="29"/>
        <item x="13"/>
        <item m="1" x="80"/>
        <item x="18"/>
        <item x="14"/>
        <item m="1" x="79"/>
        <item m="1" x="66"/>
        <item m="1" x="72"/>
        <item x="53"/>
        <item x="8"/>
        <item m="1" x="88"/>
        <item x="9"/>
        <item x="44"/>
        <item x="0"/>
        <item x="2"/>
        <item x="48"/>
        <item x="50"/>
      </items>
    </pivotField>
    <pivotField dataField="1" showAll="0"/>
    <pivotField showAll="0" defaultSubtotal="0"/>
    <pivotField showAll="0" defaultSubtotal="0"/>
    <pivotField showAll="0" defaultSubtotal="0"/>
    <pivotField showAll="0" defaultSubtotal="0"/>
    <pivotField showAll="0" defaultSubtotal="0"/>
    <pivotField axis="axisCol" showAll="0" sortType="ascending" defaultSubtotal="0">
      <items count="20">
        <item h="1" x="0"/>
        <item m="1" x="15"/>
        <item x="1"/>
        <item m="1" x="9"/>
        <item x="2"/>
        <item m="1" x="16"/>
        <item x="3"/>
        <item m="1" x="10"/>
        <item x="4"/>
        <item m="1" x="17"/>
        <item x="5"/>
        <item m="1" x="11"/>
        <item x="6"/>
        <item m="1" x="18"/>
        <item m="1" x="12"/>
        <item m="1" x="19"/>
        <item m="1" x="13"/>
        <item m="1" x="8"/>
        <item m="1" x="14"/>
        <item h="1" x="7"/>
      </items>
    </pivotField>
  </pivotFields>
  <rowFields count="1">
    <field x="3"/>
  </rowFields>
  <rowItems count="65">
    <i>
      <x/>
    </i>
    <i>
      <x v="1"/>
    </i>
    <i>
      <x v="2"/>
    </i>
    <i>
      <x v="6"/>
    </i>
    <i>
      <x v="7"/>
    </i>
    <i>
      <x v="9"/>
    </i>
    <i>
      <x v="11"/>
    </i>
    <i>
      <x v="14"/>
    </i>
    <i>
      <x v="15"/>
    </i>
    <i>
      <x v="16"/>
    </i>
    <i>
      <x v="17"/>
    </i>
    <i>
      <x v="18"/>
    </i>
    <i>
      <x v="19"/>
    </i>
    <i>
      <x v="20"/>
    </i>
    <i>
      <x v="21"/>
    </i>
    <i>
      <x v="22"/>
    </i>
    <i>
      <x v="23"/>
    </i>
    <i>
      <x v="24"/>
    </i>
    <i>
      <x v="26"/>
    </i>
    <i>
      <x v="27"/>
    </i>
    <i>
      <x v="28"/>
    </i>
    <i>
      <x v="29"/>
    </i>
    <i>
      <x v="31"/>
    </i>
    <i>
      <x v="34"/>
    </i>
    <i>
      <x v="35"/>
    </i>
    <i>
      <x v="36"/>
    </i>
    <i>
      <x v="37"/>
    </i>
    <i>
      <x v="39"/>
    </i>
    <i>
      <x v="40"/>
    </i>
    <i>
      <x v="41"/>
    </i>
    <i>
      <x v="42"/>
    </i>
    <i>
      <x v="43"/>
    </i>
    <i>
      <x v="44"/>
    </i>
    <i>
      <x v="45"/>
    </i>
    <i>
      <x v="46"/>
    </i>
    <i>
      <x v="48"/>
    </i>
    <i>
      <x v="50"/>
    </i>
    <i>
      <x v="51"/>
    </i>
    <i>
      <x v="53"/>
    </i>
    <i>
      <x v="55"/>
    </i>
    <i>
      <x v="56"/>
    </i>
    <i>
      <x v="57"/>
    </i>
    <i>
      <x v="58"/>
    </i>
    <i>
      <x v="59"/>
    </i>
    <i>
      <x v="60"/>
    </i>
    <i>
      <x v="61"/>
    </i>
    <i>
      <x v="63"/>
    </i>
    <i>
      <x v="65"/>
    </i>
    <i>
      <x v="66"/>
    </i>
    <i>
      <x v="67"/>
    </i>
    <i>
      <x v="69"/>
    </i>
    <i>
      <x v="70"/>
    </i>
    <i>
      <x v="73"/>
    </i>
    <i>
      <x v="74"/>
    </i>
    <i>
      <x v="75"/>
    </i>
    <i>
      <x v="77"/>
    </i>
    <i>
      <x v="78"/>
    </i>
    <i>
      <x v="82"/>
    </i>
    <i>
      <x v="83"/>
    </i>
    <i>
      <x v="85"/>
    </i>
    <i>
      <x v="86"/>
    </i>
    <i>
      <x v="88"/>
    </i>
    <i>
      <x v="89"/>
    </i>
    <i>
      <x v="90"/>
    </i>
    <i t="grand">
      <x/>
    </i>
  </rowItems>
  <colFields count="1">
    <field x="10"/>
  </colFields>
  <colItems count="7">
    <i>
      <x v="2"/>
    </i>
    <i>
      <x v="4"/>
    </i>
    <i>
      <x v="6"/>
    </i>
    <i>
      <x v="8"/>
    </i>
    <i>
      <x v="10"/>
    </i>
    <i>
      <x v="12"/>
    </i>
    <i t="grand">
      <x/>
    </i>
  </colItems>
  <dataFields count="1">
    <dataField name="Suma de total_amount" fld="4"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0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H128" firstHeaderRow="1" firstDataRow="2" firstDataCol="1"/>
  <pivotFields count="13">
    <pivotField showAll="0"/>
    <pivotField showAll="0"/>
    <pivotField showAll="0"/>
    <pivotField axis="axisRow" showAll="0">
      <items count="170">
        <item x="118"/>
        <item x="86"/>
        <item x="116"/>
        <item m="1" x="131"/>
        <item x="47"/>
        <item x="74"/>
        <item x="26"/>
        <item x="57"/>
        <item m="1" x="127"/>
        <item x="39"/>
        <item x="122"/>
        <item x="98"/>
        <item m="1" x="149"/>
        <item x="15"/>
        <item x="89"/>
        <item x="81"/>
        <item m="1" x="145"/>
        <item x="34"/>
        <item m="1" x="138"/>
        <item x="79"/>
        <item x="46"/>
        <item x="53"/>
        <item x="49"/>
        <item x="42"/>
        <item x="83"/>
        <item m="1" x="162"/>
        <item x="108"/>
        <item x="16"/>
        <item x="117"/>
        <item m="1" x="153"/>
        <item x="12"/>
        <item x="32"/>
        <item m="1" x="160"/>
        <item m="1" x="152"/>
        <item x="101"/>
        <item m="1" x="140"/>
        <item x="80"/>
        <item x="93"/>
        <item x="99"/>
        <item x="88"/>
        <item m="1" x="137"/>
        <item m="1" x="166"/>
        <item m="1" x="161"/>
        <item x="48"/>
        <item x="7"/>
        <item x="104"/>
        <item x="110"/>
        <item m="1" x="142"/>
        <item m="1" x="129"/>
        <item x="112"/>
        <item x="69"/>
        <item x="72"/>
        <item m="1" x="135"/>
        <item x="70"/>
        <item x="58"/>
        <item x="119"/>
        <item x="94"/>
        <item m="1" x="139"/>
        <item x="103"/>
        <item x="20"/>
        <item x="68"/>
        <item x="96"/>
        <item m="1" x="126"/>
        <item x="124"/>
        <item x="3"/>
        <item x="41"/>
        <item x="1"/>
        <item x="6"/>
        <item x="91"/>
        <item x="9"/>
        <item x="22"/>
        <item m="1" x="163"/>
        <item x="109"/>
        <item x="11"/>
        <item x="111"/>
        <item x="50"/>
        <item x="82"/>
        <item x="31"/>
        <item x="77"/>
        <item m="1" x="156"/>
        <item x="33"/>
        <item x="106"/>
        <item m="1" x="133"/>
        <item x="30"/>
        <item x="2"/>
        <item m="1" x="136"/>
        <item x="102"/>
        <item x="78"/>
        <item x="14"/>
        <item m="1" x="151"/>
        <item x="24"/>
        <item x="120"/>
        <item x="59"/>
        <item x="25"/>
        <item x="36"/>
        <item m="1" x="141"/>
        <item m="1" x="164"/>
        <item x="40"/>
        <item m="1" x="128"/>
        <item x="55"/>
        <item x="44"/>
        <item x="5"/>
        <item m="1" x="154"/>
        <item x="23"/>
        <item x="95"/>
        <item x="13"/>
        <item m="1" x="148"/>
        <item m="1" x="146"/>
        <item x="92"/>
        <item m="1" x="158"/>
        <item x="4"/>
        <item x="35"/>
        <item x="54"/>
        <item m="1" x="167"/>
        <item x="87"/>
        <item x="67"/>
        <item x="64"/>
        <item m="1" x="132"/>
        <item x="85"/>
        <item x="43"/>
        <item x="63"/>
        <item x="71"/>
        <item x="100"/>
        <item x="113"/>
        <item x="28"/>
        <item m="1" x="155"/>
        <item x="73"/>
        <item x="17"/>
        <item m="1" x="150"/>
        <item m="1" x="143"/>
        <item m="1" x="147"/>
        <item x="121"/>
        <item x="29"/>
        <item x="8"/>
        <item x="10"/>
        <item m="1" x="157"/>
        <item x="52"/>
        <item x="123"/>
        <item m="1" x="144"/>
        <item x="97"/>
        <item x="65"/>
        <item x="60"/>
        <item x="37"/>
        <item x="76"/>
        <item x="45"/>
        <item x="19"/>
        <item x="107"/>
        <item x="18"/>
        <item x="21"/>
        <item x="56"/>
        <item x="115"/>
        <item m="1" x="168"/>
        <item x="61"/>
        <item x="27"/>
        <item x="75"/>
        <item m="1" x="165"/>
        <item x="51"/>
        <item m="1" x="159"/>
        <item x="66"/>
        <item x="0"/>
        <item x="90"/>
        <item x="38"/>
        <item x="114"/>
        <item x="105"/>
        <item m="1" x="130"/>
        <item x="62"/>
        <item x="84"/>
        <item m="1" x="134"/>
        <item x="125"/>
        <item t="default"/>
      </items>
    </pivotField>
    <pivotField showAll="0"/>
    <pivotField showAll="0"/>
    <pivotField showAll="0"/>
    <pivotField showAll="0"/>
    <pivotField showAll="0"/>
    <pivotField showAll="0"/>
    <pivotField showAll="0"/>
    <pivotField axis="axisCol" showAll="0">
      <items count="21">
        <item m="1" x="15"/>
        <item x="0"/>
        <item m="1" x="9"/>
        <item x="1"/>
        <item m="1" x="16"/>
        <item x="2"/>
        <item m="1" x="10"/>
        <item x="3"/>
        <item m="1" x="17"/>
        <item x="4"/>
        <item m="1" x="11"/>
        <item x="5"/>
        <item m="1" x="18"/>
        <item m="1" x="12"/>
        <item m="1" x="19"/>
        <item m="1" x="13"/>
        <item m="1" x="8"/>
        <item m="1" x="14"/>
        <item h="1" x="6"/>
        <item h="1" x="7"/>
        <item t="default"/>
      </items>
    </pivotField>
    <pivotField dataField="1" showAll="0">
      <items count="16">
        <item x="13"/>
        <item x="0"/>
        <item x="10"/>
        <item x="8"/>
        <item x="2"/>
        <item x="6"/>
        <item x="9"/>
        <item x="3"/>
        <item x="11"/>
        <item x="1"/>
        <item x="12"/>
        <item x="5"/>
        <item x="7"/>
        <item x="4"/>
        <item x="14"/>
        <item t="default"/>
      </items>
    </pivotField>
  </pivotFields>
  <rowFields count="1">
    <field x="3"/>
  </rowFields>
  <rowItems count="126">
    <i>
      <x/>
    </i>
    <i>
      <x v="1"/>
    </i>
    <i>
      <x v="2"/>
    </i>
    <i>
      <x v="4"/>
    </i>
    <i>
      <x v="5"/>
    </i>
    <i>
      <x v="6"/>
    </i>
    <i>
      <x v="7"/>
    </i>
    <i>
      <x v="9"/>
    </i>
    <i>
      <x v="10"/>
    </i>
    <i>
      <x v="11"/>
    </i>
    <i>
      <x v="13"/>
    </i>
    <i>
      <x v="14"/>
    </i>
    <i>
      <x v="15"/>
    </i>
    <i>
      <x v="17"/>
    </i>
    <i>
      <x v="19"/>
    </i>
    <i>
      <x v="20"/>
    </i>
    <i>
      <x v="21"/>
    </i>
    <i>
      <x v="22"/>
    </i>
    <i>
      <x v="23"/>
    </i>
    <i>
      <x v="24"/>
    </i>
    <i>
      <x v="26"/>
    </i>
    <i>
      <x v="27"/>
    </i>
    <i>
      <x v="28"/>
    </i>
    <i>
      <x v="30"/>
    </i>
    <i>
      <x v="31"/>
    </i>
    <i>
      <x v="34"/>
    </i>
    <i>
      <x v="36"/>
    </i>
    <i>
      <x v="37"/>
    </i>
    <i>
      <x v="38"/>
    </i>
    <i>
      <x v="39"/>
    </i>
    <i>
      <x v="43"/>
    </i>
    <i>
      <x v="44"/>
    </i>
    <i>
      <x v="45"/>
    </i>
    <i>
      <x v="46"/>
    </i>
    <i>
      <x v="49"/>
    </i>
    <i>
      <x v="50"/>
    </i>
    <i>
      <x v="51"/>
    </i>
    <i>
      <x v="53"/>
    </i>
    <i>
      <x v="54"/>
    </i>
    <i>
      <x v="55"/>
    </i>
    <i>
      <x v="56"/>
    </i>
    <i>
      <x v="58"/>
    </i>
    <i>
      <x v="59"/>
    </i>
    <i>
      <x v="60"/>
    </i>
    <i>
      <x v="61"/>
    </i>
    <i>
      <x v="63"/>
    </i>
    <i>
      <x v="64"/>
    </i>
    <i>
      <x v="65"/>
    </i>
    <i>
      <x v="66"/>
    </i>
    <i>
      <x v="67"/>
    </i>
    <i>
      <x v="68"/>
    </i>
    <i>
      <x v="69"/>
    </i>
    <i>
      <x v="70"/>
    </i>
    <i>
      <x v="72"/>
    </i>
    <i>
      <x v="73"/>
    </i>
    <i>
      <x v="74"/>
    </i>
    <i>
      <x v="75"/>
    </i>
    <i>
      <x v="76"/>
    </i>
    <i>
      <x v="77"/>
    </i>
    <i>
      <x v="78"/>
    </i>
    <i>
      <x v="80"/>
    </i>
    <i>
      <x v="81"/>
    </i>
    <i>
      <x v="83"/>
    </i>
    <i>
      <x v="84"/>
    </i>
    <i>
      <x v="86"/>
    </i>
    <i>
      <x v="87"/>
    </i>
    <i>
      <x v="88"/>
    </i>
    <i>
      <x v="90"/>
    </i>
    <i>
      <x v="91"/>
    </i>
    <i>
      <x v="92"/>
    </i>
    <i>
      <x v="93"/>
    </i>
    <i>
      <x v="94"/>
    </i>
    <i>
      <x v="97"/>
    </i>
    <i>
      <x v="99"/>
    </i>
    <i>
      <x v="100"/>
    </i>
    <i>
      <x v="101"/>
    </i>
    <i>
      <x v="103"/>
    </i>
    <i>
      <x v="104"/>
    </i>
    <i>
      <x v="105"/>
    </i>
    <i>
      <x v="108"/>
    </i>
    <i>
      <x v="110"/>
    </i>
    <i>
      <x v="111"/>
    </i>
    <i>
      <x v="112"/>
    </i>
    <i>
      <x v="114"/>
    </i>
    <i>
      <x v="115"/>
    </i>
    <i>
      <x v="116"/>
    </i>
    <i>
      <x v="118"/>
    </i>
    <i>
      <x v="119"/>
    </i>
    <i>
      <x v="120"/>
    </i>
    <i>
      <x v="121"/>
    </i>
    <i>
      <x v="122"/>
    </i>
    <i>
      <x v="123"/>
    </i>
    <i>
      <x v="124"/>
    </i>
    <i>
      <x v="126"/>
    </i>
    <i>
      <x v="127"/>
    </i>
    <i>
      <x v="131"/>
    </i>
    <i>
      <x v="132"/>
    </i>
    <i>
      <x v="133"/>
    </i>
    <i>
      <x v="134"/>
    </i>
    <i>
      <x v="136"/>
    </i>
    <i>
      <x v="137"/>
    </i>
    <i>
      <x v="139"/>
    </i>
    <i>
      <x v="140"/>
    </i>
    <i>
      <x v="141"/>
    </i>
    <i>
      <x v="142"/>
    </i>
    <i>
      <x v="143"/>
    </i>
    <i>
      <x v="144"/>
    </i>
    <i>
      <x v="145"/>
    </i>
    <i>
      <x v="146"/>
    </i>
    <i>
      <x v="147"/>
    </i>
    <i>
      <x v="148"/>
    </i>
    <i>
      <x v="149"/>
    </i>
    <i>
      <x v="150"/>
    </i>
    <i>
      <x v="152"/>
    </i>
    <i>
      <x v="153"/>
    </i>
    <i>
      <x v="154"/>
    </i>
    <i>
      <x v="156"/>
    </i>
    <i>
      <x v="158"/>
    </i>
    <i>
      <x v="159"/>
    </i>
    <i>
      <x v="160"/>
    </i>
    <i>
      <x v="161"/>
    </i>
    <i>
      <x v="162"/>
    </i>
    <i>
      <x v="163"/>
    </i>
    <i>
      <x v="165"/>
    </i>
    <i>
      <x v="166"/>
    </i>
    <i t="grand">
      <x/>
    </i>
  </rowItems>
  <colFields count="1">
    <field x="11"/>
  </colFields>
  <colItems count="7">
    <i>
      <x v="1"/>
    </i>
    <i>
      <x v="3"/>
    </i>
    <i>
      <x v="5"/>
    </i>
    <i>
      <x v="7"/>
    </i>
    <i>
      <x v="9"/>
    </i>
    <i>
      <x v="11"/>
    </i>
    <i t="grand">
      <x/>
    </i>
  </colItems>
  <dataFields count="1">
    <dataField name="Sum of product_sale" fld="12"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F44"/>
  <sheetViews>
    <sheetView tabSelected="1" workbookViewId="0">
      <selection activeCell="D4" sqref="D4"/>
    </sheetView>
  </sheetViews>
  <sheetFormatPr defaultColWidth="11.42578125" defaultRowHeight="15" x14ac:dyDescent="0.25"/>
  <sheetData>
    <row r="1" spans="1:6" x14ac:dyDescent="0.25">
      <c r="A1" s="1" t="s">
        <v>0</v>
      </c>
      <c r="C1" s="1" t="s">
        <v>6</v>
      </c>
      <c r="D1" s="1" t="s">
        <v>7</v>
      </c>
      <c r="E1" s="1" t="s">
        <v>8</v>
      </c>
      <c r="F1" s="1" t="s">
        <v>9</v>
      </c>
    </row>
    <row r="2" spans="1:6" x14ac:dyDescent="0.25">
      <c r="A2" s="2" t="s">
        <v>1</v>
      </c>
      <c r="C2" t="s">
        <v>4</v>
      </c>
      <c r="D2" s="2" t="s">
        <v>10</v>
      </c>
      <c r="F2" t="s">
        <v>11</v>
      </c>
    </row>
    <row r="3" spans="1:6" x14ac:dyDescent="0.25">
      <c r="A3" s="2" t="s">
        <v>2</v>
      </c>
      <c r="D3" s="2" t="s">
        <v>4</v>
      </c>
      <c r="F3" t="s">
        <v>12</v>
      </c>
    </row>
    <row r="4" spans="1:6" x14ac:dyDescent="0.25">
      <c r="A4" s="2" t="s">
        <v>3</v>
      </c>
      <c r="D4" s="2" t="s">
        <v>11</v>
      </c>
      <c r="E4" t="s">
        <v>10</v>
      </c>
      <c r="F4" t="s">
        <v>12</v>
      </c>
    </row>
    <row r="5" spans="1:6" x14ac:dyDescent="0.25">
      <c r="A5" s="2" t="s">
        <v>4</v>
      </c>
      <c r="D5" s="2" t="s">
        <v>12</v>
      </c>
      <c r="E5" t="s">
        <v>13</v>
      </c>
    </row>
    <row r="6" spans="1:6" x14ac:dyDescent="0.25">
      <c r="A6" s="2" t="s">
        <v>5</v>
      </c>
    </row>
    <row r="7" spans="1:6" x14ac:dyDescent="0.25">
      <c r="D7" s="1" t="s">
        <v>14</v>
      </c>
    </row>
    <row r="8" spans="1:6" x14ac:dyDescent="0.25">
      <c r="D8" t="s">
        <v>15</v>
      </c>
      <c r="E8" t="s">
        <v>16</v>
      </c>
    </row>
    <row r="9" spans="1:6" x14ac:dyDescent="0.25">
      <c r="D9" t="s">
        <v>17</v>
      </c>
      <c r="E9" t="s">
        <v>18</v>
      </c>
    </row>
    <row r="10" spans="1:6" x14ac:dyDescent="0.25">
      <c r="D10" t="s">
        <v>19</v>
      </c>
      <c r="E10" t="s">
        <v>20</v>
      </c>
    </row>
    <row r="11" spans="1:6" x14ac:dyDescent="0.25">
      <c r="D11" t="s">
        <v>21</v>
      </c>
      <c r="E11" t="s">
        <v>22</v>
      </c>
    </row>
    <row r="12" spans="1:6" x14ac:dyDescent="0.25">
      <c r="D12" t="s">
        <v>23</v>
      </c>
      <c r="E12" t="s">
        <v>24</v>
      </c>
    </row>
    <row r="13" spans="1:6" x14ac:dyDescent="0.25">
      <c r="D13" t="s">
        <v>25</v>
      </c>
      <c r="E13" t="s">
        <v>22</v>
      </c>
    </row>
    <row r="14" spans="1:6" x14ac:dyDescent="0.25">
      <c r="D14" t="s">
        <v>26</v>
      </c>
      <c r="E14" t="s">
        <v>24</v>
      </c>
    </row>
    <row r="15" spans="1:6" x14ac:dyDescent="0.25">
      <c r="D15" t="s">
        <v>27</v>
      </c>
      <c r="E15" t="s">
        <v>22</v>
      </c>
    </row>
    <row r="16" spans="1:6" x14ac:dyDescent="0.25">
      <c r="D16" t="s">
        <v>28</v>
      </c>
      <c r="E16" t="s">
        <v>16</v>
      </c>
    </row>
    <row r="17" spans="4:5" x14ac:dyDescent="0.25">
      <c r="D17" t="s">
        <v>29</v>
      </c>
      <c r="E17" t="s">
        <v>18</v>
      </c>
    </row>
    <row r="18" spans="4:5" x14ac:dyDescent="0.25">
      <c r="D18" t="s">
        <v>30</v>
      </c>
      <c r="E18" t="s">
        <v>31</v>
      </c>
    </row>
    <row r="19" spans="4:5" x14ac:dyDescent="0.25">
      <c r="D19" t="s">
        <v>32</v>
      </c>
      <c r="E19" t="s">
        <v>18</v>
      </c>
    </row>
    <row r="20" spans="4:5" x14ac:dyDescent="0.25">
      <c r="D20" t="s">
        <v>33</v>
      </c>
      <c r="E20" t="s">
        <v>18</v>
      </c>
    </row>
    <row r="21" spans="4:5" x14ac:dyDescent="0.25">
      <c r="D21" t="s">
        <v>34</v>
      </c>
      <c r="E21" t="s">
        <v>22</v>
      </c>
    </row>
    <row r="22" spans="4:5" x14ac:dyDescent="0.25">
      <c r="D22" t="s">
        <v>35</v>
      </c>
      <c r="E22" t="s">
        <v>24</v>
      </c>
    </row>
    <row r="23" spans="4:5" x14ac:dyDescent="0.25">
      <c r="D23" t="s">
        <v>36</v>
      </c>
      <c r="E23" t="s">
        <v>22</v>
      </c>
    </row>
    <row r="24" spans="4:5" x14ac:dyDescent="0.25">
      <c r="D24" t="s">
        <v>37</v>
      </c>
      <c r="E24" t="s">
        <v>24</v>
      </c>
    </row>
    <row r="25" spans="4:5" x14ac:dyDescent="0.25">
      <c r="D25" t="s">
        <v>38</v>
      </c>
      <c r="E25" t="s">
        <v>22</v>
      </c>
    </row>
    <row r="26" spans="4:5" x14ac:dyDescent="0.25">
      <c r="D26" t="s">
        <v>39</v>
      </c>
      <c r="E26" t="s">
        <v>16</v>
      </c>
    </row>
    <row r="27" spans="4:5" x14ac:dyDescent="0.25">
      <c r="D27" t="s">
        <v>40</v>
      </c>
      <c r="E27" t="s">
        <v>41</v>
      </c>
    </row>
    <row r="28" spans="4:5" x14ac:dyDescent="0.25">
      <c r="D28" t="s">
        <v>42</v>
      </c>
      <c r="E28" t="s">
        <v>16</v>
      </c>
    </row>
    <row r="29" spans="4:5" x14ac:dyDescent="0.25">
      <c r="D29" t="s">
        <v>43</v>
      </c>
      <c r="E29" t="s">
        <v>31</v>
      </c>
    </row>
    <row r="30" spans="4:5" x14ac:dyDescent="0.25">
      <c r="D30" t="s">
        <v>44</v>
      </c>
      <c r="E30" t="s">
        <v>22</v>
      </c>
    </row>
    <row r="31" spans="4:5" x14ac:dyDescent="0.25">
      <c r="D31" t="s">
        <v>45</v>
      </c>
      <c r="E31" t="s">
        <v>24</v>
      </c>
    </row>
    <row r="32" spans="4:5" x14ac:dyDescent="0.25">
      <c r="D32" t="s">
        <v>46</v>
      </c>
      <c r="E32" t="s">
        <v>22</v>
      </c>
    </row>
    <row r="33" spans="4:5" x14ac:dyDescent="0.25">
      <c r="D33" t="s">
        <v>47</v>
      </c>
      <c r="E33" t="s">
        <v>24</v>
      </c>
    </row>
    <row r="34" spans="4:5" x14ac:dyDescent="0.25">
      <c r="D34" t="s">
        <v>48</v>
      </c>
      <c r="E34" t="s">
        <v>22</v>
      </c>
    </row>
    <row r="35" spans="4:5" x14ac:dyDescent="0.25">
      <c r="D35" t="s">
        <v>49</v>
      </c>
      <c r="E35" t="s">
        <v>16</v>
      </c>
    </row>
    <row r="36" spans="4:5" x14ac:dyDescent="0.25">
      <c r="D36" t="s">
        <v>50</v>
      </c>
      <c r="E36" t="s">
        <v>16</v>
      </c>
    </row>
    <row r="37" spans="4:5" x14ac:dyDescent="0.25">
      <c r="D37" t="s">
        <v>51</v>
      </c>
      <c r="E37" t="s">
        <v>16</v>
      </c>
    </row>
    <row r="38" spans="4:5" x14ac:dyDescent="0.25">
      <c r="D38" t="s">
        <v>52</v>
      </c>
      <c r="E38" t="s">
        <v>31</v>
      </c>
    </row>
    <row r="39" spans="4:5" x14ac:dyDescent="0.25">
      <c r="D39" t="s">
        <v>53</v>
      </c>
      <c r="E39" t="s">
        <v>16</v>
      </c>
    </row>
    <row r="40" spans="4:5" x14ac:dyDescent="0.25">
      <c r="D40" t="s">
        <v>54</v>
      </c>
      <c r="E40" t="s">
        <v>22</v>
      </c>
    </row>
    <row r="41" spans="4:5" x14ac:dyDescent="0.25">
      <c r="D41" t="s">
        <v>55</v>
      </c>
      <c r="E41" t="s">
        <v>24</v>
      </c>
    </row>
    <row r="42" spans="4:5" x14ac:dyDescent="0.25">
      <c r="D42" t="s">
        <v>56</v>
      </c>
      <c r="E42" t="s">
        <v>22</v>
      </c>
    </row>
    <row r="43" spans="4:5" x14ac:dyDescent="0.25">
      <c r="D43" t="s">
        <v>57</v>
      </c>
      <c r="E43" t="s">
        <v>24</v>
      </c>
    </row>
    <row r="44" spans="4:5" x14ac:dyDescent="0.25">
      <c r="D44" t="s">
        <v>58</v>
      </c>
      <c r="E44" t="s">
        <v>22</v>
      </c>
    </row>
  </sheetData>
  <dataValidations count="6">
    <dataValidation type="custom" allowBlank="1" showInputMessage="1" showErrorMessage="1" error="Column Headers are read-only" sqref="A1">
      <formula1>FALSE</formula1>
    </dataValidation>
    <dataValidation type="custom" allowBlank="1" showInputMessage="1" showErrorMessage="1" error="Column Headers are read-only" sqref="C1">
      <formula1>FALSE</formula1>
    </dataValidation>
    <dataValidation type="custom" allowBlank="1" showInputMessage="1" showErrorMessage="1" error="Column Headers are read-only" sqref="D1">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custom" allowBlank="1" showInputMessage="1" showErrorMessage="1" error="Column Headers are read-only" sqref="D7">
      <formula1>FALSE</formula1>
    </dataValidation>
  </dataValidations>
  <hyperlinks>
    <hyperlink ref="A2" tooltip="macro:ShowLogin" display="Login"/>
    <hyperlink ref="A3" tooltip="/demo/Timesheets01.db" display="Timesheets01"/>
    <hyperlink ref="A4" tooltip="/demo/rentals.db" display="rentals"/>
    <hyperlink ref="A5" tooltip="/demo/sandwiches.db" display="sandwiches"/>
    <hyperlink ref="A6" tooltip="/demo/soccer.db" display="soccer"/>
    <hyperlink ref="D2" tooltip="func:ShowLoadTablesInCell" display="customers"/>
    <hyperlink ref="D3" tooltip="func:ShowLoadTablesInCell" display="sandwiches"/>
    <hyperlink ref="D4" tooltip="func:ShowLoadTablesInCell" display="orders"/>
    <hyperlink ref="D5" tooltip="func:ShowLoadTablesInCell" display="order_items"/>
  </hyperlink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02"/>
  <sheetViews>
    <sheetView workbookViewId="0">
      <selection activeCell="H1" sqref="H1:L1048576"/>
    </sheetView>
  </sheetViews>
  <sheetFormatPr defaultRowHeight="15" x14ac:dyDescent="0.25"/>
  <cols>
    <col min="4" max="4" width="9.140625" style="3"/>
    <col min="5" max="5" width="9.140625" style="5"/>
    <col min="6" max="6" width="20.5703125" style="3" bestFit="1" customWidth="1"/>
    <col min="7" max="7" width="55.85546875" style="3" bestFit="1" customWidth="1"/>
    <col min="8" max="8" width="10.28515625" style="7" hidden="1" customWidth="1"/>
    <col min="9" max="9" width="18.28515625" style="7" hidden="1" customWidth="1"/>
    <col min="10" max="10" width="0" style="3" hidden="1" customWidth="1"/>
    <col min="11" max="11" width="18.28515625" style="7" hidden="1" customWidth="1"/>
    <col min="12" max="12" width="0" style="3" hidden="1" customWidth="1"/>
  </cols>
  <sheetData>
    <row r="1" spans="1:12" x14ac:dyDescent="0.25">
      <c r="A1" s="1" t="s">
        <v>0</v>
      </c>
      <c r="C1" s="1" t="s">
        <v>59</v>
      </c>
      <c r="D1" s="4" t="s">
        <v>60</v>
      </c>
      <c r="E1" s="6" t="s">
        <v>61</v>
      </c>
      <c r="F1" s="4" t="s">
        <v>62</v>
      </c>
      <c r="G1" s="4" t="s">
        <v>63</v>
      </c>
      <c r="H1" s="8" t="s">
        <v>64</v>
      </c>
      <c r="I1" s="8" t="s">
        <v>65</v>
      </c>
      <c r="J1" s="4" t="s">
        <v>66</v>
      </c>
      <c r="K1" s="8" t="s">
        <v>67</v>
      </c>
      <c r="L1" s="4" t="s">
        <v>68</v>
      </c>
    </row>
    <row r="2" spans="1:12" x14ac:dyDescent="0.25">
      <c r="A2" s="2" t="s">
        <v>370</v>
      </c>
      <c r="C2" t="str">
        <f>IF(COUNTBLANK(E2:L2) = 8,"",IF(AND(NOT(ISBLANK(E2)),COUNTBLANK(E2:L2) = 7),"3 Delete",IF(ISBLANK(E2),"2 Add",IF(JenkinsHashRange(E2:L2) = "747073904","0 Original","1 Modify"))))</f>
        <v>0 Original</v>
      </c>
      <c r="D2" s="3" t="s">
        <v>69</v>
      </c>
      <c r="E2" s="5">
        <v>1</v>
      </c>
      <c r="F2" s="3" t="s">
        <v>70</v>
      </c>
      <c r="G2" s="3" t="s">
        <v>71</v>
      </c>
      <c r="H2" s="7" t="s">
        <v>72</v>
      </c>
      <c r="I2" s="7">
        <v>42748.047025462962</v>
      </c>
      <c r="J2" s="3" t="s">
        <v>72</v>
      </c>
      <c r="K2" s="7">
        <v>42748.047025462962</v>
      </c>
    </row>
    <row r="3" spans="1:12" x14ac:dyDescent="0.25">
      <c r="A3" s="2" t="s">
        <v>371</v>
      </c>
      <c r="C3" t="str">
        <f>IF(COUNTBLANK(E3:L3) = 8,"",IF(AND(NOT(ISBLANK(E3)),COUNTBLANK(E3:L3) = 7),"3 Delete",IF(ISBLANK(E3),"2 Add",IF(JenkinsHashRange(E3:L3) = "1522861916","0 Original","1 Modify"))))</f>
        <v>0 Original</v>
      </c>
      <c r="D3" s="3" t="s">
        <v>73</v>
      </c>
      <c r="E3" s="5">
        <v>2</v>
      </c>
      <c r="F3" s="3" t="s">
        <v>74</v>
      </c>
      <c r="G3" s="3" t="s">
        <v>75</v>
      </c>
      <c r="H3" s="7" t="s">
        <v>72</v>
      </c>
      <c r="I3" s="7">
        <v>42748.047025462962</v>
      </c>
      <c r="J3" s="3" t="s">
        <v>72</v>
      </c>
      <c r="K3" s="7">
        <v>42748.047025462962</v>
      </c>
    </row>
    <row r="4" spans="1:12" x14ac:dyDescent="0.25">
      <c r="C4" t="str">
        <f>IF(COUNTBLANK(E4:L4) = 8,"",IF(AND(NOT(ISBLANK(E4)),COUNTBLANK(E4:L4) = 7),"3 Delete",IF(ISBLANK(E4),"2 Add",IF(JenkinsHashRange(E4:L4) = "2001024311","0 Original","1 Modify"))))</f>
        <v>0 Original</v>
      </c>
      <c r="D4" s="3" t="s">
        <v>76</v>
      </c>
      <c r="E4" s="5">
        <v>3</v>
      </c>
      <c r="F4" s="3" t="s">
        <v>77</v>
      </c>
      <c r="G4" s="3" t="s">
        <v>78</v>
      </c>
      <c r="H4" s="7" t="s">
        <v>72</v>
      </c>
      <c r="I4" s="7">
        <v>42748.047025462962</v>
      </c>
      <c r="J4" s="3" t="s">
        <v>72</v>
      </c>
      <c r="K4" s="7">
        <v>42748.047025462962</v>
      </c>
    </row>
    <row r="5" spans="1:12" x14ac:dyDescent="0.25">
      <c r="C5" t="str">
        <f>IF(COUNTBLANK(E5:L5) = 8,"",IF(AND(NOT(ISBLANK(E5)),COUNTBLANK(E5:L5) = 7),"3 Delete",IF(ISBLANK(E5),"2 Add",IF(JenkinsHashRange(E5:L5) = "1354998224","0 Original","1 Modify"))))</f>
        <v>0 Original</v>
      </c>
      <c r="D5" s="3" t="s">
        <v>79</v>
      </c>
      <c r="E5" s="5">
        <v>4</v>
      </c>
      <c r="F5" s="3" t="s">
        <v>80</v>
      </c>
      <c r="G5" s="3" t="s">
        <v>81</v>
      </c>
      <c r="H5" s="7" t="s">
        <v>72</v>
      </c>
      <c r="I5" s="7">
        <v>42748.047025462962</v>
      </c>
      <c r="J5" s="3" t="s">
        <v>72</v>
      </c>
      <c r="K5" s="7">
        <v>42748.047025462962</v>
      </c>
    </row>
    <row r="6" spans="1:12" x14ac:dyDescent="0.25">
      <c r="C6" t="str">
        <f>IF(COUNTBLANK(E6:L6) = 8,"",IF(AND(NOT(ISBLANK(E6)),COUNTBLANK(E6:L6) = 7),"3 Delete",IF(ISBLANK(E6),"2 Add",IF(JenkinsHashRange(E6:L6) = "1753404620","0 Original","1 Modify"))))</f>
        <v>0 Original</v>
      </c>
      <c r="D6" s="3" t="s">
        <v>82</v>
      </c>
      <c r="E6" s="5">
        <v>5</v>
      </c>
      <c r="F6" s="3" t="s">
        <v>83</v>
      </c>
      <c r="G6" s="3" t="s">
        <v>84</v>
      </c>
      <c r="H6" s="7" t="s">
        <v>72</v>
      </c>
      <c r="I6" s="7">
        <v>42748.047025462962</v>
      </c>
      <c r="J6" s="3" t="s">
        <v>72</v>
      </c>
      <c r="K6" s="7">
        <v>42748.047025462962</v>
      </c>
    </row>
    <row r="7" spans="1:12" x14ac:dyDescent="0.25">
      <c r="C7" t="str">
        <f>IF(COUNTBLANK(E7:L7) = 8,"",IF(AND(NOT(ISBLANK(E7)),COUNTBLANK(E7:L7) = 7),"3 Delete",IF(ISBLANK(E7),"2 Add",IF(JenkinsHashRange(E7:L7) = "1273797829","0 Original","1 Modify"))))</f>
        <v>0 Original</v>
      </c>
      <c r="D7" s="3" t="s">
        <v>85</v>
      </c>
      <c r="E7" s="5">
        <v>6</v>
      </c>
      <c r="F7" s="3" t="s">
        <v>86</v>
      </c>
      <c r="G7" s="3" t="s">
        <v>87</v>
      </c>
      <c r="H7" s="7" t="s">
        <v>72</v>
      </c>
      <c r="I7" s="7">
        <v>42748.047025462962</v>
      </c>
      <c r="J7" s="3" t="s">
        <v>72</v>
      </c>
      <c r="K7" s="7">
        <v>42748.047025462962</v>
      </c>
    </row>
    <row r="8" spans="1:12" x14ac:dyDescent="0.25">
      <c r="C8" t="str">
        <f>IF(COUNTBLANK(E8:L8) = 8,"",IF(AND(NOT(ISBLANK(E8)),COUNTBLANK(E8:L8) = 7),"3 Delete",IF(ISBLANK(E8),"2 Add",IF(JenkinsHashRange(E8:L8) = "1201117716","0 Original","1 Modify"))))</f>
        <v>0 Original</v>
      </c>
      <c r="D8" s="3" t="s">
        <v>88</v>
      </c>
      <c r="E8" s="5">
        <v>7</v>
      </c>
      <c r="F8" s="3" t="s">
        <v>89</v>
      </c>
      <c r="G8" s="3" t="s">
        <v>90</v>
      </c>
      <c r="H8" s="7" t="s">
        <v>72</v>
      </c>
      <c r="I8" s="7">
        <v>42748.047025462962</v>
      </c>
      <c r="J8" s="3" t="s">
        <v>72</v>
      </c>
      <c r="K8" s="7">
        <v>42748.047025462962</v>
      </c>
    </row>
    <row r="9" spans="1:12" x14ac:dyDescent="0.25">
      <c r="C9" t="str">
        <f>IF(COUNTBLANK(E9:L9) = 8,"",IF(AND(NOT(ISBLANK(E9)),COUNTBLANK(E9:L9) = 7),"3 Delete",IF(ISBLANK(E9),"2 Add",IF(JenkinsHashRange(E9:L9) = "1598848306","0 Original","1 Modify"))))</f>
        <v>0 Original</v>
      </c>
      <c r="D9" s="3" t="s">
        <v>91</v>
      </c>
      <c r="E9" s="5">
        <v>8</v>
      </c>
      <c r="F9" s="3" t="s">
        <v>92</v>
      </c>
      <c r="G9" s="3" t="s">
        <v>93</v>
      </c>
      <c r="H9" s="7" t="s">
        <v>72</v>
      </c>
      <c r="I9" s="7">
        <v>42748.047025462962</v>
      </c>
      <c r="J9" s="3" t="s">
        <v>72</v>
      </c>
      <c r="K9" s="7">
        <v>42748.047025462962</v>
      </c>
    </row>
    <row r="10" spans="1:12" x14ac:dyDescent="0.25">
      <c r="C10" t="str">
        <f>IF(COUNTBLANK(E10:L10) = 8,"",IF(AND(NOT(ISBLANK(E10)),COUNTBLANK(E10:L10) = 7),"3 Delete",IF(ISBLANK(E10),"2 Add",IF(JenkinsHashRange(E10:L10) = "547315540","0 Original","1 Modify"))))</f>
        <v>0 Original</v>
      </c>
      <c r="D10" s="3" t="s">
        <v>94</v>
      </c>
      <c r="E10" s="5">
        <v>9</v>
      </c>
      <c r="F10" s="3" t="s">
        <v>95</v>
      </c>
      <c r="G10" s="3" t="s">
        <v>96</v>
      </c>
      <c r="H10" s="7" t="s">
        <v>72</v>
      </c>
      <c r="I10" s="7">
        <v>42748.047025462962</v>
      </c>
      <c r="J10" s="3" t="s">
        <v>72</v>
      </c>
      <c r="K10" s="7">
        <v>42748.047025462962</v>
      </c>
    </row>
    <row r="11" spans="1:12" x14ac:dyDescent="0.25">
      <c r="C11" t="str">
        <f>IF(COUNTBLANK(E11:L11) = 8,"",IF(AND(NOT(ISBLANK(E11)),COUNTBLANK(E11:L11) = 7),"3 Delete",IF(ISBLANK(E11),"2 Add",IF(JenkinsHashRange(E11:L11) = "701446200","0 Original","1 Modify"))))</f>
        <v>0 Original</v>
      </c>
      <c r="D11" s="3" t="s">
        <v>97</v>
      </c>
      <c r="E11" s="5">
        <v>10</v>
      </c>
      <c r="F11" s="3" t="s">
        <v>98</v>
      </c>
      <c r="G11" s="3" t="s">
        <v>99</v>
      </c>
      <c r="H11" s="7" t="s">
        <v>72</v>
      </c>
      <c r="I11" s="7">
        <v>42748.047025462962</v>
      </c>
      <c r="J11" s="3" t="s">
        <v>72</v>
      </c>
      <c r="K11" s="7">
        <v>42748.047025462962</v>
      </c>
    </row>
    <row r="12" spans="1:12" x14ac:dyDescent="0.25">
      <c r="C12" t="str">
        <f>IF(COUNTBLANK(E12:L12) = 8,"",IF(AND(NOT(ISBLANK(E12)),COUNTBLANK(E12:L12) = 7),"3 Delete",IF(ISBLANK(E12),"2 Add",IF(JenkinsHashRange(E12:L12) = "1200531070","0 Original","1 Modify"))))</f>
        <v>0 Original</v>
      </c>
      <c r="D12" s="3" t="s">
        <v>100</v>
      </c>
      <c r="E12" s="5">
        <v>11</v>
      </c>
      <c r="F12" s="3" t="s">
        <v>101</v>
      </c>
      <c r="G12" s="3" t="s">
        <v>102</v>
      </c>
      <c r="H12" s="7" t="s">
        <v>72</v>
      </c>
      <c r="I12" s="7">
        <v>42748.047025462962</v>
      </c>
      <c r="J12" s="3" t="s">
        <v>72</v>
      </c>
      <c r="K12" s="7">
        <v>42748.047025462962</v>
      </c>
    </row>
    <row r="13" spans="1:12" x14ac:dyDescent="0.25">
      <c r="C13" t="str">
        <f>IF(COUNTBLANK(E13:L13) = 8,"",IF(AND(NOT(ISBLANK(E13)),COUNTBLANK(E13:L13) = 7),"3 Delete",IF(ISBLANK(E13),"2 Add",IF(JenkinsHashRange(E13:L13) = "512804172","0 Original","1 Modify"))))</f>
        <v>0 Original</v>
      </c>
      <c r="D13" s="3" t="s">
        <v>103</v>
      </c>
      <c r="E13" s="5">
        <v>12</v>
      </c>
      <c r="F13" s="3" t="s">
        <v>104</v>
      </c>
      <c r="G13" s="3" t="s">
        <v>105</v>
      </c>
      <c r="H13" s="7" t="s">
        <v>72</v>
      </c>
      <c r="I13" s="7">
        <v>42748.047025462962</v>
      </c>
      <c r="J13" s="3" t="s">
        <v>72</v>
      </c>
      <c r="K13" s="7">
        <v>42748.047025462962</v>
      </c>
    </row>
    <row r="14" spans="1:12" x14ac:dyDescent="0.25">
      <c r="C14" t="str">
        <f>IF(COUNTBLANK(E14:L14) = 8,"",IF(AND(NOT(ISBLANK(E14)),COUNTBLANK(E14:L14) = 7),"3 Delete",IF(ISBLANK(E14),"2 Add",IF(JenkinsHashRange(E14:L14) = "1041862575","0 Original","1 Modify"))))</f>
        <v>0 Original</v>
      </c>
      <c r="D14" s="3" t="s">
        <v>106</v>
      </c>
      <c r="E14" s="5">
        <v>13</v>
      </c>
      <c r="F14" s="3" t="s">
        <v>107</v>
      </c>
      <c r="G14" s="3" t="s">
        <v>108</v>
      </c>
      <c r="H14" s="7" t="s">
        <v>72</v>
      </c>
      <c r="I14" s="7">
        <v>42748.047025462962</v>
      </c>
      <c r="J14" s="3" t="s">
        <v>72</v>
      </c>
      <c r="K14" s="7">
        <v>42748.047025462962</v>
      </c>
    </row>
    <row r="15" spans="1:12" x14ac:dyDescent="0.25">
      <c r="C15" t="str">
        <f>IF(COUNTBLANK(E15:L15) = 8,"",IF(AND(NOT(ISBLANK(E15)),COUNTBLANK(E15:L15) = 7),"3 Delete",IF(ISBLANK(E15),"2 Add",IF(JenkinsHashRange(E15:L15) = "1404174592","0 Original","1 Modify"))))</f>
        <v>0 Original</v>
      </c>
      <c r="D15" s="3" t="s">
        <v>109</v>
      </c>
      <c r="E15" s="5">
        <v>14</v>
      </c>
      <c r="F15" s="3" t="s">
        <v>110</v>
      </c>
      <c r="G15" s="3" t="s">
        <v>111</v>
      </c>
      <c r="H15" s="7" t="s">
        <v>72</v>
      </c>
      <c r="I15" s="7">
        <v>42748.047025462962</v>
      </c>
      <c r="J15" s="3" t="s">
        <v>72</v>
      </c>
      <c r="K15" s="7">
        <v>42748.047025462962</v>
      </c>
    </row>
    <row r="16" spans="1:12" x14ac:dyDescent="0.25">
      <c r="C16" t="str">
        <f>IF(COUNTBLANK(E16:L16) = 8,"",IF(AND(NOT(ISBLANK(E16)),COUNTBLANK(E16:L16) = 7),"3 Delete",IF(ISBLANK(E16),"2 Add",IF(JenkinsHashRange(E16:L16) = "291761059","0 Original","1 Modify"))))</f>
        <v>0 Original</v>
      </c>
      <c r="D16" s="3" t="s">
        <v>112</v>
      </c>
      <c r="E16" s="5">
        <v>15</v>
      </c>
      <c r="F16" s="3" t="s">
        <v>113</v>
      </c>
      <c r="G16" s="3" t="s">
        <v>114</v>
      </c>
      <c r="H16" s="7" t="s">
        <v>72</v>
      </c>
      <c r="I16" s="7">
        <v>42748.047025462962</v>
      </c>
      <c r="J16" s="3" t="s">
        <v>72</v>
      </c>
      <c r="K16" s="7">
        <v>42748.047025462962</v>
      </c>
    </row>
    <row r="17" spans="3:11" x14ac:dyDescent="0.25">
      <c r="C17" t="str">
        <f>IF(COUNTBLANK(E17:L17) = 8,"",IF(AND(NOT(ISBLANK(E17)),COUNTBLANK(E17:L17) = 7),"3 Delete",IF(ISBLANK(E17),"2 Add",IF(JenkinsHashRange(E17:L17) = "189491126","0 Original","1 Modify"))))</f>
        <v>0 Original</v>
      </c>
      <c r="D17" s="3" t="s">
        <v>115</v>
      </c>
      <c r="E17" s="5">
        <v>16</v>
      </c>
      <c r="F17" s="3" t="s">
        <v>116</v>
      </c>
      <c r="G17" s="3" t="s">
        <v>117</v>
      </c>
      <c r="H17" s="7" t="s">
        <v>72</v>
      </c>
      <c r="I17" s="7">
        <v>42748.047025462962</v>
      </c>
      <c r="J17" s="3" t="s">
        <v>72</v>
      </c>
      <c r="K17" s="7">
        <v>42748.047025462962</v>
      </c>
    </row>
    <row r="18" spans="3:11" x14ac:dyDescent="0.25">
      <c r="C18" t="str">
        <f>IF(COUNTBLANK(E18:L18) = 8,"",IF(AND(NOT(ISBLANK(E18)),COUNTBLANK(E18:L18) = 7),"3 Delete",IF(ISBLANK(E18),"2 Add",IF(JenkinsHashRange(E18:L18) = "422420827","0 Original","1 Modify"))))</f>
        <v>0 Original</v>
      </c>
      <c r="D18" s="3" t="s">
        <v>118</v>
      </c>
      <c r="E18" s="5">
        <v>17</v>
      </c>
      <c r="F18" s="3" t="s">
        <v>119</v>
      </c>
      <c r="G18" s="3" t="s">
        <v>120</v>
      </c>
      <c r="H18" s="7" t="s">
        <v>72</v>
      </c>
      <c r="I18" s="7">
        <v>42748.047025462962</v>
      </c>
      <c r="J18" s="3" t="s">
        <v>72</v>
      </c>
      <c r="K18" s="7">
        <v>42748.047025462962</v>
      </c>
    </row>
    <row r="19" spans="3:11" x14ac:dyDescent="0.25">
      <c r="C19" t="str">
        <f>IF(COUNTBLANK(E19:L19) = 8,"",IF(AND(NOT(ISBLANK(E19)),COUNTBLANK(E19:L19) = 7),"3 Delete",IF(ISBLANK(E19),"2 Add",IF(JenkinsHashRange(E19:L19) = "1198490028","0 Original","1 Modify"))))</f>
        <v>0 Original</v>
      </c>
      <c r="D19" s="3" t="s">
        <v>121</v>
      </c>
      <c r="E19" s="5">
        <v>18</v>
      </c>
      <c r="F19" s="3" t="s">
        <v>122</v>
      </c>
      <c r="G19" s="3" t="s">
        <v>123</v>
      </c>
      <c r="H19" s="7" t="s">
        <v>72</v>
      </c>
      <c r="I19" s="7">
        <v>42748.047025462962</v>
      </c>
      <c r="J19" s="3" t="s">
        <v>72</v>
      </c>
      <c r="K19" s="7">
        <v>42748.047025462962</v>
      </c>
    </row>
    <row r="20" spans="3:11" x14ac:dyDescent="0.25">
      <c r="C20" t="str">
        <f>IF(COUNTBLANK(E20:L20) = 8,"",IF(AND(NOT(ISBLANK(E20)),COUNTBLANK(E20:L20) = 7),"3 Delete",IF(ISBLANK(E20),"2 Add",IF(JenkinsHashRange(E20:L20) = "1599812136","0 Original","1 Modify"))))</f>
        <v>0 Original</v>
      </c>
      <c r="D20" s="3" t="s">
        <v>124</v>
      </c>
      <c r="E20" s="5">
        <v>19</v>
      </c>
      <c r="F20" s="3" t="s">
        <v>125</v>
      </c>
      <c r="G20" s="3" t="s">
        <v>126</v>
      </c>
      <c r="H20" s="7" t="s">
        <v>72</v>
      </c>
      <c r="I20" s="7">
        <v>42748.047025462962</v>
      </c>
      <c r="J20" s="3" t="s">
        <v>72</v>
      </c>
      <c r="K20" s="7">
        <v>42748.047025462962</v>
      </c>
    </row>
    <row r="21" spans="3:11" x14ac:dyDescent="0.25">
      <c r="C21" t="str">
        <f>IF(COUNTBLANK(E21:L21) = 8,"",IF(AND(NOT(ISBLANK(E21)),COUNTBLANK(E21:L21) = 7),"3 Delete",IF(ISBLANK(E21),"2 Add",IF(JenkinsHashRange(E21:L21) = "891723977","0 Original","1 Modify"))))</f>
        <v>0 Original</v>
      </c>
      <c r="D21" s="3" t="s">
        <v>127</v>
      </c>
      <c r="E21" s="5">
        <v>20</v>
      </c>
      <c r="F21" s="3" t="s">
        <v>128</v>
      </c>
      <c r="G21" s="3" t="s">
        <v>129</v>
      </c>
      <c r="H21" s="7" t="s">
        <v>72</v>
      </c>
      <c r="I21" s="7">
        <v>42748.047025462962</v>
      </c>
      <c r="J21" s="3" t="s">
        <v>72</v>
      </c>
      <c r="K21" s="7">
        <v>42748.047025462962</v>
      </c>
    </row>
    <row r="22" spans="3:11" x14ac:dyDescent="0.25">
      <c r="C22" t="str">
        <f>IF(COUNTBLANK(E22:L22) = 8,"",IF(AND(NOT(ISBLANK(E22)),COUNTBLANK(E22:L22) = 7),"3 Delete",IF(ISBLANK(E22),"2 Add",IF(JenkinsHashRange(E22:L22) = "99306805","0 Original","1 Modify"))))</f>
        <v>0 Original</v>
      </c>
      <c r="D22" s="3" t="s">
        <v>130</v>
      </c>
      <c r="E22" s="5">
        <v>21</v>
      </c>
      <c r="F22" s="3" t="s">
        <v>131</v>
      </c>
      <c r="G22" s="3" t="s">
        <v>132</v>
      </c>
      <c r="H22" s="7" t="s">
        <v>72</v>
      </c>
      <c r="I22" s="7">
        <v>42748.047025462962</v>
      </c>
      <c r="J22" s="3" t="s">
        <v>72</v>
      </c>
      <c r="K22" s="7">
        <v>42748.047025462962</v>
      </c>
    </row>
    <row r="23" spans="3:11" x14ac:dyDescent="0.25">
      <c r="C23" t="str">
        <f>IF(COUNTBLANK(E23:L23) = 8,"",IF(AND(NOT(ISBLANK(E23)),COUNTBLANK(E23:L23) = 7),"3 Delete",IF(ISBLANK(E23),"2 Add",IF(JenkinsHashRange(E23:L23) = "1007271026","0 Original","1 Modify"))))</f>
        <v>0 Original</v>
      </c>
      <c r="D23" s="3" t="s">
        <v>133</v>
      </c>
      <c r="E23" s="5">
        <v>22</v>
      </c>
      <c r="F23" s="3" t="s">
        <v>134</v>
      </c>
      <c r="G23" s="3" t="s">
        <v>135</v>
      </c>
      <c r="H23" s="7" t="s">
        <v>72</v>
      </c>
      <c r="I23" s="7">
        <v>42748.047025462962</v>
      </c>
      <c r="J23" s="3" t="s">
        <v>72</v>
      </c>
      <c r="K23" s="7">
        <v>42748.047025462962</v>
      </c>
    </row>
    <row r="24" spans="3:11" x14ac:dyDescent="0.25">
      <c r="C24" t="str">
        <f>IF(COUNTBLANK(E24:L24) = 8,"",IF(AND(NOT(ISBLANK(E24)),COUNTBLANK(E24:L24) = 7),"3 Delete",IF(ISBLANK(E24),"2 Add",IF(JenkinsHashRange(E24:L24) = "2020358914","0 Original","1 Modify"))))</f>
        <v>0 Original</v>
      </c>
      <c r="D24" s="3" t="s">
        <v>136</v>
      </c>
      <c r="E24" s="5">
        <v>23</v>
      </c>
      <c r="F24" s="3" t="s">
        <v>137</v>
      </c>
      <c r="G24" s="3" t="s">
        <v>138</v>
      </c>
      <c r="H24" s="7" t="s">
        <v>72</v>
      </c>
      <c r="I24" s="7">
        <v>42748.047025462962</v>
      </c>
      <c r="J24" s="3" t="s">
        <v>72</v>
      </c>
      <c r="K24" s="7">
        <v>42748.047025462962</v>
      </c>
    </row>
    <row r="25" spans="3:11" x14ac:dyDescent="0.25">
      <c r="C25" t="str">
        <f>IF(COUNTBLANK(E25:L25) = 8,"",IF(AND(NOT(ISBLANK(E25)),COUNTBLANK(E25:L25) = 7),"3 Delete",IF(ISBLANK(E25),"2 Add",IF(JenkinsHashRange(E25:L25) = "742000314","0 Original","1 Modify"))))</f>
        <v>0 Original</v>
      </c>
      <c r="D25" s="3" t="s">
        <v>139</v>
      </c>
      <c r="E25" s="5">
        <v>24</v>
      </c>
      <c r="F25" s="3" t="s">
        <v>140</v>
      </c>
      <c r="G25" s="3" t="s">
        <v>141</v>
      </c>
      <c r="H25" s="7" t="s">
        <v>72</v>
      </c>
      <c r="I25" s="7">
        <v>42748.047025462962</v>
      </c>
      <c r="J25" s="3" t="s">
        <v>72</v>
      </c>
      <c r="K25" s="7">
        <v>42748.047025462962</v>
      </c>
    </row>
    <row r="26" spans="3:11" x14ac:dyDescent="0.25">
      <c r="C26" t="str">
        <f>IF(COUNTBLANK(E26:L26) = 8,"",IF(AND(NOT(ISBLANK(E26)),COUNTBLANK(E26:L26) = 7),"3 Delete",IF(ISBLANK(E26),"2 Add",IF(JenkinsHashRange(E26:L26) = "1386617078","0 Original","1 Modify"))))</f>
        <v>0 Original</v>
      </c>
      <c r="D26" s="3" t="s">
        <v>142</v>
      </c>
      <c r="E26" s="5">
        <v>25</v>
      </c>
      <c r="F26" s="3" t="s">
        <v>143</v>
      </c>
      <c r="G26" s="3" t="s">
        <v>144</v>
      </c>
      <c r="H26" s="7" t="s">
        <v>72</v>
      </c>
      <c r="I26" s="7">
        <v>42748.047025462962</v>
      </c>
      <c r="J26" s="3" t="s">
        <v>72</v>
      </c>
      <c r="K26" s="7">
        <v>42748.047025462962</v>
      </c>
    </row>
    <row r="27" spans="3:11" x14ac:dyDescent="0.25">
      <c r="C27" t="str">
        <f>IF(COUNTBLANK(E27:L27) = 8,"",IF(AND(NOT(ISBLANK(E27)),COUNTBLANK(E27:L27) = 7),"3 Delete",IF(ISBLANK(E27),"2 Add",IF(JenkinsHashRange(E27:L27) = "666321817","0 Original","1 Modify"))))</f>
        <v>0 Original</v>
      </c>
      <c r="D27" s="3" t="s">
        <v>145</v>
      </c>
      <c r="E27" s="5">
        <v>26</v>
      </c>
      <c r="F27" s="3" t="s">
        <v>146</v>
      </c>
      <c r="G27" s="3" t="s">
        <v>147</v>
      </c>
      <c r="H27" s="7" t="s">
        <v>72</v>
      </c>
      <c r="I27" s="7">
        <v>42748.047025462962</v>
      </c>
      <c r="J27" s="3" t="s">
        <v>72</v>
      </c>
      <c r="K27" s="7">
        <v>42748.047025462962</v>
      </c>
    </row>
    <row r="28" spans="3:11" x14ac:dyDescent="0.25">
      <c r="C28" t="str">
        <f>IF(COUNTBLANK(E28:L28) = 8,"",IF(AND(NOT(ISBLANK(E28)),COUNTBLANK(E28:L28) = 7),"3 Delete",IF(ISBLANK(E28),"2 Add",IF(JenkinsHashRange(E28:L28) = "1553400108","0 Original","1 Modify"))))</f>
        <v>0 Original</v>
      </c>
      <c r="D28" s="3" t="s">
        <v>148</v>
      </c>
      <c r="E28" s="5">
        <v>27</v>
      </c>
      <c r="F28" s="3" t="s">
        <v>149</v>
      </c>
      <c r="G28" s="3" t="s">
        <v>150</v>
      </c>
      <c r="H28" s="7" t="s">
        <v>72</v>
      </c>
      <c r="I28" s="7">
        <v>42748.047025462962</v>
      </c>
      <c r="J28" s="3" t="s">
        <v>72</v>
      </c>
      <c r="K28" s="7">
        <v>42748.047025462962</v>
      </c>
    </row>
    <row r="29" spans="3:11" x14ac:dyDescent="0.25">
      <c r="C29" t="str">
        <f>IF(COUNTBLANK(E29:L29) = 8,"",IF(AND(NOT(ISBLANK(E29)),COUNTBLANK(E29:L29) = 7),"3 Delete",IF(ISBLANK(E29),"2 Add",IF(JenkinsHashRange(E29:L29) = "455772840","0 Original","1 Modify"))))</f>
        <v>0 Original</v>
      </c>
      <c r="D29" s="3" t="s">
        <v>151</v>
      </c>
      <c r="E29" s="5">
        <v>28</v>
      </c>
      <c r="F29" s="3" t="s">
        <v>152</v>
      </c>
      <c r="G29" s="3" t="s">
        <v>153</v>
      </c>
      <c r="H29" s="7" t="s">
        <v>72</v>
      </c>
      <c r="I29" s="7">
        <v>42748.047025462962</v>
      </c>
      <c r="J29" s="3" t="s">
        <v>72</v>
      </c>
      <c r="K29" s="7">
        <v>42748.047025462962</v>
      </c>
    </row>
    <row r="30" spans="3:11" x14ac:dyDescent="0.25">
      <c r="C30" t="str">
        <f>IF(COUNTBLANK(E30:L30) = 8,"",IF(AND(NOT(ISBLANK(E30)),COUNTBLANK(E30:L30) = 7),"3 Delete",IF(ISBLANK(E30),"2 Add",IF(JenkinsHashRange(E30:L30) = "1327690597","0 Original","1 Modify"))))</f>
        <v>0 Original</v>
      </c>
      <c r="D30" s="3" t="s">
        <v>154</v>
      </c>
      <c r="E30" s="5">
        <v>29</v>
      </c>
      <c r="F30" s="3" t="s">
        <v>155</v>
      </c>
      <c r="G30" s="3" t="s">
        <v>156</v>
      </c>
      <c r="H30" s="7" t="s">
        <v>72</v>
      </c>
      <c r="I30" s="7">
        <v>42748.047025462962</v>
      </c>
      <c r="J30" s="3" t="s">
        <v>72</v>
      </c>
      <c r="K30" s="7">
        <v>42748.047025462962</v>
      </c>
    </row>
    <row r="31" spans="3:11" x14ac:dyDescent="0.25">
      <c r="C31" t="str">
        <f>IF(COUNTBLANK(E31:L31) = 8,"",IF(AND(NOT(ISBLANK(E31)),COUNTBLANK(E31:L31) = 7),"3 Delete",IF(ISBLANK(E31),"2 Add",IF(JenkinsHashRange(E31:L31) = "911292511","0 Original","1 Modify"))))</f>
        <v>0 Original</v>
      </c>
      <c r="D31" s="3" t="s">
        <v>157</v>
      </c>
      <c r="E31" s="5">
        <v>30</v>
      </c>
      <c r="F31" s="3" t="s">
        <v>158</v>
      </c>
      <c r="G31" s="3" t="s">
        <v>159</v>
      </c>
      <c r="H31" s="7" t="s">
        <v>72</v>
      </c>
      <c r="I31" s="7">
        <v>42748.047025462962</v>
      </c>
      <c r="J31" s="3" t="s">
        <v>72</v>
      </c>
      <c r="K31" s="7">
        <v>42748.047025462962</v>
      </c>
    </row>
    <row r="32" spans="3:11" x14ac:dyDescent="0.25">
      <c r="C32" t="str">
        <f>IF(COUNTBLANK(E32:L32) = 8,"",IF(AND(NOT(ISBLANK(E32)),COUNTBLANK(E32:L32) = 7),"3 Delete",IF(ISBLANK(E32),"2 Add",IF(JenkinsHashRange(E32:L32) = "1107075765","0 Original","1 Modify"))))</f>
        <v>0 Original</v>
      </c>
      <c r="D32" s="3" t="s">
        <v>160</v>
      </c>
      <c r="E32" s="5">
        <v>31</v>
      </c>
      <c r="F32" s="3" t="s">
        <v>161</v>
      </c>
      <c r="G32" s="3" t="s">
        <v>162</v>
      </c>
      <c r="H32" s="7" t="s">
        <v>72</v>
      </c>
      <c r="I32" s="7">
        <v>42748.047025462962</v>
      </c>
      <c r="J32" s="3" t="s">
        <v>72</v>
      </c>
      <c r="K32" s="7">
        <v>42748.047025462962</v>
      </c>
    </row>
    <row r="33" spans="3:11" x14ac:dyDescent="0.25">
      <c r="C33" t="str">
        <f>IF(COUNTBLANK(E33:L33) = 8,"",IF(AND(NOT(ISBLANK(E33)),COUNTBLANK(E33:L33) = 7),"3 Delete",IF(ISBLANK(E33),"2 Add",IF(JenkinsHashRange(E33:L33) = "1086713376","0 Original","1 Modify"))))</f>
        <v>0 Original</v>
      </c>
      <c r="D33" s="3" t="s">
        <v>163</v>
      </c>
      <c r="E33" s="5">
        <v>32</v>
      </c>
      <c r="F33" s="3" t="s">
        <v>164</v>
      </c>
      <c r="G33" s="3" t="s">
        <v>165</v>
      </c>
      <c r="H33" s="7" t="s">
        <v>72</v>
      </c>
      <c r="I33" s="7">
        <v>42748.047025462962</v>
      </c>
      <c r="J33" s="3" t="s">
        <v>72</v>
      </c>
      <c r="K33" s="7">
        <v>42748.047025462962</v>
      </c>
    </row>
    <row r="34" spans="3:11" x14ac:dyDescent="0.25">
      <c r="C34" t="str">
        <f>IF(COUNTBLANK(E34:L34) = 8,"",IF(AND(NOT(ISBLANK(E34)),COUNTBLANK(E34:L34) = 7),"3 Delete",IF(ISBLANK(E34),"2 Add",IF(JenkinsHashRange(E34:L34) = "749425074","0 Original","1 Modify"))))</f>
        <v>0 Original</v>
      </c>
      <c r="D34" s="3" t="s">
        <v>166</v>
      </c>
      <c r="E34" s="5">
        <v>33</v>
      </c>
      <c r="F34" s="3" t="s">
        <v>167</v>
      </c>
      <c r="G34" s="3" t="s">
        <v>168</v>
      </c>
      <c r="H34" s="7" t="s">
        <v>72</v>
      </c>
      <c r="I34" s="7">
        <v>42748.047025462962</v>
      </c>
      <c r="J34" s="3" t="s">
        <v>72</v>
      </c>
      <c r="K34" s="7">
        <v>42748.047025462962</v>
      </c>
    </row>
    <row r="35" spans="3:11" x14ac:dyDescent="0.25">
      <c r="C35" t="str">
        <f>IF(COUNTBLANK(E35:L35) = 8,"",IF(AND(NOT(ISBLANK(E35)),COUNTBLANK(E35:L35) = 7),"3 Delete",IF(ISBLANK(E35),"2 Add",IF(JenkinsHashRange(E35:L35) = "1166151616","0 Original","1 Modify"))))</f>
        <v>0 Original</v>
      </c>
      <c r="D35" s="3" t="s">
        <v>169</v>
      </c>
      <c r="E35" s="5">
        <v>34</v>
      </c>
      <c r="F35" s="3" t="s">
        <v>170</v>
      </c>
      <c r="G35" s="3" t="s">
        <v>171</v>
      </c>
      <c r="H35" s="7" t="s">
        <v>72</v>
      </c>
      <c r="I35" s="7">
        <v>42748.047025462962</v>
      </c>
      <c r="J35" s="3" t="s">
        <v>72</v>
      </c>
      <c r="K35" s="7">
        <v>42748.047025462962</v>
      </c>
    </row>
    <row r="36" spans="3:11" x14ac:dyDescent="0.25">
      <c r="C36" t="str">
        <f>IF(COUNTBLANK(E36:L36) = 8,"",IF(AND(NOT(ISBLANK(E36)),COUNTBLANK(E36:L36) = 7),"3 Delete",IF(ISBLANK(E36),"2 Add",IF(JenkinsHashRange(E36:L36) = "1619257940","0 Original","1 Modify"))))</f>
        <v>0 Original</v>
      </c>
      <c r="D36" s="3" t="s">
        <v>172</v>
      </c>
      <c r="E36" s="5">
        <v>35</v>
      </c>
      <c r="F36" s="3" t="s">
        <v>173</v>
      </c>
      <c r="G36" s="3" t="s">
        <v>174</v>
      </c>
      <c r="H36" s="7" t="s">
        <v>72</v>
      </c>
      <c r="I36" s="7">
        <v>42748.047025462962</v>
      </c>
      <c r="J36" s="3" t="s">
        <v>72</v>
      </c>
      <c r="K36" s="7">
        <v>42748.047025462962</v>
      </c>
    </row>
    <row r="37" spans="3:11" x14ac:dyDescent="0.25">
      <c r="C37" t="str">
        <f>IF(COUNTBLANK(E37:L37) = 8,"",IF(AND(NOT(ISBLANK(E37)),COUNTBLANK(E37:L37) = 7),"3 Delete",IF(ISBLANK(E37),"2 Add",IF(JenkinsHashRange(E37:L37) = "1257919657","0 Original","1 Modify"))))</f>
        <v>0 Original</v>
      </c>
      <c r="D37" s="3" t="s">
        <v>175</v>
      </c>
      <c r="E37" s="5">
        <v>36</v>
      </c>
      <c r="F37" s="3" t="s">
        <v>176</v>
      </c>
      <c r="G37" s="3" t="s">
        <v>177</v>
      </c>
      <c r="H37" s="7" t="s">
        <v>72</v>
      </c>
      <c r="I37" s="7">
        <v>42748.047025462962</v>
      </c>
      <c r="J37" s="3" t="s">
        <v>72</v>
      </c>
      <c r="K37" s="7">
        <v>42748.047025462962</v>
      </c>
    </row>
    <row r="38" spans="3:11" x14ac:dyDescent="0.25">
      <c r="C38" t="str">
        <f>IF(COUNTBLANK(E38:L38) = 8,"",IF(AND(NOT(ISBLANK(E38)),COUNTBLANK(E38:L38) = 7),"3 Delete",IF(ISBLANK(E38),"2 Add",IF(JenkinsHashRange(E38:L38) = "42240388","0 Original","1 Modify"))))</f>
        <v>0 Original</v>
      </c>
      <c r="D38" s="3" t="s">
        <v>178</v>
      </c>
      <c r="E38" s="5">
        <v>37</v>
      </c>
      <c r="F38" s="3" t="s">
        <v>179</v>
      </c>
      <c r="G38" s="3" t="s">
        <v>180</v>
      </c>
      <c r="H38" s="7" t="s">
        <v>72</v>
      </c>
      <c r="I38" s="7">
        <v>42748.047025462962</v>
      </c>
      <c r="J38" s="3" t="s">
        <v>72</v>
      </c>
      <c r="K38" s="7">
        <v>42748.047025462962</v>
      </c>
    </row>
    <row r="39" spans="3:11" x14ac:dyDescent="0.25">
      <c r="C39" t="str">
        <f>IF(COUNTBLANK(E39:L39) = 8,"",IF(AND(NOT(ISBLANK(E39)),COUNTBLANK(E39:L39) = 7),"3 Delete",IF(ISBLANK(E39),"2 Add",IF(JenkinsHashRange(E39:L39) = "1014288280","0 Original","1 Modify"))))</f>
        <v>0 Original</v>
      </c>
      <c r="D39" s="3" t="s">
        <v>181</v>
      </c>
      <c r="E39" s="5">
        <v>38</v>
      </c>
      <c r="F39" s="3" t="s">
        <v>182</v>
      </c>
      <c r="G39" s="3" t="s">
        <v>183</v>
      </c>
      <c r="H39" s="7" t="s">
        <v>72</v>
      </c>
      <c r="I39" s="7">
        <v>42748.047025462962</v>
      </c>
      <c r="J39" s="3" t="s">
        <v>72</v>
      </c>
      <c r="K39" s="7">
        <v>42748.047025462962</v>
      </c>
    </row>
    <row r="40" spans="3:11" x14ac:dyDescent="0.25">
      <c r="C40" t="str">
        <f>IF(COUNTBLANK(E40:L40) = 8,"",IF(AND(NOT(ISBLANK(E40)),COUNTBLANK(E40:L40) = 7),"3 Delete",IF(ISBLANK(E40),"2 Add",IF(JenkinsHashRange(E40:L40) = "1561028377","0 Original","1 Modify"))))</f>
        <v>0 Original</v>
      </c>
      <c r="D40" s="3" t="s">
        <v>184</v>
      </c>
      <c r="E40" s="5">
        <v>39</v>
      </c>
      <c r="F40" s="3" t="s">
        <v>185</v>
      </c>
      <c r="G40" s="3" t="s">
        <v>186</v>
      </c>
      <c r="H40" s="7" t="s">
        <v>72</v>
      </c>
      <c r="I40" s="7">
        <v>42748.047025462962</v>
      </c>
      <c r="J40" s="3" t="s">
        <v>72</v>
      </c>
      <c r="K40" s="7">
        <v>42748.047025462962</v>
      </c>
    </row>
    <row r="41" spans="3:11" x14ac:dyDescent="0.25">
      <c r="C41" t="str">
        <f>IF(COUNTBLANK(E41:L41) = 8,"",IF(AND(NOT(ISBLANK(E41)),COUNTBLANK(E41:L41) = 7),"3 Delete",IF(ISBLANK(E41),"2 Add",IF(JenkinsHashRange(E41:L41) = "5902635","0 Original","1 Modify"))))</f>
        <v>0 Original</v>
      </c>
      <c r="D41" s="3" t="s">
        <v>187</v>
      </c>
      <c r="E41" s="5">
        <v>40</v>
      </c>
      <c r="F41" s="3" t="s">
        <v>188</v>
      </c>
      <c r="G41" s="3" t="s">
        <v>189</v>
      </c>
      <c r="H41" s="7" t="s">
        <v>72</v>
      </c>
      <c r="I41" s="7">
        <v>42748.047025462962</v>
      </c>
      <c r="J41" s="3" t="s">
        <v>72</v>
      </c>
      <c r="K41" s="7">
        <v>42748.047025462962</v>
      </c>
    </row>
    <row r="42" spans="3:11" x14ac:dyDescent="0.25">
      <c r="C42" t="str">
        <f>IF(COUNTBLANK(E42:L42) = 8,"",IF(AND(NOT(ISBLANK(E42)),COUNTBLANK(E42:L42) = 7),"3 Delete",IF(ISBLANK(E42),"2 Add",IF(JenkinsHashRange(E42:L42) = "1243695336","0 Original","1 Modify"))))</f>
        <v>0 Original</v>
      </c>
      <c r="D42" s="3" t="s">
        <v>190</v>
      </c>
      <c r="E42" s="5">
        <v>41</v>
      </c>
      <c r="F42" s="3" t="s">
        <v>191</v>
      </c>
      <c r="G42" s="3" t="s">
        <v>192</v>
      </c>
      <c r="H42" s="7" t="s">
        <v>72</v>
      </c>
      <c r="I42" s="7">
        <v>42748.047025462962</v>
      </c>
      <c r="J42" s="3" t="s">
        <v>72</v>
      </c>
      <c r="K42" s="7">
        <v>42748.047025462962</v>
      </c>
    </row>
    <row r="43" spans="3:11" x14ac:dyDescent="0.25">
      <c r="C43" t="str">
        <f>IF(COUNTBLANK(E43:L43) = 8,"",IF(AND(NOT(ISBLANK(E43)),COUNTBLANK(E43:L43) = 7),"3 Delete",IF(ISBLANK(E43),"2 Add",IF(JenkinsHashRange(E43:L43) = "984598605","0 Original","1 Modify"))))</f>
        <v>0 Original</v>
      </c>
      <c r="D43" s="3" t="s">
        <v>193</v>
      </c>
      <c r="E43" s="5">
        <v>42</v>
      </c>
      <c r="F43" s="3" t="s">
        <v>194</v>
      </c>
      <c r="G43" s="3" t="s">
        <v>195</v>
      </c>
      <c r="H43" s="7" t="s">
        <v>72</v>
      </c>
      <c r="I43" s="7">
        <v>42748.047025462962</v>
      </c>
      <c r="J43" s="3" t="s">
        <v>72</v>
      </c>
      <c r="K43" s="7">
        <v>42748.047025462962</v>
      </c>
    </row>
    <row r="44" spans="3:11" x14ac:dyDescent="0.25">
      <c r="C44" t="str">
        <f>IF(COUNTBLANK(E44:L44) = 8,"",IF(AND(NOT(ISBLANK(E44)),COUNTBLANK(E44:L44) = 7),"3 Delete",IF(ISBLANK(E44),"2 Add",IF(JenkinsHashRange(E44:L44) = "1193217577","0 Original","1 Modify"))))</f>
        <v>0 Original</v>
      </c>
      <c r="D44" s="3" t="s">
        <v>196</v>
      </c>
      <c r="E44" s="5">
        <v>43</v>
      </c>
      <c r="F44" s="3" t="s">
        <v>197</v>
      </c>
      <c r="G44" s="3" t="s">
        <v>198</v>
      </c>
      <c r="H44" s="7" t="s">
        <v>72</v>
      </c>
      <c r="I44" s="7">
        <v>42748.047025462962</v>
      </c>
      <c r="J44" s="3" t="s">
        <v>72</v>
      </c>
      <c r="K44" s="7">
        <v>42748.047025462962</v>
      </c>
    </row>
    <row r="45" spans="3:11" x14ac:dyDescent="0.25">
      <c r="C45" t="str">
        <f>IF(COUNTBLANK(E45:L45) = 8,"",IF(AND(NOT(ISBLANK(E45)),COUNTBLANK(E45:L45) = 7),"3 Delete",IF(ISBLANK(E45),"2 Add",IF(JenkinsHashRange(E45:L45) = "1094881689","0 Original","1 Modify"))))</f>
        <v>0 Original</v>
      </c>
      <c r="D45" s="3" t="s">
        <v>199</v>
      </c>
      <c r="E45" s="5">
        <v>44</v>
      </c>
      <c r="F45" s="3" t="s">
        <v>200</v>
      </c>
      <c r="G45" s="3" t="s">
        <v>201</v>
      </c>
      <c r="H45" s="7" t="s">
        <v>72</v>
      </c>
      <c r="I45" s="7">
        <v>42748.047025462962</v>
      </c>
      <c r="J45" s="3" t="s">
        <v>72</v>
      </c>
      <c r="K45" s="7">
        <v>42748.047025462962</v>
      </c>
    </row>
    <row r="46" spans="3:11" x14ac:dyDescent="0.25">
      <c r="C46" t="str">
        <f>IF(COUNTBLANK(E46:L46) = 8,"",IF(AND(NOT(ISBLANK(E46)),COUNTBLANK(E46:L46) = 7),"3 Delete",IF(ISBLANK(E46),"2 Add",IF(JenkinsHashRange(E46:L46) = "1670347376","0 Original","1 Modify"))))</f>
        <v>0 Original</v>
      </c>
      <c r="D46" s="3" t="s">
        <v>202</v>
      </c>
      <c r="E46" s="5">
        <v>45</v>
      </c>
      <c r="F46" s="3" t="s">
        <v>203</v>
      </c>
      <c r="G46" s="3" t="s">
        <v>204</v>
      </c>
      <c r="H46" s="7" t="s">
        <v>72</v>
      </c>
      <c r="I46" s="7">
        <v>42748.047025462962</v>
      </c>
      <c r="J46" s="3" t="s">
        <v>72</v>
      </c>
      <c r="K46" s="7">
        <v>42748.047025462962</v>
      </c>
    </row>
    <row r="47" spans="3:11" x14ac:dyDescent="0.25">
      <c r="C47" t="str">
        <f>IF(COUNTBLANK(E47:L47) = 8,"",IF(AND(NOT(ISBLANK(E47)),COUNTBLANK(E47:L47) = 7),"3 Delete",IF(ISBLANK(E47),"2 Add",IF(JenkinsHashRange(E47:L47) = "1783941631","0 Original","1 Modify"))))</f>
        <v>0 Original</v>
      </c>
      <c r="D47" s="3" t="s">
        <v>205</v>
      </c>
      <c r="E47" s="5">
        <v>46</v>
      </c>
      <c r="F47" s="3" t="s">
        <v>206</v>
      </c>
      <c r="G47" s="3" t="s">
        <v>207</v>
      </c>
      <c r="H47" s="7" t="s">
        <v>72</v>
      </c>
      <c r="I47" s="7">
        <v>42748.047025462962</v>
      </c>
      <c r="J47" s="3" t="s">
        <v>72</v>
      </c>
      <c r="K47" s="7">
        <v>42748.047025462962</v>
      </c>
    </row>
    <row r="48" spans="3:11" x14ac:dyDescent="0.25">
      <c r="C48" t="str">
        <f>IF(COUNTBLANK(E48:L48) = 8,"",IF(AND(NOT(ISBLANK(E48)),COUNTBLANK(E48:L48) = 7),"3 Delete",IF(ISBLANK(E48),"2 Add",IF(JenkinsHashRange(E48:L48) = "1247896126","0 Original","1 Modify"))))</f>
        <v>0 Original</v>
      </c>
      <c r="D48" s="3" t="s">
        <v>208</v>
      </c>
      <c r="E48" s="5">
        <v>47</v>
      </c>
      <c r="F48" s="3" t="s">
        <v>209</v>
      </c>
      <c r="G48" s="3" t="s">
        <v>210</v>
      </c>
      <c r="H48" s="7" t="s">
        <v>72</v>
      </c>
      <c r="I48" s="7">
        <v>42748.047025462962</v>
      </c>
      <c r="J48" s="3" t="s">
        <v>72</v>
      </c>
      <c r="K48" s="7">
        <v>42748.047025462962</v>
      </c>
    </row>
    <row r="49" spans="3:11" x14ac:dyDescent="0.25">
      <c r="C49" t="str">
        <f>IF(COUNTBLANK(E49:L49) = 8,"",IF(AND(NOT(ISBLANK(E49)),COUNTBLANK(E49:L49) = 7),"3 Delete",IF(ISBLANK(E49),"2 Add",IF(JenkinsHashRange(E49:L49) = "696124324","0 Original","1 Modify"))))</f>
        <v>0 Original</v>
      </c>
      <c r="D49" s="3" t="s">
        <v>211</v>
      </c>
      <c r="E49" s="5">
        <v>48</v>
      </c>
      <c r="F49" s="3" t="s">
        <v>212</v>
      </c>
      <c r="G49" s="3" t="s">
        <v>213</v>
      </c>
      <c r="H49" s="7" t="s">
        <v>72</v>
      </c>
      <c r="I49" s="7">
        <v>42748.047025462962</v>
      </c>
      <c r="J49" s="3" t="s">
        <v>72</v>
      </c>
      <c r="K49" s="7">
        <v>42748.047025462962</v>
      </c>
    </row>
    <row r="50" spans="3:11" x14ac:dyDescent="0.25">
      <c r="C50" t="str">
        <f>IF(COUNTBLANK(E50:L50) = 8,"",IF(AND(NOT(ISBLANK(E50)),COUNTBLANK(E50:L50) = 7),"3 Delete",IF(ISBLANK(E50),"2 Add",IF(JenkinsHashRange(E50:L50) = "2013615131","0 Original","1 Modify"))))</f>
        <v>0 Original</v>
      </c>
      <c r="D50" s="3" t="s">
        <v>214</v>
      </c>
      <c r="E50" s="5">
        <v>49</v>
      </c>
      <c r="F50" s="3" t="s">
        <v>215</v>
      </c>
      <c r="G50" s="3" t="s">
        <v>216</v>
      </c>
      <c r="H50" s="7" t="s">
        <v>72</v>
      </c>
      <c r="I50" s="7">
        <v>42748.047025462962</v>
      </c>
      <c r="J50" s="3" t="s">
        <v>72</v>
      </c>
      <c r="K50" s="7">
        <v>42748.047025462962</v>
      </c>
    </row>
    <row r="51" spans="3:11" x14ac:dyDescent="0.25">
      <c r="C51" t="str">
        <f>IF(COUNTBLANK(E51:L51) = 8,"",IF(AND(NOT(ISBLANK(E51)),COUNTBLANK(E51:L51) = 7),"3 Delete",IF(ISBLANK(E51),"2 Add",IF(JenkinsHashRange(E51:L51) = "1548522818","0 Original","1 Modify"))))</f>
        <v>0 Original</v>
      </c>
      <c r="D51" s="3" t="s">
        <v>217</v>
      </c>
      <c r="E51" s="5">
        <v>50</v>
      </c>
      <c r="F51" s="3" t="s">
        <v>218</v>
      </c>
      <c r="G51" s="3" t="s">
        <v>219</v>
      </c>
      <c r="H51" s="7" t="s">
        <v>72</v>
      </c>
      <c r="I51" s="7">
        <v>42748.047025462962</v>
      </c>
      <c r="J51" s="3" t="s">
        <v>72</v>
      </c>
      <c r="K51" s="7">
        <v>42748.047025462962</v>
      </c>
    </row>
    <row r="52" spans="3:11" x14ac:dyDescent="0.25">
      <c r="C52" t="str">
        <f>IF(COUNTBLANK(E52:L52) = 8,"",IF(AND(NOT(ISBLANK(E52)),COUNTBLANK(E52:L52) = 7),"3 Delete",IF(ISBLANK(E52),"2 Add",IF(JenkinsHashRange(E52:L52) = "1657333439","0 Original","1 Modify"))))</f>
        <v>0 Original</v>
      </c>
      <c r="D52" s="3" t="s">
        <v>220</v>
      </c>
      <c r="E52" s="5">
        <v>51</v>
      </c>
      <c r="F52" s="3" t="s">
        <v>221</v>
      </c>
      <c r="G52" s="3" t="s">
        <v>222</v>
      </c>
      <c r="H52" s="7" t="s">
        <v>72</v>
      </c>
      <c r="I52" s="7">
        <v>42748.047025462962</v>
      </c>
      <c r="J52" s="3" t="s">
        <v>72</v>
      </c>
      <c r="K52" s="7">
        <v>42748.047025462962</v>
      </c>
    </row>
    <row r="53" spans="3:11" x14ac:dyDescent="0.25">
      <c r="C53" t="str">
        <f>IF(COUNTBLANK(E53:L53) = 8,"",IF(AND(NOT(ISBLANK(E53)),COUNTBLANK(E53:L53) = 7),"3 Delete",IF(ISBLANK(E53),"2 Add",IF(JenkinsHashRange(E53:L53) = "796126036","0 Original","1 Modify"))))</f>
        <v>0 Original</v>
      </c>
      <c r="D53" s="3" t="s">
        <v>223</v>
      </c>
      <c r="E53" s="5">
        <v>52</v>
      </c>
      <c r="F53" s="3" t="s">
        <v>224</v>
      </c>
      <c r="G53" s="3" t="s">
        <v>225</v>
      </c>
      <c r="H53" s="7" t="s">
        <v>72</v>
      </c>
      <c r="I53" s="7">
        <v>42748.047025462962</v>
      </c>
      <c r="J53" s="3" t="s">
        <v>72</v>
      </c>
      <c r="K53" s="7">
        <v>42748.047025462962</v>
      </c>
    </row>
    <row r="54" spans="3:11" x14ac:dyDescent="0.25">
      <c r="C54" t="str">
        <f>IF(COUNTBLANK(E54:L54) = 8,"",IF(AND(NOT(ISBLANK(E54)),COUNTBLANK(E54:L54) = 7),"3 Delete",IF(ISBLANK(E54),"2 Add",IF(JenkinsHashRange(E54:L54) = "16509902","0 Original","1 Modify"))))</f>
        <v>0 Original</v>
      </c>
      <c r="D54" s="3" t="s">
        <v>226</v>
      </c>
      <c r="E54" s="5">
        <v>53</v>
      </c>
      <c r="F54" s="3" t="s">
        <v>227</v>
      </c>
      <c r="G54" s="3" t="s">
        <v>228</v>
      </c>
      <c r="H54" s="7" t="s">
        <v>72</v>
      </c>
      <c r="I54" s="7">
        <v>42748.047025462962</v>
      </c>
      <c r="J54" s="3" t="s">
        <v>72</v>
      </c>
      <c r="K54" s="7">
        <v>42748.047025462962</v>
      </c>
    </row>
    <row r="55" spans="3:11" x14ac:dyDescent="0.25">
      <c r="C55" t="str">
        <f>IF(COUNTBLANK(E55:L55) = 8,"",IF(AND(NOT(ISBLANK(E55)),COUNTBLANK(E55:L55) = 7),"3 Delete",IF(ISBLANK(E55),"2 Add",IF(JenkinsHashRange(E55:L55) = "144880204","0 Original","1 Modify"))))</f>
        <v>0 Original</v>
      </c>
      <c r="D55" s="3" t="s">
        <v>229</v>
      </c>
      <c r="E55" s="5">
        <v>54</v>
      </c>
      <c r="F55" s="3" t="s">
        <v>230</v>
      </c>
      <c r="G55" s="3" t="s">
        <v>231</v>
      </c>
      <c r="H55" s="7" t="s">
        <v>72</v>
      </c>
      <c r="I55" s="7">
        <v>42748.047025462962</v>
      </c>
      <c r="J55" s="3" t="s">
        <v>72</v>
      </c>
      <c r="K55" s="7">
        <v>42748.047025462962</v>
      </c>
    </row>
    <row r="56" spans="3:11" x14ac:dyDescent="0.25">
      <c r="C56" t="str">
        <f>IF(COUNTBLANK(E56:L56) = 8,"",IF(AND(NOT(ISBLANK(E56)),COUNTBLANK(E56:L56) = 7),"3 Delete",IF(ISBLANK(E56),"2 Add",IF(JenkinsHashRange(E56:L56) = "1407720953","0 Original","1 Modify"))))</f>
        <v>0 Original</v>
      </c>
      <c r="D56" s="3" t="s">
        <v>232</v>
      </c>
      <c r="E56" s="5">
        <v>55</v>
      </c>
      <c r="F56" s="3" t="s">
        <v>233</v>
      </c>
      <c r="G56" s="3" t="s">
        <v>234</v>
      </c>
      <c r="H56" s="7" t="s">
        <v>72</v>
      </c>
      <c r="I56" s="7">
        <v>42748.047025462962</v>
      </c>
      <c r="J56" s="3" t="s">
        <v>72</v>
      </c>
      <c r="K56" s="7">
        <v>42748.047025462962</v>
      </c>
    </row>
    <row r="57" spans="3:11" x14ac:dyDescent="0.25">
      <c r="C57" t="str">
        <f>IF(COUNTBLANK(E57:L57) = 8,"",IF(AND(NOT(ISBLANK(E57)),COUNTBLANK(E57:L57) = 7),"3 Delete",IF(ISBLANK(E57),"2 Add",IF(JenkinsHashRange(E57:L57) = "1617182854","0 Original","1 Modify"))))</f>
        <v>0 Original</v>
      </c>
      <c r="D57" s="3" t="s">
        <v>235</v>
      </c>
      <c r="E57" s="5">
        <v>56</v>
      </c>
      <c r="F57" s="3" t="s">
        <v>236</v>
      </c>
      <c r="G57" s="3" t="s">
        <v>237</v>
      </c>
      <c r="H57" s="7" t="s">
        <v>72</v>
      </c>
      <c r="I57" s="7">
        <v>42748.047025462962</v>
      </c>
      <c r="J57" s="3" t="s">
        <v>72</v>
      </c>
      <c r="K57" s="7">
        <v>42748.047025462962</v>
      </c>
    </row>
    <row r="58" spans="3:11" x14ac:dyDescent="0.25">
      <c r="C58" t="str">
        <f>IF(COUNTBLANK(E58:L58) = 8,"",IF(AND(NOT(ISBLANK(E58)),COUNTBLANK(E58:L58) = 7),"3 Delete",IF(ISBLANK(E58),"2 Add",IF(JenkinsHashRange(E58:L58) = "1348031094","0 Original","1 Modify"))))</f>
        <v>0 Original</v>
      </c>
      <c r="D58" s="3" t="s">
        <v>238</v>
      </c>
      <c r="E58" s="5">
        <v>57</v>
      </c>
      <c r="F58" s="3" t="s">
        <v>239</v>
      </c>
      <c r="G58" s="3" t="s">
        <v>240</v>
      </c>
      <c r="H58" s="7" t="s">
        <v>72</v>
      </c>
      <c r="I58" s="7">
        <v>42748.047025462962</v>
      </c>
      <c r="J58" s="3" t="s">
        <v>72</v>
      </c>
      <c r="K58" s="7">
        <v>42748.047025462962</v>
      </c>
    </row>
    <row r="59" spans="3:11" x14ac:dyDescent="0.25">
      <c r="C59" t="str">
        <f>IF(COUNTBLANK(E59:L59) = 8,"",IF(AND(NOT(ISBLANK(E59)),COUNTBLANK(E59:L59) = 7),"3 Delete",IF(ISBLANK(E59),"2 Add",IF(JenkinsHashRange(E59:L59) = "883402270","0 Original","1 Modify"))))</f>
        <v>0 Original</v>
      </c>
      <c r="D59" s="3" t="s">
        <v>241</v>
      </c>
      <c r="E59" s="5">
        <v>58</v>
      </c>
      <c r="F59" s="3" t="s">
        <v>242</v>
      </c>
      <c r="G59" s="3" t="s">
        <v>243</v>
      </c>
      <c r="H59" s="7" t="s">
        <v>72</v>
      </c>
      <c r="I59" s="7">
        <v>42748.047025462962</v>
      </c>
      <c r="J59" s="3" t="s">
        <v>72</v>
      </c>
      <c r="K59" s="7">
        <v>42748.047025462962</v>
      </c>
    </row>
    <row r="60" spans="3:11" x14ac:dyDescent="0.25">
      <c r="C60" t="str">
        <f>IF(COUNTBLANK(E60:L60) = 8,"",IF(AND(NOT(ISBLANK(E60)),COUNTBLANK(E60:L60) = 7),"3 Delete",IF(ISBLANK(E60),"2 Add",IF(JenkinsHashRange(E60:L60) = "1840355835","0 Original","1 Modify"))))</f>
        <v>0 Original</v>
      </c>
      <c r="D60" s="3" t="s">
        <v>244</v>
      </c>
      <c r="E60" s="5">
        <v>59</v>
      </c>
      <c r="F60" s="3" t="s">
        <v>245</v>
      </c>
      <c r="G60" s="3" t="s">
        <v>246</v>
      </c>
      <c r="H60" s="7" t="s">
        <v>72</v>
      </c>
      <c r="I60" s="7">
        <v>42748.047025462962</v>
      </c>
      <c r="J60" s="3" t="s">
        <v>72</v>
      </c>
      <c r="K60" s="7">
        <v>42748.047025462962</v>
      </c>
    </row>
    <row r="61" spans="3:11" x14ac:dyDescent="0.25">
      <c r="C61" t="str">
        <f>IF(COUNTBLANK(E61:L61) = 8,"",IF(AND(NOT(ISBLANK(E61)),COUNTBLANK(E61:L61) = 7),"3 Delete",IF(ISBLANK(E61),"2 Add",IF(JenkinsHashRange(E61:L61) = "534086396","0 Original","1 Modify"))))</f>
        <v>0 Original</v>
      </c>
      <c r="D61" s="3" t="s">
        <v>247</v>
      </c>
      <c r="E61" s="5">
        <v>60</v>
      </c>
      <c r="F61" s="3" t="s">
        <v>248</v>
      </c>
      <c r="G61" s="3" t="s">
        <v>249</v>
      </c>
      <c r="H61" s="7" t="s">
        <v>72</v>
      </c>
      <c r="I61" s="7">
        <v>42748.047025462962</v>
      </c>
      <c r="J61" s="3" t="s">
        <v>72</v>
      </c>
      <c r="K61" s="7">
        <v>42748.047025462962</v>
      </c>
    </row>
    <row r="62" spans="3:11" x14ac:dyDescent="0.25">
      <c r="C62" t="str">
        <f>IF(COUNTBLANK(E62:L62) = 8,"",IF(AND(NOT(ISBLANK(E62)),COUNTBLANK(E62:L62) = 7),"3 Delete",IF(ISBLANK(E62),"2 Add",IF(JenkinsHashRange(E62:L62) = "1546799688","0 Original","1 Modify"))))</f>
        <v>0 Original</v>
      </c>
      <c r="D62" s="3" t="s">
        <v>250</v>
      </c>
      <c r="E62" s="5">
        <v>61</v>
      </c>
      <c r="F62" s="3" t="s">
        <v>251</v>
      </c>
      <c r="G62" s="3" t="s">
        <v>252</v>
      </c>
      <c r="H62" s="7" t="s">
        <v>72</v>
      </c>
      <c r="I62" s="7">
        <v>42748.047025462962</v>
      </c>
      <c r="J62" s="3" t="s">
        <v>72</v>
      </c>
      <c r="K62" s="7">
        <v>42748.047025462962</v>
      </c>
    </row>
    <row r="63" spans="3:11" x14ac:dyDescent="0.25">
      <c r="C63" t="str">
        <f>IF(COUNTBLANK(E63:L63) = 8,"",IF(AND(NOT(ISBLANK(E63)),COUNTBLANK(E63:L63) = 7),"3 Delete",IF(ISBLANK(E63),"2 Add",IF(JenkinsHashRange(E63:L63) = "216224087","0 Original","1 Modify"))))</f>
        <v>0 Original</v>
      </c>
      <c r="D63" s="3" t="s">
        <v>253</v>
      </c>
      <c r="E63" s="5">
        <v>62</v>
      </c>
      <c r="F63" s="3" t="s">
        <v>254</v>
      </c>
      <c r="G63" s="3" t="s">
        <v>255</v>
      </c>
      <c r="H63" s="7" t="s">
        <v>72</v>
      </c>
      <c r="I63" s="7">
        <v>42748.047025462962</v>
      </c>
      <c r="J63" s="3" t="s">
        <v>72</v>
      </c>
      <c r="K63" s="7">
        <v>42748.047025462962</v>
      </c>
    </row>
    <row r="64" spans="3:11" x14ac:dyDescent="0.25">
      <c r="C64" t="str">
        <f>IF(COUNTBLANK(E64:L64) = 8,"",IF(AND(NOT(ISBLANK(E64)),COUNTBLANK(E64:L64) = 7),"3 Delete",IF(ISBLANK(E64),"2 Add",IF(JenkinsHashRange(E64:L64) = "708613851","0 Original","1 Modify"))))</f>
        <v>0 Original</v>
      </c>
      <c r="D64" s="3" t="s">
        <v>256</v>
      </c>
      <c r="E64" s="5">
        <v>63</v>
      </c>
      <c r="F64" s="3" t="s">
        <v>257</v>
      </c>
      <c r="G64" s="3" t="s">
        <v>258</v>
      </c>
      <c r="H64" s="7" t="s">
        <v>72</v>
      </c>
      <c r="I64" s="7">
        <v>42748.047025462962</v>
      </c>
      <c r="J64" s="3" t="s">
        <v>72</v>
      </c>
      <c r="K64" s="7">
        <v>42748.047025462962</v>
      </c>
    </row>
    <row r="65" spans="3:11" x14ac:dyDescent="0.25">
      <c r="C65" t="str">
        <f>IF(COUNTBLANK(E65:L65) = 8,"",IF(AND(NOT(ISBLANK(E65)),COUNTBLANK(E65:L65) = 7),"3 Delete",IF(ISBLANK(E65),"2 Add",IF(JenkinsHashRange(E65:L65) = "1656199561","0 Original","1 Modify"))))</f>
        <v>0 Original</v>
      </c>
      <c r="D65" s="3" t="s">
        <v>259</v>
      </c>
      <c r="E65" s="5">
        <v>64</v>
      </c>
      <c r="F65" s="3" t="s">
        <v>260</v>
      </c>
      <c r="G65" s="3" t="s">
        <v>261</v>
      </c>
      <c r="H65" s="7" t="s">
        <v>72</v>
      </c>
      <c r="I65" s="7">
        <v>42748.047025462962</v>
      </c>
      <c r="J65" s="3" t="s">
        <v>72</v>
      </c>
      <c r="K65" s="7">
        <v>42748.047025462962</v>
      </c>
    </row>
    <row r="66" spans="3:11" x14ac:dyDescent="0.25">
      <c r="C66" t="str">
        <f>IF(COUNTBLANK(E66:L66) = 8,"",IF(AND(NOT(ISBLANK(E66)),COUNTBLANK(E66:L66) = 7),"3 Delete",IF(ISBLANK(E66),"2 Add",IF(JenkinsHashRange(E66:L66) = "2097174269","0 Original","1 Modify"))))</f>
        <v>0 Original</v>
      </c>
      <c r="D66" s="3" t="s">
        <v>262</v>
      </c>
      <c r="E66" s="5">
        <v>65</v>
      </c>
      <c r="F66" s="3" t="s">
        <v>263</v>
      </c>
      <c r="G66" s="3" t="s">
        <v>264</v>
      </c>
      <c r="H66" s="7" t="s">
        <v>72</v>
      </c>
      <c r="I66" s="7">
        <v>42748.047025462962</v>
      </c>
      <c r="J66" s="3" t="s">
        <v>72</v>
      </c>
      <c r="K66" s="7">
        <v>42748.047025462962</v>
      </c>
    </row>
    <row r="67" spans="3:11" x14ac:dyDescent="0.25">
      <c r="C67" t="str">
        <f>IF(COUNTBLANK(E67:L67) = 8,"",IF(AND(NOT(ISBLANK(E67)),COUNTBLANK(E67:L67) = 7),"3 Delete",IF(ISBLANK(E67),"2 Add",IF(JenkinsHashRange(E67:L67) = "1908134447","0 Original","1 Modify"))))</f>
        <v>0 Original</v>
      </c>
      <c r="D67" s="3" t="s">
        <v>265</v>
      </c>
      <c r="E67" s="5">
        <v>66</v>
      </c>
      <c r="F67" s="3" t="s">
        <v>266</v>
      </c>
      <c r="G67" s="3" t="s">
        <v>267</v>
      </c>
      <c r="H67" s="7" t="s">
        <v>72</v>
      </c>
      <c r="I67" s="7">
        <v>42748.047025462962</v>
      </c>
      <c r="J67" s="3" t="s">
        <v>72</v>
      </c>
      <c r="K67" s="7">
        <v>42748.047025462962</v>
      </c>
    </row>
    <row r="68" spans="3:11" x14ac:dyDescent="0.25">
      <c r="C68" t="str">
        <f>IF(COUNTBLANK(E68:L68) = 8,"",IF(AND(NOT(ISBLANK(E68)),COUNTBLANK(E68:L68) = 7),"3 Delete",IF(ISBLANK(E68),"2 Add",IF(JenkinsHashRange(E68:L68) = "1184501430","0 Original","1 Modify"))))</f>
        <v>0 Original</v>
      </c>
      <c r="D68" s="3" t="s">
        <v>268</v>
      </c>
      <c r="E68" s="5">
        <v>67</v>
      </c>
      <c r="F68" s="3" t="s">
        <v>269</v>
      </c>
      <c r="G68" s="3" t="s">
        <v>270</v>
      </c>
      <c r="H68" s="7" t="s">
        <v>72</v>
      </c>
      <c r="I68" s="7">
        <v>42748.047025462962</v>
      </c>
      <c r="J68" s="3" t="s">
        <v>72</v>
      </c>
      <c r="K68" s="7">
        <v>42748.047025462962</v>
      </c>
    </row>
    <row r="69" spans="3:11" x14ac:dyDescent="0.25">
      <c r="C69" t="str">
        <f>IF(COUNTBLANK(E69:L69) = 8,"",IF(AND(NOT(ISBLANK(E69)),COUNTBLANK(E69:L69) = 7),"3 Delete",IF(ISBLANK(E69),"2 Add",IF(JenkinsHashRange(E69:L69) = "1154735486","0 Original","1 Modify"))))</f>
        <v>0 Original</v>
      </c>
      <c r="D69" s="3" t="s">
        <v>271</v>
      </c>
      <c r="E69" s="5">
        <v>68</v>
      </c>
      <c r="F69" s="3" t="s">
        <v>272</v>
      </c>
      <c r="G69" s="3" t="s">
        <v>273</v>
      </c>
      <c r="H69" s="7" t="s">
        <v>72</v>
      </c>
      <c r="I69" s="7">
        <v>42748.047025462962</v>
      </c>
      <c r="J69" s="3" t="s">
        <v>72</v>
      </c>
      <c r="K69" s="7">
        <v>42748.047025462962</v>
      </c>
    </row>
    <row r="70" spans="3:11" x14ac:dyDescent="0.25">
      <c r="C70" t="str">
        <f>IF(COUNTBLANK(E70:L70) = 8,"",IF(AND(NOT(ISBLANK(E70)),COUNTBLANK(E70:L70) = 7),"3 Delete",IF(ISBLANK(E70),"2 Add",IF(JenkinsHashRange(E70:L70) = "252774196","0 Original","1 Modify"))))</f>
        <v>0 Original</v>
      </c>
      <c r="D70" s="3" t="s">
        <v>274</v>
      </c>
      <c r="E70" s="5">
        <v>69</v>
      </c>
      <c r="F70" s="3" t="s">
        <v>275</v>
      </c>
      <c r="G70" s="3" t="s">
        <v>276</v>
      </c>
      <c r="H70" s="7" t="s">
        <v>72</v>
      </c>
      <c r="I70" s="7">
        <v>42748.047025462962</v>
      </c>
      <c r="J70" s="3" t="s">
        <v>72</v>
      </c>
      <c r="K70" s="7">
        <v>42748.047025462962</v>
      </c>
    </row>
    <row r="71" spans="3:11" x14ac:dyDescent="0.25">
      <c r="C71" t="str">
        <f>IF(COUNTBLANK(E71:L71) = 8,"",IF(AND(NOT(ISBLANK(E71)),COUNTBLANK(E71:L71) = 7),"3 Delete",IF(ISBLANK(E71),"2 Add",IF(JenkinsHashRange(E71:L71) = "755145223","0 Original","1 Modify"))))</f>
        <v>0 Original</v>
      </c>
      <c r="D71" s="3" t="s">
        <v>277</v>
      </c>
      <c r="E71" s="5">
        <v>70</v>
      </c>
      <c r="F71" s="3" t="s">
        <v>278</v>
      </c>
      <c r="G71" s="3" t="s">
        <v>279</v>
      </c>
      <c r="H71" s="7" t="s">
        <v>72</v>
      </c>
      <c r="I71" s="7">
        <v>42748.047025462962</v>
      </c>
      <c r="J71" s="3" t="s">
        <v>72</v>
      </c>
      <c r="K71" s="7">
        <v>42748.047025462962</v>
      </c>
    </row>
    <row r="72" spans="3:11" x14ac:dyDescent="0.25">
      <c r="C72" t="str">
        <f>IF(COUNTBLANK(E72:L72) = 8,"",IF(AND(NOT(ISBLANK(E72)),COUNTBLANK(E72:L72) = 7),"3 Delete",IF(ISBLANK(E72),"2 Add",IF(JenkinsHashRange(E72:L72) = "2067276738","0 Original","1 Modify"))))</f>
        <v>0 Original</v>
      </c>
      <c r="D72" s="3" t="s">
        <v>280</v>
      </c>
      <c r="E72" s="5">
        <v>71</v>
      </c>
      <c r="F72" s="3" t="s">
        <v>281</v>
      </c>
      <c r="G72" s="3" t="s">
        <v>282</v>
      </c>
      <c r="H72" s="7" t="s">
        <v>72</v>
      </c>
      <c r="I72" s="7">
        <v>42748.047025462962</v>
      </c>
      <c r="J72" s="3" t="s">
        <v>72</v>
      </c>
      <c r="K72" s="7">
        <v>42748.047025462962</v>
      </c>
    </row>
    <row r="73" spans="3:11" x14ac:dyDescent="0.25">
      <c r="C73" t="str">
        <f>IF(COUNTBLANK(E73:L73) = 8,"",IF(AND(NOT(ISBLANK(E73)),COUNTBLANK(E73:L73) = 7),"3 Delete",IF(ISBLANK(E73),"2 Add",IF(JenkinsHashRange(E73:L73) = "182815659","0 Original","1 Modify"))))</f>
        <v>0 Original</v>
      </c>
      <c r="D73" s="3" t="s">
        <v>283</v>
      </c>
      <c r="E73" s="5">
        <v>72</v>
      </c>
      <c r="F73" s="3" t="s">
        <v>284</v>
      </c>
      <c r="G73" s="3" t="s">
        <v>285</v>
      </c>
      <c r="H73" s="7" t="s">
        <v>72</v>
      </c>
      <c r="I73" s="7">
        <v>42748.047025462962</v>
      </c>
      <c r="J73" s="3" t="s">
        <v>72</v>
      </c>
      <c r="K73" s="7">
        <v>42748.047025462962</v>
      </c>
    </row>
    <row r="74" spans="3:11" x14ac:dyDescent="0.25">
      <c r="C74" t="str">
        <f>IF(COUNTBLANK(E74:L74) = 8,"",IF(AND(NOT(ISBLANK(E74)),COUNTBLANK(E74:L74) = 7),"3 Delete",IF(ISBLANK(E74),"2 Add",IF(JenkinsHashRange(E74:L74) = "686220752","0 Original","1 Modify"))))</f>
        <v>0 Original</v>
      </c>
      <c r="D74" s="3" t="s">
        <v>286</v>
      </c>
      <c r="E74" s="5">
        <v>73</v>
      </c>
      <c r="F74" s="3" t="s">
        <v>287</v>
      </c>
      <c r="G74" s="3" t="s">
        <v>288</v>
      </c>
      <c r="H74" s="7" t="s">
        <v>72</v>
      </c>
      <c r="I74" s="7">
        <v>42748.047025462962</v>
      </c>
      <c r="J74" s="3" t="s">
        <v>72</v>
      </c>
      <c r="K74" s="7">
        <v>42748.047025462962</v>
      </c>
    </row>
    <row r="75" spans="3:11" x14ac:dyDescent="0.25">
      <c r="C75" t="str">
        <f>IF(COUNTBLANK(E75:L75) = 8,"",IF(AND(NOT(ISBLANK(E75)),COUNTBLANK(E75:L75) = 7),"3 Delete",IF(ISBLANK(E75),"2 Add",IF(JenkinsHashRange(E75:L75) = "204196242","0 Original","1 Modify"))))</f>
        <v>0 Original</v>
      </c>
      <c r="D75" s="3" t="s">
        <v>289</v>
      </c>
      <c r="E75" s="5">
        <v>74</v>
      </c>
      <c r="F75" s="3" t="s">
        <v>290</v>
      </c>
      <c r="G75" s="3" t="s">
        <v>291</v>
      </c>
      <c r="H75" s="7" t="s">
        <v>72</v>
      </c>
      <c r="I75" s="7">
        <v>42748.047025462962</v>
      </c>
      <c r="J75" s="3" t="s">
        <v>72</v>
      </c>
      <c r="K75" s="7">
        <v>42748.047025462962</v>
      </c>
    </row>
    <row r="76" spans="3:11" x14ac:dyDescent="0.25">
      <c r="C76" t="str">
        <f>IF(COUNTBLANK(E76:L76) = 8,"",IF(AND(NOT(ISBLANK(E76)),COUNTBLANK(E76:L76) = 7),"3 Delete",IF(ISBLANK(E76),"2 Add",IF(JenkinsHashRange(E76:L76) = "1420266979","0 Original","1 Modify"))))</f>
        <v>0 Original</v>
      </c>
      <c r="D76" s="3" t="s">
        <v>292</v>
      </c>
      <c r="E76" s="5">
        <v>75</v>
      </c>
      <c r="F76" s="3" t="s">
        <v>293</v>
      </c>
      <c r="G76" s="3" t="s">
        <v>294</v>
      </c>
      <c r="H76" s="7" t="s">
        <v>72</v>
      </c>
      <c r="I76" s="7">
        <v>42748.047025462962</v>
      </c>
      <c r="J76" s="3" t="s">
        <v>72</v>
      </c>
      <c r="K76" s="7">
        <v>42748.047025462962</v>
      </c>
    </row>
    <row r="77" spans="3:11" x14ac:dyDescent="0.25">
      <c r="C77" t="str">
        <f>IF(COUNTBLANK(E77:L77) = 8,"",IF(AND(NOT(ISBLANK(E77)),COUNTBLANK(E77:L77) = 7),"3 Delete",IF(ISBLANK(E77),"2 Add",IF(JenkinsHashRange(E77:L77) = "1506058705","0 Original","1 Modify"))))</f>
        <v>0 Original</v>
      </c>
      <c r="D77" s="3" t="s">
        <v>295</v>
      </c>
      <c r="E77" s="5">
        <v>76</v>
      </c>
      <c r="F77" s="3" t="s">
        <v>296</v>
      </c>
      <c r="G77" s="3" t="s">
        <v>297</v>
      </c>
      <c r="H77" s="7" t="s">
        <v>72</v>
      </c>
      <c r="I77" s="7">
        <v>42748.047025462962</v>
      </c>
      <c r="J77" s="3" t="s">
        <v>72</v>
      </c>
      <c r="K77" s="7">
        <v>42748.047025462962</v>
      </c>
    </row>
    <row r="78" spans="3:11" x14ac:dyDescent="0.25">
      <c r="C78" t="str">
        <f>IF(COUNTBLANK(E78:L78) = 8,"",IF(AND(NOT(ISBLANK(E78)),COUNTBLANK(E78:L78) = 7),"3 Delete",IF(ISBLANK(E78),"2 Add",IF(JenkinsHashRange(E78:L78) = "1005035966","0 Original","1 Modify"))))</f>
        <v>0 Original</v>
      </c>
      <c r="D78" s="3" t="s">
        <v>298</v>
      </c>
      <c r="E78" s="5">
        <v>77</v>
      </c>
      <c r="F78" s="3" t="s">
        <v>299</v>
      </c>
      <c r="G78" s="3" t="s">
        <v>300</v>
      </c>
      <c r="H78" s="7" t="s">
        <v>72</v>
      </c>
      <c r="I78" s="7">
        <v>42748.047025462962</v>
      </c>
      <c r="J78" s="3" t="s">
        <v>72</v>
      </c>
      <c r="K78" s="7">
        <v>42748.047025462962</v>
      </c>
    </row>
    <row r="79" spans="3:11" x14ac:dyDescent="0.25">
      <c r="C79" t="str">
        <f>IF(COUNTBLANK(E79:L79) = 8,"",IF(AND(NOT(ISBLANK(E79)),COUNTBLANK(E79:L79) = 7),"3 Delete",IF(ISBLANK(E79),"2 Add",IF(JenkinsHashRange(E79:L79) = "1526742542","0 Original","1 Modify"))))</f>
        <v>0 Original</v>
      </c>
      <c r="D79" s="3" t="s">
        <v>301</v>
      </c>
      <c r="E79" s="5">
        <v>78</v>
      </c>
      <c r="F79" s="3" t="s">
        <v>302</v>
      </c>
      <c r="G79" s="3" t="s">
        <v>303</v>
      </c>
      <c r="H79" s="7" t="s">
        <v>72</v>
      </c>
      <c r="I79" s="7">
        <v>42748.047025462962</v>
      </c>
      <c r="J79" s="3" t="s">
        <v>72</v>
      </c>
      <c r="K79" s="7">
        <v>42748.047025462962</v>
      </c>
    </row>
    <row r="80" spans="3:11" x14ac:dyDescent="0.25">
      <c r="C80" t="str">
        <f>IF(COUNTBLANK(E80:L80) = 8,"",IF(AND(NOT(ISBLANK(E80)),COUNTBLANK(E80:L80) = 7),"3 Delete",IF(ISBLANK(E80),"2 Add",IF(JenkinsHashRange(E80:L80) = "473875967","0 Original","1 Modify"))))</f>
        <v>0 Original</v>
      </c>
      <c r="D80" s="3" t="s">
        <v>304</v>
      </c>
      <c r="E80" s="5">
        <v>79</v>
      </c>
      <c r="F80" s="3" t="s">
        <v>305</v>
      </c>
      <c r="G80" s="3" t="s">
        <v>306</v>
      </c>
      <c r="H80" s="7" t="s">
        <v>72</v>
      </c>
      <c r="I80" s="7">
        <v>42748.047025462962</v>
      </c>
      <c r="J80" s="3" t="s">
        <v>72</v>
      </c>
      <c r="K80" s="7">
        <v>42748.047025462962</v>
      </c>
    </row>
    <row r="81" spans="3:11" x14ac:dyDescent="0.25">
      <c r="C81" t="str">
        <f>IF(COUNTBLANK(E81:L81) = 8,"",IF(AND(NOT(ISBLANK(E81)),COUNTBLANK(E81:L81) = 7),"3 Delete",IF(ISBLANK(E81),"2 Add",IF(JenkinsHashRange(E81:L81) = "517664798","0 Original","1 Modify"))))</f>
        <v>0 Original</v>
      </c>
      <c r="D81" s="3" t="s">
        <v>307</v>
      </c>
      <c r="E81" s="5">
        <v>80</v>
      </c>
      <c r="F81" s="3" t="s">
        <v>308</v>
      </c>
      <c r="G81" s="3" t="s">
        <v>309</v>
      </c>
      <c r="H81" s="7" t="s">
        <v>72</v>
      </c>
      <c r="I81" s="7">
        <v>42748.047025462962</v>
      </c>
      <c r="J81" s="3" t="s">
        <v>72</v>
      </c>
      <c r="K81" s="7">
        <v>42748.047025462962</v>
      </c>
    </row>
    <row r="82" spans="3:11" x14ac:dyDescent="0.25">
      <c r="C82" t="str">
        <f>IF(COUNTBLANK(E82:L82) = 8,"",IF(AND(NOT(ISBLANK(E82)),COUNTBLANK(E82:L82) = 7),"3 Delete",IF(ISBLANK(E82),"2 Add",IF(JenkinsHashRange(E82:L82) = "437001079","0 Original","1 Modify"))))</f>
        <v>0 Original</v>
      </c>
      <c r="D82" s="3" t="s">
        <v>310</v>
      </c>
      <c r="E82" s="5">
        <v>81</v>
      </c>
      <c r="F82" s="3" t="s">
        <v>311</v>
      </c>
      <c r="G82" s="3" t="s">
        <v>312</v>
      </c>
      <c r="H82" s="7" t="s">
        <v>72</v>
      </c>
      <c r="I82" s="7">
        <v>42748.047025462962</v>
      </c>
      <c r="J82" s="3" t="s">
        <v>72</v>
      </c>
      <c r="K82" s="7">
        <v>42748.047025462962</v>
      </c>
    </row>
    <row r="83" spans="3:11" x14ac:dyDescent="0.25">
      <c r="C83" t="str">
        <f>IF(COUNTBLANK(E83:L83) = 8,"",IF(AND(NOT(ISBLANK(E83)),COUNTBLANK(E83:L83) = 7),"3 Delete",IF(ISBLANK(E83),"2 Add",IF(JenkinsHashRange(E83:L83) = "575742601","0 Original","1 Modify"))))</f>
        <v>0 Original</v>
      </c>
      <c r="D83" s="3" t="s">
        <v>313</v>
      </c>
      <c r="E83" s="5">
        <v>82</v>
      </c>
      <c r="F83" s="3" t="s">
        <v>314</v>
      </c>
      <c r="G83" s="3" t="s">
        <v>315</v>
      </c>
      <c r="H83" s="7" t="s">
        <v>72</v>
      </c>
      <c r="I83" s="7">
        <v>42748.047025462962</v>
      </c>
      <c r="J83" s="3" t="s">
        <v>72</v>
      </c>
      <c r="K83" s="7">
        <v>42748.047025462962</v>
      </c>
    </row>
    <row r="84" spans="3:11" x14ac:dyDescent="0.25">
      <c r="C84" t="str">
        <f>IF(COUNTBLANK(E84:L84) = 8,"",IF(AND(NOT(ISBLANK(E84)),COUNTBLANK(E84:L84) = 7),"3 Delete",IF(ISBLANK(E84),"2 Add",IF(JenkinsHashRange(E84:L84) = "260310191","0 Original","1 Modify"))))</f>
        <v>0 Original</v>
      </c>
      <c r="D84" s="3" t="s">
        <v>316</v>
      </c>
      <c r="E84" s="5">
        <v>83</v>
      </c>
      <c r="F84" s="3" t="s">
        <v>317</v>
      </c>
      <c r="G84" s="3" t="s">
        <v>318</v>
      </c>
      <c r="H84" s="7" t="s">
        <v>72</v>
      </c>
      <c r="I84" s="7">
        <v>42748.047025462962</v>
      </c>
      <c r="J84" s="3" t="s">
        <v>72</v>
      </c>
      <c r="K84" s="7">
        <v>42748.047025462962</v>
      </c>
    </row>
    <row r="85" spans="3:11" x14ac:dyDescent="0.25">
      <c r="C85" t="str">
        <f>IF(COUNTBLANK(E85:L85) = 8,"",IF(AND(NOT(ISBLANK(E85)),COUNTBLANK(E85:L85) = 7),"3 Delete",IF(ISBLANK(E85),"2 Add",IF(JenkinsHashRange(E85:L85) = "541523209","0 Original","1 Modify"))))</f>
        <v>0 Original</v>
      </c>
      <c r="D85" s="3" t="s">
        <v>319</v>
      </c>
      <c r="E85" s="5">
        <v>84</v>
      </c>
      <c r="F85" s="3" t="s">
        <v>320</v>
      </c>
      <c r="G85" s="3" t="s">
        <v>321</v>
      </c>
      <c r="H85" s="7" t="s">
        <v>72</v>
      </c>
      <c r="I85" s="7">
        <v>42748.047025462962</v>
      </c>
      <c r="J85" s="3" t="s">
        <v>72</v>
      </c>
      <c r="K85" s="7">
        <v>42748.047025462962</v>
      </c>
    </row>
    <row r="86" spans="3:11" x14ac:dyDescent="0.25">
      <c r="C86" t="str">
        <f>IF(COUNTBLANK(E86:L86) = 8,"",IF(AND(NOT(ISBLANK(E86)),COUNTBLANK(E86:L86) = 7),"3 Delete",IF(ISBLANK(E86),"2 Add",IF(JenkinsHashRange(E86:L86) = "903476844","0 Original","1 Modify"))))</f>
        <v>0 Original</v>
      </c>
      <c r="D86" s="3" t="s">
        <v>322</v>
      </c>
      <c r="E86" s="5">
        <v>85</v>
      </c>
      <c r="F86" s="3" t="s">
        <v>323</v>
      </c>
      <c r="G86" s="3" t="s">
        <v>324</v>
      </c>
      <c r="H86" s="7" t="s">
        <v>72</v>
      </c>
      <c r="I86" s="7">
        <v>42748.047025462962</v>
      </c>
      <c r="J86" s="3" t="s">
        <v>72</v>
      </c>
      <c r="K86" s="7">
        <v>42748.047025462962</v>
      </c>
    </row>
    <row r="87" spans="3:11" x14ac:dyDescent="0.25">
      <c r="C87" t="str">
        <f>IF(COUNTBLANK(E87:L87) = 8,"",IF(AND(NOT(ISBLANK(E87)),COUNTBLANK(E87:L87) = 7),"3 Delete",IF(ISBLANK(E87),"2 Add",IF(JenkinsHashRange(E87:L87) = "521362523","0 Original","1 Modify"))))</f>
        <v>0 Original</v>
      </c>
      <c r="D87" s="3" t="s">
        <v>325</v>
      </c>
      <c r="E87" s="5">
        <v>86</v>
      </c>
      <c r="F87" s="3" t="s">
        <v>326</v>
      </c>
      <c r="G87" s="3" t="s">
        <v>327</v>
      </c>
      <c r="H87" s="7" t="s">
        <v>72</v>
      </c>
      <c r="I87" s="7">
        <v>42748.047025462962</v>
      </c>
      <c r="J87" s="3" t="s">
        <v>72</v>
      </c>
      <c r="K87" s="7">
        <v>42748.047025462962</v>
      </c>
    </row>
    <row r="88" spans="3:11" x14ac:dyDescent="0.25">
      <c r="C88" t="str">
        <f>IF(COUNTBLANK(E88:L88) = 8,"",IF(AND(NOT(ISBLANK(E88)),COUNTBLANK(E88:L88) = 7),"3 Delete",IF(ISBLANK(E88),"2 Add",IF(JenkinsHashRange(E88:L88) = "1134330847","0 Original","1 Modify"))))</f>
        <v>0 Original</v>
      </c>
      <c r="D88" s="3" t="s">
        <v>328</v>
      </c>
      <c r="E88" s="5">
        <v>87</v>
      </c>
      <c r="F88" s="3" t="s">
        <v>329</v>
      </c>
      <c r="G88" s="3" t="s">
        <v>330</v>
      </c>
      <c r="H88" s="7" t="s">
        <v>72</v>
      </c>
      <c r="I88" s="7">
        <v>42748.047025462962</v>
      </c>
      <c r="J88" s="3" t="s">
        <v>72</v>
      </c>
      <c r="K88" s="7">
        <v>42748.047025462962</v>
      </c>
    </row>
    <row r="89" spans="3:11" x14ac:dyDescent="0.25">
      <c r="C89" t="str">
        <f>IF(COUNTBLANK(E89:L89) = 8,"",IF(AND(NOT(ISBLANK(E89)),COUNTBLANK(E89:L89) = 7),"3 Delete",IF(ISBLANK(E89),"2 Add",IF(JenkinsHashRange(E89:L89) = "514989232","0 Original","1 Modify"))))</f>
        <v>0 Original</v>
      </c>
      <c r="D89" s="3" t="s">
        <v>331</v>
      </c>
      <c r="E89" s="5">
        <v>88</v>
      </c>
      <c r="F89" s="3" t="s">
        <v>332</v>
      </c>
      <c r="G89" s="3" t="s">
        <v>333</v>
      </c>
      <c r="H89" s="7" t="s">
        <v>72</v>
      </c>
      <c r="I89" s="7">
        <v>42748.047025462962</v>
      </c>
      <c r="J89" s="3" t="s">
        <v>72</v>
      </c>
      <c r="K89" s="7">
        <v>42748.047025462962</v>
      </c>
    </row>
    <row r="90" spans="3:11" x14ac:dyDescent="0.25">
      <c r="C90" t="str">
        <f>IF(COUNTBLANK(E90:L90) = 8,"",IF(AND(NOT(ISBLANK(E90)),COUNTBLANK(E90:L90) = 7),"3 Delete",IF(ISBLANK(E90),"2 Add",IF(JenkinsHashRange(E90:L90) = "431694859","0 Original","1 Modify"))))</f>
        <v>0 Original</v>
      </c>
      <c r="D90" s="3" t="s">
        <v>334</v>
      </c>
      <c r="E90" s="5">
        <v>89</v>
      </c>
      <c r="F90" s="3" t="s">
        <v>335</v>
      </c>
      <c r="G90" s="3" t="s">
        <v>336</v>
      </c>
      <c r="H90" s="7" t="s">
        <v>72</v>
      </c>
      <c r="I90" s="7">
        <v>42748.047025462962</v>
      </c>
      <c r="J90" s="3" t="s">
        <v>72</v>
      </c>
      <c r="K90" s="7">
        <v>42748.047025462962</v>
      </c>
    </row>
    <row r="91" spans="3:11" x14ac:dyDescent="0.25">
      <c r="C91" t="str">
        <f>IF(COUNTBLANK(E91:L91) = 8,"",IF(AND(NOT(ISBLANK(E91)),COUNTBLANK(E91:L91) = 7),"3 Delete",IF(ISBLANK(E91),"2 Add",IF(JenkinsHashRange(E91:L91) = "577561281","0 Original","1 Modify"))))</f>
        <v>0 Original</v>
      </c>
      <c r="D91" s="3" t="s">
        <v>337</v>
      </c>
      <c r="E91" s="5">
        <v>90</v>
      </c>
      <c r="F91" s="3" t="s">
        <v>338</v>
      </c>
      <c r="G91" s="3" t="s">
        <v>339</v>
      </c>
      <c r="H91" s="7" t="s">
        <v>72</v>
      </c>
      <c r="I91" s="7">
        <v>42748.047025462962</v>
      </c>
      <c r="J91" s="3" t="s">
        <v>72</v>
      </c>
      <c r="K91" s="7">
        <v>42748.047025462962</v>
      </c>
    </row>
    <row r="92" spans="3:11" x14ac:dyDescent="0.25">
      <c r="C92" t="str">
        <f>IF(COUNTBLANK(E92:L92) = 8,"",IF(AND(NOT(ISBLANK(E92)),COUNTBLANK(E92:L92) = 7),"3 Delete",IF(ISBLANK(E92),"2 Add",IF(JenkinsHashRange(E92:L92) = "1490668831","0 Original","1 Modify"))))</f>
        <v>0 Original</v>
      </c>
      <c r="D92" s="3" t="s">
        <v>340</v>
      </c>
      <c r="E92" s="5">
        <v>91</v>
      </c>
      <c r="F92" s="3" t="s">
        <v>341</v>
      </c>
      <c r="G92" s="3" t="s">
        <v>342</v>
      </c>
      <c r="H92" s="7" t="s">
        <v>72</v>
      </c>
      <c r="I92" s="7">
        <v>42748.047025462962</v>
      </c>
      <c r="J92" s="3" t="s">
        <v>72</v>
      </c>
      <c r="K92" s="7">
        <v>42748.047025462962</v>
      </c>
    </row>
    <row r="93" spans="3:11" x14ac:dyDescent="0.25">
      <c r="C93" t="str">
        <f>IF(COUNTBLANK(E93:L93) = 8,"",IF(AND(NOT(ISBLANK(E93)),COUNTBLANK(E93:L93) = 7),"3 Delete",IF(ISBLANK(E93),"2 Add",IF(JenkinsHashRange(E93:L93) = "1114630806","0 Original","1 Modify"))))</f>
        <v>0 Original</v>
      </c>
      <c r="D93" s="3" t="s">
        <v>343</v>
      </c>
      <c r="E93" s="5">
        <v>92</v>
      </c>
      <c r="F93" s="3" t="s">
        <v>344</v>
      </c>
      <c r="G93" s="3" t="s">
        <v>345</v>
      </c>
      <c r="H93" s="7" t="s">
        <v>72</v>
      </c>
      <c r="I93" s="7">
        <v>42748.047025462962</v>
      </c>
      <c r="J93" s="3" t="s">
        <v>72</v>
      </c>
      <c r="K93" s="7">
        <v>42748.047025462962</v>
      </c>
    </row>
    <row r="94" spans="3:11" x14ac:dyDescent="0.25">
      <c r="C94" t="str">
        <f>IF(COUNTBLANK(E94:L94) = 8,"",IF(AND(NOT(ISBLANK(E94)),COUNTBLANK(E94:L94) = 7),"3 Delete",IF(ISBLANK(E94),"2 Add",IF(JenkinsHashRange(E94:L94) = "141925124","0 Original","1 Modify"))))</f>
        <v>0 Original</v>
      </c>
      <c r="D94" s="3" t="s">
        <v>346</v>
      </c>
      <c r="E94" s="5">
        <v>93</v>
      </c>
      <c r="F94" s="3" t="s">
        <v>347</v>
      </c>
      <c r="G94" s="3" t="s">
        <v>348</v>
      </c>
      <c r="H94" s="7" t="s">
        <v>72</v>
      </c>
      <c r="I94" s="7">
        <v>42748.047025462962</v>
      </c>
      <c r="J94" s="3" t="s">
        <v>72</v>
      </c>
      <c r="K94" s="7">
        <v>42748.047025462962</v>
      </c>
    </row>
    <row r="95" spans="3:11" x14ac:dyDescent="0.25">
      <c r="C95" t="str">
        <f>IF(COUNTBLANK(E95:L95) = 8,"",IF(AND(NOT(ISBLANK(E95)),COUNTBLANK(E95:L95) = 7),"3 Delete",IF(ISBLANK(E95),"2 Add",IF(JenkinsHashRange(E95:L95) = "495553158","0 Original","1 Modify"))))</f>
        <v>0 Original</v>
      </c>
      <c r="D95" s="3" t="s">
        <v>349</v>
      </c>
      <c r="E95" s="5">
        <v>94</v>
      </c>
      <c r="F95" s="3" t="s">
        <v>350</v>
      </c>
      <c r="G95" s="3" t="s">
        <v>351</v>
      </c>
      <c r="H95" s="7" t="s">
        <v>72</v>
      </c>
      <c r="I95" s="7">
        <v>42748.047025462962</v>
      </c>
      <c r="J95" s="3" t="s">
        <v>72</v>
      </c>
      <c r="K95" s="7">
        <v>42748.047025462962</v>
      </c>
    </row>
    <row r="96" spans="3:11" x14ac:dyDescent="0.25">
      <c r="C96" t="str">
        <f>IF(COUNTBLANK(E96:L96) = 8,"",IF(AND(NOT(ISBLANK(E96)),COUNTBLANK(E96:L96) = 7),"3 Delete",IF(ISBLANK(E96),"2 Add",IF(JenkinsHashRange(E96:L96) = "46860934","0 Original","1 Modify"))))</f>
        <v>0 Original</v>
      </c>
      <c r="D96" s="3" t="s">
        <v>352</v>
      </c>
      <c r="E96" s="5">
        <v>95</v>
      </c>
      <c r="F96" s="3" t="s">
        <v>353</v>
      </c>
      <c r="G96" s="3" t="s">
        <v>354</v>
      </c>
      <c r="H96" s="7" t="s">
        <v>72</v>
      </c>
      <c r="I96" s="7">
        <v>42748.047025462962</v>
      </c>
      <c r="J96" s="3" t="s">
        <v>72</v>
      </c>
      <c r="K96" s="7">
        <v>42748.047025462962</v>
      </c>
    </row>
    <row r="97" spans="3:11" x14ac:dyDescent="0.25">
      <c r="C97" t="str">
        <f>IF(COUNTBLANK(E97:L97) = 8,"",IF(AND(NOT(ISBLANK(E97)),COUNTBLANK(E97:L97) = 7),"3 Delete",IF(ISBLANK(E97),"2 Add",IF(JenkinsHashRange(E97:L97) = "88613784","0 Original","1 Modify"))))</f>
        <v>0 Original</v>
      </c>
      <c r="D97" s="3" t="s">
        <v>355</v>
      </c>
      <c r="E97" s="5">
        <v>96</v>
      </c>
      <c r="F97" s="3" t="s">
        <v>356</v>
      </c>
      <c r="G97" s="3" t="s">
        <v>357</v>
      </c>
      <c r="H97" s="7" t="s">
        <v>72</v>
      </c>
      <c r="I97" s="7">
        <v>42748.047025462962</v>
      </c>
      <c r="J97" s="3" t="s">
        <v>72</v>
      </c>
      <c r="K97" s="7">
        <v>42748.047025462962</v>
      </c>
    </row>
    <row r="98" spans="3:11" x14ac:dyDescent="0.25">
      <c r="C98" t="str">
        <f>IF(COUNTBLANK(E98:L98) = 8,"",IF(AND(NOT(ISBLANK(E98)),COUNTBLANK(E98:L98) = 7),"3 Delete",IF(ISBLANK(E98),"2 Add",IF(JenkinsHashRange(E98:L98) = "1729860742","0 Original","1 Modify"))))</f>
        <v>0 Original</v>
      </c>
      <c r="D98" s="3" t="s">
        <v>358</v>
      </c>
      <c r="E98" s="5">
        <v>97</v>
      </c>
      <c r="F98" s="3" t="s">
        <v>359</v>
      </c>
      <c r="G98" s="3" t="s">
        <v>360</v>
      </c>
      <c r="H98" s="7" t="s">
        <v>72</v>
      </c>
      <c r="I98" s="7">
        <v>42748.047025462962</v>
      </c>
      <c r="J98" s="3" t="s">
        <v>72</v>
      </c>
      <c r="K98" s="7">
        <v>42748.047025462962</v>
      </c>
    </row>
    <row r="99" spans="3:11" x14ac:dyDescent="0.25">
      <c r="C99" t="str">
        <f>IF(COUNTBLANK(E99:L99) = 8,"",IF(AND(NOT(ISBLANK(E99)),COUNTBLANK(E99:L99) = 7),"3 Delete",IF(ISBLANK(E99),"2 Add",IF(JenkinsHashRange(E99:L99) = "772485357","0 Original","1 Modify"))))</f>
        <v>0 Original</v>
      </c>
      <c r="D99" s="3" t="s">
        <v>361</v>
      </c>
      <c r="E99" s="5">
        <v>98</v>
      </c>
      <c r="F99" s="3" t="s">
        <v>362</v>
      </c>
      <c r="G99" s="3" t="s">
        <v>363</v>
      </c>
      <c r="H99" s="7" t="s">
        <v>72</v>
      </c>
      <c r="I99" s="7">
        <v>42748.047025462962</v>
      </c>
      <c r="J99" s="3" t="s">
        <v>72</v>
      </c>
      <c r="K99" s="7">
        <v>42748.047025462962</v>
      </c>
    </row>
    <row r="100" spans="3:11" x14ac:dyDescent="0.25">
      <c r="C100" t="str">
        <f>IF(COUNTBLANK(E100:L100) = 8,"",IF(AND(NOT(ISBLANK(E100)),COUNTBLANK(E100:L100) = 7),"3 Delete",IF(ISBLANK(E100),"2 Add",IF(JenkinsHashRange(E100:L100) = "302006000","0 Original","1 Modify"))))</f>
        <v>0 Original</v>
      </c>
      <c r="D100" s="3" t="s">
        <v>364</v>
      </c>
      <c r="E100" s="5">
        <v>99</v>
      </c>
      <c r="F100" s="3" t="s">
        <v>365</v>
      </c>
      <c r="G100" s="3" t="s">
        <v>366</v>
      </c>
      <c r="H100" s="7" t="s">
        <v>72</v>
      </c>
      <c r="I100" s="7">
        <v>42748.047025462962</v>
      </c>
      <c r="J100" s="3" t="s">
        <v>72</v>
      </c>
      <c r="K100" s="7">
        <v>42748.047025462962</v>
      </c>
    </row>
    <row r="101" spans="3:11" x14ac:dyDescent="0.25">
      <c r="C101" t="str">
        <f>IF(COUNTBLANK(E101:L101) = 8,"",IF(AND(NOT(ISBLANK(E101)),COUNTBLANK(E101:L101) = 7),"3 Delete",IF(ISBLANK(E101),"2 Add",IF(JenkinsHashRange(E101:L101) = "367731647","0 Original","1 Modify"))))</f>
        <v>0 Original</v>
      </c>
      <c r="D101" s="3" t="s">
        <v>367</v>
      </c>
      <c r="E101" s="5">
        <v>100</v>
      </c>
      <c r="F101" s="3" t="s">
        <v>368</v>
      </c>
      <c r="G101" s="3" t="s">
        <v>369</v>
      </c>
      <c r="H101" s="7" t="s">
        <v>72</v>
      </c>
      <c r="I101" s="7">
        <v>42748.047025462962</v>
      </c>
      <c r="J101" s="3" t="s">
        <v>72</v>
      </c>
      <c r="K101" s="7">
        <v>42748.047025462962</v>
      </c>
    </row>
    <row r="102" spans="3:11" x14ac:dyDescent="0.25">
      <c r="C102" t="str">
        <f>IF(COUNTBLANK(E102:L102) = 8,"",IF(AND(NOT(ISBLANK(E102)),COUNTBLANK(E102:L102) = 7),"3 Delete",IF(ISBLANK(E102),"2 Add",IF(JenkinsHashRange(E102:L102) = "1239258034","0 Original","1 Modify"))))</f>
        <v/>
      </c>
    </row>
  </sheetData>
  <conditionalFormatting sqref="C2">
    <cfRule type="cellIs" dxfId="16661" priority="1" stopIfTrue="1" operator="equal">
      <formula>"1 Modify"</formula>
    </cfRule>
    <cfRule type="cellIs" dxfId="16660" priority="2" stopIfTrue="1" operator="equal">
      <formula>"2 Add"</formula>
    </cfRule>
    <cfRule type="cellIs" dxfId="16659" priority="3" stopIfTrue="1" operator="equal">
      <formula>"3 Delete"</formula>
    </cfRule>
  </conditionalFormatting>
  <conditionalFormatting sqref="C3">
    <cfRule type="cellIs" dxfId="16658" priority="4" stopIfTrue="1" operator="equal">
      <formula>"1 Modify"</formula>
    </cfRule>
    <cfRule type="cellIs" dxfId="16657" priority="5" stopIfTrue="1" operator="equal">
      <formula>"2 Add"</formula>
    </cfRule>
    <cfRule type="cellIs" dxfId="16656" priority="6" stopIfTrue="1" operator="equal">
      <formula>"3 Delete"</formula>
    </cfRule>
  </conditionalFormatting>
  <conditionalFormatting sqref="C4">
    <cfRule type="cellIs" dxfId="16655" priority="7" stopIfTrue="1" operator="equal">
      <formula>"1 Modify"</formula>
    </cfRule>
    <cfRule type="cellIs" dxfId="16654" priority="8" stopIfTrue="1" operator="equal">
      <formula>"2 Add"</formula>
    </cfRule>
    <cfRule type="cellIs" dxfId="16653" priority="9" stopIfTrue="1" operator="equal">
      <formula>"3 Delete"</formula>
    </cfRule>
  </conditionalFormatting>
  <conditionalFormatting sqref="C5">
    <cfRule type="cellIs" dxfId="16652" priority="10" stopIfTrue="1" operator="equal">
      <formula>"1 Modify"</formula>
    </cfRule>
    <cfRule type="cellIs" dxfId="16651" priority="11" stopIfTrue="1" operator="equal">
      <formula>"2 Add"</formula>
    </cfRule>
    <cfRule type="cellIs" dxfId="16650" priority="12" stopIfTrue="1" operator="equal">
      <formula>"3 Delete"</formula>
    </cfRule>
  </conditionalFormatting>
  <conditionalFormatting sqref="C6">
    <cfRule type="cellIs" dxfId="16649" priority="13" stopIfTrue="1" operator="equal">
      <formula>"1 Modify"</formula>
    </cfRule>
    <cfRule type="cellIs" dxfId="16648" priority="14" stopIfTrue="1" operator="equal">
      <formula>"2 Add"</formula>
    </cfRule>
    <cfRule type="cellIs" dxfId="16647" priority="15" stopIfTrue="1" operator="equal">
      <formula>"3 Delete"</formula>
    </cfRule>
  </conditionalFormatting>
  <conditionalFormatting sqref="C7">
    <cfRule type="cellIs" dxfId="16646" priority="16" stopIfTrue="1" operator="equal">
      <formula>"1 Modify"</formula>
    </cfRule>
    <cfRule type="cellIs" dxfId="16645" priority="17" stopIfTrue="1" operator="equal">
      <formula>"2 Add"</formula>
    </cfRule>
    <cfRule type="cellIs" dxfId="16644" priority="18" stopIfTrue="1" operator="equal">
      <formula>"3 Delete"</formula>
    </cfRule>
  </conditionalFormatting>
  <conditionalFormatting sqref="C8">
    <cfRule type="cellIs" dxfId="16643" priority="19" stopIfTrue="1" operator="equal">
      <formula>"1 Modify"</formula>
    </cfRule>
    <cfRule type="cellIs" dxfId="16642" priority="20" stopIfTrue="1" operator="equal">
      <formula>"2 Add"</formula>
    </cfRule>
    <cfRule type="cellIs" dxfId="16641" priority="21" stopIfTrue="1" operator="equal">
      <formula>"3 Delete"</formula>
    </cfRule>
  </conditionalFormatting>
  <conditionalFormatting sqref="C9">
    <cfRule type="cellIs" dxfId="16640" priority="22" stopIfTrue="1" operator="equal">
      <formula>"1 Modify"</formula>
    </cfRule>
    <cfRule type="cellIs" dxfId="16639" priority="23" stopIfTrue="1" operator="equal">
      <formula>"2 Add"</formula>
    </cfRule>
    <cfRule type="cellIs" dxfId="16638" priority="24" stopIfTrue="1" operator="equal">
      <formula>"3 Delete"</formula>
    </cfRule>
  </conditionalFormatting>
  <conditionalFormatting sqref="C10">
    <cfRule type="cellIs" dxfId="16637" priority="25" stopIfTrue="1" operator="equal">
      <formula>"1 Modify"</formula>
    </cfRule>
    <cfRule type="cellIs" dxfId="16636" priority="26" stopIfTrue="1" operator="equal">
      <formula>"2 Add"</formula>
    </cfRule>
    <cfRule type="cellIs" dxfId="16635" priority="27" stopIfTrue="1" operator="equal">
      <formula>"3 Delete"</formula>
    </cfRule>
  </conditionalFormatting>
  <conditionalFormatting sqref="C11">
    <cfRule type="cellIs" dxfId="16634" priority="28" stopIfTrue="1" operator="equal">
      <formula>"1 Modify"</formula>
    </cfRule>
    <cfRule type="cellIs" dxfId="16633" priority="29" stopIfTrue="1" operator="equal">
      <formula>"2 Add"</formula>
    </cfRule>
    <cfRule type="cellIs" dxfId="16632" priority="30" stopIfTrue="1" operator="equal">
      <formula>"3 Delete"</formula>
    </cfRule>
  </conditionalFormatting>
  <conditionalFormatting sqref="C12">
    <cfRule type="cellIs" dxfId="16631" priority="31" stopIfTrue="1" operator="equal">
      <formula>"1 Modify"</formula>
    </cfRule>
    <cfRule type="cellIs" dxfId="16630" priority="32" stopIfTrue="1" operator="equal">
      <formula>"2 Add"</formula>
    </cfRule>
    <cfRule type="cellIs" dxfId="16629" priority="33" stopIfTrue="1" operator="equal">
      <formula>"3 Delete"</formula>
    </cfRule>
  </conditionalFormatting>
  <conditionalFormatting sqref="C13">
    <cfRule type="cellIs" dxfId="16628" priority="34" stopIfTrue="1" operator="equal">
      <formula>"1 Modify"</formula>
    </cfRule>
    <cfRule type="cellIs" dxfId="16627" priority="35" stopIfTrue="1" operator="equal">
      <formula>"2 Add"</formula>
    </cfRule>
    <cfRule type="cellIs" dxfId="16626" priority="36" stopIfTrue="1" operator="equal">
      <formula>"3 Delete"</formula>
    </cfRule>
  </conditionalFormatting>
  <conditionalFormatting sqref="C14">
    <cfRule type="cellIs" dxfId="16625" priority="37" stopIfTrue="1" operator="equal">
      <formula>"1 Modify"</formula>
    </cfRule>
    <cfRule type="cellIs" dxfId="16624" priority="38" stopIfTrue="1" operator="equal">
      <formula>"2 Add"</formula>
    </cfRule>
    <cfRule type="cellIs" dxfId="16623" priority="39" stopIfTrue="1" operator="equal">
      <formula>"3 Delete"</formula>
    </cfRule>
  </conditionalFormatting>
  <conditionalFormatting sqref="C15">
    <cfRule type="cellIs" dxfId="16622" priority="40" stopIfTrue="1" operator="equal">
      <formula>"1 Modify"</formula>
    </cfRule>
    <cfRule type="cellIs" dxfId="16621" priority="41" stopIfTrue="1" operator="equal">
      <formula>"2 Add"</formula>
    </cfRule>
    <cfRule type="cellIs" dxfId="16620" priority="42" stopIfTrue="1" operator="equal">
      <formula>"3 Delete"</formula>
    </cfRule>
  </conditionalFormatting>
  <conditionalFormatting sqref="C16">
    <cfRule type="cellIs" dxfId="16619" priority="43" stopIfTrue="1" operator="equal">
      <formula>"1 Modify"</formula>
    </cfRule>
    <cfRule type="cellIs" dxfId="16618" priority="44" stopIfTrue="1" operator="equal">
      <formula>"2 Add"</formula>
    </cfRule>
    <cfRule type="cellIs" dxfId="16617" priority="45" stopIfTrue="1" operator="equal">
      <formula>"3 Delete"</formula>
    </cfRule>
  </conditionalFormatting>
  <conditionalFormatting sqref="C17">
    <cfRule type="cellIs" dxfId="16616" priority="46" stopIfTrue="1" operator="equal">
      <formula>"1 Modify"</formula>
    </cfRule>
    <cfRule type="cellIs" dxfId="16615" priority="47" stopIfTrue="1" operator="equal">
      <formula>"2 Add"</formula>
    </cfRule>
    <cfRule type="cellIs" dxfId="16614" priority="48" stopIfTrue="1" operator="equal">
      <formula>"3 Delete"</formula>
    </cfRule>
  </conditionalFormatting>
  <conditionalFormatting sqref="C18">
    <cfRule type="cellIs" dxfId="16613" priority="49" stopIfTrue="1" operator="equal">
      <formula>"1 Modify"</formula>
    </cfRule>
    <cfRule type="cellIs" dxfId="16612" priority="50" stopIfTrue="1" operator="equal">
      <formula>"2 Add"</formula>
    </cfRule>
    <cfRule type="cellIs" dxfId="16611" priority="51" stopIfTrue="1" operator="equal">
      <formula>"3 Delete"</formula>
    </cfRule>
  </conditionalFormatting>
  <conditionalFormatting sqref="C19">
    <cfRule type="cellIs" dxfId="16610" priority="52" stopIfTrue="1" operator="equal">
      <formula>"1 Modify"</formula>
    </cfRule>
    <cfRule type="cellIs" dxfId="16609" priority="53" stopIfTrue="1" operator="equal">
      <formula>"2 Add"</formula>
    </cfRule>
    <cfRule type="cellIs" dxfId="16608" priority="54" stopIfTrue="1" operator="equal">
      <formula>"3 Delete"</formula>
    </cfRule>
  </conditionalFormatting>
  <conditionalFormatting sqref="C20">
    <cfRule type="cellIs" dxfId="16607" priority="55" stopIfTrue="1" operator="equal">
      <formula>"1 Modify"</formula>
    </cfRule>
    <cfRule type="cellIs" dxfId="16606" priority="56" stopIfTrue="1" operator="equal">
      <formula>"2 Add"</formula>
    </cfRule>
    <cfRule type="cellIs" dxfId="16605" priority="57" stopIfTrue="1" operator="equal">
      <formula>"3 Delete"</formula>
    </cfRule>
  </conditionalFormatting>
  <conditionalFormatting sqref="C21">
    <cfRule type="cellIs" dxfId="16604" priority="58" stopIfTrue="1" operator="equal">
      <formula>"1 Modify"</formula>
    </cfRule>
    <cfRule type="cellIs" dxfId="16603" priority="59" stopIfTrue="1" operator="equal">
      <formula>"2 Add"</formula>
    </cfRule>
    <cfRule type="cellIs" dxfId="16602" priority="60" stopIfTrue="1" operator="equal">
      <formula>"3 Delete"</formula>
    </cfRule>
  </conditionalFormatting>
  <conditionalFormatting sqref="C22">
    <cfRule type="cellIs" dxfId="16601" priority="61" stopIfTrue="1" operator="equal">
      <formula>"1 Modify"</formula>
    </cfRule>
  </conditionalFormatting>
  <conditionalFormatting sqref="C22">
    <cfRule type="cellIs" dxfId="16600" priority="62" stopIfTrue="1" operator="equal">
      <formula>"2 Add"</formula>
    </cfRule>
  </conditionalFormatting>
  <conditionalFormatting sqref="C22">
    <cfRule type="cellIs" dxfId="16599" priority="63" stopIfTrue="1" operator="equal">
      <formula>"3 Delete"</formula>
    </cfRule>
  </conditionalFormatting>
  <conditionalFormatting sqref="C23">
    <cfRule type="cellIs" dxfId="16598" priority="64" stopIfTrue="1" operator="equal">
      <formula>"1 Modify"</formula>
    </cfRule>
  </conditionalFormatting>
  <conditionalFormatting sqref="C23">
    <cfRule type="cellIs" dxfId="16597" priority="65" stopIfTrue="1" operator="equal">
      <formula>"2 Add"</formula>
    </cfRule>
  </conditionalFormatting>
  <conditionalFormatting sqref="C23">
    <cfRule type="cellIs" dxfId="16596" priority="66" stopIfTrue="1" operator="equal">
      <formula>"3 Delete"</formula>
    </cfRule>
  </conditionalFormatting>
  <conditionalFormatting sqref="C24">
    <cfRule type="cellIs" dxfId="16595" priority="67" stopIfTrue="1" operator="equal">
      <formula>"1 Modify"</formula>
    </cfRule>
  </conditionalFormatting>
  <conditionalFormatting sqref="C24">
    <cfRule type="cellIs" dxfId="16594" priority="68" stopIfTrue="1" operator="equal">
      <formula>"2 Add"</formula>
    </cfRule>
  </conditionalFormatting>
  <conditionalFormatting sqref="C24">
    <cfRule type="cellIs" dxfId="16593" priority="69" stopIfTrue="1" operator="equal">
      <formula>"3 Delete"</formula>
    </cfRule>
  </conditionalFormatting>
  <conditionalFormatting sqref="C25">
    <cfRule type="cellIs" dxfId="16592" priority="70" stopIfTrue="1" operator="equal">
      <formula>"1 Modify"</formula>
    </cfRule>
  </conditionalFormatting>
  <conditionalFormatting sqref="C25">
    <cfRule type="cellIs" dxfId="16591" priority="71" stopIfTrue="1" operator="equal">
      <formula>"2 Add"</formula>
    </cfRule>
  </conditionalFormatting>
  <conditionalFormatting sqref="C25">
    <cfRule type="cellIs" dxfId="16590" priority="72" stopIfTrue="1" operator="equal">
      <formula>"3 Delete"</formula>
    </cfRule>
  </conditionalFormatting>
  <conditionalFormatting sqref="C26">
    <cfRule type="cellIs" dxfId="16589" priority="73" stopIfTrue="1" operator="equal">
      <formula>"1 Modify"</formula>
    </cfRule>
  </conditionalFormatting>
  <conditionalFormatting sqref="C26">
    <cfRule type="cellIs" dxfId="16588" priority="74" stopIfTrue="1" operator="equal">
      <formula>"2 Add"</formula>
    </cfRule>
  </conditionalFormatting>
  <conditionalFormatting sqref="C26">
    <cfRule type="cellIs" dxfId="16587" priority="75" stopIfTrue="1" operator="equal">
      <formula>"3 Delete"</formula>
    </cfRule>
  </conditionalFormatting>
  <conditionalFormatting sqref="C27">
    <cfRule type="cellIs" dxfId="16586" priority="76" stopIfTrue="1" operator="equal">
      <formula>"1 Modify"</formula>
    </cfRule>
  </conditionalFormatting>
  <conditionalFormatting sqref="C27">
    <cfRule type="cellIs" dxfId="16585" priority="77" stopIfTrue="1" operator="equal">
      <formula>"2 Add"</formula>
    </cfRule>
  </conditionalFormatting>
  <conditionalFormatting sqref="C27">
    <cfRule type="cellIs" dxfId="16584" priority="78" stopIfTrue="1" operator="equal">
      <formula>"3 Delete"</formula>
    </cfRule>
  </conditionalFormatting>
  <conditionalFormatting sqref="C28">
    <cfRule type="cellIs" dxfId="16583" priority="79" stopIfTrue="1" operator="equal">
      <formula>"1 Modify"</formula>
    </cfRule>
  </conditionalFormatting>
  <conditionalFormatting sqref="C28">
    <cfRule type="cellIs" dxfId="16582" priority="80" stopIfTrue="1" operator="equal">
      <formula>"2 Add"</formula>
    </cfRule>
  </conditionalFormatting>
  <conditionalFormatting sqref="C28">
    <cfRule type="cellIs" dxfId="16581" priority="81" stopIfTrue="1" operator="equal">
      <formula>"3 Delete"</formula>
    </cfRule>
  </conditionalFormatting>
  <conditionalFormatting sqref="C29">
    <cfRule type="cellIs" dxfId="16580" priority="82" stopIfTrue="1" operator="equal">
      <formula>"1 Modify"</formula>
    </cfRule>
  </conditionalFormatting>
  <conditionalFormatting sqref="C29">
    <cfRule type="cellIs" dxfId="16579" priority="83" stopIfTrue="1" operator="equal">
      <formula>"2 Add"</formula>
    </cfRule>
  </conditionalFormatting>
  <conditionalFormatting sqref="C29">
    <cfRule type="cellIs" dxfId="16578" priority="84" stopIfTrue="1" operator="equal">
      <formula>"3 Delete"</formula>
    </cfRule>
  </conditionalFormatting>
  <conditionalFormatting sqref="C30">
    <cfRule type="cellIs" dxfId="16577" priority="85" stopIfTrue="1" operator="equal">
      <formula>"1 Modify"</formula>
    </cfRule>
  </conditionalFormatting>
  <conditionalFormatting sqref="C30">
    <cfRule type="cellIs" dxfId="16576" priority="86" stopIfTrue="1" operator="equal">
      <formula>"2 Add"</formula>
    </cfRule>
  </conditionalFormatting>
  <conditionalFormatting sqref="C30">
    <cfRule type="cellIs" dxfId="16575" priority="87" stopIfTrue="1" operator="equal">
      <formula>"3 Delete"</formula>
    </cfRule>
  </conditionalFormatting>
  <conditionalFormatting sqref="C31">
    <cfRule type="cellIs" dxfId="16574" priority="88" stopIfTrue="1" operator="equal">
      <formula>"1 Modify"</formula>
    </cfRule>
  </conditionalFormatting>
  <conditionalFormatting sqref="C31">
    <cfRule type="cellIs" dxfId="16573" priority="89" stopIfTrue="1" operator="equal">
      <formula>"2 Add"</formula>
    </cfRule>
  </conditionalFormatting>
  <conditionalFormatting sqref="C31">
    <cfRule type="cellIs" dxfId="16572" priority="90" stopIfTrue="1" operator="equal">
      <formula>"3 Delete"</formula>
    </cfRule>
  </conditionalFormatting>
  <conditionalFormatting sqref="C32">
    <cfRule type="cellIs" dxfId="16571" priority="91" stopIfTrue="1" operator="equal">
      <formula>"1 Modify"</formula>
    </cfRule>
  </conditionalFormatting>
  <conditionalFormatting sqref="C32">
    <cfRule type="cellIs" dxfId="16570" priority="92" stopIfTrue="1" operator="equal">
      <formula>"2 Add"</formula>
    </cfRule>
  </conditionalFormatting>
  <conditionalFormatting sqref="C32">
    <cfRule type="cellIs" dxfId="16569" priority="93" stopIfTrue="1" operator="equal">
      <formula>"3 Delete"</formula>
    </cfRule>
  </conditionalFormatting>
  <conditionalFormatting sqref="C33">
    <cfRule type="cellIs" dxfId="16568" priority="94" stopIfTrue="1" operator="equal">
      <formula>"1 Modify"</formula>
    </cfRule>
  </conditionalFormatting>
  <conditionalFormatting sqref="C33">
    <cfRule type="cellIs" dxfId="16567" priority="95" stopIfTrue="1" operator="equal">
      <formula>"2 Add"</formula>
    </cfRule>
  </conditionalFormatting>
  <conditionalFormatting sqref="C33">
    <cfRule type="cellIs" dxfId="16566" priority="96" stopIfTrue="1" operator="equal">
      <formula>"3 Delete"</formula>
    </cfRule>
  </conditionalFormatting>
  <conditionalFormatting sqref="C34">
    <cfRule type="cellIs" dxfId="16565" priority="97" stopIfTrue="1" operator="equal">
      <formula>"1 Modify"</formula>
    </cfRule>
  </conditionalFormatting>
  <conditionalFormatting sqref="C34">
    <cfRule type="cellIs" dxfId="16564" priority="98" stopIfTrue="1" operator="equal">
      <formula>"2 Add"</formula>
    </cfRule>
  </conditionalFormatting>
  <conditionalFormatting sqref="C34">
    <cfRule type="cellIs" dxfId="16563" priority="99" stopIfTrue="1" operator="equal">
      <formula>"3 Delete"</formula>
    </cfRule>
  </conditionalFormatting>
  <conditionalFormatting sqref="C35">
    <cfRule type="cellIs" dxfId="16562" priority="100" stopIfTrue="1" operator="equal">
      <formula>"1 Modify"</formula>
    </cfRule>
  </conditionalFormatting>
  <conditionalFormatting sqref="C35">
    <cfRule type="cellIs" dxfId="16561" priority="101" stopIfTrue="1" operator="equal">
      <formula>"2 Add"</formula>
    </cfRule>
  </conditionalFormatting>
  <conditionalFormatting sqref="C35">
    <cfRule type="cellIs" dxfId="16560" priority="102" stopIfTrue="1" operator="equal">
      <formula>"3 Delete"</formula>
    </cfRule>
  </conditionalFormatting>
  <conditionalFormatting sqref="C36">
    <cfRule type="cellIs" dxfId="16559" priority="103" stopIfTrue="1" operator="equal">
      <formula>"1 Modify"</formula>
    </cfRule>
  </conditionalFormatting>
  <conditionalFormatting sqref="C36">
    <cfRule type="cellIs" dxfId="16558" priority="104" stopIfTrue="1" operator="equal">
      <formula>"2 Add"</formula>
    </cfRule>
  </conditionalFormatting>
  <conditionalFormatting sqref="C36">
    <cfRule type="cellIs" dxfId="16557" priority="105" stopIfTrue="1" operator="equal">
      <formula>"3 Delete"</formula>
    </cfRule>
  </conditionalFormatting>
  <conditionalFormatting sqref="C37">
    <cfRule type="cellIs" dxfId="16556" priority="106" stopIfTrue="1" operator="equal">
      <formula>"1 Modify"</formula>
    </cfRule>
  </conditionalFormatting>
  <conditionalFormatting sqref="C37">
    <cfRule type="cellIs" dxfId="16555" priority="107" stopIfTrue="1" operator="equal">
      <formula>"2 Add"</formula>
    </cfRule>
  </conditionalFormatting>
  <conditionalFormatting sqref="C37">
    <cfRule type="cellIs" dxfId="16554" priority="108" stopIfTrue="1" operator="equal">
      <formula>"3 Delete"</formula>
    </cfRule>
  </conditionalFormatting>
  <conditionalFormatting sqref="C38">
    <cfRule type="cellIs" dxfId="16553" priority="109" stopIfTrue="1" operator="equal">
      <formula>"1 Modify"</formula>
    </cfRule>
  </conditionalFormatting>
  <conditionalFormatting sqref="C38">
    <cfRule type="cellIs" dxfId="16552" priority="110" stopIfTrue="1" operator="equal">
      <formula>"2 Add"</formula>
    </cfRule>
  </conditionalFormatting>
  <conditionalFormatting sqref="C38">
    <cfRule type="cellIs" dxfId="16551" priority="111" stopIfTrue="1" operator="equal">
      <formula>"3 Delete"</formula>
    </cfRule>
  </conditionalFormatting>
  <conditionalFormatting sqref="C39">
    <cfRule type="cellIs" dxfId="16550" priority="112" stopIfTrue="1" operator="equal">
      <formula>"1 Modify"</formula>
    </cfRule>
  </conditionalFormatting>
  <conditionalFormatting sqref="C39">
    <cfRule type="cellIs" dxfId="16549" priority="113" stopIfTrue="1" operator="equal">
      <formula>"2 Add"</formula>
    </cfRule>
  </conditionalFormatting>
  <conditionalFormatting sqref="C39">
    <cfRule type="cellIs" dxfId="16548" priority="114" stopIfTrue="1" operator="equal">
      <formula>"3 Delete"</formula>
    </cfRule>
  </conditionalFormatting>
  <conditionalFormatting sqref="C40">
    <cfRule type="cellIs" dxfId="16547" priority="115" stopIfTrue="1" operator="equal">
      <formula>"1 Modify"</formula>
    </cfRule>
  </conditionalFormatting>
  <conditionalFormatting sqref="C40">
    <cfRule type="cellIs" dxfId="16546" priority="116" stopIfTrue="1" operator="equal">
      <formula>"2 Add"</formula>
    </cfRule>
  </conditionalFormatting>
  <conditionalFormatting sqref="C40">
    <cfRule type="cellIs" dxfId="16545" priority="117" stopIfTrue="1" operator="equal">
      <formula>"3 Delete"</formula>
    </cfRule>
  </conditionalFormatting>
  <conditionalFormatting sqref="C41">
    <cfRule type="cellIs" dxfId="16544" priority="118" stopIfTrue="1" operator="equal">
      <formula>"1 Modify"</formula>
    </cfRule>
  </conditionalFormatting>
  <conditionalFormatting sqref="C41">
    <cfRule type="cellIs" dxfId="16543" priority="119" stopIfTrue="1" operator="equal">
      <formula>"2 Add"</formula>
    </cfRule>
  </conditionalFormatting>
  <conditionalFormatting sqref="C41">
    <cfRule type="cellIs" dxfId="16542" priority="120" stopIfTrue="1" operator="equal">
      <formula>"3 Delete"</formula>
    </cfRule>
  </conditionalFormatting>
  <conditionalFormatting sqref="C42">
    <cfRule type="cellIs" dxfId="16541" priority="121" stopIfTrue="1" operator="equal">
      <formula>"1 Modify"</formula>
    </cfRule>
  </conditionalFormatting>
  <conditionalFormatting sqref="C42">
    <cfRule type="cellIs" dxfId="16540" priority="122" stopIfTrue="1" operator="equal">
      <formula>"2 Add"</formula>
    </cfRule>
  </conditionalFormatting>
  <conditionalFormatting sqref="C42">
    <cfRule type="cellIs" dxfId="16539" priority="123" stopIfTrue="1" operator="equal">
      <formula>"3 Delete"</formula>
    </cfRule>
  </conditionalFormatting>
  <conditionalFormatting sqref="C43">
    <cfRule type="cellIs" dxfId="16538" priority="124" stopIfTrue="1" operator="equal">
      <formula>"1 Modify"</formula>
    </cfRule>
  </conditionalFormatting>
  <conditionalFormatting sqref="C43">
    <cfRule type="cellIs" dxfId="16537" priority="125" stopIfTrue="1" operator="equal">
      <formula>"2 Add"</formula>
    </cfRule>
  </conditionalFormatting>
  <conditionalFormatting sqref="C43">
    <cfRule type="cellIs" dxfId="16536" priority="126" stopIfTrue="1" operator="equal">
      <formula>"3 Delete"</formula>
    </cfRule>
  </conditionalFormatting>
  <conditionalFormatting sqref="C44">
    <cfRule type="cellIs" dxfId="16535" priority="127" stopIfTrue="1" operator="equal">
      <formula>"1 Modify"</formula>
    </cfRule>
  </conditionalFormatting>
  <conditionalFormatting sqref="C44">
    <cfRule type="cellIs" dxfId="16534" priority="128" stopIfTrue="1" operator="equal">
      <formula>"2 Add"</formula>
    </cfRule>
  </conditionalFormatting>
  <conditionalFormatting sqref="C44">
    <cfRule type="cellIs" dxfId="16533" priority="129" stopIfTrue="1" operator="equal">
      <formula>"3 Delete"</formula>
    </cfRule>
  </conditionalFormatting>
  <conditionalFormatting sqref="C45">
    <cfRule type="cellIs" dxfId="16532" priority="130" stopIfTrue="1" operator="equal">
      <formula>"1 Modify"</formula>
    </cfRule>
  </conditionalFormatting>
  <conditionalFormatting sqref="C45">
    <cfRule type="cellIs" dxfId="16531" priority="131" stopIfTrue="1" operator="equal">
      <formula>"2 Add"</formula>
    </cfRule>
  </conditionalFormatting>
  <conditionalFormatting sqref="C45">
    <cfRule type="cellIs" dxfId="16530" priority="132" stopIfTrue="1" operator="equal">
      <formula>"3 Delete"</formula>
    </cfRule>
  </conditionalFormatting>
  <conditionalFormatting sqref="C46">
    <cfRule type="cellIs" dxfId="16529" priority="133" stopIfTrue="1" operator="equal">
      <formula>"1 Modify"</formula>
    </cfRule>
  </conditionalFormatting>
  <conditionalFormatting sqref="C46">
    <cfRule type="cellIs" dxfId="16528" priority="134" stopIfTrue="1" operator="equal">
      <formula>"2 Add"</formula>
    </cfRule>
  </conditionalFormatting>
  <conditionalFormatting sqref="C46">
    <cfRule type="cellIs" dxfId="16527" priority="135" stopIfTrue="1" operator="equal">
      <formula>"3 Delete"</formula>
    </cfRule>
  </conditionalFormatting>
  <conditionalFormatting sqref="C47">
    <cfRule type="cellIs" dxfId="16526" priority="136" stopIfTrue="1" operator="equal">
      <formula>"1 Modify"</formula>
    </cfRule>
  </conditionalFormatting>
  <conditionalFormatting sqref="C47">
    <cfRule type="cellIs" dxfId="16525" priority="137" stopIfTrue="1" operator="equal">
      <formula>"2 Add"</formula>
    </cfRule>
  </conditionalFormatting>
  <conditionalFormatting sqref="C47">
    <cfRule type="cellIs" dxfId="16524" priority="138" stopIfTrue="1" operator="equal">
      <formula>"3 Delete"</formula>
    </cfRule>
  </conditionalFormatting>
  <conditionalFormatting sqref="C48">
    <cfRule type="cellIs" dxfId="16523" priority="139" stopIfTrue="1" operator="equal">
      <formula>"1 Modify"</formula>
    </cfRule>
  </conditionalFormatting>
  <conditionalFormatting sqref="C48">
    <cfRule type="cellIs" dxfId="16522" priority="140" stopIfTrue="1" operator="equal">
      <formula>"2 Add"</formula>
    </cfRule>
  </conditionalFormatting>
  <conditionalFormatting sqref="C48">
    <cfRule type="cellIs" dxfId="16521" priority="141" stopIfTrue="1" operator="equal">
      <formula>"3 Delete"</formula>
    </cfRule>
  </conditionalFormatting>
  <conditionalFormatting sqref="C49">
    <cfRule type="cellIs" dxfId="16520" priority="142" stopIfTrue="1" operator="equal">
      <formula>"1 Modify"</formula>
    </cfRule>
  </conditionalFormatting>
  <conditionalFormatting sqref="C49">
    <cfRule type="cellIs" dxfId="16519" priority="143" stopIfTrue="1" operator="equal">
      <formula>"2 Add"</formula>
    </cfRule>
  </conditionalFormatting>
  <conditionalFormatting sqref="C49">
    <cfRule type="cellIs" dxfId="16518" priority="144" stopIfTrue="1" operator="equal">
      <formula>"3 Delete"</formula>
    </cfRule>
  </conditionalFormatting>
  <conditionalFormatting sqref="C50">
    <cfRule type="cellIs" dxfId="16517" priority="145" stopIfTrue="1" operator="equal">
      <formula>"1 Modify"</formula>
    </cfRule>
  </conditionalFormatting>
  <conditionalFormatting sqref="C50">
    <cfRule type="cellIs" dxfId="16516" priority="146" stopIfTrue="1" operator="equal">
      <formula>"2 Add"</formula>
    </cfRule>
  </conditionalFormatting>
  <conditionalFormatting sqref="C50">
    <cfRule type="cellIs" dxfId="16515" priority="147" stopIfTrue="1" operator="equal">
      <formula>"3 Delete"</formula>
    </cfRule>
  </conditionalFormatting>
  <conditionalFormatting sqref="C51">
    <cfRule type="cellIs" dxfId="16514" priority="148" stopIfTrue="1" operator="equal">
      <formula>"1 Modify"</formula>
    </cfRule>
  </conditionalFormatting>
  <conditionalFormatting sqref="C51">
    <cfRule type="cellIs" dxfId="16513" priority="149" stopIfTrue="1" operator="equal">
      <formula>"2 Add"</formula>
    </cfRule>
  </conditionalFormatting>
  <conditionalFormatting sqref="C51">
    <cfRule type="cellIs" dxfId="16512" priority="150" stopIfTrue="1" operator="equal">
      <formula>"3 Delete"</formula>
    </cfRule>
  </conditionalFormatting>
  <conditionalFormatting sqref="C52">
    <cfRule type="cellIs" dxfId="16511" priority="151" stopIfTrue="1" operator="equal">
      <formula>"1 Modify"</formula>
    </cfRule>
  </conditionalFormatting>
  <conditionalFormatting sqref="C52">
    <cfRule type="cellIs" dxfId="16510" priority="152" stopIfTrue="1" operator="equal">
      <formula>"2 Add"</formula>
    </cfRule>
  </conditionalFormatting>
  <conditionalFormatting sqref="C52">
    <cfRule type="cellIs" dxfId="16509" priority="153" stopIfTrue="1" operator="equal">
      <formula>"3 Delete"</formula>
    </cfRule>
  </conditionalFormatting>
  <conditionalFormatting sqref="C53">
    <cfRule type="cellIs" dxfId="16508" priority="154" stopIfTrue="1" operator="equal">
      <formula>"1 Modify"</formula>
    </cfRule>
  </conditionalFormatting>
  <conditionalFormatting sqref="C53">
    <cfRule type="cellIs" dxfId="16507" priority="155" stopIfTrue="1" operator="equal">
      <formula>"2 Add"</formula>
    </cfRule>
  </conditionalFormatting>
  <conditionalFormatting sqref="C53">
    <cfRule type="cellIs" dxfId="16506" priority="156" stopIfTrue="1" operator="equal">
      <formula>"3 Delete"</formula>
    </cfRule>
  </conditionalFormatting>
  <conditionalFormatting sqref="C54">
    <cfRule type="cellIs" dxfId="16505" priority="157" stopIfTrue="1" operator="equal">
      <formula>"1 Modify"</formula>
    </cfRule>
  </conditionalFormatting>
  <conditionalFormatting sqref="C54">
    <cfRule type="cellIs" dxfId="16504" priority="158" stopIfTrue="1" operator="equal">
      <formula>"2 Add"</formula>
    </cfRule>
  </conditionalFormatting>
  <conditionalFormatting sqref="C54">
    <cfRule type="cellIs" dxfId="16503" priority="159" stopIfTrue="1" operator="equal">
      <formula>"3 Delete"</formula>
    </cfRule>
  </conditionalFormatting>
  <conditionalFormatting sqref="C55">
    <cfRule type="cellIs" dxfId="16502" priority="160" stopIfTrue="1" operator="equal">
      <formula>"1 Modify"</formula>
    </cfRule>
  </conditionalFormatting>
  <conditionalFormatting sqref="C55">
    <cfRule type="cellIs" dxfId="16501" priority="161" stopIfTrue="1" operator="equal">
      <formula>"2 Add"</formula>
    </cfRule>
  </conditionalFormatting>
  <conditionalFormatting sqref="C55">
    <cfRule type="cellIs" dxfId="16500" priority="162" stopIfTrue="1" operator="equal">
      <formula>"3 Delete"</formula>
    </cfRule>
  </conditionalFormatting>
  <conditionalFormatting sqref="C56">
    <cfRule type="cellIs" dxfId="16499" priority="163" stopIfTrue="1" operator="equal">
      <formula>"1 Modify"</formula>
    </cfRule>
  </conditionalFormatting>
  <conditionalFormatting sqref="C56">
    <cfRule type="cellIs" dxfId="16498" priority="164" stopIfTrue="1" operator="equal">
      <formula>"2 Add"</formula>
    </cfRule>
  </conditionalFormatting>
  <conditionalFormatting sqref="C56">
    <cfRule type="cellIs" dxfId="16497" priority="165" stopIfTrue="1" operator="equal">
      <formula>"3 Delete"</formula>
    </cfRule>
  </conditionalFormatting>
  <conditionalFormatting sqref="C57">
    <cfRule type="cellIs" dxfId="16496" priority="166" stopIfTrue="1" operator="equal">
      <formula>"1 Modify"</formula>
    </cfRule>
  </conditionalFormatting>
  <conditionalFormatting sqref="C57">
    <cfRule type="cellIs" dxfId="16495" priority="167" stopIfTrue="1" operator="equal">
      <formula>"2 Add"</formula>
    </cfRule>
  </conditionalFormatting>
  <conditionalFormatting sqref="C57">
    <cfRule type="cellIs" dxfId="16494" priority="168" stopIfTrue="1" operator="equal">
      <formula>"3 Delete"</formula>
    </cfRule>
  </conditionalFormatting>
  <conditionalFormatting sqref="C58">
    <cfRule type="cellIs" dxfId="16493" priority="169" stopIfTrue="1" operator="equal">
      <formula>"1 Modify"</formula>
    </cfRule>
  </conditionalFormatting>
  <conditionalFormatting sqref="C58">
    <cfRule type="cellIs" dxfId="16492" priority="170" stopIfTrue="1" operator="equal">
      <formula>"2 Add"</formula>
    </cfRule>
  </conditionalFormatting>
  <conditionalFormatting sqref="C58">
    <cfRule type="cellIs" dxfId="16491" priority="171" stopIfTrue="1" operator="equal">
      <formula>"3 Delete"</formula>
    </cfRule>
  </conditionalFormatting>
  <conditionalFormatting sqref="C59">
    <cfRule type="cellIs" dxfId="16490" priority="172" stopIfTrue="1" operator="equal">
      <formula>"1 Modify"</formula>
    </cfRule>
  </conditionalFormatting>
  <conditionalFormatting sqref="C59">
    <cfRule type="cellIs" dxfId="16489" priority="173" stopIfTrue="1" operator="equal">
      <formula>"2 Add"</formula>
    </cfRule>
  </conditionalFormatting>
  <conditionalFormatting sqref="C59">
    <cfRule type="cellIs" dxfId="16488" priority="174" stopIfTrue="1" operator="equal">
      <formula>"3 Delete"</formula>
    </cfRule>
  </conditionalFormatting>
  <conditionalFormatting sqref="C60">
    <cfRule type="cellIs" dxfId="16487" priority="175" stopIfTrue="1" operator="equal">
      <formula>"1 Modify"</formula>
    </cfRule>
  </conditionalFormatting>
  <conditionalFormatting sqref="C60">
    <cfRule type="cellIs" dxfId="16486" priority="176" stopIfTrue="1" operator="equal">
      <formula>"2 Add"</formula>
    </cfRule>
  </conditionalFormatting>
  <conditionalFormatting sqref="C60">
    <cfRule type="cellIs" dxfId="16485" priority="177" stopIfTrue="1" operator="equal">
      <formula>"3 Delete"</formula>
    </cfRule>
  </conditionalFormatting>
  <conditionalFormatting sqref="C61">
    <cfRule type="cellIs" dxfId="16484" priority="178" stopIfTrue="1" operator="equal">
      <formula>"1 Modify"</formula>
    </cfRule>
  </conditionalFormatting>
  <conditionalFormatting sqref="C61">
    <cfRule type="cellIs" dxfId="16483" priority="179" stopIfTrue="1" operator="equal">
      <formula>"2 Add"</formula>
    </cfRule>
  </conditionalFormatting>
  <conditionalFormatting sqref="C61">
    <cfRule type="cellIs" dxfId="16482" priority="180" stopIfTrue="1" operator="equal">
      <formula>"3 Delete"</formula>
    </cfRule>
  </conditionalFormatting>
  <conditionalFormatting sqref="C62">
    <cfRule type="cellIs" dxfId="16481" priority="181" stopIfTrue="1" operator="equal">
      <formula>"1 Modify"</formula>
    </cfRule>
  </conditionalFormatting>
  <conditionalFormatting sqref="C62">
    <cfRule type="cellIs" dxfId="16480" priority="182" stopIfTrue="1" operator="equal">
      <formula>"2 Add"</formula>
    </cfRule>
  </conditionalFormatting>
  <conditionalFormatting sqref="C62">
    <cfRule type="cellIs" dxfId="16479" priority="183" stopIfTrue="1" operator="equal">
      <formula>"3 Delete"</formula>
    </cfRule>
  </conditionalFormatting>
  <conditionalFormatting sqref="C63">
    <cfRule type="cellIs" dxfId="16478" priority="184" stopIfTrue="1" operator="equal">
      <formula>"1 Modify"</formula>
    </cfRule>
  </conditionalFormatting>
  <conditionalFormatting sqref="C63">
    <cfRule type="cellIs" dxfId="16477" priority="185" stopIfTrue="1" operator="equal">
      <formula>"2 Add"</formula>
    </cfRule>
  </conditionalFormatting>
  <conditionalFormatting sqref="C63">
    <cfRule type="cellIs" dxfId="16476" priority="186" stopIfTrue="1" operator="equal">
      <formula>"3 Delete"</formula>
    </cfRule>
  </conditionalFormatting>
  <conditionalFormatting sqref="C64">
    <cfRule type="cellIs" dxfId="16475" priority="187" stopIfTrue="1" operator="equal">
      <formula>"1 Modify"</formula>
    </cfRule>
  </conditionalFormatting>
  <conditionalFormatting sqref="C64">
    <cfRule type="cellIs" dxfId="16474" priority="188" stopIfTrue="1" operator="equal">
      <formula>"2 Add"</formula>
    </cfRule>
  </conditionalFormatting>
  <conditionalFormatting sqref="C64">
    <cfRule type="cellIs" dxfId="16473" priority="189" stopIfTrue="1" operator="equal">
      <formula>"3 Delete"</formula>
    </cfRule>
  </conditionalFormatting>
  <conditionalFormatting sqref="C65">
    <cfRule type="cellIs" dxfId="16472" priority="190" stopIfTrue="1" operator="equal">
      <formula>"1 Modify"</formula>
    </cfRule>
  </conditionalFormatting>
  <conditionalFormatting sqref="C65">
    <cfRule type="cellIs" dxfId="16471" priority="191" stopIfTrue="1" operator="equal">
      <formula>"2 Add"</formula>
    </cfRule>
  </conditionalFormatting>
  <conditionalFormatting sqref="C65">
    <cfRule type="cellIs" dxfId="16470" priority="192" stopIfTrue="1" operator="equal">
      <formula>"3 Delete"</formula>
    </cfRule>
  </conditionalFormatting>
  <conditionalFormatting sqref="C66">
    <cfRule type="cellIs" dxfId="16469" priority="193" stopIfTrue="1" operator="equal">
      <formula>"1 Modify"</formula>
    </cfRule>
  </conditionalFormatting>
  <conditionalFormatting sqref="C66">
    <cfRule type="cellIs" dxfId="16468" priority="194" stopIfTrue="1" operator="equal">
      <formula>"2 Add"</formula>
    </cfRule>
  </conditionalFormatting>
  <conditionalFormatting sqref="C66">
    <cfRule type="cellIs" dxfId="16467" priority="195" stopIfTrue="1" operator="equal">
      <formula>"3 Delete"</formula>
    </cfRule>
  </conditionalFormatting>
  <conditionalFormatting sqref="C67">
    <cfRule type="cellIs" dxfId="16466" priority="196" stopIfTrue="1" operator="equal">
      <formula>"1 Modify"</formula>
    </cfRule>
  </conditionalFormatting>
  <conditionalFormatting sqref="C67">
    <cfRule type="cellIs" dxfId="16465" priority="197" stopIfTrue="1" operator="equal">
      <formula>"2 Add"</formula>
    </cfRule>
  </conditionalFormatting>
  <conditionalFormatting sqref="C67">
    <cfRule type="cellIs" dxfId="16464" priority="198" stopIfTrue="1" operator="equal">
      <formula>"3 Delete"</formula>
    </cfRule>
  </conditionalFormatting>
  <conditionalFormatting sqref="C68">
    <cfRule type="cellIs" dxfId="16463" priority="199" stopIfTrue="1" operator="equal">
      <formula>"1 Modify"</formula>
    </cfRule>
  </conditionalFormatting>
  <conditionalFormatting sqref="C68">
    <cfRule type="cellIs" dxfId="16462" priority="200" stopIfTrue="1" operator="equal">
      <formula>"2 Add"</formula>
    </cfRule>
  </conditionalFormatting>
  <conditionalFormatting sqref="C68">
    <cfRule type="cellIs" dxfId="16461" priority="201" stopIfTrue="1" operator="equal">
      <formula>"3 Delete"</formula>
    </cfRule>
  </conditionalFormatting>
  <conditionalFormatting sqref="C69">
    <cfRule type="cellIs" dxfId="16460" priority="202" stopIfTrue="1" operator="equal">
      <formula>"1 Modify"</formula>
    </cfRule>
  </conditionalFormatting>
  <conditionalFormatting sqref="C69">
    <cfRule type="cellIs" dxfId="16459" priority="203" stopIfTrue="1" operator="equal">
      <formula>"2 Add"</formula>
    </cfRule>
  </conditionalFormatting>
  <conditionalFormatting sqref="C69">
    <cfRule type="cellIs" dxfId="16458" priority="204" stopIfTrue="1" operator="equal">
      <formula>"3 Delete"</formula>
    </cfRule>
  </conditionalFormatting>
  <conditionalFormatting sqref="C70">
    <cfRule type="cellIs" dxfId="16457" priority="205" stopIfTrue="1" operator="equal">
      <formula>"1 Modify"</formula>
    </cfRule>
  </conditionalFormatting>
  <conditionalFormatting sqref="C70">
    <cfRule type="cellIs" dxfId="16456" priority="206" stopIfTrue="1" operator="equal">
      <formula>"2 Add"</formula>
    </cfRule>
  </conditionalFormatting>
  <conditionalFormatting sqref="C70">
    <cfRule type="cellIs" dxfId="16455" priority="207" stopIfTrue="1" operator="equal">
      <formula>"3 Delete"</formula>
    </cfRule>
  </conditionalFormatting>
  <conditionalFormatting sqref="C71">
    <cfRule type="cellIs" dxfId="16454" priority="208" stopIfTrue="1" operator="equal">
      <formula>"1 Modify"</formula>
    </cfRule>
  </conditionalFormatting>
  <conditionalFormatting sqref="C71">
    <cfRule type="cellIs" dxfId="16453" priority="209" stopIfTrue="1" operator="equal">
      <formula>"2 Add"</formula>
    </cfRule>
  </conditionalFormatting>
  <conditionalFormatting sqref="C71">
    <cfRule type="cellIs" dxfId="16452" priority="210" stopIfTrue="1" operator="equal">
      <formula>"3 Delete"</formula>
    </cfRule>
  </conditionalFormatting>
  <conditionalFormatting sqref="C72">
    <cfRule type="cellIs" dxfId="16451" priority="211" stopIfTrue="1" operator="equal">
      <formula>"1 Modify"</formula>
    </cfRule>
  </conditionalFormatting>
  <conditionalFormatting sqref="C72">
    <cfRule type="cellIs" dxfId="16450" priority="212" stopIfTrue="1" operator="equal">
      <formula>"2 Add"</formula>
    </cfRule>
  </conditionalFormatting>
  <conditionalFormatting sqref="C72">
    <cfRule type="cellIs" dxfId="16449" priority="213" stopIfTrue="1" operator="equal">
      <formula>"3 Delete"</formula>
    </cfRule>
  </conditionalFormatting>
  <conditionalFormatting sqref="C73">
    <cfRule type="cellIs" dxfId="16448" priority="214" stopIfTrue="1" operator="equal">
      <formula>"1 Modify"</formula>
    </cfRule>
  </conditionalFormatting>
  <conditionalFormatting sqref="C73">
    <cfRule type="cellIs" dxfId="16447" priority="215" stopIfTrue="1" operator="equal">
      <formula>"2 Add"</formula>
    </cfRule>
  </conditionalFormatting>
  <conditionalFormatting sqref="C73">
    <cfRule type="cellIs" dxfId="16446" priority="216" stopIfTrue="1" operator="equal">
      <formula>"3 Delete"</formula>
    </cfRule>
  </conditionalFormatting>
  <conditionalFormatting sqref="C74">
    <cfRule type="cellIs" dxfId="16445" priority="217" stopIfTrue="1" operator="equal">
      <formula>"1 Modify"</formula>
    </cfRule>
  </conditionalFormatting>
  <conditionalFormatting sqref="C74">
    <cfRule type="cellIs" dxfId="16444" priority="218" stopIfTrue="1" operator="equal">
      <formula>"2 Add"</formula>
    </cfRule>
  </conditionalFormatting>
  <conditionalFormatting sqref="C74">
    <cfRule type="cellIs" dxfId="16443" priority="219" stopIfTrue="1" operator="equal">
      <formula>"3 Delete"</formula>
    </cfRule>
  </conditionalFormatting>
  <conditionalFormatting sqref="C75">
    <cfRule type="cellIs" dxfId="16442" priority="220" stopIfTrue="1" operator="equal">
      <formula>"1 Modify"</formula>
    </cfRule>
  </conditionalFormatting>
  <conditionalFormatting sqref="C75">
    <cfRule type="cellIs" dxfId="16441" priority="221" stopIfTrue="1" operator="equal">
      <formula>"2 Add"</formula>
    </cfRule>
  </conditionalFormatting>
  <conditionalFormatting sqref="C75">
    <cfRule type="cellIs" dxfId="16440" priority="222" stopIfTrue="1" operator="equal">
      <formula>"3 Delete"</formula>
    </cfRule>
  </conditionalFormatting>
  <conditionalFormatting sqref="C76">
    <cfRule type="cellIs" dxfId="16439" priority="223" stopIfTrue="1" operator="equal">
      <formula>"1 Modify"</formula>
    </cfRule>
  </conditionalFormatting>
  <conditionalFormatting sqref="C76">
    <cfRule type="cellIs" dxfId="16438" priority="224" stopIfTrue="1" operator="equal">
      <formula>"2 Add"</formula>
    </cfRule>
  </conditionalFormatting>
  <conditionalFormatting sqref="C76">
    <cfRule type="cellIs" dxfId="16437" priority="225" stopIfTrue="1" operator="equal">
      <formula>"3 Delete"</formula>
    </cfRule>
  </conditionalFormatting>
  <conditionalFormatting sqref="C77">
    <cfRule type="cellIs" dxfId="16436" priority="226" stopIfTrue="1" operator="equal">
      <formula>"1 Modify"</formula>
    </cfRule>
  </conditionalFormatting>
  <conditionalFormatting sqref="C77">
    <cfRule type="cellIs" dxfId="16435" priority="227" stopIfTrue="1" operator="equal">
      <formula>"2 Add"</formula>
    </cfRule>
  </conditionalFormatting>
  <conditionalFormatting sqref="C77">
    <cfRule type="cellIs" dxfId="16434" priority="228" stopIfTrue="1" operator="equal">
      <formula>"3 Delete"</formula>
    </cfRule>
  </conditionalFormatting>
  <conditionalFormatting sqref="C78">
    <cfRule type="cellIs" dxfId="16433" priority="229" stopIfTrue="1" operator="equal">
      <formula>"1 Modify"</formula>
    </cfRule>
  </conditionalFormatting>
  <conditionalFormatting sqref="C78">
    <cfRule type="cellIs" dxfId="16432" priority="230" stopIfTrue="1" operator="equal">
      <formula>"2 Add"</formula>
    </cfRule>
  </conditionalFormatting>
  <conditionalFormatting sqref="C78">
    <cfRule type="cellIs" dxfId="16431" priority="231" stopIfTrue="1" operator="equal">
      <formula>"3 Delete"</formula>
    </cfRule>
  </conditionalFormatting>
  <conditionalFormatting sqref="C79">
    <cfRule type="cellIs" dxfId="16430" priority="232" stopIfTrue="1" operator="equal">
      <formula>"1 Modify"</formula>
    </cfRule>
  </conditionalFormatting>
  <conditionalFormatting sqref="C79">
    <cfRule type="cellIs" dxfId="16429" priority="233" stopIfTrue="1" operator="equal">
      <formula>"2 Add"</formula>
    </cfRule>
  </conditionalFormatting>
  <conditionalFormatting sqref="C79">
    <cfRule type="cellIs" dxfId="16428" priority="234" stopIfTrue="1" operator="equal">
      <formula>"3 Delete"</formula>
    </cfRule>
  </conditionalFormatting>
  <conditionalFormatting sqref="C80">
    <cfRule type="cellIs" dxfId="16427" priority="235" stopIfTrue="1" operator="equal">
      <formula>"1 Modify"</formula>
    </cfRule>
  </conditionalFormatting>
  <conditionalFormatting sqref="C80">
    <cfRule type="cellIs" dxfId="16426" priority="236" stopIfTrue="1" operator="equal">
      <formula>"2 Add"</formula>
    </cfRule>
  </conditionalFormatting>
  <conditionalFormatting sqref="C80">
    <cfRule type="cellIs" dxfId="16425" priority="237" stopIfTrue="1" operator="equal">
      <formula>"3 Delete"</formula>
    </cfRule>
  </conditionalFormatting>
  <conditionalFormatting sqref="C81">
    <cfRule type="cellIs" dxfId="16424" priority="238" stopIfTrue="1" operator="equal">
      <formula>"1 Modify"</formula>
    </cfRule>
  </conditionalFormatting>
  <conditionalFormatting sqref="C81">
    <cfRule type="cellIs" dxfId="16423" priority="239" stopIfTrue="1" operator="equal">
      <formula>"2 Add"</formula>
    </cfRule>
  </conditionalFormatting>
  <conditionalFormatting sqref="C81">
    <cfRule type="cellIs" dxfId="16422" priority="240" stopIfTrue="1" operator="equal">
      <formula>"3 Delete"</formula>
    </cfRule>
  </conditionalFormatting>
  <conditionalFormatting sqref="C82">
    <cfRule type="cellIs" dxfId="16421" priority="241" stopIfTrue="1" operator="equal">
      <formula>"1 Modify"</formula>
    </cfRule>
  </conditionalFormatting>
  <conditionalFormatting sqref="C82">
    <cfRule type="cellIs" dxfId="16420" priority="242" stopIfTrue="1" operator="equal">
      <formula>"2 Add"</formula>
    </cfRule>
  </conditionalFormatting>
  <conditionalFormatting sqref="C82">
    <cfRule type="cellIs" dxfId="16419" priority="243" stopIfTrue="1" operator="equal">
      <formula>"3 Delete"</formula>
    </cfRule>
  </conditionalFormatting>
  <conditionalFormatting sqref="C83">
    <cfRule type="cellIs" dxfId="16418" priority="244" stopIfTrue="1" operator="equal">
      <formula>"1 Modify"</formula>
    </cfRule>
  </conditionalFormatting>
  <conditionalFormatting sqref="C83">
    <cfRule type="cellIs" dxfId="16417" priority="245" stopIfTrue="1" operator="equal">
      <formula>"2 Add"</formula>
    </cfRule>
  </conditionalFormatting>
  <conditionalFormatting sqref="C83">
    <cfRule type="cellIs" dxfId="16416" priority="246" stopIfTrue="1" operator="equal">
      <formula>"3 Delete"</formula>
    </cfRule>
  </conditionalFormatting>
  <conditionalFormatting sqref="C84">
    <cfRule type="cellIs" dxfId="16415" priority="247" stopIfTrue="1" operator="equal">
      <formula>"1 Modify"</formula>
    </cfRule>
  </conditionalFormatting>
  <conditionalFormatting sqref="C84">
    <cfRule type="cellIs" dxfId="16414" priority="248" stopIfTrue="1" operator="equal">
      <formula>"2 Add"</formula>
    </cfRule>
  </conditionalFormatting>
  <conditionalFormatting sqref="C84">
    <cfRule type="cellIs" dxfId="16413" priority="249" stopIfTrue="1" operator="equal">
      <formula>"3 Delete"</formula>
    </cfRule>
  </conditionalFormatting>
  <conditionalFormatting sqref="C85">
    <cfRule type="cellIs" dxfId="16412" priority="250" stopIfTrue="1" operator="equal">
      <formula>"1 Modify"</formula>
    </cfRule>
  </conditionalFormatting>
  <conditionalFormatting sqref="C85">
    <cfRule type="cellIs" dxfId="16411" priority="251" stopIfTrue="1" operator="equal">
      <formula>"2 Add"</formula>
    </cfRule>
  </conditionalFormatting>
  <conditionalFormatting sqref="C85">
    <cfRule type="cellIs" dxfId="16410" priority="252" stopIfTrue="1" operator="equal">
      <formula>"3 Delete"</formula>
    </cfRule>
  </conditionalFormatting>
  <conditionalFormatting sqref="C86">
    <cfRule type="cellIs" dxfId="16409" priority="253" stopIfTrue="1" operator="equal">
      <formula>"1 Modify"</formula>
    </cfRule>
  </conditionalFormatting>
  <conditionalFormatting sqref="C86">
    <cfRule type="cellIs" dxfId="16408" priority="254" stopIfTrue="1" operator="equal">
      <formula>"2 Add"</formula>
    </cfRule>
  </conditionalFormatting>
  <conditionalFormatting sqref="C86">
    <cfRule type="cellIs" dxfId="16407" priority="255" stopIfTrue="1" operator="equal">
      <formula>"3 Delete"</formula>
    </cfRule>
  </conditionalFormatting>
  <conditionalFormatting sqref="C87">
    <cfRule type="cellIs" dxfId="16406" priority="256" stopIfTrue="1" operator="equal">
      <formula>"1 Modify"</formula>
    </cfRule>
  </conditionalFormatting>
  <conditionalFormatting sqref="C87">
    <cfRule type="cellIs" dxfId="16405" priority="257" stopIfTrue="1" operator="equal">
      <formula>"2 Add"</formula>
    </cfRule>
  </conditionalFormatting>
  <conditionalFormatting sqref="C87">
    <cfRule type="cellIs" dxfId="16404" priority="258" stopIfTrue="1" operator="equal">
      <formula>"3 Delete"</formula>
    </cfRule>
  </conditionalFormatting>
  <conditionalFormatting sqref="C88">
    <cfRule type="cellIs" dxfId="16403" priority="259" stopIfTrue="1" operator="equal">
      <formula>"1 Modify"</formula>
    </cfRule>
  </conditionalFormatting>
  <conditionalFormatting sqref="C88">
    <cfRule type="cellIs" dxfId="16402" priority="260" stopIfTrue="1" operator="equal">
      <formula>"2 Add"</formula>
    </cfRule>
  </conditionalFormatting>
  <conditionalFormatting sqref="C88">
    <cfRule type="cellIs" dxfId="16401" priority="261" stopIfTrue="1" operator="equal">
      <formula>"3 Delete"</formula>
    </cfRule>
  </conditionalFormatting>
  <conditionalFormatting sqref="C89">
    <cfRule type="cellIs" dxfId="16400" priority="262" stopIfTrue="1" operator="equal">
      <formula>"1 Modify"</formula>
    </cfRule>
  </conditionalFormatting>
  <conditionalFormatting sqref="C89">
    <cfRule type="cellIs" dxfId="16399" priority="263" stopIfTrue="1" operator="equal">
      <formula>"2 Add"</formula>
    </cfRule>
  </conditionalFormatting>
  <conditionalFormatting sqref="C89">
    <cfRule type="cellIs" dxfId="16398" priority="264" stopIfTrue="1" operator="equal">
      <formula>"3 Delete"</formula>
    </cfRule>
  </conditionalFormatting>
  <conditionalFormatting sqref="C90">
    <cfRule type="cellIs" dxfId="16397" priority="265" stopIfTrue="1" operator="equal">
      <formula>"1 Modify"</formula>
    </cfRule>
  </conditionalFormatting>
  <conditionalFormatting sqref="C90">
    <cfRule type="cellIs" dxfId="16396" priority="266" stopIfTrue="1" operator="equal">
      <formula>"2 Add"</formula>
    </cfRule>
  </conditionalFormatting>
  <conditionalFormatting sqref="C90">
    <cfRule type="cellIs" dxfId="16395" priority="267" stopIfTrue="1" operator="equal">
      <formula>"3 Delete"</formula>
    </cfRule>
  </conditionalFormatting>
  <conditionalFormatting sqref="C91">
    <cfRule type="cellIs" dxfId="16394" priority="268" stopIfTrue="1" operator="equal">
      <formula>"1 Modify"</formula>
    </cfRule>
  </conditionalFormatting>
  <conditionalFormatting sqref="C91">
    <cfRule type="cellIs" dxfId="16393" priority="269" stopIfTrue="1" operator="equal">
      <formula>"2 Add"</formula>
    </cfRule>
  </conditionalFormatting>
  <conditionalFormatting sqref="C91">
    <cfRule type="cellIs" dxfId="16392" priority="270" stopIfTrue="1" operator="equal">
      <formula>"3 Delete"</formula>
    </cfRule>
  </conditionalFormatting>
  <conditionalFormatting sqref="C92">
    <cfRule type="cellIs" dxfId="16391" priority="271" stopIfTrue="1" operator="equal">
      <formula>"1 Modify"</formula>
    </cfRule>
  </conditionalFormatting>
  <conditionalFormatting sqref="C92">
    <cfRule type="cellIs" dxfId="16390" priority="272" stopIfTrue="1" operator="equal">
      <formula>"2 Add"</formula>
    </cfRule>
  </conditionalFormatting>
  <conditionalFormatting sqref="C92">
    <cfRule type="cellIs" dxfId="16389" priority="273" stopIfTrue="1" operator="equal">
      <formula>"3 Delete"</formula>
    </cfRule>
  </conditionalFormatting>
  <conditionalFormatting sqref="C93">
    <cfRule type="cellIs" dxfId="16388" priority="274" stopIfTrue="1" operator="equal">
      <formula>"1 Modify"</formula>
    </cfRule>
  </conditionalFormatting>
  <conditionalFormatting sqref="C93">
    <cfRule type="cellIs" dxfId="16387" priority="275" stopIfTrue="1" operator="equal">
      <formula>"2 Add"</formula>
    </cfRule>
  </conditionalFormatting>
  <conditionalFormatting sqref="C93">
    <cfRule type="cellIs" dxfId="16386" priority="276" stopIfTrue="1" operator="equal">
      <formula>"3 Delete"</formula>
    </cfRule>
  </conditionalFormatting>
  <conditionalFormatting sqref="C94">
    <cfRule type="cellIs" dxfId="16385" priority="277" stopIfTrue="1" operator="equal">
      <formula>"1 Modify"</formula>
    </cfRule>
  </conditionalFormatting>
  <conditionalFormatting sqref="C94">
    <cfRule type="cellIs" dxfId="16384" priority="278" stopIfTrue="1" operator="equal">
      <formula>"2 Add"</formula>
    </cfRule>
  </conditionalFormatting>
  <conditionalFormatting sqref="C94">
    <cfRule type="cellIs" dxfId="16383" priority="279" stopIfTrue="1" operator="equal">
      <formula>"3 Delete"</formula>
    </cfRule>
  </conditionalFormatting>
  <conditionalFormatting sqref="C95">
    <cfRule type="cellIs" dxfId="16382" priority="280" stopIfTrue="1" operator="equal">
      <formula>"1 Modify"</formula>
    </cfRule>
  </conditionalFormatting>
  <conditionalFormatting sqref="C95">
    <cfRule type="cellIs" dxfId="16381" priority="281" stopIfTrue="1" operator="equal">
      <formula>"2 Add"</formula>
    </cfRule>
  </conditionalFormatting>
  <conditionalFormatting sqref="C95">
    <cfRule type="cellIs" dxfId="16380" priority="282" stopIfTrue="1" operator="equal">
      <formula>"3 Delete"</formula>
    </cfRule>
  </conditionalFormatting>
  <conditionalFormatting sqref="C96">
    <cfRule type="cellIs" dxfId="16379" priority="283" stopIfTrue="1" operator="equal">
      <formula>"1 Modify"</formula>
    </cfRule>
  </conditionalFormatting>
  <conditionalFormatting sqref="C96">
    <cfRule type="cellIs" dxfId="16378" priority="284" stopIfTrue="1" operator="equal">
      <formula>"2 Add"</formula>
    </cfRule>
  </conditionalFormatting>
  <conditionalFormatting sqref="C96">
    <cfRule type="cellIs" dxfId="16377" priority="285" stopIfTrue="1" operator="equal">
      <formula>"3 Delete"</formula>
    </cfRule>
  </conditionalFormatting>
  <conditionalFormatting sqref="C97">
    <cfRule type="cellIs" dxfId="16376" priority="286" stopIfTrue="1" operator="equal">
      <formula>"1 Modify"</formula>
    </cfRule>
  </conditionalFormatting>
  <conditionalFormatting sqref="C97">
    <cfRule type="cellIs" dxfId="16375" priority="287" stopIfTrue="1" operator="equal">
      <formula>"2 Add"</formula>
    </cfRule>
  </conditionalFormatting>
  <conditionalFormatting sqref="C97">
    <cfRule type="cellIs" dxfId="16374" priority="288" stopIfTrue="1" operator="equal">
      <formula>"3 Delete"</formula>
    </cfRule>
  </conditionalFormatting>
  <conditionalFormatting sqref="C98">
    <cfRule type="cellIs" dxfId="16373" priority="289" stopIfTrue="1" operator="equal">
      <formula>"1 Modify"</formula>
    </cfRule>
  </conditionalFormatting>
  <conditionalFormatting sqref="C98">
    <cfRule type="cellIs" dxfId="16372" priority="290" stopIfTrue="1" operator="equal">
      <formula>"2 Add"</formula>
    </cfRule>
  </conditionalFormatting>
  <conditionalFormatting sqref="C98">
    <cfRule type="cellIs" dxfId="16371" priority="291" stopIfTrue="1" operator="equal">
      <formula>"3 Delete"</formula>
    </cfRule>
  </conditionalFormatting>
  <conditionalFormatting sqref="C99">
    <cfRule type="cellIs" dxfId="16370" priority="292" stopIfTrue="1" operator="equal">
      <formula>"1 Modify"</formula>
    </cfRule>
  </conditionalFormatting>
  <conditionalFormatting sqref="C99">
    <cfRule type="cellIs" dxfId="16369" priority="293" stopIfTrue="1" operator="equal">
      <formula>"2 Add"</formula>
    </cfRule>
  </conditionalFormatting>
  <conditionalFormatting sqref="C99">
    <cfRule type="cellIs" dxfId="16368" priority="294" stopIfTrue="1" operator="equal">
      <formula>"3 Delete"</formula>
    </cfRule>
  </conditionalFormatting>
  <conditionalFormatting sqref="C100">
    <cfRule type="cellIs" dxfId="16367" priority="295" stopIfTrue="1" operator="equal">
      <formula>"1 Modify"</formula>
    </cfRule>
  </conditionalFormatting>
  <conditionalFormatting sqref="C100">
    <cfRule type="cellIs" dxfId="16366" priority="296" stopIfTrue="1" operator="equal">
      <formula>"2 Add"</formula>
    </cfRule>
  </conditionalFormatting>
  <conditionalFormatting sqref="C100">
    <cfRule type="cellIs" dxfId="16365" priority="297" stopIfTrue="1" operator="equal">
      <formula>"3 Delete"</formula>
    </cfRule>
  </conditionalFormatting>
  <conditionalFormatting sqref="C101">
    <cfRule type="cellIs" dxfId="16364" priority="298" stopIfTrue="1" operator="equal">
      <formula>"1 Modify"</formula>
    </cfRule>
  </conditionalFormatting>
  <conditionalFormatting sqref="C101">
    <cfRule type="cellIs" dxfId="16363" priority="299" stopIfTrue="1" operator="equal">
      <formula>"2 Add"</formula>
    </cfRule>
  </conditionalFormatting>
  <conditionalFormatting sqref="C101">
    <cfRule type="cellIs" dxfId="16362" priority="300" stopIfTrue="1" operator="equal">
      <formula>"3 Delete"</formula>
    </cfRule>
  </conditionalFormatting>
  <conditionalFormatting sqref="C102">
    <cfRule type="cellIs" dxfId="16361" priority="301" stopIfTrue="1" operator="equal">
      <formula>"1 Modify"</formula>
    </cfRule>
  </conditionalFormatting>
  <conditionalFormatting sqref="C102">
    <cfRule type="cellIs" dxfId="16360" priority="302" stopIfTrue="1" operator="equal">
      <formula>"2 Add"</formula>
    </cfRule>
  </conditionalFormatting>
  <conditionalFormatting sqref="C102">
    <cfRule type="cellIs" dxfId="16359" priority="303" stopIfTrue="1" operator="equal">
      <formula>"3 Delete"</formula>
    </cfRule>
  </conditionalFormatting>
  <dataValidations count="17">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custom" allowBlank="1" showInputMessage="1" showErrorMessage="1" error="Column Headers are read-only" sqref="G1">
      <formula1>FALSE</formula1>
    </dataValidation>
    <dataValidation type="custom" allowBlank="1" showInputMessage="1" showErrorMessage="1" error="Column is read-only" sqref="H2:H1048576">
      <formula1>FALSE</formula1>
    </dataValidation>
    <dataValidation type="custom" allowBlank="1" showInputMessage="1" showErrorMessage="1" error="Column Headers are read-only" sqref="H1">
      <formula1>FALSE</formula1>
    </dataValidation>
    <dataValidation type="custom" allowBlank="1" showInputMessage="1" showErrorMessage="1" error="Column is read-only" sqref="I2:I1048576">
      <formula1>FALSE</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J1">
      <formula1>FALSE</formula1>
    </dataValidation>
    <dataValidation type="custom" allowBlank="1" showInputMessage="1" showErrorMessage="1" error="Column is read-only" sqref="K2:K1048576">
      <formula1>FALSE</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L1">
      <formula1>FALSE</formula1>
    </dataValidation>
    <dataValidation type="custom" allowBlank="1" showInputMessage="1" showErrorMessage="1" error="Column Headers are read-only" sqref="A1">
      <formula1>FALSE</formula1>
    </dataValidation>
  </dataValidations>
  <hyperlinks>
    <hyperlink ref="A2" tooltip="macro:ShowLoadRefreshSheet" display="Load"/>
    <hyperlink ref="A3" tooltip="macro:ShowSaveActiveSheet" display="Save"/>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76"/>
  <sheetViews>
    <sheetView workbookViewId="0">
      <selection activeCell="H14" sqref="H14"/>
    </sheetView>
  </sheetViews>
  <sheetFormatPr defaultRowHeight="15" x14ac:dyDescent="0.25"/>
  <cols>
    <col min="4" max="4" width="9.140625" style="3"/>
    <col min="5" max="5" width="9.140625" style="5"/>
    <col min="6" max="6" width="32.7109375" style="3" bestFit="1" customWidth="1"/>
    <col min="7" max="7" width="5.42578125" style="9" bestFit="1" customWidth="1"/>
    <col min="8" max="8" width="100.7109375" style="18" customWidth="1"/>
    <col min="9" max="9" width="9.140625" style="3"/>
    <col min="10" max="10" width="0" style="7" hidden="1" customWidth="1"/>
    <col min="11" max="11" width="18.28515625" style="7" hidden="1" customWidth="1"/>
    <col min="12" max="12" width="0" style="3" hidden="1" customWidth="1"/>
    <col min="13" max="13" width="18.28515625" style="7" hidden="1" customWidth="1"/>
    <col min="14" max="14" width="0" style="3" hidden="1" customWidth="1"/>
  </cols>
  <sheetData>
    <row r="1" spans="1:14" x14ac:dyDescent="0.25">
      <c r="A1" s="1" t="s">
        <v>0</v>
      </c>
      <c r="C1" s="1" t="s">
        <v>59</v>
      </c>
      <c r="D1" s="4" t="s">
        <v>60</v>
      </c>
      <c r="E1" s="6" t="s">
        <v>61</v>
      </c>
      <c r="F1" s="4" t="s">
        <v>62</v>
      </c>
      <c r="G1" s="10" t="s">
        <v>372</v>
      </c>
      <c r="H1" s="17" t="s">
        <v>373</v>
      </c>
      <c r="I1" s="4" t="s">
        <v>374</v>
      </c>
      <c r="J1" s="8" t="s">
        <v>64</v>
      </c>
      <c r="K1" s="8" t="s">
        <v>65</v>
      </c>
      <c r="L1" s="4" t="s">
        <v>66</v>
      </c>
      <c r="M1" s="8" t="s">
        <v>67</v>
      </c>
      <c r="N1" s="4" t="s">
        <v>68</v>
      </c>
    </row>
    <row r="2" spans="1:14" x14ac:dyDescent="0.25">
      <c r="A2" s="2" t="s">
        <v>370</v>
      </c>
      <c r="C2" t="str">
        <f>IF(COUNTBLANK(E2:N2) = 10,"",IF(AND(NOT(ISBLANK(E2)),COUNTBLANK(E2:N2) = 9),"3 Delete",IF(ISBLANK(E2),"2 Add",IF(JenkinsHashRange(E2:N2) = "612351393","0 Original","1 Modify"))))</f>
        <v>0 Original</v>
      </c>
      <c r="D2" s="3" t="s">
        <v>375</v>
      </c>
      <c r="E2" s="5">
        <v>1001</v>
      </c>
      <c r="F2" s="3" t="s">
        <v>376</v>
      </c>
      <c r="G2" s="9">
        <v>5.99</v>
      </c>
      <c r="H2" s="18" t="s">
        <v>377</v>
      </c>
      <c r="I2" s="3" t="s">
        <v>378</v>
      </c>
      <c r="J2" s="7" t="s">
        <v>72</v>
      </c>
      <c r="K2" s="7">
        <v>42748.047013888892</v>
      </c>
      <c r="L2" s="3" t="s">
        <v>72</v>
      </c>
      <c r="M2" s="7">
        <v>42748.047013888892</v>
      </c>
    </row>
    <row r="3" spans="1:14" x14ac:dyDescent="0.25">
      <c r="A3" s="2" t="s">
        <v>371</v>
      </c>
      <c r="C3" t="str">
        <f>IF(COUNTBLANK(E3:N3) = 10,"",IF(AND(NOT(ISBLANK(E3)),COUNTBLANK(E3:N3) = 9),"3 Delete",IF(ISBLANK(E3),"2 Add",IF(JenkinsHashRange(E3:N3) = "608513765","0 Original","1 Modify"))))</f>
        <v>0 Original</v>
      </c>
      <c r="D3" s="3" t="s">
        <v>379</v>
      </c>
      <c r="E3" s="5">
        <v>1002</v>
      </c>
      <c r="F3" s="3" t="s">
        <v>380</v>
      </c>
      <c r="G3" s="9">
        <v>8.99</v>
      </c>
      <c r="H3" s="18" t="s">
        <v>381</v>
      </c>
      <c r="I3" s="3" t="s">
        <v>382</v>
      </c>
      <c r="J3" s="7" t="s">
        <v>72</v>
      </c>
      <c r="K3" s="7">
        <v>42748.047013888892</v>
      </c>
      <c r="L3" s="3" t="s">
        <v>72</v>
      </c>
      <c r="M3" s="7">
        <v>42748.047013888892</v>
      </c>
    </row>
    <row r="4" spans="1:14" x14ac:dyDescent="0.25">
      <c r="C4" t="str">
        <f>IF(COUNTBLANK(E4:N4) = 10,"",IF(AND(NOT(ISBLANK(E4)),COUNTBLANK(E4:N4) = 9),"3 Delete",IF(ISBLANK(E4),"2 Add",IF(JenkinsHashRange(E4:N4) = "1885392262","0 Original","1 Modify"))))</f>
        <v>0 Original</v>
      </c>
      <c r="D4" s="3" t="s">
        <v>383</v>
      </c>
      <c r="E4" s="5">
        <v>1003</v>
      </c>
      <c r="F4" s="3" t="s">
        <v>384</v>
      </c>
      <c r="G4" s="9">
        <v>9.99</v>
      </c>
      <c r="H4" s="18" t="s">
        <v>385</v>
      </c>
      <c r="I4" s="3" t="s">
        <v>382</v>
      </c>
      <c r="J4" s="7" t="s">
        <v>72</v>
      </c>
      <c r="K4" s="7">
        <v>42748.047013888892</v>
      </c>
      <c r="L4" s="3" t="s">
        <v>72</v>
      </c>
      <c r="M4" s="7">
        <v>42748.047013888892</v>
      </c>
    </row>
    <row r="5" spans="1:14" x14ac:dyDescent="0.25">
      <c r="C5" t="str">
        <f>IF(COUNTBLANK(E5:N5) = 10,"",IF(AND(NOT(ISBLANK(E5)),COUNTBLANK(E5:N5) = 9),"3 Delete",IF(ISBLANK(E5),"2 Add",IF(JenkinsHashRange(E5:N5) = "776506253","0 Original","1 Modify"))))</f>
        <v>0 Original</v>
      </c>
      <c r="D5" s="3" t="s">
        <v>386</v>
      </c>
      <c r="E5" s="5">
        <v>1004</v>
      </c>
      <c r="F5" s="3" t="s">
        <v>387</v>
      </c>
      <c r="G5" s="9">
        <v>4.99</v>
      </c>
      <c r="H5" s="18" t="s">
        <v>388</v>
      </c>
      <c r="I5" s="3" t="s">
        <v>389</v>
      </c>
      <c r="J5" s="7" t="s">
        <v>72</v>
      </c>
      <c r="K5" s="7">
        <v>42748.047013888892</v>
      </c>
      <c r="L5" s="3" t="s">
        <v>72</v>
      </c>
      <c r="M5" s="7">
        <v>42748.047013888892</v>
      </c>
    </row>
    <row r="6" spans="1:14" x14ac:dyDescent="0.25">
      <c r="C6" t="str">
        <f>IF(COUNTBLANK(E6:N6) = 10,"",IF(AND(NOT(ISBLANK(E6)),COUNTBLANK(E6:N6) = 9),"3 Delete",IF(ISBLANK(E6),"2 Add",IF(JenkinsHashRange(E6:N6) = "2088504174","0 Original","1 Modify"))))</f>
        <v>0 Original</v>
      </c>
      <c r="D6" s="3" t="s">
        <v>390</v>
      </c>
      <c r="E6" s="5">
        <v>1005</v>
      </c>
      <c r="F6" s="3" t="s">
        <v>391</v>
      </c>
      <c r="G6" s="9">
        <v>4.99</v>
      </c>
      <c r="H6" s="18" t="s">
        <v>392</v>
      </c>
      <c r="I6" s="3" t="s">
        <v>382</v>
      </c>
      <c r="J6" s="7" t="s">
        <v>72</v>
      </c>
      <c r="K6" s="7">
        <v>42748.047013888892</v>
      </c>
      <c r="L6" s="3" t="s">
        <v>72</v>
      </c>
      <c r="M6" s="7">
        <v>42748.047013888892</v>
      </c>
    </row>
    <row r="7" spans="1:14" x14ac:dyDescent="0.25">
      <c r="C7" t="str">
        <f>IF(COUNTBLANK(E7:N7) = 10,"",IF(AND(NOT(ISBLANK(E7)),COUNTBLANK(E7:N7) = 9),"3 Delete",IF(ISBLANK(E7),"2 Add",IF(JenkinsHashRange(E7:N7) = "426622893","0 Original","1 Modify"))))</f>
        <v>0 Original</v>
      </c>
      <c r="D7" s="3" t="s">
        <v>393</v>
      </c>
      <c r="E7" s="5">
        <v>1006</v>
      </c>
      <c r="F7" s="3" t="s">
        <v>394</v>
      </c>
      <c r="G7" s="9">
        <v>6.99</v>
      </c>
      <c r="H7" s="18" t="s">
        <v>395</v>
      </c>
      <c r="I7" s="3" t="s">
        <v>396</v>
      </c>
      <c r="J7" s="7" t="s">
        <v>72</v>
      </c>
      <c r="K7" s="7">
        <v>42748.047013888892</v>
      </c>
      <c r="L7" s="3" t="s">
        <v>72</v>
      </c>
      <c r="M7" s="7">
        <v>42748.047013888892</v>
      </c>
    </row>
    <row r="8" spans="1:14" x14ac:dyDescent="0.25">
      <c r="C8" t="str">
        <f>IF(COUNTBLANK(E8:N8) = 10,"",IF(AND(NOT(ISBLANK(E8)),COUNTBLANK(E8:N8) = 9),"3 Delete",IF(ISBLANK(E8),"2 Add",IF(JenkinsHashRange(E8:N8) = "442530035","0 Original","1 Modify"))))</f>
        <v>0 Original</v>
      </c>
      <c r="D8" s="3" t="s">
        <v>397</v>
      </c>
      <c r="E8" s="5">
        <v>1007</v>
      </c>
      <c r="F8" s="3" t="s">
        <v>398</v>
      </c>
      <c r="G8" s="9">
        <v>5.99</v>
      </c>
      <c r="H8" s="18" t="s">
        <v>399</v>
      </c>
      <c r="I8" s="3" t="s">
        <v>396</v>
      </c>
      <c r="J8" s="7" t="s">
        <v>72</v>
      </c>
      <c r="K8" s="7">
        <v>42748.047013888892</v>
      </c>
      <c r="L8" s="3" t="s">
        <v>72</v>
      </c>
      <c r="M8" s="7">
        <v>42748.047013888892</v>
      </c>
    </row>
    <row r="9" spans="1:14" x14ac:dyDescent="0.25">
      <c r="C9" t="str">
        <f>IF(COUNTBLANK(E9:N9) = 10,"",IF(AND(NOT(ISBLANK(E9)),COUNTBLANK(E9:N9) = 9),"3 Delete",IF(ISBLANK(E9),"2 Add",IF(JenkinsHashRange(E9:N9) = "1711832520","0 Original","1 Modify"))))</f>
        <v>0 Original</v>
      </c>
      <c r="D9" s="3" t="s">
        <v>400</v>
      </c>
      <c r="E9" s="5">
        <v>1008</v>
      </c>
      <c r="F9" s="3" t="s">
        <v>401</v>
      </c>
      <c r="G9" s="9">
        <v>6.99</v>
      </c>
      <c r="H9" s="18" t="s">
        <v>402</v>
      </c>
      <c r="I9" s="3" t="s">
        <v>403</v>
      </c>
      <c r="J9" s="7" t="s">
        <v>72</v>
      </c>
      <c r="K9" s="7">
        <v>42748.047013888892</v>
      </c>
      <c r="L9" s="3" t="s">
        <v>72</v>
      </c>
      <c r="M9" s="7">
        <v>42748.047013888892</v>
      </c>
    </row>
    <row r="10" spans="1:14" x14ac:dyDescent="0.25">
      <c r="C10" t="str">
        <f>IF(COUNTBLANK(E10:N10) = 10,"",IF(AND(NOT(ISBLANK(E10)),COUNTBLANK(E10:N10) = 9),"3 Delete",IF(ISBLANK(E10),"2 Add",IF(JenkinsHashRange(E10:N10) = "597632385","0 Original","1 Modify"))))</f>
        <v>0 Original</v>
      </c>
      <c r="D10" s="3" t="s">
        <v>404</v>
      </c>
      <c r="E10" s="5">
        <v>1009</v>
      </c>
      <c r="F10" s="3" t="s">
        <v>405</v>
      </c>
      <c r="G10" s="9">
        <v>9.99</v>
      </c>
      <c r="H10" s="18" t="s">
        <v>406</v>
      </c>
      <c r="I10" s="3" t="s">
        <v>382</v>
      </c>
      <c r="J10" s="7" t="s">
        <v>72</v>
      </c>
      <c r="K10" s="7">
        <v>42748.047013888892</v>
      </c>
      <c r="L10" s="3" t="s">
        <v>72</v>
      </c>
      <c r="M10" s="7">
        <v>42748.047013888892</v>
      </c>
    </row>
    <row r="11" spans="1:14" x14ac:dyDescent="0.25">
      <c r="C11" t="str">
        <f>IF(COUNTBLANK(E11:N11) = 10,"",IF(AND(NOT(ISBLANK(E11)),COUNTBLANK(E11:N11) = 9),"3 Delete",IF(ISBLANK(E11),"2 Add",IF(JenkinsHashRange(E11:N11) = "982424257","0 Original","1 Modify"))))</f>
        <v>0 Original</v>
      </c>
      <c r="D11" s="3" t="s">
        <v>407</v>
      </c>
      <c r="E11" s="5">
        <v>1010</v>
      </c>
      <c r="F11" s="3" t="s">
        <v>408</v>
      </c>
      <c r="G11" s="9">
        <v>9.99</v>
      </c>
      <c r="H11" s="18" t="s">
        <v>409</v>
      </c>
      <c r="I11" s="3" t="s">
        <v>382</v>
      </c>
      <c r="J11" s="7" t="s">
        <v>72</v>
      </c>
      <c r="K11" s="7">
        <v>42748.047013888892</v>
      </c>
      <c r="L11" s="3" t="s">
        <v>72</v>
      </c>
      <c r="M11" s="7">
        <v>42748.047013888892</v>
      </c>
    </row>
    <row r="12" spans="1:14" x14ac:dyDescent="0.25">
      <c r="C12" t="str">
        <f>IF(COUNTBLANK(E12:N12) = 10,"",IF(AND(NOT(ISBLANK(E12)),COUNTBLANK(E12:N12) = 9),"3 Delete",IF(ISBLANK(E12),"2 Add",IF(JenkinsHashRange(E12:N12) = "550476569","0 Original","1 Modify"))))</f>
        <v>0 Original</v>
      </c>
      <c r="D12" s="3" t="s">
        <v>410</v>
      </c>
      <c r="E12" s="5">
        <v>1011</v>
      </c>
      <c r="F12" s="3" t="s">
        <v>411</v>
      </c>
      <c r="G12" s="9">
        <v>9.99</v>
      </c>
      <c r="H12" s="18" t="s">
        <v>412</v>
      </c>
      <c r="I12" s="3" t="s">
        <v>382</v>
      </c>
      <c r="J12" s="7" t="s">
        <v>72</v>
      </c>
      <c r="K12" s="7">
        <v>42748.047013888892</v>
      </c>
      <c r="L12" s="3" t="s">
        <v>72</v>
      </c>
      <c r="M12" s="7">
        <v>42748.047013888892</v>
      </c>
    </row>
    <row r="13" spans="1:14" x14ac:dyDescent="0.25">
      <c r="C13" t="str">
        <f>IF(COUNTBLANK(E13:N13) = 10,"",IF(AND(NOT(ISBLANK(E13)),COUNTBLANK(E13:N13) = 9),"3 Delete",IF(ISBLANK(E13),"2 Add",IF(JenkinsHashRange(E13:N13) = "777699612","0 Original","1 Modify"))))</f>
        <v>0 Original</v>
      </c>
      <c r="D13" s="3" t="s">
        <v>413</v>
      </c>
      <c r="E13" s="5">
        <v>1012</v>
      </c>
      <c r="F13" s="3" t="s">
        <v>414</v>
      </c>
      <c r="G13" s="9">
        <v>5.99</v>
      </c>
      <c r="H13" s="18" t="s">
        <v>415</v>
      </c>
      <c r="I13" s="3" t="s">
        <v>416</v>
      </c>
      <c r="J13" s="7" t="s">
        <v>72</v>
      </c>
      <c r="K13" s="7">
        <v>42748.047013888892</v>
      </c>
      <c r="L13" s="3" t="s">
        <v>72</v>
      </c>
      <c r="M13" s="7">
        <v>42748.047013888892</v>
      </c>
    </row>
    <row r="14" spans="1:14" x14ac:dyDescent="0.25">
      <c r="C14" t="str">
        <f>IF(COUNTBLANK(E14:N14) = 10,"",IF(AND(NOT(ISBLANK(E14)),COUNTBLANK(E14:N14) = 9),"3 Delete",IF(ISBLANK(E14),"2 Add",IF(JenkinsHashRange(E14:N14) = "359020550","0 Original","1 Modify"))))</f>
        <v>0 Original</v>
      </c>
      <c r="D14" s="3" t="s">
        <v>417</v>
      </c>
      <c r="E14" s="5">
        <v>1013</v>
      </c>
      <c r="F14" s="3" t="s">
        <v>418</v>
      </c>
      <c r="G14" s="9">
        <v>8.99</v>
      </c>
      <c r="H14" s="18" t="s">
        <v>419</v>
      </c>
      <c r="I14" s="3" t="s">
        <v>420</v>
      </c>
      <c r="J14" s="7" t="s">
        <v>72</v>
      </c>
      <c r="K14" s="7">
        <v>42748.047013888892</v>
      </c>
      <c r="L14" s="3" t="s">
        <v>72</v>
      </c>
      <c r="M14" s="7">
        <v>42748.047013888892</v>
      </c>
    </row>
    <row r="15" spans="1:14" x14ac:dyDescent="0.25">
      <c r="C15" t="str">
        <f>IF(COUNTBLANK(E15:N15) = 10,"",IF(AND(NOT(ISBLANK(E15)),COUNTBLANK(E15:N15) = 9),"3 Delete",IF(ISBLANK(E15),"2 Add",IF(JenkinsHashRange(E15:N15) = "645798628","0 Original","1 Modify"))))</f>
        <v>0 Original</v>
      </c>
      <c r="D15" s="3" t="s">
        <v>421</v>
      </c>
      <c r="E15" s="5">
        <v>1014</v>
      </c>
      <c r="F15" s="3" t="s">
        <v>422</v>
      </c>
      <c r="G15" s="9">
        <v>9.99</v>
      </c>
      <c r="H15" s="18" t="s">
        <v>423</v>
      </c>
      <c r="I15" s="3" t="s">
        <v>382</v>
      </c>
      <c r="J15" s="7" t="s">
        <v>72</v>
      </c>
      <c r="K15" s="7">
        <v>42748.047013888892</v>
      </c>
      <c r="L15" s="3" t="s">
        <v>72</v>
      </c>
      <c r="M15" s="7">
        <v>42748.047013888892</v>
      </c>
    </row>
    <row r="16" spans="1:14" x14ac:dyDescent="0.25">
      <c r="C16" t="str">
        <f>IF(COUNTBLANK(E16:N16) = 10,"",IF(AND(NOT(ISBLANK(E16)),COUNTBLANK(E16:N16) = 9),"3 Delete",IF(ISBLANK(E16),"2 Add",IF(JenkinsHashRange(E16:N16) = "1409299612","0 Original","1 Modify"))))</f>
        <v>0 Original</v>
      </c>
      <c r="D16" s="3" t="s">
        <v>424</v>
      </c>
      <c r="E16" s="5">
        <v>1015</v>
      </c>
      <c r="F16" s="3" t="s">
        <v>425</v>
      </c>
      <c r="G16" s="9">
        <v>6.99</v>
      </c>
      <c r="H16" s="18" t="s">
        <v>426</v>
      </c>
      <c r="I16" s="3" t="s">
        <v>378</v>
      </c>
      <c r="J16" s="7" t="s">
        <v>72</v>
      </c>
      <c r="K16" s="7">
        <v>42748.047013888892</v>
      </c>
      <c r="L16" s="3" t="s">
        <v>72</v>
      </c>
      <c r="M16" s="7">
        <v>42748.047013888892</v>
      </c>
    </row>
    <row r="17" spans="3:13" x14ac:dyDescent="0.25">
      <c r="C17" t="str">
        <f>IF(COUNTBLANK(E17:N17) = 10,"",IF(AND(NOT(ISBLANK(E17)),COUNTBLANK(E17:N17) = 9),"3 Delete",IF(ISBLANK(E17),"2 Add",IF(JenkinsHashRange(E17:N17) = "742653376","0 Original","1 Modify"))))</f>
        <v>0 Original</v>
      </c>
      <c r="D17" s="3" t="s">
        <v>427</v>
      </c>
      <c r="E17" s="5">
        <v>1016</v>
      </c>
      <c r="F17" s="3" t="s">
        <v>428</v>
      </c>
      <c r="G17" s="9">
        <v>5.99</v>
      </c>
      <c r="H17" s="18" t="s">
        <v>429</v>
      </c>
      <c r="I17" s="3" t="s">
        <v>430</v>
      </c>
      <c r="J17" s="7" t="s">
        <v>72</v>
      </c>
      <c r="K17" s="7">
        <v>42748.047013888892</v>
      </c>
      <c r="L17" s="3" t="s">
        <v>72</v>
      </c>
      <c r="M17" s="7">
        <v>42748.047013888892</v>
      </c>
    </row>
    <row r="18" spans="3:13" x14ac:dyDescent="0.25">
      <c r="C18" t="str">
        <f>IF(COUNTBLANK(E18:N18) = 10,"",IF(AND(NOT(ISBLANK(E18)),COUNTBLANK(E18:N18) = 9),"3 Delete",IF(ISBLANK(E18),"2 Add",IF(JenkinsHashRange(E18:N18) = "716719548","0 Original","1 Modify"))))</f>
        <v>0 Original</v>
      </c>
      <c r="D18" s="3" t="s">
        <v>431</v>
      </c>
      <c r="E18" s="5">
        <v>1017</v>
      </c>
      <c r="F18" s="3" t="s">
        <v>432</v>
      </c>
      <c r="G18" s="9">
        <v>8.99</v>
      </c>
      <c r="H18" s="18" t="s">
        <v>433</v>
      </c>
      <c r="I18" s="3" t="s">
        <v>434</v>
      </c>
      <c r="J18" s="7" t="s">
        <v>72</v>
      </c>
      <c r="K18" s="7">
        <v>42748.047013888892</v>
      </c>
      <c r="L18" s="3" t="s">
        <v>72</v>
      </c>
      <c r="M18" s="7">
        <v>42748.047013888892</v>
      </c>
    </row>
    <row r="19" spans="3:13" x14ac:dyDescent="0.25">
      <c r="C19" t="str">
        <f>IF(COUNTBLANK(E19:N19) = 10,"",IF(AND(NOT(ISBLANK(E19)),COUNTBLANK(E19:N19) = 9),"3 Delete",IF(ISBLANK(E19),"2 Add",IF(JenkinsHashRange(E19:N19) = "426070471","0 Original","1 Modify"))))</f>
        <v>0 Original</v>
      </c>
      <c r="D19" s="3" t="s">
        <v>435</v>
      </c>
      <c r="E19" s="5">
        <v>1018</v>
      </c>
      <c r="F19" s="3" t="s">
        <v>436</v>
      </c>
      <c r="G19" s="9">
        <v>8.99</v>
      </c>
      <c r="H19" s="18" t="s">
        <v>437</v>
      </c>
      <c r="I19" s="3" t="s">
        <v>438</v>
      </c>
      <c r="J19" s="7" t="s">
        <v>72</v>
      </c>
      <c r="K19" s="7">
        <v>42748.047013888892</v>
      </c>
      <c r="L19" s="3" t="s">
        <v>72</v>
      </c>
      <c r="M19" s="7">
        <v>42748.047013888892</v>
      </c>
    </row>
    <row r="20" spans="3:13" x14ac:dyDescent="0.25">
      <c r="C20" t="str">
        <f>IF(COUNTBLANK(E20:N20) = 10,"",IF(AND(NOT(ISBLANK(E20)),COUNTBLANK(E20:N20) = 9),"3 Delete",IF(ISBLANK(E20),"2 Add",IF(JenkinsHashRange(E20:N20) = "1617739705","0 Original","1 Modify"))))</f>
        <v>0 Original</v>
      </c>
      <c r="D20" s="3" t="s">
        <v>439</v>
      </c>
      <c r="E20" s="5">
        <v>1019</v>
      </c>
      <c r="F20" s="3" t="s">
        <v>440</v>
      </c>
      <c r="G20" s="9">
        <v>4.99</v>
      </c>
      <c r="H20" s="18" t="s">
        <v>441</v>
      </c>
      <c r="I20" s="3" t="s">
        <v>442</v>
      </c>
      <c r="J20" s="7" t="s">
        <v>72</v>
      </c>
      <c r="K20" s="7">
        <v>42748.047013888892</v>
      </c>
      <c r="L20" s="3" t="s">
        <v>72</v>
      </c>
      <c r="M20" s="7">
        <v>42748.047013888892</v>
      </c>
    </row>
    <row r="21" spans="3:13" x14ac:dyDescent="0.25">
      <c r="C21" t="str">
        <f>IF(COUNTBLANK(E21:N21) = 10,"",IF(AND(NOT(ISBLANK(E21)),COUNTBLANK(E21:N21) = 9),"3 Delete",IF(ISBLANK(E21),"2 Add",IF(JenkinsHashRange(E21:N21) = "1408211916","0 Original","1 Modify"))))</f>
        <v>0 Original</v>
      </c>
      <c r="D21" s="3" t="s">
        <v>443</v>
      </c>
      <c r="E21" s="5">
        <v>1020</v>
      </c>
      <c r="F21" s="3" t="s">
        <v>444</v>
      </c>
      <c r="G21" s="9">
        <v>6.99</v>
      </c>
      <c r="H21" s="18" t="s">
        <v>445</v>
      </c>
      <c r="I21" s="3" t="s">
        <v>396</v>
      </c>
      <c r="J21" s="7" t="s">
        <v>72</v>
      </c>
      <c r="K21" s="7">
        <v>42748.047013888892</v>
      </c>
      <c r="L21" s="3" t="s">
        <v>72</v>
      </c>
      <c r="M21" s="7">
        <v>42748.047013888892</v>
      </c>
    </row>
    <row r="22" spans="3:13" x14ac:dyDescent="0.25">
      <c r="C22" t="str">
        <f>IF(COUNTBLANK(E22:N22) = 10,"",IF(AND(NOT(ISBLANK(E22)),COUNTBLANK(E22:N22) = 9),"3 Delete",IF(ISBLANK(E22),"2 Add",IF(JenkinsHashRange(E22:N22) = "196586118","0 Original","1 Modify"))))</f>
        <v>0 Original</v>
      </c>
      <c r="D22" s="3" t="s">
        <v>446</v>
      </c>
      <c r="E22" s="5">
        <v>1021</v>
      </c>
      <c r="F22" s="3" t="s">
        <v>447</v>
      </c>
      <c r="G22" s="9">
        <v>7.99</v>
      </c>
      <c r="H22" s="18" t="s">
        <v>448</v>
      </c>
      <c r="I22" s="3" t="s">
        <v>449</v>
      </c>
      <c r="J22" s="7" t="s">
        <v>72</v>
      </c>
      <c r="K22" s="7">
        <v>42748.047013888892</v>
      </c>
      <c r="L22" s="3" t="s">
        <v>72</v>
      </c>
      <c r="M22" s="7">
        <v>42748.047013888892</v>
      </c>
    </row>
    <row r="23" spans="3:13" x14ac:dyDescent="0.25">
      <c r="C23" t="str">
        <f>IF(COUNTBLANK(E23:N23) = 10,"",IF(AND(NOT(ISBLANK(E23)),COUNTBLANK(E23:N23) = 9),"3 Delete",IF(ISBLANK(E23),"2 Add",IF(JenkinsHashRange(E23:N23) = "1207000386","0 Original","1 Modify"))))</f>
        <v>0 Original</v>
      </c>
      <c r="D23" s="3" t="s">
        <v>450</v>
      </c>
      <c r="E23" s="5">
        <v>1022</v>
      </c>
      <c r="F23" s="3" t="s">
        <v>451</v>
      </c>
      <c r="G23" s="9">
        <v>8.99</v>
      </c>
      <c r="H23" s="18" t="s">
        <v>452</v>
      </c>
      <c r="I23" s="3" t="s">
        <v>378</v>
      </c>
      <c r="J23" s="7" t="s">
        <v>72</v>
      </c>
      <c r="K23" s="7">
        <v>42748.047013888892</v>
      </c>
      <c r="L23" s="3" t="s">
        <v>72</v>
      </c>
      <c r="M23" s="7">
        <v>42748.047013888892</v>
      </c>
    </row>
    <row r="24" spans="3:13" x14ac:dyDescent="0.25">
      <c r="C24" t="str">
        <f>IF(COUNTBLANK(E24:N24) = 10,"",IF(AND(NOT(ISBLANK(E24)),COUNTBLANK(E24:N24) = 9),"3 Delete",IF(ISBLANK(E24),"2 Add",IF(JenkinsHashRange(E24:N24) = "413786529","0 Original","1 Modify"))))</f>
        <v>0 Original</v>
      </c>
      <c r="D24" s="3" t="s">
        <v>453</v>
      </c>
      <c r="E24" s="5">
        <v>1023</v>
      </c>
      <c r="F24" s="3" t="s">
        <v>454</v>
      </c>
      <c r="G24" s="9">
        <v>8.99</v>
      </c>
      <c r="H24" s="18" t="s">
        <v>455</v>
      </c>
      <c r="I24" s="3" t="s">
        <v>456</v>
      </c>
      <c r="J24" s="7" t="s">
        <v>72</v>
      </c>
      <c r="K24" s="7">
        <v>42748.047013888892</v>
      </c>
      <c r="L24" s="3" t="s">
        <v>72</v>
      </c>
      <c r="M24" s="7">
        <v>42748.047013888892</v>
      </c>
    </row>
    <row r="25" spans="3:13" x14ac:dyDescent="0.25">
      <c r="C25" t="str">
        <f>IF(COUNTBLANK(E25:N25) = 10,"",IF(AND(NOT(ISBLANK(E25)),COUNTBLANK(E25:N25) = 9),"3 Delete",IF(ISBLANK(E25),"2 Add",IF(JenkinsHashRange(E25:N25) = "1298231420","0 Original","1 Modify"))))</f>
        <v>0 Original</v>
      </c>
      <c r="D25" s="3" t="s">
        <v>457</v>
      </c>
      <c r="E25" s="5">
        <v>1024</v>
      </c>
      <c r="F25" s="3" t="s">
        <v>458</v>
      </c>
      <c r="G25" s="9">
        <v>5.99</v>
      </c>
      <c r="H25" s="18" t="s">
        <v>459</v>
      </c>
      <c r="I25" s="3" t="s">
        <v>449</v>
      </c>
      <c r="J25" s="7" t="s">
        <v>72</v>
      </c>
      <c r="K25" s="7">
        <v>42748.047013888892</v>
      </c>
      <c r="L25" s="3" t="s">
        <v>72</v>
      </c>
      <c r="M25" s="7">
        <v>42748.047013888892</v>
      </c>
    </row>
    <row r="26" spans="3:13" x14ac:dyDescent="0.25">
      <c r="C26" t="str">
        <f>IF(COUNTBLANK(E26:N26) = 10,"",IF(AND(NOT(ISBLANK(E26)),COUNTBLANK(E26:N26) = 9),"3 Delete",IF(ISBLANK(E26),"2 Add",IF(JenkinsHashRange(E26:N26) = "1072867162","0 Original","1 Modify"))))</f>
        <v>0 Original</v>
      </c>
      <c r="D26" s="3" t="s">
        <v>460</v>
      </c>
      <c r="E26" s="5">
        <v>1025</v>
      </c>
      <c r="F26" s="3" t="s">
        <v>461</v>
      </c>
      <c r="G26" s="9">
        <v>4.99</v>
      </c>
      <c r="H26" s="18" t="s">
        <v>462</v>
      </c>
      <c r="I26" s="3" t="s">
        <v>449</v>
      </c>
      <c r="J26" s="7" t="s">
        <v>72</v>
      </c>
      <c r="K26" s="7">
        <v>42748.047013888892</v>
      </c>
      <c r="L26" s="3" t="s">
        <v>72</v>
      </c>
      <c r="M26" s="7">
        <v>42748.047013888892</v>
      </c>
    </row>
    <row r="27" spans="3:13" x14ac:dyDescent="0.25">
      <c r="C27" t="str">
        <f>IF(COUNTBLANK(E27:N27) = 10,"",IF(AND(NOT(ISBLANK(E27)),COUNTBLANK(E27:N27) = 9),"3 Delete",IF(ISBLANK(E27),"2 Add",IF(JenkinsHashRange(E27:N27) = "633282603","0 Original","1 Modify"))))</f>
        <v>0 Original</v>
      </c>
      <c r="D27" s="3" t="s">
        <v>463</v>
      </c>
      <c r="E27" s="5">
        <v>1026</v>
      </c>
      <c r="F27" s="3" t="s">
        <v>464</v>
      </c>
      <c r="G27" s="9">
        <v>8.99</v>
      </c>
      <c r="H27" s="18" t="s">
        <v>465</v>
      </c>
      <c r="I27" s="3" t="s">
        <v>466</v>
      </c>
      <c r="J27" s="7" t="s">
        <v>72</v>
      </c>
      <c r="K27" s="7">
        <v>42748.047013888892</v>
      </c>
      <c r="L27" s="3" t="s">
        <v>72</v>
      </c>
      <c r="M27" s="7">
        <v>42748.047013888892</v>
      </c>
    </row>
    <row r="28" spans="3:13" x14ac:dyDescent="0.25">
      <c r="C28" t="str">
        <f>IF(COUNTBLANK(E28:N28) = 10,"",IF(AND(NOT(ISBLANK(E28)),COUNTBLANK(E28:N28) = 9),"3 Delete",IF(ISBLANK(E28),"2 Add",IF(JenkinsHashRange(E28:N28) = "84763061","0 Original","1 Modify"))))</f>
        <v>0 Original</v>
      </c>
      <c r="D28" s="3" t="s">
        <v>467</v>
      </c>
      <c r="E28" s="5">
        <v>1027</v>
      </c>
      <c r="F28" s="3" t="s">
        <v>468</v>
      </c>
      <c r="G28" s="9">
        <v>8.99</v>
      </c>
      <c r="H28" s="18" t="s">
        <v>469</v>
      </c>
      <c r="I28" s="3" t="s">
        <v>382</v>
      </c>
      <c r="J28" s="7" t="s">
        <v>72</v>
      </c>
      <c r="K28" s="7">
        <v>42748.047013888892</v>
      </c>
      <c r="L28" s="3" t="s">
        <v>72</v>
      </c>
      <c r="M28" s="7">
        <v>42748.047013888892</v>
      </c>
    </row>
    <row r="29" spans="3:13" x14ac:dyDescent="0.25">
      <c r="C29" t="str">
        <f>IF(COUNTBLANK(E29:N29) = 10,"",IF(AND(NOT(ISBLANK(E29)),COUNTBLANK(E29:N29) = 9),"3 Delete",IF(ISBLANK(E29),"2 Add",IF(JenkinsHashRange(E29:N29) = "1076313237","0 Original","1 Modify"))))</f>
        <v>0 Original</v>
      </c>
      <c r="D29" s="3" t="s">
        <v>470</v>
      </c>
      <c r="E29" s="5">
        <v>1028</v>
      </c>
      <c r="F29" s="3" t="s">
        <v>471</v>
      </c>
      <c r="G29" s="9">
        <v>8.99</v>
      </c>
      <c r="H29" s="18" t="s">
        <v>472</v>
      </c>
      <c r="I29" s="3" t="s">
        <v>382</v>
      </c>
      <c r="J29" s="7" t="s">
        <v>72</v>
      </c>
      <c r="K29" s="7">
        <v>42748.047013888892</v>
      </c>
      <c r="L29" s="3" t="s">
        <v>72</v>
      </c>
      <c r="M29" s="7">
        <v>42748.047013888892</v>
      </c>
    </row>
    <row r="30" spans="3:13" x14ac:dyDescent="0.25">
      <c r="C30" t="str">
        <f>IF(COUNTBLANK(E30:N30) = 10,"",IF(AND(NOT(ISBLANK(E30)),COUNTBLANK(E30:N30) = 9),"3 Delete",IF(ISBLANK(E30),"2 Add",IF(JenkinsHashRange(E30:N30) = "286959060","0 Original","1 Modify"))))</f>
        <v>0 Original</v>
      </c>
      <c r="D30" s="3" t="s">
        <v>473</v>
      </c>
      <c r="E30" s="5">
        <v>1029</v>
      </c>
      <c r="F30" s="3" t="s">
        <v>474</v>
      </c>
      <c r="G30" s="9">
        <v>4.99</v>
      </c>
      <c r="H30" s="18" t="s">
        <v>475</v>
      </c>
      <c r="I30" s="3" t="s">
        <v>378</v>
      </c>
      <c r="J30" s="7" t="s">
        <v>72</v>
      </c>
      <c r="K30" s="7">
        <v>42748.047013888892</v>
      </c>
      <c r="L30" s="3" t="s">
        <v>72</v>
      </c>
      <c r="M30" s="7">
        <v>42748.047013888892</v>
      </c>
    </row>
    <row r="31" spans="3:13" x14ac:dyDescent="0.25">
      <c r="C31" t="str">
        <f>IF(COUNTBLANK(E31:N31) = 10,"",IF(AND(NOT(ISBLANK(E31)),COUNTBLANK(E31:N31) = 9),"3 Delete",IF(ISBLANK(E31),"2 Add",IF(JenkinsHashRange(E31:N31) = "1810451486","0 Original","1 Modify"))))</f>
        <v>0 Original</v>
      </c>
      <c r="D31" s="3" t="s">
        <v>476</v>
      </c>
      <c r="E31" s="5">
        <v>1030</v>
      </c>
      <c r="F31" s="3" t="s">
        <v>477</v>
      </c>
      <c r="G31" s="9">
        <v>4.99</v>
      </c>
      <c r="H31" s="18" t="s">
        <v>478</v>
      </c>
      <c r="I31" s="3" t="s">
        <v>479</v>
      </c>
      <c r="J31" s="7" t="s">
        <v>72</v>
      </c>
      <c r="K31" s="7">
        <v>42748.047013888892</v>
      </c>
      <c r="L31" s="3" t="s">
        <v>72</v>
      </c>
      <c r="M31" s="7">
        <v>42748.047013888892</v>
      </c>
    </row>
    <row r="32" spans="3:13" x14ac:dyDescent="0.25">
      <c r="C32" t="str">
        <f>IF(COUNTBLANK(E32:N32) = 10,"",IF(AND(NOT(ISBLANK(E32)),COUNTBLANK(E32:N32) = 9),"3 Delete",IF(ISBLANK(E32),"2 Add",IF(JenkinsHashRange(E32:N32) = "1170403109","0 Original","1 Modify"))))</f>
        <v>0 Original</v>
      </c>
      <c r="D32" s="3" t="s">
        <v>480</v>
      </c>
      <c r="E32" s="5">
        <v>1031</v>
      </c>
      <c r="F32" s="3" t="s">
        <v>481</v>
      </c>
      <c r="G32" s="9">
        <v>8.99</v>
      </c>
      <c r="H32" s="18" t="s">
        <v>482</v>
      </c>
      <c r="I32" s="3" t="s">
        <v>483</v>
      </c>
      <c r="J32" s="7" t="s">
        <v>72</v>
      </c>
      <c r="K32" s="7">
        <v>42748.047013888892</v>
      </c>
      <c r="L32" s="3" t="s">
        <v>72</v>
      </c>
      <c r="M32" s="7">
        <v>42748.047013888892</v>
      </c>
    </row>
    <row r="33" spans="3:13" x14ac:dyDescent="0.25">
      <c r="C33" t="str">
        <f>IF(COUNTBLANK(E33:N33) = 10,"",IF(AND(NOT(ISBLANK(E33)),COUNTBLANK(E33:N33) = 9),"3 Delete",IF(ISBLANK(E33),"2 Add",IF(JenkinsHashRange(E33:N33) = "254789818","0 Original","1 Modify"))))</f>
        <v>0 Original</v>
      </c>
      <c r="D33" s="3" t="s">
        <v>484</v>
      </c>
      <c r="E33" s="5">
        <v>1032</v>
      </c>
      <c r="F33" s="3" t="s">
        <v>485</v>
      </c>
      <c r="G33" s="9">
        <v>6.99</v>
      </c>
      <c r="H33" s="18" t="s">
        <v>486</v>
      </c>
      <c r="I33" s="3" t="s">
        <v>487</v>
      </c>
      <c r="J33" s="7" t="s">
        <v>72</v>
      </c>
      <c r="K33" s="7">
        <v>42748.047013888892</v>
      </c>
      <c r="L33" s="3" t="s">
        <v>72</v>
      </c>
      <c r="M33" s="7">
        <v>42748.047013888892</v>
      </c>
    </row>
    <row r="34" spans="3:13" x14ac:dyDescent="0.25">
      <c r="C34" t="str">
        <f>IF(COUNTBLANK(E34:N34) = 10,"",IF(AND(NOT(ISBLANK(E34)),COUNTBLANK(E34:N34) = 9),"3 Delete",IF(ISBLANK(E34),"2 Add",IF(JenkinsHashRange(E34:N34) = "1455200689","0 Original","1 Modify"))))</f>
        <v>0 Original</v>
      </c>
      <c r="D34" s="3" t="s">
        <v>488</v>
      </c>
      <c r="E34" s="5">
        <v>1033</v>
      </c>
      <c r="F34" s="3" t="s">
        <v>489</v>
      </c>
      <c r="G34" s="9">
        <v>8.99</v>
      </c>
      <c r="H34" s="18" t="s">
        <v>490</v>
      </c>
      <c r="I34" s="3" t="s">
        <v>382</v>
      </c>
      <c r="J34" s="7" t="s">
        <v>72</v>
      </c>
      <c r="K34" s="7">
        <v>42748.047013888892</v>
      </c>
      <c r="L34" s="3" t="s">
        <v>72</v>
      </c>
      <c r="M34" s="7">
        <v>42748.047013888892</v>
      </c>
    </row>
    <row r="35" spans="3:13" x14ac:dyDescent="0.25">
      <c r="C35" t="str">
        <f>IF(COUNTBLANK(E35:N35) = 10,"",IF(AND(NOT(ISBLANK(E35)),COUNTBLANK(E35:N35) = 9),"3 Delete",IF(ISBLANK(E35),"2 Add",IF(JenkinsHashRange(E35:N35) = "1877863745","0 Original","1 Modify"))))</f>
        <v>0 Original</v>
      </c>
      <c r="D35" s="3" t="s">
        <v>491</v>
      </c>
      <c r="E35" s="5">
        <v>1034</v>
      </c>
      <c r="F35" s="3" t="s">
        <v>492</v>
      </c>
      <c r="G35" s="9">
        <v>7.99</v>
      </c>
      <c r="H35" s="18" t="s">
        <v>493</v>
      </c>
      <c r="I35" s="3" t="s">
        <v>396</v>
      </c>
      <c r="J35" s="7" t="s">
        <v>72</v>
      </c>
      <c r="K35" s="7">
        <v>42748.047013888892</v>
      </c>
      <c r="L35" s="3" t="s">
        <v>72</v>
      </c>
      <c r="M35" s="7">
        <v>42748.047013888892</v>
      </c>
    </row>
    <row r="36" spans="3:13" x14ac:dyDescent="0.25">
      <c r="C36" t="str">
        <f>IF(COUNTBLANK(E36:N36) = 10,"",IF(AND(NOT(ISBLANK(E36)),COUNTBLANK(E36:N36) = 9),"3 Delete",IF(ISBLANK(E36),"2 Add",IF(JenkinsHashRange(E36:N36) = "360908309","0 Original","1 Modify"))))</f>
        <v>0 Original</v>
      </c>
      <c r="D36" s="3" t="s">
        <v>494</v>
      </c>
      <c r="E36" s="5">
        <v>1035</v>
      </c>
      <c r="F36" s="3" t="s">
        <v>495</v>
      </c>
      <c r="G36" s="9">
        <v>8.99</v>
      </c>
      <c r="H36" s="18" t="s">
        <v>496</v>
      </c>
      <c r="I36" s="3" t="s">
        <v>382</v>
      </c>
      <c r="J36" s="7" t="s">
        <v>72</v>
      </c>
      <c r="K36" s="7">
        <v>42748.047013888892</v>
      </c>
      <c r="L36" s="3" t="s">
        <v>72</v>
      </c>
      <c r="M36" s="7">
        <v>42748.047013888892</v>
      </c>
    </row>
    <row r="37" spans="3:13" x14ac:dyDescent="0.25">
      <c r="C37" t="str">
        <f>IF(COUNTBLANK(E37:N37) = 10,"",IF(AND(NOT(ISBLANK(E37)),COUNTBLANK(E37:N37) = 9),"3 Delete",IF(ISBLANK(E37),"2 Add",IF(JenkinsHashRange(E37:N37) = "260833611","0 Original","1 Modify"))))</f>
        <v>0 Original</v>
      </c>
      <c r="D37" s="3" t="s">
        <v>497</v>
      </c>
      <c r="E37" s="5">
        <v>1036</v>
      </c>
      <c r="F37" s="3" t="s">
        <v>498</v>
      </c>
      <c r="G37" s="9">
        <v>7.99</v>
      </c>
      <c r="H37" s="18" t="s">
        <v>499</v>
      </c>
      <c r="I37" s="3" t="s">
        <v>449</v>
      </c>
      <c r="J37" s="7" t="s">
        <v>72</v>
      </c>
      <c r="K37" s="7">
        <v>42748.047013888892</v>
      </c>
      <c r="L37" s="3" t="s">
        <v>72</v>
      </c>
      <c r="M37" s="7">
        <v>42748.047013888892</v>
      </c>
    </row>
    <row r="38" spans="3:13" x14ac:dyDescent="0.25">
      <c r="C38" t="str">
        <f>IF(COUNTBLANK(E38:N38) = 10,"",IF(AND(NOT(ISBLANK(E38)),COUNTBLANK(E38:N38) = 9),"3 Delete",IF(ISBLANK(E38),"2 Add",IF(JenkinsHashRange(E38:N38) = "927337541","0 Original","1 Modify"))))</f>
        <v>0 Original</v>
      </c>
      <c r="D38" s="3" t="s">
        <v>500</v>
      </c>
      <c r="E38" s="5">
        <v>1037</v>
      </c>
      <c r="F38" s="3" t="s">
        <v>501</v>
      </c>
      <c r="G38" s="9">
        <v>4.99</v>
      </c>
      <c r="H38" s="18" t="s">
        <v>502</v>
      </c>
      <c r="I38" s="3" t="s">
        <v>378</v>
      </c>
      <c r="J38" s="7" t="s">
        <v>72</v>
      </c>
      <c r="K38" s="7">
        <v>42748.047013888892</v>
      </c>
      <c r="L38" s="3" t="s">
        <v>72</v>
      </c>
      <c r="M38" s="7">
        <v>42748.047013888892</v>
      </c>
    </row>
    <row r="39" spans="3:13" x14ac:dyDescent="0.25">
      <c r="C39" t="str">
        <f>IF(COUNTBLANK(E39:N39) = 10,"",IF(AND(NOT(ISBLANK(E39)),COUNTBLANK(E39:N39) = 9),"3 Delete",IF(ISBLANK(E39),"2 Add",IF(JenkinsHashRange(E39:N39) = "1251982997","0 Original","1 Modify"))))</f>
        <v>0 Original</v>
      </c>
      <c r="D39" s="3" t="s">
        <v>503</v>
      </c>
      <c r="E39" s="5">
        <v>1038</v>
      </c>
      <c r="F39" s="3" t="s">
        <v>504</v>
      </c>
      <c r="G39" s="9">
        <v>4.99</v>
      </c>
      <c r="H39" s="18" t="s">
        <v>505</v>
      </c>
      <c r="I39" s="3" t="s">
        <v>506</v>
      </c>
      <c r="J39" s="7" t="s">
        <v>72</v>
      </c>
      <c r="K39" s="7">
        <v>42748.047013888892</v>
      </c>
      <c r="L39" s="3" t="s">
        <v>72</v>
      </c>
      <c r="M39" s="7">
        <v>42748.047013888892</v>
      </c>
    </row>
    <row r="40" spans="3:13" x14ac:dyDescent="0.25">
      <c r="C40" t="str">
        <f>IF(COUNTBLANK(E40:N40) = 10,"",IF(AND(NOT(ISBLANK(E40)),COUNTBLANK(E40:N40) = 9),"3 Delete",IF(ISBLANK(E40),"2 Add",IF(JenkinsHashRange(E40:N40) = "2063504626","0 Original","1 Modify"))))</f>
        <v>0 Original</v>
      </c>
      <c r="D40" s="3" t="s">
        <v>507</v>
      </c>
      <c r="E40" s="5">
        <v>1039</v>
      </c>
      <c r="F40" s="3" t="s">
        <v>508</v>
      </c>
      <c r="G40" s="9">
        <v>7.99</v>
      </c>
      <c r="H40" s="18" t="s">
        <v>509</v>
      </c>
      <c r="I40" s="3" t="s">
        <v>506</v>
      </c>
      <c r="J40" s="7" t="s">
        <v>72</v>
      </c>
      <c r="K40" s="7">
        <v>42748.047013888892</v>
      </c>
      <c r="L40" s="3" t="s">
        <v>72</v>
      </c>
      <c r="M40" s="7">
        <v>42748.047013888892</v>
      </c>
    </row>
    <row r="41" spans="3:13" x14ac:dyDescent="0.25">
      <c r="C41" t="str">
        <f>IF(COUNTBLANK(E41:N41) = 10,"",IF(AND(NOT(ISBLANK(E41)),COUNTBLANK(E41:N41) = 9),"3 Delete",IF(ISBLANK(E41),"2 Add",IF(JenkinsHashRange(E41:N41) = "742224651","0 Original","1 Modify"))))</f>
        <v>0 Original</v>
      </c>
      <c r="D41" s="3" t="s">
        <v>510</v>
      </c>
      <c r="E41" s="5">
        <v>1040</v>
      </c>
      <c r="F41" s="3" t="s">
        <v>511</v>
      </c>
      <c r="G41" s="9">
        <v>5.99</v>
      </c>
      <c r="H41" s="18" t="s">
        <v>512</v>
      </c>
      <c r="I41" s="3" t="s">
        <v>513</v>
      </c>
      <c r="J41" s="7" t="s">
        <v>72</v>
      </c>
      <c r="K41" s="7">
        <v>42748.047013888892</v>
      </c>
      <c r="L41" s="3" t="s">
        <v>72</v>
      </c>
      <c r="M41" s="7">
        <v>42748.047013888892</v>
      </c>
    </row>
    <row r="42" spans="3:13" x14ac:dyDescent="0.25">
      <c r="C42" t="str">
        <f>IF(COUNTBLANK(E42:N42) = 10,"",IF(AND(NOT(ISBLANK(E42)),COUNTBLANK(E42:N42) = 9),"3 Delete",IF(ISBLANK(E42),"2 Add",IF(JenkinsHashRange(E42:N42) = "1372242664","0 Original","1 Modify"))))</f>
        <v>0 Original</v>
      </c>
      <c r="D42" s="3" t="s">
        <v>514</v>
      </c>
      <c r="E42" s="5">
        <v>1041</v>
      </c>
      <c r="F42" s="3" t="s">
        <v>515</v>
      </c>
      <c r="G42" s="9">
        <v>5.99</v>
      </c>
      <c r="H42" s="18" t="s">
        <v>516</v>
      </c>
      <c r="I42" s="3" t="s">
        <v>378</v>
      </c>
      <c r="J42" s="7" t="s">
        <v>72</v>
      </c>
      <c r="K42" s="7">
        <v>42748.047013888892</v>
      </c>
      <c r="L42" s="3" t="s">
        <v>72</v>
      </c>
      <c r="M42" s="7">
        <v>42748.047013888892</v>
      </c>
    </row>
    <row r="43" spans="3:13" x14ac:dyDescent="0.25">
      <c r="C43" t="str">
        <f>IF(COUNTBLANK(E43:N43) = 10,"",IF(AND(NOT(ISBLANK(E43)),COUNTBLANK(E43:N43) = 9),"3 Delete",IF(ISBLANK(E43),"2 Add",IF(JenkinsHashRange(E43:N43) = "1656120466","0 Original","1 Modify"))))</f>
        <v>0 Original</v>
      </c>
      <c r="D43" s="3" t="s">
        <v>517</v>
      </c>
      <c r="E43" s="5">
        <v>1042</v>
      </c>
      <c r="F43" s="3" t="s">
        <v>518</v>
      </c>
      <c r="G43" s="9">
        <v>5.99</v>
      </c>
      <c r="H43" s="18" t="s">
        <v>519</v>
      </c>
      <c r="I43" s="3" t="s">
        <v>520</v>
      </c>
      <c r="J43" s="7" t="s">
        <v>72</v>
      </c>
      <c r="K43" s="7">
        <v>42748.047013888892</v>
      </c>
      <c r="L43" s="3" t="s">
        <v>72</v>
      </c>
      <c r="M43" s="7">
        <v>42748.047013888892</v>
      </c>
    </row>
    <row r="44" spans="3:13" x14ac:dyDescent="0.25">
      <c r="C44" t="str">
        <f>IF(COUNTBLANK(E44:N44) = 10,"",IF(AND(NOT(ISBLANK(E44)),COUNTBLANK(E44:N44) = 9),"3 Delete",IF(ISBLANK(E44),"2 Add",IF(JenkinsHashRange(E44:N44) = "309046679","0 Original","1 Modify"))))</f>
        <v>0 Original</v>
      </c>
      <c r="D44" s="3" t="s">
        <v>521</v>
      </c>
      <c r="E44" s="5">
        <v>1043</v>
      </c>
      <c r="F44" s="3" t="s">
        <v>522</v>
      </c>
      <c r="G44" s="9">
        <v>5.99</v>
      </c>
      <c r="H44" s="18" t="s">
        <v>523</v>
      </c>
      <c r="I44" s="3" t="s">
        <v>382</v>
      </c>
      <c r="J44" s="7" t="s">
        <v>72</v>
      </c>
      <c r="K44" s="7">
        <v>42748.047013888892</v>
      </c>
      <c r="L44" s="3" t="s">
        <v>72</v>
      </c>
      <c r="M44" s="7">
        <v>42748.047013888892</v>
      </c>
    </row>
    <row r="45" spans="3:13" x14ac:dyDescent="0.25">
      <c r="C45" t="str">
        <f>IF(COUNTBLANK(E45:N45) = 10,"",IF(AND(NOT(ISBLANK(E45)),COUNTBLANK(E45:N45) = 9),"3 Delete",IF(ISBLANK(E45),"2 Add",IF(JenkinsHashRange(E45:N45) = "493942625","0 Original","1 Modify"))))</f>
        <v>0 Original</v>
      </c>
      <c r="D45" s="3" t="s">
        <v>524</v>
      </c>
      <c r="E45" s="5">
        <v>1044</v>
      </c>
      <c r="F45" s="3" t="s">
        <v>525</v>
      </c>
      <c r="G45" s="9">
        <v>9.99</v>
      </c>
      <c r="H45" s="18" t="s">
        <v>526</v>
      </c>
      <c r="I45" s="3" t="s">
        <v>449</v>
      </c>
      <c r="J45" s="7" t="s">
        <v>72</v>
      </c>
      <c r="K45" s="7">
        <v>42748.047013888892</v>
      </c>
      <c r="L45" s="3" t="s">
        <v>72</v>
      </c>
      <c r="M45" s="7">
        <v>42748.047013888892</v>
      </c>
    </row>
    <row r="46" spans="3:13" x14ac:dyDescent="0.25">
      <c r="C46" t="str">
        <f>IF(COUNTBLANK(E46:N46) = 10,"",IF(AND(NOT(ISBLANK(E46)),COUNTBLANK(E46:N46) = 9),"3 Delete",IF(ISBLANK(E46),"2 Add",IF(JenkinsHashRange(E46:N46) = "928686152","0 Original","1 Modify"))))</f>
        <v>0 Original</v>
      </c>
      <c r="D46" s="3" t="s">
        <v>527</v>
      </c>
      <c r="E46" s="5">
        <v>1045</v>
      </c>
      <c r="F46" s="3" t="s">
        <v>528</v>
      </c>
      <c r="G46" s="9">
        <v>5.99</v>
      </c>
      <c r="H46" s="18" t="s">
        <v>529</v>
      </c>
      <c r="I46" s="3" t="s">
        <v>382</v>
      </c>
      <c r="J46" s="7" t="s">
        <v>72</v>
      </c>
      <c r="K46" s="7">
        <v>42748.047013888892</v>
      </c>
      <c r="L46" s="3" t="s">
        <v>72</v>
      </c>
      <c r="M46" s="7">
        <v>42748.047013888892</v>
      </c>
    </row>
    <row r="47" spans="3:13" x14ac:dyDescent="0.25">
      <c r="C47" t="str">
        <f>IF(COUNTBLANK(E47:N47) = 10,"",IF(AND(NOT(ISBLANK(E47)),COUNTBLANK(E47:N47) = 9),"3 Delete",IF(ISBLANK(E47),"2 Add",IF(JenkinsHashRange(E47:N47) = "386901948","0 Original","1 Modify"))))</f>
        <v>0 Original</v>
      </c>
      <c r="D47" s="3" t="s">
        <v>530</v>
      </c>
      <c r="E47" s="5">
        <v>1046</v>
      </c>
      <c r="F47" s="3" t="s">
        <v>531</v>
      </c>
      <c r="G47" s="9">
        <v>5.99</v>
      </c>
      <c r="H47" s="18" t="s">
        <v>532</v>
      </c>
      <c r="I47" s="3" t="s">
        <v>533</v>
      </c>
      <c r="J47" s="7" t="s">
        <v>72</v>
      </c>
      <c r="K47" s="7">
        <v>42748.047013888892</v>
      </c>
      <c r="L47" s="3" t="s">
        <v>72</v>
      </c>
      <c r="M47" s="7">
        <v>42748.047013888892</v>
      </c>
    </row>
    <row r="48" spans="3:13" x14ac:dyDescent="0.25">
      <c r="C48" t="str">
        <f>IF(COUNTBLANK(E48:N48) = 10,"",IF(AND(NOT(ISBLANK(E48)),COUNTBLANK(E48:N48) = 9),"3 Delete",IF(ISBLANK(E48),"2 Add",IF(JenkinsHashRange(E48:N48) = "489935376","0 Original","1 Modify"))))</f>
        <v>0 Original</v>
      </c>
      <c r="D48" s="3" t="s">
        <v>534</v>
      </c>
      <c r="E48" s="5">
        <v>1047</v>
      </c>
      <c r="F48" s="3" t="s">
        <v>535</v>
      </c>
      <c r="G48" s="9">
        <v>7.99</v>
      </c>
      <c r="H48" s="18" t="s">
        <v>536</v>
      </c>
      <c r="I48" s="3" t="s">
        <v>537</v>
      </c>
      <c r="J48" s="7" t="s">
        <v>72</v>
      </c>
      <c r="K48" s="7">
        <v>42748.047013888892</v>
      </c>
      <c r="L48" s="3" t="s">
        <v>72</v>
      </c>
      <c r="M48" s="7">
        <v>42748.047013888892</v>
      </c>
    </row>
    <row r="49" spans="3:13" x14ac:dyDescent="0.25">
      <c r="C49" t="str">
        <f>IF(COUNTBLANK(E49:N49) = 10,"",IF(AND(NOT(ISBLANK(E49)),COUNTBLANK(E49:N49) = 9),"3 Delete",IF(ISBLANK(E49),"2 Add",IF(JenkinsHashRange(E49:N49) = "499948909","0 Original","1 Modify"))))</f>
        <v>0 Original</v>
      </c>
      <c r="D49" s="3" t="s">
        <v>538</v>
      </c>
      <c r="E49" s="5">
        <v>1048</v>
      </c>
      <c r="F49" s="3" t="s">
        <v>539</v>
      </c>
      <c r="G49" s="9">
        <v>5.99</v>
      </c>
      <c r="H49" s="18" t="s">
        <v>540</v>
      </c>
      <c r="I49" s="3" t="s">
        <v>541</v>
      </c>
      <c r="J49" s="7" t="s">
        <v>72</v>
      </c>
      <c r="K49" s="7">
        <v>42748.047013888892</v>
      </c>
      <c r="L49" s="3" t="s">
        <v>72</v>
      </c>
      <c r="M49" s="7">
        <v>42748.047013888892</v>
      </c>
    </row>
    <row r="50" spans="3:13" x14ac:dyDescent="0.25">
      <c r="C50" t="str">
        <f>IF(COUNTBLANK(E50:N50) = 10,"",IF(AND(NOT(ISBLANK(E50)),COUNTBLANK(E50:N50) = 9),"3 Delete",IF(ISBLANK(E50),"2 Add",IF(JenkinsHashRange(E50:N50) = "929083331","0 Original","1 Modify"))))</f>
        <v>0 Original</v>
      </c>
      <c r="D50" s="3" t="s">
        <v>542</v>
      </c>
      <c r="E50" s="5">
        <v>1049</v>
      </c>
      <c r="F50" s="3" t="s">
        <v>543</v>
      </c>
      <c r="G50" s="9">
        <v>8.99</v>
      </c>
      <c r="H50" s="18" t="s">
        <v>544</v>
      </c>
      <c r="I50" s="3" t="s">
        <v>545</v>
      </c>
      <c r="J50" s="7" t="s">
        <v>72</v>
      </c>
      <c r="K50" s="7">
        <v>42748.047013888892</v>
      </c>
      <c r="L50" s="3" t="s">
        <v>72</v>
      </c>
      <c r="M50" s="7">
        <v>42748.047013888892</v>
      </c>
    </row>
    <row r="51" spans="3:13" x14ac:dyDescent="0.25">
      <c r="C51" t="str">
        <f>IF(COUNTBLANK(E51:N51) = 10,"",IF(AND(NOT(ISBLANK(E51)),COUNTBLANK(E51:N51) = 9),"3 Delete",IF(ISBLANK(E51),"2 Add",IF(JenkinsHashRange(E51:N51) = "1671163089","0 Original","1 Modify"))))</f>
        <v>0 Original</v>
      </c>
      <c r="D51" s="3" t="s">
        <v>546</v>
      </c>
      <c r="E51" s="5">
        <v>1050</v>
      </c>
      <c r="F51" s="3" t="s">
        <v>547</v>
      </c>
      <c r="G51" s="9">
        <v>7.99</v>
      </c>
      <c r="H51" s="18" t="s">
        <v>548</v>
      </c>
      <c r="I51" s="3" t="s">
        <v>549</v>
      </c>
      <c r="J51" s="7" t="s">
        <v>72</v>
      </c>
      <c r="K51" s="7">
        <v>42748.047013888892</v>
      </c>
      <c r="L51" s="3" t="s">
        <v>72</v>
      </c>
      <c r="M51" s="7">
        <v>42748.047013888892</v>
      </c>
    </row>
    <row r="52" spans="3:13" x14ac:dyDescent="0.25">
      <c r="C52" t="str">
        <f>IF(COUNTBLANK(E52:N52) = 10,"",IF(AND(NOT(ISBLANK(E52)),COUNTBLANK(E52:N52) = 9),"3 Delete",IF(ISBLANK(E52),"2 Add",IF(JenkinsHashRange(E52:N52) = "845736846","0 Original","1 Modify"))))</f>
        <v>0 Original</v>
      </c>
      <c r="D52" s="3" t="s">
        <v>550</v>
      </c>
      <c r="E52" s="5">
        <v>1051</v>
      </c>
      <c r="F52" s="3" t="s">
        <v>551</v>
      </c>
      <c r="G52" s="9">
        <v>8.99</v>
      </c>
      <c r="H52" s="18" t="s">
        <v>552</v>
      </c>
      <c r="I52" s="3" t="s">
        <v>382</v>
      </c>
      <c r="J52" s="7" t="s">
        <v>72</v>
      </c>
      <c r="K52" s="7">
        <v>42748.047013888892</v>
      </c>
      <c r="L52" s="3" t="s">
        <v>72</v>
      </c>
      <c r="M52" s="7">
        <v>42748.047013888892</v>
      </c>
    </row>
    <row r="53" spans="3:13" x14ac:dyDescent="0.25">
      <c r="C53" t="str">
        <f>IF(COUNTBLANK(E53:N53) = 10,"",IF(AND(NOT(ISBLANK(E53)),COUNTBLANK(E53:N53) = 9),"3 Delete",IF(ISBLANK(E53),"2 Add",IF(JenkinsHashRange(E53:N53) = "127397332","0 Original","1 Modify"))))</f>
        <v>0 Original</v>
      </c>
      <c r="D53" s="3" t="s">
        <v>553</v>
      </c>
      <c r="E53" s="5">
        <v>1052</v>
      </c>
      <c r="F53" s="3" t="s">
        <v>554</v>
      </c>
      <c r="G53" s="9">
        <v>9.99</v>
      </c>
      <c r="H53" s="18" t="s">
        <v>555</v>
      </c>
      <c r="I53" s="3" t="s">
        <v>556</v>
      </c>
      <c r="J53" s="7" t="s">
        <v>72</v>
      </c>
      <c r="K53" s="7">
        <v>42748.047013888892</v>
      </c>
      <c r="L53" s="3" t="s">
        <v>72</v>
      </c>
      <c r="M53" s="7">
        <v>42748.047013888892</v>
      </c>
    </row>
    <row r="54" spans="3:13" x14ac:dyDescent="0.25">
      <c r="C54" t="str">
        <f>IF(COUNTBLANK(E54:N54) = 10,"",IF(AND(NOT(ISBLANK(E54)),COUNTBLANK(E54:N54) = 9),"3 Delete",IF(ISBLANK(E54),"2 Add",IF(JenkinsHashRange(E54:N54) = "780843649","0 Original","1 Modify"))))</f>
        <v>0 Original</v>
      </c>
      <c r="D54" s="3" t="s">
        <v>557</v>
      </c>
      <c r="E54" s="5">
        <v>1053</v>
      </c>
      <c r="F54" s="3" t="s">
        <v>558</v>
      </c>
      <c r="G54" s="9">
        <v>5.99</v>
      </c>
      <c r="H54" s="18" t="s">
        <v>559</v>
      </c>
      <c r="I54" s="3" t="s">
        <v>560</v>
      </c>
      <c r="J54" s="7" t="s">
        <v>72</v>
      </c>
      <c r="K54" s="7">
        <v>42748.047013888892</v>
      </c>
      <c r="L54" s="3" t="s">
        <v>72</v>
      </c>
      <c r="M54" s="7">
        <v>42748.047013888892</v>
      </c>
    </row>
    <row r="55" spans="3:13" x14ac:dyDescent="0.25">
      <c r="C55" t="str">
        <f>IF(COUNTBLANK(E55:N55) = 10,"",IF(AND(NOT(ISBLANK(E55)),COUNTBLANK(E55:N55) = 9),"3 Delete",IF(ISBLANK(E55),"2 Add",IF(JenkinsHashRange(E55:N55) = "1194631887","0 Original","1 Modify"))))</f>
        <v>0 Original</v>
      </c>
      <c r="D55" s="3" t="s">
        <v>561</v>
      </c>
      <c r="E55" s="5">
        <v>1054</v>
      </c>
      <c r="F55" s="3" t="s">
        <v>562</v>
      </c>
      <c r="G55" s="9">
        <v>5.99</v>
      </c>
      <c r="H55" s="18" t="s">
        <v>563</v>
      </c>
      <c r="I55" s="3" t="s">
        <v>564</v>
      </c>
      <c r="J55" s="7" t="s">
        <v>72</v>
      </c>
      <c r="K55" s="7">
        <v>42748.047013888892</v>
      </c>
      <c r="L55" s="3" t="s">
        <v>72</v>
      </c>
      <c r="M55" s="7">
        <v>42748.047013888892</v>
      </c>
    </row>
    <row r="56" spans="3:13" x14ac:dyDescent="0.25">
      <c r="C56" t="str">
        <f>IF(COUNTBLANK(E56:N56) = 10,"",IF(AND(NOT(ISBLANK(E56)),COUNTBLANK(E56:N56) = 9),"3 Delete",IF(ISBLANK(E56),"2 Add",IF(JenkinsHashRange(E56:N56) = "2104917968","0 Original","1 Modify"))))</f>
        <v>0 Original</v>
      </c>
      <c r="D56" s="3" t="s">
        <v>565</v>
      </c>
      <c r="E56" s="5">
        <v>1055</v>
      </c>
      <c r="F56" s="3" t="s">
        <v>566</v>
      </c>
      <c r="G56" s="9">
        <v>5.99</v>
      </c>
      <c r="H56" s="18" t="s">
        <v>567</v>
      </c>
      <c r="I56" s="3" t="s">
        <v>438</v>
      </c>
      <c r="J56" s="7" t="s">
        <v>72</v>
      </c>
      <c r="K56" s="7">
        <v>42748.047013888892</v>
      </c>
      <c r="L56" s="3" t="s">
        <v>72</v>
      </c>
      <c r="M56" s="7">
        <v>42748.047013888892</v>
      </c>
    </row>
    <row r="57" spans="3:13" x14ac:dyDescent="0.25">
      <c r="C57" t="str">
        <f>IF(COUNTBLANK(E57:N57) = 10,"",IF(AND(NOT(ISBLANK(E57)),COUNTBLANK(E57:N57) = 9),"3 Delete",IF(ISBLANK(E57),"2 Add",IF(JenkinsHashRange(E57:N57) = "1924940370","0 Original","1 Modify"))))</f>
        <v>0 Original</v>
      </c>
      <c r="D57" s="3" t="s">
        <v>568</v>
      </c>
      <c r="E57" s="5">
        <v>1056</v>
      </c>
      <c r="F57" s="3" t="s">
        <v>569</v>
      </c>
      <c r="G57" s="9">
        <v>4.99</v>
      </c>
      <c r="H57" s="18" t="s">
        <v>570</v>
      </c>
      <c r="I57" s="3" t="s">
        <v>571</v>
      </c>
      <c r="J57" s="7" t="s">
        <v>72</v>
      </c>
      <c r="K57" s="7">
        <v>42748.047013888892</v>
      </c>
      <c r="L57" s="3" t="s">
        <v>72</v>
      </c>
      <c r="M57" s="7">
        <v>42748.047013888892</v>
      </c>
    </row>
    <row r="58" spans="3:13" x14ac:dyDescent="0.25">
      <c r="C58" t="str">
        <f>IF(COUNTBLANK(E58:N58) = 10,"",IF(AND(NOT(ISBLANK(E58)),COUNTBLANK(E58:N58) = 9),"3 Delete",IF(ISBLANK(E58),"2 Add",IF(JenkinsHashRange(E58:N58) = "365822304","0 Original","1 Modify"))))</f>
        <v>0 Original</v>
      </c>
      <c r="D58" s="3" t="s">
        <v>572</v>
      </c>
      <c r="E58" s="5">
        <v>1057</v>
      </c>
      <c r="F58" s="3" t="s">
        <v>573</v>
      </c>
      <c r="G58" s="9">
        <v>5.99</v>
      </c>
      <c r="H58" s="18" t="s">
        <v>574</v>
      </c>
      <c r="I58" s="3" t="s">
        <v>382</v>
      </c>
      <c r="J58" s="7" t="s">
        <v>72</v>
      </c>
      <c r="K58" s="7">
        <v>42748.047013888892</v>
      </c>
      <c r="L58" s="3" t="s">
        <v>72</v>
      </c>
      <c r="M58" s="7">
        <v>42748.047013888892</v>
      </c>
    </row>
    <row r="59" spans="3:13" x14ac:dyDescent="0.25">
      <c r="C59" t="str">
        <f>IF(COUNTBLANK(E59:N59) = 10,"",IF(AND(NOT(ISBLANK(E59)),COUNTBLANK(E59:N59) = 9),"3 Delete",IF(ISBLANK(E59),"2 Add",IF(JenkinsHashRange(E59:N59) = "1522301366","0 Original","1 Modify"))))</f>
        <v>0 Original</v>
      </c>
      <c r="D59" s="3" t="s">
        <v>575</v>
      </c>
      <c r="E59" s="5">
        <v>1058</v>
      </c>
      <c r="F59" s="3" t="s">
        <v>576</v>
      </c>
      <c r="G59" s="9">
        <v>9.99</v>
      </c>
      <c r="H59" s="18" t="s">
        <v>577</v>
      </c>
      <c r="I59" s="3" t="s">
        <v>578</v>
      </c>
      <c r="J59" s="7" t="s">
        <v>72</v>
      </c>
      <c r="K59" s="7">
        <v>42748.047013888892</v>
      </c>
      <c r="L59" s="3" t="s">
        <v>72</v>
      </c>
      <c r="M59" s="7">
        <v>42748.047013888892</v>
      </c>
    </row>
    <row r="60" spans="3:13" x14ac:dyDescent="0.25">
      <c r="C60" t="str">
        <f>IF(COUNTBLANK(E60:N60) = 10,"",IF(AND(NOT(ISBLANK(E60)),COUNTBLANK(E60:N60) = 9),"3 Delete",IF(ISBLANK(E60),"2 Add",IF(JenkinsHashRange(E60:N60) = "1084290189","0 Original","1 Modify"))))</f>
        <v>0 Original</v>
      </c>
      <c r="D60" s="3" t="s">
        <v>579</v>
      </c>
      <c r="E60" s="5">
        <v>1059</v>
      </c>
      <c r="F60" s="3" t="s">
        <v>580</v>
      </c>
      <c r="G60" s="9">
        <v>6.99</v>
      </c>
      <c r="H60" s="18" t="s">
        <v>581</v>
      </c>
      <c r="I60" s="3" t="s">
        <v>578</v>
      </c>
      <c r="J60" s="7" t="s">
        <v>72</v>
      </c>
      <c r="K60" s="7">
        <v>42748.047013888892</v>
      </c>
      <c r="L60" s="3" t="s">
        <v>72</v>
      </c>
      <c r="M60" s="7">
        <v>42748.047013888892</v>
      </c>
    </row>
    <row r="61" spans="3:13" x14ac:dyDescent="0.25">
      <c r="C61" t="str">
        <f>IF(COUNTBLANK(E61:N61) = 10,"",IF(AND(NOT(ISBLANK(E61)),COUNTBLANK(E61:N61) = 9),"3 Delete",IF(ISBLANK(E61),"2 Add",IF(JenkinsHashRange(E61:N61) = "760582968","0 Original","1 Modify"))))</f>
        <v>0 Original</v>
      </c>
      <c r="D61" s="3" t="s">
        <v>582</v>
      </c>
      <c r="E61" s="5">
        <v>1060</v>
      </c>
      <c r="F61" s="3" t="s">
        <v>583</v>
      </c>
      <c r="G61" s="9">
        <v>9.99</v>
      </c>
      <c r="H61" s="18" t="s">
        <v>584</v>
      </c>
      <c r="I61" s="3" t="s">
        <v>382</v>
      </c>
      <c r="J61" s="7" t="s">
        <v>72</v>
      </c>
      <c r="K61" s="7">
        <v>42748.047013888892</v>
      </c>
      <c r="L61" s="3" t="s">
        <v>72</v>
      </c>
      <c r="M61" s="7">
        <v>42748.047013888892</v>
      </c>
    </row>
    <row r="62" spans="3:13" x14ac:dyDescent="0.25">
      <c r="C62" t="str">
        <f>IF(COUNTBLANK(E62:N62) = 10,"",IF(AND(NOT(ISBLANK(E62)),COUNTBLANK(E62:N62) = 9),"3 Delete",IF(ISBLANK(E62),"2 Add",IF(JenkinsHashRange(E62:N62) = "1572762419","0 Original","1 Modify"))))</f>
        <v>0 Original</v>
      </c>
      <c r="D62" s="3" t="s">
        <v>585</v>
      </c>
      <c r="E62" s="5">
        <v>1061</v>
      </c>
      <c r="F62" s="3" t="s">
        <v>586</v>
      </c>
      <c r="G62" s="9">
        <v>8.99</v>
      </c>
      <c r="H62" s="18" t="s">
        <v>587</v>
      </c>
      <c r="I62" s="3" t="s">
        <v>382</v>
      </c>
      <c r="J62" s="7" t="s">
        <v>72</v>
      </c>
      <c r="K62" s="7">
        <v>42748.047013888892</v>
      </c>
      <c r="L62" s="3" t="s">
        <v>72</v>
      </c>
      <c r="M62" s="7">
        <v>42748.047013888892</v>
      </c>
    </row>
    <row r="63" spans="3:13" x14ac:dyDescent="0.25">
      <c r="C63" t="str">
        <f>IF(COUNTBLANK(E63:N63) = 10,"",IF(AND(NOT(ISBLANK(E63)),COUNTBLANK(E63:N63) = 9),"3 Delete",IF(ISBLANK(E63),"2 Add",IF(JenkinsHashRange(E63:N63) = "696695112","0 Original","1 Modify"))))</f>
        <v>0 Original</v>
      </c>
      <c r="D63" s="3" t="s">
        <v>588</v>
      </c>
      <c r="E63" s="5">
        <v>1062</v>
      </c>
      <c r="F63" s="3" t="s">
        <v>589</v>
      </c>
      <c r="G63" s="9">
        <v>5.99</v>
      </c>
      <c r="H63" s="18" t="s">
        <v>590</v>
      </c>
      <c r="I63" s="3" t="s">
        <v>591</v>
      </c>
      <c r="J63" s="7" t="s">
        <v>72</v>
      </c>
      <c r="K63" s="7">
        <v>42748.047013888892</v>
      </c>
      <c r="L63" s="3" t="s">
        <v>72</v>
      </c>
      <c r="M63" s="7">
        <v>42748.047013888892</v>
      </c>
    </row>
    <row r="64" spans="3:13" x14ac:dyDescent="0.25">
      <c r="C64" t="str">
        <f>IF(COUNTBLANK(E64:N64) = 10,"",IF(AND(NOT(ISBLANK(E64)),COUNTBLANK(E64:N64) = 9),"3 Delete",IF(ISBLANK(E64),"2 Add",IF(JenkinsHashRange(E64:N64) = "2000885915","0 Original","1 Modify"))))</f>
        <v>0 Original</v>
      </c>
      <c r="D64" s="3" t="s">
        <v>592</v>
      </c>
      <c r="E64" s="5">
        <v>1063</v>
      </c>
      <c r="F64" s="3" t="s">
        <v>593</v>
      </c>
      <c r="G64" s="9">
        <v>4.99</v>
      </c>
      <c r="H64" s="18" t="s">
        <v>594</v>
      </c>
      <c r="I64" s="3" t="s">
        <v>595</v>
      </c>
      <c r="J64" s="7" t="s">
        <v>72</v>
      </c>
      <c r="K64" s="7">
        <v>42748.047013888892</v>
      </c>
      <c r="L64" s="3" t="s">
        <v>72</v>
      </c>
      <c r="M64" s="7">
        <v>42748.047013888892</v>
      </c>
    </row>
    <row r="65" spans="3:13" x14ac:dyDescent="0.25">
      <c r="C65" t="str">
        <f>IF(COUNTBLANK(E65:N65) = 10,"",IF(AND(NOT(ISBLANK(E65)),COUNTBLANK(E65:N65) = 9),"3 Delete",IF(ISBLANK(E65),"2 Add",IF(JenkinsHashRange(E65:N65) = "1485652276","0 Original","1 Modify"))))</f>
        <v>0 Original</v>
      </c>
      <c r="D65" s="3" t="s">
        <v>596</v>
      </c>
      <c r="E65" s="5">
        <v>1064</v>
      </c>
      <c r="F65" s="3" t="s">
        <v>597</v>
      </c>
      <c r="G65" s="9">
        <v>5.99</v>
      </c>
      <c r="H65" s="18" t="s">
        <v>598</v>
      </c>
      <c r="I65" s="3" t="s">
        <v>599</v>
      </c>
      <c r="J65" s="7" t="s">
        <v>72</v>
      </c>
      <c r="K65" s="7">
        <v>42748.047013888892</v>
      </c>
      <c r="L65" s="3" t="s">
        <v>72</v>
      </c>
      <c r="M65" s="7">
        <v>42748.047013888892</v>
      </c>
    </row>
    <row r="66" spans="3:13" x14ac:dyDescent="0.25">
      <c r="C66" t="str">
        <f>IF(COUNTBLANK(E66:N66) = 10,"",IF(AND(NOT(ISBLANK(E66)),COUNTBLANK(E66:N66) = 9),"3 Delete",IF(ISBLANK(E66),"2 Add",IF(JenkinsHashRange(E66:N66) = "1618065509","0 Original","1 Modify"))))</f>
        <v>0 Original</v>
      </c>
      <c r="D66" s="3" t="s">
        <v>600</v>
      </c>
      <c r="E66" s="5">
        <v>1065</v>
      </c>
      <c r="F66" s="3" t="s">
        <v>601</v>
      </c>
      <c r="G66" s="9">
        <v>7.99</v>
      </c>
      <c r="H66" s="18" t="s">
        <v>602</v>
      </c>
      <c r="I66" s="3" t="s">
        <v>603</v>
      </c>
      <c r="J66" s="7" t="s">
        <v>72</v>
      </c>
      <c r="K66" s="7">
        <v>42748.047013888892</v>
      </c>
      <c r="L66" s="3" t="s">
        <v>72</v>
      </c>
      <c r="M66" s="7">
        <v>42748.047013888892</v>
      </c>
    </row>
    <row r="67" spans="3:13" x14ac:dyDescent="0.25">
      <c r="C67" t="str">
        <f>IF(COUNTBLANK(E67:N67) = 10,"",IF(AND(NOT(ISBLANK(E67)),COUNTBLANK(E67:N67) = 9),"3 Delete",IF(ISBLANK(E67),"2 Add",IF(JenkinsHashRange(E67:N67) = "1630996605","0 Original","1 Modify"))))</f>
        <v>0 Original</v>
      </c>
      <c r="D67" s="3" t="s">
        <v>604</v>
      </c>
      <c r="E67" s="5">
        <v>1066</v>
      </c>
      <c r="F67" s="3" t="s">
        <v>605</v>
      </c>
      <c r="G67" s="9">
        <v>7.99</v>
      </c>
      <c r="H67" s="18" t="s">
        <v>606</v>
      </c>
      <c r="I67" s="3" t="s">
        <v>607</v>
      </c>
      <c r="J67" s="7" t="s">
        <v>72</v>
      </c>
      <c r="K67" s="7">
        <v>42748.047013888892</v>
      </c>
      <c r="L67" s="3" t="s">
        <v>72</v>
      </c>
      <c r="M67" s="7">
        <v>42748.047013888892</v>
      </c>
    </row>
    <row r="68" spans="3:13" x14ac:dyDescent="0.25">
      <c r="C68" t="str">
        <f>IF(COUNTBLANK(E68:N68) = 10,"",IF(AND(NOT(ISBLANK(E68)),COUNTBLANK(E68:N68) = 9),"3 Delete",IF(ISBLANK(E68),"2 Add",IF(JenkinsHashRange(E68:N68) = "512303301","0 Original","1 Modify"))))</f>
        <v>0 Original</v>
      </c>
      <c r="D68" s="3" t="s">
        <v>608</v>
      </c>
      <c r="E68" s="5">
        <v>1067</v>
      </c>
      <c r="F68" s="3" t="s">
        <v>609</v>
      </c>
      <c r="G68" s="9">
        <v>8.99</v>
      </c>
      <c r="H68" s="18" t="s">
        <v>610</v>
      </c>
      <c r="I68" s="3" t="s">
        <v>611</v>
      </c>
      <c r="J68" s="7" t="s">
        <v>72</v>
      </c>
      <c r="K68" s="7">
        <v>42748.047013888892</v>
      </c>
      <c r="L68" s="3" t="s">
        <v>72</v>
      </c>
      <c r="M68" s="7">
        <v>42748.047013888892</v>
      </c>
    </row>
    <row r="69" spans="3:13" x14ac:dyDescent="0.25">
      <c r="C69" t="str">
        <f>IF(COUNTBLANK(E69:N69) = 10,"",IF(AND(NOT(ISBLANK(E69)),COUNTBLANK(E69:N69) = 9),"3 Delete",IF(ISBLANK(E69),"2 Add",IF(JenkinsHashRange(E69:N69) = "1857991171","0 Original","1 Modify"))))</f>
        <v>0 Original</v>
      </c>
      <c r="D69" s="3" t="s">
        <v>612</v>
      </c>
      <c r="E69" s="5">
        <v>1068</v>
      </c>
      <c r="F69" s="3" t="s">
        <v>613</v>
      </c>
      <c r="G69" s="9">
        <v>4.99</v>
      </c>
      <c r="H69" s="18" t="s">
        <v>614</v>
      </c>
      <c r="I69" s="3" t="s">
        <v>430</v>
      </c>
      <c r="J69" s="7" t="s">
        <v>72</v>
      </c>
      <c r="K69" s="7">
        <v>42748.047013888892</v>
      </c>
      <c r="L69" s="3" t="s">
        <v>72</v>
      </c>
      <c r="M69" s="7">
        <v>42748.047013888892</v>
      </c>
    </row>
    <row r="70" spans="3:13" x14ac:dyDescent="0.25">
      <c r="C70" t="str">
        <f>IF(COUNTBLANK(E70:N70) = 10,"",IF(AND(NOT(ISBLANK(E70)),COUNTBLANK(E70:N70) = 9),"3 Delete",IF(ISBLANK(E70),"2 Add",IF(JenkinsHashRange(E70:N70) = "1129550885","0 Original","1 Modify"))))</f>
        <v>0 Original</v>
      </c>
      <c r="D70" s="3" t="s">
        <v>615</v>
      </c>
      <c r="E70" s="5">
        <v>1069</v>
      </c>
      <c r="F70" s="3" t="s">
        <v>616</v>
      </c>
      <c r="G70" s="9">
        <v>9.99</v>
      </c>
      <c r="H70" s="18" t="s">
        <v>617</v>
      </c>
      <c r="I70" s="3" t="s">
        <v>449</v>
      </c>
      <c r="J70" s="7" t="s">
        <v>72</v>
      </c>
      <c r="K70" s="7">
        <v>42748.047013888892</v>
      </c>
      <c r="L70" s="3" t="s">
        <v>72</v>
      </c>
      <c r="M70" s="7">
        <v>42748.047013888892</v>
      </c>
    </row>
    <row r="71" spans="3:13" x14ac:dyDescent="0.25">
      <c r="C71" t="str">
        <f>IF(COUNTBLANK(E71:N71) = 10,"",IF(AND(NOT(ISBLANK(E71)),COUNTBLANK(E71:N71) = 9),"3 Delete",IF(ISBLANK(E71),"2 Add",IF(JenkinsHashRange(E71:N71) = "677683124","0 Original","1 Modify"))))</f>
        <v>0 Original</v>
      </c>
      <c r="D71" s="3" t="s">
        <v>618</v>
      </c>
      <c r="E71" s="5">
        <v>1070</v>
      </c>
      <c r="F71" s="3" t="s">
        <v>619</v>
      </c>
      <c r="G71" s="9">
        <v>8.99</v>
      </c>
      <c r="H71" s="18" t="s">
        <v>620</v>
      </c>
      <c r="I71" s="3" t="s">
        <v>449</v>
      </c>
      <c r="J71" s="7" t="s">
        <v>72</v>
      </c>
      <c r="K71" s="7">
        <v>42748.047013888892</v>
      </c>
      <c r="L71" s="3" t="s">
        <v>72</v>
      </c>
      <c r="M71" s="7">
        <v>42748.047013888892</v>
      </c>
    </row>
    <row r="72" spans="3:13" x14ac:dyDescent="0.25">
      <c r="C72" t="str">
        <f>IF(COUNTBLANK(E72:N72) = 10,"",IF(AND(NOT(ISBLANK(E72)),COUNTBLANK(E72:N72) = 9),"3 Delete",IF(ISBLANK(E72),"2 Add",IF(JenkinsHashRange(E72:N72) = "164661859","0 Original","1 Modify"))))</f>
        <v>0 Original</v>
      </c>
      <c r="D72" s="3" t="s">
        <v>621</v>
      </c>
      <c r="E72" s="5">
        <v>1071</v>
      </c>
      <c r="F72" s="3" t="s">
        <v>622</v>
      </c>
      <c r="G72" s="9">
        <v>4.99</v>
      </c>
      <c r="H72" s="18" t="s">
        <v>623</v>
      </c>
      <c r="I72" s="3" t="s">
        <v>624</v>
      </c>
      <c r="J72" s="7" t="s">
        <v>72</v>
      </c>
      <c r="K72" s="7">
        <v>42748.047013888892</v>
      </c>
      <c r="L72" s="3" t="s">
        <v>72</v>
      </c>
      <c r="M72" s="7">
        <v>42748.047013888892</v>
      </c>
    </row>
    <row r="73" spans="3:13" x14ac:dyDescent="0.25">
      <c r="C73" t="str">
        <f>IF(COUNTBLANK(E73:N73) = 10,"",IF(AND(NOT(ISBLANK(E73)),COUNTBLANK(E73:N73) = 9),"3 Delete",IF(ISBLANK(E73),"2 Add",IF(JenkinsHashRange(E73:N73) = "509463225","0 Original","1 Modify"))))</f>
        <v>0 Original</v>
      </c>
      <c r="D73" s="3" t="s">
        <v>625</v>
      </c>
      <c r="E73" s="5">
        <v>1072</v>
      </c>
      <c r="F73" s="3" t="s">
        <v>626</v>
      </c>
      <c r="G73" s="9">
        <v>6.99</v>
      </c>
      <c r="H73" s="18" t="s">
        <v>627</v>
      </c>
      <c r="I73" s="3" t="s">
        <v>382</v>
      </c>
      <c r="J73" s="7" t="s">
        <v>72</v>
      </c>
      <c r="K73" s="7">
        <v>42748.047013888892</v>
      </c>
      <c r="L73" s="3" t="s">
        <v>72</v>
      </c>
      <c r="M73" s="7">
        <v>42748.047013888892</v>
      </c>
    </row>
    <row r="74" spans="3:13" x14ac:dyDescent="0.25">
      <c r="C74" t="str">
        <f>IF(COUNTBLANK(E74:N74) = 10,"",IF(AND(NOT(ISBLANK(E74)),COUNTBLANK(E74:N74) = 9),"3 Delete",IF(ISBLANK(E74),"2 Add",IF(JenkinsHashRange(E74:N74) = "2092629916","0 Original","1 Modify"))))</f>
        <v>0 Original</v>
      </c>
      <c r="D74" s="3" t="s">
        <v>628</v>
      </c>
      <c r="E74" s="5">
        <v>1073</v>
      </c>
      <c r="F74" s="3" t="s">
        <v>629</v>
      </c>
      <c r="G74" s="9">
        <v>8.99</v>
      </c>
      <c r="H74" s="18" t="s">
        <v>630</v>
      </c>
      <c r="I74" s="3" t="s">
        <v>449</v>
      </c>
      <c r="J74" s="7" t="s">
        <v>72</v>
      </c>
      <c r="K74" s="7">
        <v>42748.047013888892</v>
      </c>
      <c r="L74" s="3" t="s">
        <v>72</v>
      </c>
      <c r="M74" s="7">
        <v>42748.047013888892</v>
      </c>
    </row>
    <row r="75" spans="3:13" x14ac:dyDescent="0.25">
      <c r="C75" t="str">
        <f>IF(COUNTBLANK(E75:N75) = 10,"",IF(AND(NOT(ISBLANK(E75)),COUNTBLANK(E75:N75) = 9),"3 Delete",IF(ISBLANK(E75),"2 Add",IF(JenkinsHashRange(E75:N75) = "2091801235","0 Original","1 Modify"))))</f>
        <v>0 Original</v>
      </c>
      <c r="D75" s="3" t="s">
        <v>631</v>
      </c>
      <c r="E75" s="5">
        <v>1074</v>
      </c>
      <c r="F75" s="3" t="s">
        <v>632</v>
      </c>
      <c r="G75" s="9">
        <v>8.99</v>
      </c>
      <c r="H75" s="18" t="s">
        <v>633</v>
      </c>
      <c r="I75" s="3" t="s">
        <v>634</v>
      </c>
      <c r="J75" s="7" t="s">
        <v>72</v>
      </c>
      <c r="K75" s="7">
        <v>42748.047013888892</v>
      </c>
      <c r="L75" s="3" t="s">
        <v>72</v>
      </c>
      <c r="M75" s="7">
        <v>42748.047013888892</v>
      </c>
    </row>
    <row r="76" spans="3:13" x14ac:dyDescent="0.25">
      <c r="C76" t="str">
        <f>IF(COUNTBLANK(E76:N76) = 10,"",IF(AND(NOT(ISBLANK(E76)),COUNTBLANK(E76:N76) = 9),"3 Delete",IF(ISBLANK(E76),"2 Add",IF(JenkinsHashRange(E76:N76) = "1476595674","0 Original","1 Modify"))))</f>
        <v>0 Original</v>
      </c>
      <c r="D76" s="3" t="s">
        <v>635</v>
      </c>
      <c r="E76" s="5">
        <v>1075</v>
      </c>
      <c r="F76" s="3" t="s">
        <v>636</v>
      </c>
      <c r="G76" s="9">
        <v>4.99</v>
      </c>
      <c r="H76" s="18" t="s">
        <v>637</v>
      </c>
      <c r="I76" s="3" t="s">
        <v>638</v>
      </c>
      <c r="J76" s="7" t="s">
        <v>72</v>
      </c>
      <c r="K76" s="7">
        <v>42748.047013888892</v>
      </c>
      <c r="L76" s="3" t="s">
        <v>72</v>
      </c>
      <c r="M76" s="7">
        <v>42748.047013888892</v>
      </c>
    </row>
    <row r="77" spans="3:13" x14ac:dyDescent="0.25">
      <c r="C77" t="str">
        <f>IF(COUNTBLANK(E77:N77) = 10,"",IF(AND(NOT(ISBLANK(E77)),COUNTBLANK(E77:N77) = 9),"3 Delete",IF(ISBLANK(E77),"2 Add",IF(JenkinsHashRange(E77:N77) = "467640813","0 Original","1 Modify"))))</f>
        <v>0 Original</v>
      </c>
      <c r="D77" s="3" t="s">
        <v>639</v>
      </c>
      <c r="E77" s="5">
        <v>1076</v>
      </c>
      <c r="F77" s="3" t="s">
        <v>640</v>
      </c>
      <c r="G77" s="9">
        <v>7.99</v>
      </c>
      <c r="H77" s="18" t="s">
        <v>641</v>
      </c>
      <c r="I77" s="3" t="s">
        <v>642</v>
      </c>
      <c r="J77" s="7" t="s">
        <v>72</v>
      </c>
      <c r="K77" s="7">
        <v>42748.047025462962</v>
      </c>
      <c r="L77" s="3" t="s">
        <v>72</v>
      </c>
      <c r="M77" s="7">
        <v>42748.047025462962</v>
      </c>
    </row>
    <row r="78" spans="3:13" x14ac:dyDescent="0.25">
      <c r="C78" t="str">
        <f>IF(COUNTBLANK(E78:N78) = 10,"",IF(AND(NOT(ISBLANK(E78)),COUNTBLANK(E78:N78) = 9),"3 Delete",IF(ISBLANK(E78),"2 Add",IF(JenkinsHashRange(E78:N78) = "372042051","0 Original","1 Modify"))))</f>
        <v>0 Original</v>
      </c>
      <c r="D78" s="3" t="s">
        <v>643</v>
      </c>
      <c r="E78" s="5">
        <v>1077</v>
      </c>
      <c r="F78" s="3" t="s">
        <v>644</v>
      </c>
      <c r="G78" s="9">
        <v>4.99</v>
      </c>
      <c r="H78" s="18" t="s">
        <v>645</v>
      </c>
      <c r="I78" s="3" t="s">
        <v>382</v>
      </c>
      <c r="J78" s="7" t="s">
        <v>72</v>
      </c>
      <c r="K78" s="7">
        <v>42748.047025462962</v>
      </c>
      <c r="L78" s="3" t="s">
        <v>72</v>
      </c>
      <c r="M78" s="7">
        <v>42748.047025462962</v>
      </c>
    </row>
    <row r="79" spans="3:13" x14ac:dyDescent="0.25">
      <c r="C79" t="str">
        <f>IF(COUNTBLANK(E79:N79) = 10,"",IF(AND(NOT(ISBLANK(E79)),COUNTBLANK(E79:N79) = 9),"3 Delete",IF(ISBLANK(E79),"2 Add",IF(JenkinsHashRange(E79:N79) = "1962893784","0 Original","1 Modify"))))</f>
        <v>0 Original</v>
      </c>
      <c r="D79" s="3" t="s">
        <v>646</v>
      </c>
      <c r="E79" s="5">
        <v>1078</v>
      </c>
      <c r="F79" s="3" t="s">
        <v>647</v>
      </c>
      <c r="G79" s="9">
        <v>7.99</v>
      </c>
      <c r="H79" s="18" t="s">
        <v>648</v>
      </c>
      <c r="I79" s="3" t="s">
        <v>382</v>
      </c>
      <c r="J79" s="7" t="s">
        <v>72</v>
      </c>
      <c r="K79" s="7">
        <v>42748.047025462962</v>
      </c>
      <c r="L79" s="3" t="s">
        <v>72</v>
      </c>
      <c r="M79" s="7">
        <v>42748.047025462962</v>
      </c>
    </row>
    <row r="80" spans="3:13" x14ac:dyDescent="0.25">
      <c r="C80" t="str">
        <f>IF(COUNTBLANK(E80:N80) = 10,"",IF(AND(NOT(ISBLANK(E80)),COUNTBLANK(E80:N80) = 9),"3 Delete",IF(ISBLANK(E80),"2 Add",IF(JenkinsHashRange(E80:N80) = "1221669356","0 Original","1 Modify"))))</f>
        <v>0 Original</v>
      </c>
      <c r="D80" s="3" t="s">
        <v>649</v>
      </c>
      <c r="E80" s="5">
        <v>1079</v>
      </c>
      <c r="F80" s="3" t="s">
        <v>650</v>
      </c>
      <c r="G80" s="9">
        <v>5.99</v>
      </c>
      <c r="H80" s="18" t="s">
        <v>651</v>
      </c>
      <c r="I80" s="3" t="s">
        <v>652</v>
      </c>
      <c r="J80" s="7" t="s">
        <v>72</v>
      </c>
      <c r="K80" s="7">
        <v>42748.047025462962</v>
      </c>
      <c r="L80" s="3" t="s">
        <v>72</v>
      </c>
      <c r="M80" s="7">
        <v>42748.047025462962</v>
      </c>
    </row>
    <row r="81" spans="3:13" x14ac:dyDescent="0.25">
      <c r="C81" t="str">
        <f>IF(COUNTBLANK(E81:N81) = 10,"",IF(AND(NOT(ISBLANK(E81)),COUNTBLANK(E81:N81) = 9),"3 Delete",IF(ISBLANK(E81),"2 Add",IF(JenkinsHashRange(E81:N81) = "1809189380","0 Original","1 Modify"))))</f>
        <v>0 Original</v>
      </c>
      <c r="D81" s="3" t="s">
        <v>653</v>
      </c>
      <c r="E81" s="5">
        <v>1080</v>
      </c>
      <c r="F81" s="3" t="s">
        <v>654</v>
      </c>
      <c r="G81" s="9">
        <v>7.99</v>
      </c>
      <c r="H81" s="18" t="s">
        <v>655</v>
      </c>
      <c r="I81" s="3" t="s">
        <v>396</v>
      </c>
      <c r="J81" s="7" t="s">
        <v>72</v>
      </c>
      <c r="K81" s="7">
        <v>42748.047025462962</v>
      </c>
      <c r="L81" s="3" t="s">
        <v>72</v>
      </c>
      <c r="M81" s="7">
        <v>42748.047025462962</v>
      </c>
    </row>
    <row r="82" spans="3:13" x14ac:dyDescent="0.25">
      <c r="C82" t="str">
        <f>IF(COUNTBLANK(E82:N82) = 10,"",IF(AND(NOT(ISBLANK(E82)),COUNTBLANK(E82:N82) = 9),"3 Delete",IF(ISBLANK(E82),"2 Add",IF(JenkinsHashRange(E82:N82) = "1550467867","0 Original","1 Modify"))))</f>
        <v>0 Original</v>
      </c>
      <c r="D82" s="3" t="s">
        <v>656</v>
      </c>
      <c r="E82" s="5">
        <v>1081</v>
      </c>
      <c r="F82" s="3" t="s">
        <v>657</v>
      </c>
      <c r="G82" s="9">
        <v>7.99</v>
      </c>
      <c r="H82" s="18" t="s">
        <v>658</v>
      </c>
      <c r="I82" s="3" t="s">
        <v>378</v>
      </c>
      <c r="J82" s="7" t="s">
        <v>72</v>
      </c>
      <c r="K82" s="7">
        <v>42748.047025462962</v>
      </c>
      <c r="L82" s="3" t="s">
        <v>72</v>
      </c>
      <c r="M82" s="7">
        <v>42748.047025462962</v>
      </c>
    </row>
    <row r="83" spans="3:13" x14ac:dyDescent="0.25">
      <c r="C83" t="str">
        <f>IF(COUNTBLANK(E83:N83) = 10,"",IF(AND(NOT(ISBLANK(E83)),COUNTBLANK(E83:N83) = 9),"3 Delete",IF(ISBLANK(E83),"2 Add",IF(JenkinsHashRange(E83:N83) = "555815074","0 Original","1 Modify"))))</f>
        <v>0 Original</v>
      </c>
      <c r="D83" s="3" t="s">
        <v>659</v>
      </c>
      <c r="E83" s="5">
        <v>1082</v>
      </c>
      <c r="F83" s="3" t="s">
        <v>660</v>
      </c>
      <c r="G83" s="9">
        <v>9.99</v>
      </c>
      <c r="H83" s="18" t="s">
        <v>661</v>
      </c>
      <c r="I83" s="3" t="s">
        <v>506</v>
      </c>
      <c r="J83" s="7" t="s">
        <v>72</v>
      </c>
      <c r="K83" s="7">
        <v>42748.047025462962</v>
      </c>
      <c r="L83" s="3" t="s">
        <v>72</v>
      </c>
      <c r="M83" s="7">
        <v>42748.047025462962</v>
      </c>
    </row>
    <row r="84" spans="3:13" x14ac:dyDescent="0.25">
      <c r="C84" t="str">
        <f>IF(COUNTBLANK(E84:N84) = 10,"",IF(AND(NOT(ISBLANK(E84)),COUNTBLANK(E84:N84) = 9),"3 Delete",IF(ISBLANK(E84),"2 Add",IF(JenkinsHashRange(E84:N84) = "1874996884","0 Original","1 Modify"))))</f>
        <v>0 Original</v>
      </c>
      <c r="D84" s="3" t="s">
        <v>662</v>
      </c>
      <c r="E84" s="5">
        <v>1083</v>
      </c>
      <c r="F84" s="3" t="s">
        <v>663</v>
      </c>
      <c r="G84" s="9">
        <v>8.99</v>
      </c>
      <c r="H84" s="18" t="s">
        <v>664</v>
      </c>
      <c r="I84" s="3" t="s">
        <v>382</v>
      </c>
      <c r="J84" s="7" t="s">
        <v>72</v>
      </c>
      <c r="K84" s="7">
        <v>42748.047025462962</v>
      </c>
      <c r="L84" s="3" t="s">
        <v>72</v>
      </c>
      <c r="M84" s="7">
        <v>42748.047025462962</v>
      </c>
    </row>
    <row r="85" spans="3:13" x14ac:dyDescent="0.25">
      <c r="C85" t="str">
        <f>IF(COUNTBLANK(E85:N85) = 10,"",IF(AND(NOT(ISBLANK(E85)),COUNTBLANK(E85:N85) = 9),"3 Delete",IF(ISBLANK(E85),"2 Add",IF(JenkinsHashRange(E85:N85) = "692630376","0 Original","1 Modify"))))</f>
        <v>0 Original</v>
      </c>
      <c r="D85" s="3" t="s">
        <v>665</v>
      </c>
      <c r="E85" s="5">
        <v>1084</v>
      </c>
      <c r="F85" s="3" t="s">
        <v>666</v>
      </c>
      <c r="G85" s="9">
        <v>8.99</v>
      </c>
      <c r="H85" s="18" t="s">
        <v>667</v>
      </c>
      <c r="I85" s="3" t="s">
        <v>668</v>
      </c>
      <c r="J85" s="7" t="s">
        <v>72</v>
      </c>
      <c r="K85" s="7">
        <v>42748.047025462962</v>
      </c>
      <c r="L85" s="3" t="s">
        <v>72</v>
      </c>
      <c r="M85" s="7">
        <v>42748.047025462962</v>
      </c>
    </row>
    <row r="86" spans="3:13" x14ac:dyDescent="0.25">
      <c r="C86" t="str">
        <f>IF(COUNTBLANK(E86:N86) = 10,"",IF(AND(NOT(ISBLANK(E86)),COUNTBLANK(E86:N86) = 9),"3 Delete",IF(ISBLANK(E86),"2 Add",IF(JenkinsHashRange(E86:N86) = "1859788439","0 Original","1 Modify"))))</f>
        <v>0 Original</v>
      </c>
      <c r="D86" s="3" t="s">
        <v>669</v>
      </c>
      <c r="E86" s="5">
        <v>1085</v>
      </c>
      <c r="F86" s="3" t="s">
        <v>670</v>
      </c>
      <c r="G86" s="9">
        <v>8.99</v>
      </c>
      <c r="H86" s="18" t="s">
        <v>671</v>
      </c>
      <c r="I86" s="3" t="s">
        <v>672</v>
      </c>
      <c r="J86" s="7" t="s">
        <v>72</v>
      </c>
      <c r="K86" s="7">
        <v>42748.047025462962</v>
      </c>
      <c r="L86" s="3" t="s">
        <v>72</v>
      </c>
      <c r="M86" s="7">
        <v>42748.047025462962</v>
      </c>
    </row>
    <row r="87" spans="3:13" x14ac:dyDescent="0.25">
      <c r="C87" t="str">
        <f>IF(COUNTBLANK(E87:N87) = 10,"",IF(AND(NOT(ISBLANK(E87)),COUNTBLANK(E87:N87) = 9),"3 Delete",IF(ISBLANK(E87),"2 Add",IF(JenkinsHashRange(E87:N87) = "96005839","0 Original","1 Modify"))))</f>
        <v>0 Original</v>
      </c>
      <c r="D87" s="3" t="s">
        <v>673</v>
      </c>
      <c r="E87" s="5">
        <v>1086</v>
      </c>
      <c r="F87" s="3" t="s">
        <v>674</v>
      </c>
      <c r="G87" s="9">
        <v>5.99</v>
      </c>
      <c r="H87" s="18" t="s">
        <v>675</v>
      </c>
      <c r="I87" s="3" t="s">
        <v>449</v>
      </c>
      <c r="J87" s="7" t="s">
        <v>72</v>
      </c>
      <c r="K87" s="7">
        <v>42748.047025462962</v>
      </c>
      <c r="L87" s="3" t="s">
        <v>72</v>
      </c>
      <c r="M87" s="7">
        <v>42748.047025462962</v>
      </c>
    </row>
    <row r="88" spans="3:13" x14ac:dyDescent="0.25">
      <c r="C88" t="str">
        <f>IF(COUNTBLANK(E88:N88) = 10,"",IF(AND(NOT(ISBLANK(E88)),COUNTBLANK(E88:N88) = 9),"3 Delete",IF(ISBLANK(E88),"2 Add",IF(JenkinsHashRange(E88:N88) = "168503005","0 Original","1 Modify"))))</f>
        <v>0 Original</v>
      </c>
      <c r="D88" s="3" t="s">
        <v>676</v>
      </c>
      <c r="E88" s="5">
        <v>1087</v>
      </c>
      <c r="F88" s="3" t="s">
        <v>677</v>
      </c>
      <c r="G88" s="9">
        <v>6.99</v>
      </c>
      <c r="H88" s="18" t="s">
        <v>678</v>
      </c>
      <c r="I88" s="3" t="s">
        <v>438</v>
      </c>
      <c r="J88" s="7" t="s">
        <v>72</v>
      </c>
      <c r="K88" s="7">
        <v>42748.047025462962</v>
      </c>
      <c r="L88" s="3" t="s">
        <v>72</v>
      </c>
      <c r="M88" s="7">
        <v>42748.047025462962</v>
      </c>
    </row>
    <row r="89" spans="3:13" x14ac:dyDescent="0.25">
      <c r="C89" t="str">
        <f>IF(COUNTBLANK(E89:N89) = 10,"",IF(AND(NOT(ISBLANK(E89)),COUNTBLANK(E89:N89) = 9),"3 Delete",IF(ISBLANK(E89),"2 Add",IF(JenkinsHashRange(E89:N89) = "1699169818","0 Original","1 Modify"))))</f>
        <v>0 Original</v>
      </c>
      <c r="D89" s="3" t="s">
        <v>679</v>
      </c>
      <c r="E89" s="5">
        <v>1088</v>
      </c>
      <c r="F89" s="3" t="s">
        <v>680</v>
      </c>
      <c r="G89" s="9">
        <v>6.99</v>
      </c>
      <c r="H89" s="18" t="s">
        <v>681</v>
      </c>
      <c r="I89" s="3" t="s">
        <v>682</v>
      </c>
      <c r="J89" s="7" t="s">
        <v>72</v>
      </c>
      <c r="K89" s="7">
        <v>42748.047025462962</v>
      </c>
      <c r="L89" s="3" t="s">
        <v>72</v>
      </c>
      <c r="M89" s="7">
        <v>42748.047025462962</v>
      </c>
    </row>
    <row r="90" spans="3:13" x14ac:dyDescent="0.25">
      <c r="C90" t="str">
        <f>IF(COUNTBLANK(E90:N90) = 10,"",IF(AND(NOT(ISBLANK(E90)),COUNTBLANK(E90:N90) = 9),"3 Delete",IF(ISBLANK(E90),"2 Add",IF(JenkinsHashRange(E90:N90) = "1832703894","0 Original","1 Modify"))))</f>
        <v>0 Original</v>
      </c>
      <c r="D90" s="3" t="s">
        <v>683</v>
      </c>
      <c r="E90" s="5">
        <v>1089</v>
      </c>
      <c r="F90" s="3" t="s">
        <v>684</v>
      </c>
      <c r="G90" s="9">
        <v>7.99</v>
      </c>
      <c r="H90" s="18" t="s">
        <v>685</v>
      </c>
      <c r="I90" s="3" t="s">
        <v>449</v>
      </c>
      <c r="J90" s="7" t="s">
        <v>72</v>
      </c>
      <c r="K90" s="7">
        <v>42748.047025462962</v>
      </c>
      <c r="L90" s="3" t="s">
        <v>72</v>
      </c>
      <c r="M90" s="7">
        <v>42748.047025462962</v>
      </c>
    </row>
    <row r="91" spans="3:13" x14ac:dyDescent="0.25">
      <c r="C91" t="str">
        <f>IF(COUNTBLANK(E91:N91) = 10,"",IF(AND(NOT(ISBLANK(E91)),COUNTBLANK(E91:N91) = 9),"3 Delete",IF(ISBLANK(E91),"2 Add",IF(JenkinsHashRange(E91:N91) = "515783620","0 Original","1 Modify"))))</f>
        <v>0 Original</v>
      </c>
      <c r="D91" s="3" t="s">
        <v>686</v>
      </c>
      <c r="E91" s="5">
        <v>1090</v>
      </c>
      <c r="F91" s="3" t="s">
        <v>687</v>
      </c>
      <c r="G91" s="9">
        <v>8.99</v>
      </c>
      <c r="H91" s="18" t="s">
        <v>688</v>
      </c>
      <c r="I91" s="3" t="s">
        <v>449</v>
      </c>
      <c r="J91" s="7" t="s">
        <v>72</v>
      </c>
      <c r="K91" s="7">
        <v>42748.047025462962</v>
      </c>
      <c r="L91" s="3" t="s">
        <v>72</v>
      </c>
      <c r="M91" s="7">
        <v>42748.047025462962</v>
      </c>
    </row>
    <row r="92" spans="3:13" x14ac:dyDescent="0.25">
      <c r="C92" t="str">
        <f>IF(COUNTBLANK(E92:N92) = 10,"",IF(AND(NOT(ISBLANK(E92)),COUNTBLANK(E92:N92) = 9),"3 Delete",IF(ISBLANK(E92),"2 Add",IF(JenkinsHashRange(E92:N92) = "1193040810","0 Original","1 Modify"))))</f>
        <v>0 Original</v>
      </c>
      <c r="D92" s="3" t="s">
        <v>689</v>
      </c>
      <c r="E92" s="5">
        <v>1091</v>
      </c>
      <c r="F92" s="3" t="s">
        <v>690</v>
      </c>
      <c r="G92" s="9">
        <v>9.99</v>
      </c>
      <c r="H92" s="18" t="s">
        <v>691</v>
      </c>
      <c r="I92" s="3" t="s">
        <v>692</v>
      </c>
      <c r="J92" s="7" t="s">
        <v>72</v>
      </c>
      <c r="K92" s="7">
        <v>42748.047025462962</v>
      </c>
      <c r="L92" s="3" t="s">
        <v>72</v>
      </c>
      <c r="M92" s="7">
        <v>42748.047025462962</v>
      </c>
    </row>
    <row r="93" spans="3:13" x14ac:dyDescent="0.25">
      <c r="C93" t="str">
        <f>IF(COUNTBLANK(E93:N93) = 10,"",IF(AND(NOT(ISBLANK(E93)),COUNTBLANK(E93:N93) = 9),"3 Delete",IF(ISBLANK(E93),"2 Add",IF(JenkinsHashRange(E93:N93) = "1822810525","0 Original","1 Modify"))))</f>
        <v>0 Original</v>
      </c>
      <c r="D93" s="3" t="s">
        <v>693</v>
      </c>
      <c r="E93" s="5">
        <v>1092</v>
      </c>
      <c r="F93" s="3" t="s">
        <v>694</v>
      </c>
      <c r="G93" s="9">
        <v>5.99</v>
      </c>
      <c r="H93" s="18" t="s">
        <v>695</v>
      </c>
      <c r="I93" s="3" t="s">
        <v>382</v>
      </c>
      <c r="J93" s="7" t="s">
        <v>72</v>
      </c>
      <c r="K93" s="7">
        <v>42748.047025462962</v>
      </c>
      <c r="L93" s="3" t="s">
        <v>72</v>
      </c>
      <c r="M93" s="7">
        <v>42748.047025462962</v>
      </c>
    </row>
    <row r="94" spans="3:13" x14ac:dyDescent="0.25">
      <c r="C94" t="str">
        <f>IF(COUNTBLANK(E94:N94) = 10,"",IF(AND(NOT(ISBLANK(E94)),COUNTBLANK(E94:N94) = 9),"3 Delete",IF(ISBLANK(E94),"2 Add",IF(JenkinsHashRange(E94:N94) = "1834679310","0 Original","1 Modify"))))</f>
        <v>0 Original</v>
      </c>
      <c r="D94" s="3" t="s">
        <v>696</v>
      </c>
      <c r="E94" s="5">
        <v>1093</v>
      </c>
      <c r="F94" s="3" t="s">
        <v>697</v>
      </c>
      <c r="G94" s="9">
        <v>4.99</v>
      </c>
      <c r="H94" s="18" t="s">
        <v>698</v>
      </c>
      <c r="I94" s="3" t="s">
        <v>382</v>
      </c>
      <c r="J94" s="7" t="s">
        <v>72</v>
      </c>
      <c r="K94" s="7">
        <v>42748.047025462962</v>
      </c>
      <c r="L94" s="3" t="s">
        <v>72</v>
      </c>
      <c r="M94" s="7">
        <v>42748.047025462962</v>
      </c>
    </row>
    <row r="95" spans="3:13" x14ac:dyDescent="0.25">
      <c r="C95" t="str">
        <f>IF(COUNTBLANK(E95:N95) = 10,"",IF(AND(NOT(ISBLANK(E95)),COUNTBLANK(E95:N95) = 9),"3 Delete",IF(ISBLANK(E95),"2 Add",IF(JenkinsHashRange(E95:N95) = "488391040","0 Original","1 Modify"))))</f>
        <v>0 Original</v>
      </c>
      <c r="D95" s="3" t="s">
        <v>699</v>
      </c>
      <c r="E95" s="5">
        <v>1094</v>
      </c>
      <c r="F95" s="3" t="s">
        <v>700</v>
      </c>
      <c r="G95" s="9">
        <v>6.99</v>
      </c>
      <c r="H95" s="18" t="s">
        <v>701</v>
      </c>
      <c r="I95" s="3" t="s">
        <v>378</v>
      </c>
      <c r="J95" s="7" t="s">
        <v>72</v>
      </c>
      <c r="K95" s="7">
        <v>42748.047025462962</v>
      </c>
      <c r="L95" s="3" t="s">
        <v>72</v>
      </c>
      <c r="M95" s="7">
        <v>42748.047025462962</v>
      </c>
    </row>
    <row r="96" spans="3:13" x14ac:dyDescent="0.25">
      <c r="C96" t="str">
        <f>IF(COUNTBLANK(E96:N96) = 10,"",IF(AND(NOT(ISBLANK(E96)),COUNTBLANK(E96:N96) = 9),"3 Delete",IF(ISBLANK(E96),"2 Add",IF(JenkinsHashRange(E96:N96) = "611459956","0 Original","1 Modify"))))</f>
        <v>0 Original</v>
      </c>
      <c r="D96" s="3" t="s">
        <v>702</v>
      </c>
      <c r="E96" s="5">
        <v>1095</v>
      </c>
      <c r="F96" s="3" t="s">
        <v>703</v>
      </c>
      <c r="G96" s="9">
        <v>7.99</v>
      </c>
      <c r="H96" s="18" t="s">
        <v>704</v>
      </c>
      <c r="I96" s="3" t="s">
        <v>705</v>
      </c>
      <c r="J96" s="7" t="s">
        <v>72</v>
      </c>
      <c r="K96" s="7">
        <v>42748.047025462962</v>
      </c>
      <c r="L96" s="3" t="s">
        <v>72</v>
      </c>
      <c r="M96" s="7">
        <v>42748.047025462962</v>
      </c>
    </row>
    <row r="97" spans="3:13" x14ac:dyDescent="0.25">
      <c r="C97" t="str">
        <f>IF(COUNTBLANK(E97:N97) = 10,"",IF(AND(NOT(ISBLANK(E97)),COUNTBLANK(E97:N97) = 9),"3 Delete",IF(ISBLANK(E97),"2 Add",IF(JenkinsHashRange(E97:N97) = "1556540751","0 Original","1 Modify"))))</f>
        <v>0 Original</v>
      </c>
      <c r="D97" s="3" t="s">
        <v>706</v>
      </c>
      <c r="E97" s="5">
        <v>1096</v>
      </c>
      <c r="F97" s="3" t="s">
        <v>707</v>
      </c>
      <c r="G97" s="9">
        <v>9.99</v>
      </c>
      <c r="H97" s="18" t="s">
        <v>708</v>
      </c>
      <c r="I97" s="3" t="s">
        <v>382</v>
      </c>
      <c r="J97" s="7" t="s">
        <v>72</v>
      </c>
      <c r="K97" s="7">
        <v>42748.047025462962</v>
      </c>
      <c r="L97" s="3" t="s">
        <v>72</v>
      </c>
      <c r="M97" s="7">
        <v>42748.047025462962</v>
      </c>
    </row>
    <row r="98" spans="3:13" x14ac:dyDescent="0.25">
      <c r="C98" t="str">
        <f>IF(COUNTBLANK(E98:N98) = 10,"",IF(AND(NOT(ISBLANK(E98)),COUNTBLANK(E98:N98) = 9),"3 Delete",IF(ISBLANK(E98),"2 Add",IF(JenkinsHashRange(E98:N98) = "955114670","0 Original","1 Modify"))))</f>
        <v>0 Original</v>
      </c>
      <c r="D98" s="3" t="s">
        <v>709</v>
      </c>
      <c r="E98" s="5">
        <v>1097</v>
      </c>
      <c r="F98" s="3" t="s">
        <v>710</v>
      </c>
      <c r="G98" s="9">
        <v>6.99</v>
      </c>
      <c r="H98" s="18" t="s">
        <v>711</v>
      </c>
      <c r="I98" s="3" t="s">
        <v>712</v>
      </c>
      <c r="J98" s="7" t="s">
        <v>72</v>
      </c>
      <c r="K98" s="7">
        <v>42748.047025462962</v>
      </c>
      <c r="L98" s="3" t="s">
        <v>72</v>
      </c>
      <c r="M98" s="7">
        <v>42748.047025462962</v>
      </c>
    </row>
    <row r="99" spans="3:13" x14ac:dyDescent="0.25">
      <c r="C99" t="str">
        <f>IF(COUNTBLANK(E99:N99) = 10,"",IF(AND(NOT(ISBLANK(E99)),COUNTBLANK(E99:N99) = 9),"3 Delete",IF(ISBLANK(E99),"2 Add",IF(JenkinsHashRange(E99:N99) = "381538712","0 Original","1 Modify"))))</f>
        <v>0 Original</v>
      </c>
      <c r="D99" s="3" t="s">
        <v>713</v>
      </c>
      <c r="E99" s="5">
        <v>1098</v>
      </c>
      <c r="F99" s="3" t="s">
        <v>714</v>
      </c>
      <c r="G99" s="9">
        <v>6.99</v>
      </c>
      <c r="H99" s="18" t="s">
        <v>715</v>
      </c>
      <c r="I99" s="3" t="s">
        <v>705</v>
      </c>
      <c r="J99" s="7" t="s">
        <v>72</v>
      </c>
      <c r="K99" s="7">
        <v>42748.047025462962</v>
      </c>
      <c r="L99" s="3" t="s">
        <v>72</v>
      </c>
      <c r="M99" s="7">
        <v>42748.047025462962</v>
      </c>
    </row>
    <row r="100" spans="3:13" x14ac:dyDescent="0.25">
      <c r="C100" t="str">
        <f>IF(COUNTBLANK(E100:N100) = 10,"",IF(AND(NOT(ISBLANK(E100)),COUNTBLANK(E100:N100) = 9),"3 Delete",IF(ISBLANK(E100),"2 Add",IF(JenkinsHashRange(E100:N100) = "317630676","0 Original","1 Modify"))))</f>
        <v>0 Original</v>
      </c>
      <c r="D100" s="3" t="s">
        <v>716</v>
      </c>
      <c r="E100" s="5">
        <v>1099</v>
      </c>
      <c r="F100" s="3" t="s">
        <v>717</v>
      </c>
      <c r="G100" s="9">
        <v>5.99</v>
      </c>
      <c r="H100" s="18" t="s">
        <v>718</v>
      </c>
      <c r="I100" s="3" t="s">
        <v>382</v>
      </c>
      <c r="J100" s="7" t="s">
        <v>72</v>
      </c>
      <c r="K100" s="7">
        <v>42748.047025462962</v>
      </c>
      <c r="L100" s="3" t="s">
        <v>72</v>
      </c>
      <c r="M100" s="7">
        <v>42748.047025462962</v>
      </c>
    </row>
    <row r="101" spans="3:13" x14ac:dyDescent="0.25">
      <c r="C101" t="str">
        <f>IF(COUNTBLANK(E101:N101) = 10,"",IF(AND(NOT(ISBLANK(E101)),COUNTBLANK(E101:N101) = 9),"3 Delete",IF(ISBLANK(E101),"2 Add",IF(JenkinsHashRange(E101:N101) = "1233730550","0 Original","1 Modify"))))</f>
        <v>0 Original</v>
      </c>
      <c r="D101" s="3" t="s">
        <v>719</v>
      </c>
      <c r="E101" s="5">
        <v>1100</v>
      </c>
      <c r="F101" s="3" t="s">
        <v>720</v>
      </c>
      <c r="G101" s="9">
        <v>6.99</v>
      </c>
      <c r="H101" s="18" t="s">
        <v>721</v>
      </c>
      <c r="I101" s="3" t="s">
        <v>438</v>
      </c>
      <c r="J101" s="7" t="s">
        <v>72</v>
      </c>
      <c r="K101" s="7">
        <v>42748.047025462962</v>
      </c>
      <c r="L101" s="3" t="s">
        <v>72</v>
      </c>
      <c r="M101" s="7">
        <v>42748.047025462962</v>
      </c>
    </row>
    <row r="102" spans="3:13" x14ac:dyDescent="0.25">
      <c r="C102" t="str">
        <f>IF(COUNTBLANK(E102:N102) = 10,"",IF(AND(NOT(ISBLANK(E102)),COUNTBLANK(E102:N102) = 9),"3 Delete",IF(ISBLANK(E102),"2 Add",IF(JenkinsHashRange(E102:N102) = "783106125","0 Original","1 Modify"))))</f>
        <v>0 Original</v>
      </c>
      <c r="D102" s="3" t="s">
        <v>722</v>
      </c>
      <c r="E102" s="5">
        <v>1101</v>
      </c>
      <c r="F102" s="3" t="s">
        <v>723</v>
      </c>
      <c r="G102" s="9">
        <v>9.99</v>
      </c>
      <c r="H102" s="18" t="s">
        <v>724</v>
      </c>
      <c r="I102" s="3" t="s">
        <v>725</v>
      </c>
      <c r="J102" s="7" t="s">
        <v>72</v>
      </c>
      <c r="K102" s="7">
        <v>42748.047025462962</v>
      </c>
      <c r="L102" s="3" t="s">
        <v>72</v>
      </c>
      <c r="M102" s="7">
        <v>42748.047025462962</v>
      </c>
    </row>
    <row r="103" spans="3:13" x14ac:dyDescent="0.25">
      <c r="C103" t="str">
        <f>IF(COUNTBLANK(E103:N103) = 10,"",IF(AND(NOT(ISBLANK(E103)),COUNTBLANK(E103:N103) = 9),"3 Delete",IF(ISBLANK(E103),"2 Add",IF(JenkinsHashRange(E103:N103) = "1281602848","0 Original","1 Modify"))))</f>
        <v>0 Original</v>
      </c>
      <c r="D103" s="3" t="s">
        <v>726</v>
      </c>
      <c r="E103" s="5">
        <v>1102</v>
      </c>
      <c r="F103" s="3" t="s">
        <v>727</v>
      </c>
      <c r="G103" s="9">
        <v>4.99</v>
      </c>
      <c r="H103" s="18" t="s">
        <v>728</v>
      </c>
      <c r="I103" s="3" t="s">
        <v>729</v>
      </c>
      <c r="J103" s="7" t="s">
        <v>72</v>
      </c>
      <c r="K103" s="7">
        <v>42748.047025462962</v>
      </c>
      <c r="L103" s="3" t="s">
        <v>72</v>
      </c>
      <c r="M103" s="7">
        <v>42748.047025462962</v>
      </c>
    </row>
    <row r="104" spans="3:13" x14ac:dyDescent="0.25">
      <c r="C104" t="str">
        <f>IF(COUNTBLANK(E104:N104) = 10,"",IF(AND(NOT(ISBLANK(E104)),COUNTBLANK(E104:N104) = 9),"3 Delete",IF(ISBLANK(E104),"2 Add",IF(JenkinsHashRange(E104:N104) = "884386151","0 Original","1 Modify"))))</f>
        <v>0 Original</v>
      </c>
      <c r="D104" s="3" t="s">
        <v>730</v>
      </c>
      <c r="E104" s="5">
        <v>1103</v>
      </c>
      <c r="F104" s="3" t="s">
        <v>731</v>
      </c>
      <c r="G104" s="9">
        <v>9.99</v>
      </c>
      <c r="H104" s="18" t="s">
        <v>732</v>
      </c>
      <c r="I104" s="3" t="s">
        <v>382</v>
      </c>
      <c r="J104" s="7" t="s">
        <v>72</v>
      </c>
      <c r="K104" s="7">
        <v>42748.047025462962</v>
      </c>
      <c r="L104" s="3" t="s">
        <v>72</v>
      </c>
      <c r="M104" s="7">
        <v>42748.047025462962</v>
      </c>
    </row>
    <row r="105" spans="3:13" x14ac:dyDescent="0.25">
      <c r="C105" t="str">
        <f>IF(COUNTBLANK(E105:N105) = 10,"",IF(AND(NOT(ISBLANK(E105)),COUNTBLANK(E105:N105) = 9),"3 Delete",IF(ISBLANK(E105),"2 Add",IF(JenkinsHashRange(E105:N105) = "818975390","0 Original","1 Modify"))))</f>
        <v>0 Original</v>
      </c>
      <c r="D105" s="3" t="s">
        <v>733</v>
      </c>
      <c r="E105" s="5">
        <v>1104</v>
      </c>
      <c r="F105" s="3" t="s">
        <v>734</v>
      </c>
      <c r="G105" s="9">
        <v>9.99</v>
      </c>
      <c r="H105" s="18" t="s">
        <v>735</v>
      </c>
      <c r="I105" s="3" t="s">
        <v>736</v>
      </c>
      <c r="J105" s="7" t="s">
        <v>72</v>
      </c>
      <c r="K105" s="7">
        <v>42748.047025462962</v>
      </c>
      <c r="L105" s="3" t="s">
        <v>72</v>
      </c>
      <c r="M105" s="7">
        <v>42748.047025462962</v>
      </c>
    </row>
    <row r="106" spans="3:13" x14ac:dyDescent="0.25">
      <c r="C106" t="str">
        <f>IF(COUNTBLANK(E106:N106) = 10,"",IF(AND(NOT(ISBLANK(E106)),COUNTBLANK(E106:N106) = 9),"3 Delete",IF(ISBLANK(E106),"2 Add",IF(JenkinsHashRange(E106:N106) = "132584035","0 Original","1 Modify"))))</f>
        <v>0 Original</v>
      </c>
      <c r="D106" s="3" t="s">
        <v>737</v>
      </c>
      <c r="E106" s="5">
        <v>1105</v>
      </c>
      <c r="F106" s="3" t="s">
        <v>738</v>
      </c>
      <c r="G106" s="9">
        <v>9.99</v>
      </c>
      <c r="H106" s="18" t="s">
        <v>739</v>
      </c>
      <c r="I106" s="3" t="s">
        <v>449</v>
      </c>
      <c r="J106" s="7" t="s">
        <v>72</v>
      </c>
      <c r="K106" s="7">
        <v>42748.047025462962</v>
      </c>
      <c r="L106" s="3" t="s">
        <v>72</v>
      </c>
      <c r="M106" s="7">
        <v>42748.047025462962</v>
      </c>
    </row>
    <row r="107" spans="3:13" x14ac:dyDescent="0.25">
      <c r="C107" t="str">
        <f>IF(COUNTBLANK(E107:N107) = 10,"",IF(AND(NOT(ISBLANK(E107)),COUNTBLANK(E107:N107) = 9),"3 Delete",IF(ISBLANK(E107),"2 Add",IF(JenkinsHashRange(E107:N107) = "839205692","0 Original","1 Modify"))))</f>
        <v>0 Original</v>
      </c>
      <c r="D107" s="3" t="s">
        <v>740</v>
      </c>
      <c r="E107" s="5">
        <v>1106</v>
      </c>
      <c r="F107" s="3" t="s">
        <v>741</v>
      </c>
      <c r="G107" s="9">
        <v>9.99</v>
      </c>
      <c r="H107" s="18" t="s">
        <v>742</v>
      </c>
      <c r="I107" s="3" t="s">
        <v>382</v>
      </c>
      <c r="J107" s="7" t="s">
        <v>72</v>
      </c>
      <c r="K107" s="7">
        <v>42748.047025462962</v>
      </c>
      <c r="L107" s="3" t="s">
        <v>72</v>
      </c>
      <c r="M107" s="7">
        <v>42748.047025462962</v>
      </c>
    </row>
    <row r="108" spans="3:13" x14ac:dyDescent="0.25">
      <c r="C108" t="str">
        <f>IF(COUNTBLANK(E108:N108) = 10,"",IF(AND(NOT(ISBLANK(E108)),COUNTBLANK(E108:N108) = 9),"3 Delete",IF(ISBLANK(E108),"2 Add",IF(JenkinsHashRange(E108:N108) = "302831387","0 Original","1 Modify"))))</f>
        <v>0 Original</v>
      </c>
      <c r="D108" s="3" t="s">
        <v>743</v>
      </c>
      <c r="E108" s="5">
        <v>1107</v>
      </c>
      <c r="F108" s="3" t="s">
        <v>744</v>
      </c>
      <c r="G108" s="9">
        <v>9.99</v>
      </c>
      <c r="H108" s="18" t="s">
        <v>745</v>
      </c>
      <c r="I108" s="3" t="s">
        <v>382</v>
      </c>
      <c r="J108" s="7" t="s">
        <v>72</v>
      </c>
      <c r="K108" s="7">
        <v>42748.047025462962</v>
      </c>
      <c r="L108" s="3" t="s">
        <v>72</v>
      </c>
      <c r="M108" s="7">
        <v>42748.047025462962</v>
      </c>
    </row>
    <row r="109" spans="3:13" x14ac:dyDescent="0.25">
      <c r="C109" t="str">
        <f>IF(COUNTBLANK(E109:N109) = 10,"",IF(AND(NOT(ISBLANK(E109)),COUNTBLANK(E109:N109) = 9),"3 Delete",IF(ISBLANK(E109),"2 Add",IF(JenkinsHashRange(E109:N109) = "582030202","0 Original","1 Modify"))))</f>
        <v>0 Original</v>
      </c>
      <c r="D109" s="3" t="s">
        <v>746</v>
      </c>
      <c r="E109" s="5">
        <v>1108</v>
      </c>
      <c r="F109" s="3" t="s">
        <v>747</v>
      </c>
      <c r="G109" s="9">
        <v>5.99</v>
      </c>
      <c r="H109" s="18" t="s">
        <v>748</v>
      </c>
      <c r="I109" s="3" t="s">
        <v>434</v>
      </c>
      <c r="J109" s="7" t="s">
        <v>72</v>
      </c>
      <c r="K109" s="7">
        <v>42748.047025462962</v>
      </c>
      <c r="L109" s="3" t="s">
        <v>72</v>
      </c>
      <c r="M109" s="7">
        <v>42748.047025462962</v>
      </c>
    </row>
    <row r="110" spans="3:13" x14ac:dyDescent="0.25">
      <c r="C110" t="str">
        <f>IF(COUNTBLANK(E110:N110) = 10,"",IF(AND(NOT(ISBLANK(E110)),COUNTBLANK(E110:N110) = 9),"3 Delete",IF(ISBLANK(E110),"2 Add",IF(JenkinsHashRange(E110:N110) = "206376175","0 Original","1 Modify"))))</f>
        <v>0 Original</v>
      </c>
      <c r="D110" s="3" t="s">
        <v>749</v>
      </c>
      <c r="E110" s="5">
        <v>1109</v>
      </c>
      <c r="F110" s="3" t="s">
        <v>750</v>
      </c>
      <c r="G110" s="9">
        <v>7.99</v>
      </c>
      <c r="H110" s="18" t="s">
        <v>751</v>
      </c>
      <c r="I110" s="3" t="s">
        <v>752</v>
      </c>
      <c r="J110" s="7" t="s">
        <v>72</v>
      </c>
      <c r="K110" s="7">
        <v>42748.047025462962</v>
      </c>
      <c r="L110" s="3" t="s">
        <v>72</v>
      </c>
      <c r="M110" s="7">
        <v>42748.047025462962</v>
      </c>
    </row>
    <row r="111" spans="3:13" x14ac:dyDescent="0.25">
      <c r="C111" t="str">
        <f>IF(COUNTBLANK(E111:N111) = 10,"",IF(AND(NOT(ISBLANK(E111)),COUNTBLANK(E111:N111) = 9),"3 Delete",IF(ISBLANK(E111),"2 Add",IF(JenkinsHashRange(E111:N111) = "201587835","0 Original","1 Modify"))))</f>
        <v>0 Original</v>
      </c>
      <c r="D111" s="3" t="s">
        <v>753</v>
      </c>
      <c r="E111" s="5">
        <v>1110</v>
      </c>
      <c r="F111" s="3" t="s">
        <v>754</v>
      </c>
      <c r="G111" s="9">
        <v>8.99</v>
      </c>
      <c r="H111" s="18" t="s">
        <v>755</v>
      </c>
      <c r="I111" s="3" t="s">
        <v>442</v>
      </c>
      <c r="J111" s="7" t="s">
        <v>72</v>
      </c>
      <c r="K111" s="7">
        <v>42748.047025462962</v>
      </c>
      <c r="L111" s="3" t="s">
        <v>72</v>
      </c>
      <c r="M111" s="7">
        <v>42748.047025462962</v>
      </c>
    </row>
    <row r="112" spans="3:13" x14ac:dyDescent="0.25">
      <c r="C112" t="str">
        <f>IF(COUNTBLANK(E112:N112) = 10,"",IF(AND(NOT(ISBLANK(E112)),COUNTBLANK(E112:N112) = 9),"3 Delete",IF(ISBLANK(E112),"2 Add",IF(JenkinsHashRange(E112:N112) = "1456307957","0 Original","1 Modify"))))</f>
        <v>0 Original</v>
      </c>
      <c r="D112" s="3" t="s">
        <v>756</v>
      </c>
      <c r="E112" s="5">
        <v>1111</v>
      </c>
      <c r="F112" s="3" t="s">
        <v>757</v>
      </c>
      <c r="G112" s="9">
        <v>4.99</v>
      </c>
      <c r="H112" s="18" t="s">
        <v>758</v>
      </c>
      <c r="I112" s="3" t="s">
        <v>506</v>
      </c>
      <c r="J112" s="7" t="s">
        <v>72</v>
      </c>
      <c r="K112" s="7">
        <v>42748.047025462962</v>
      </c>
      <c r="L112" s="3" t="s">
        <v>72</v>
      </c>
      <c r="M112" s="7">
        <v>42748.047025462962</v>
      </c>
    </row>
    <row r="113" spans="3:13" x14ac:dyDescent="0.25">
      <c r="C113" t="str">
        <f>IF(COUNTBLANK(E113:N113) = 10,"",IF(AND(NOT(ISBLANK(E113)),COUNTBLANK(E113:N113) = 9),"3 Delete",IF(ISBLANK(E113),"2 Add",IF(JenkinsHashRange(E113:N113) = "1285111272","0 Original","1 Modify"))))</f>
        <v>0 Original</v>
      </c>
      <c r="D113" s="3" t="s">
        <v>759</v>
      </c>
      <c r="E113" s="5">
        <v>1112</v>
      </c>
      <c r="F113" s="3" t="s">
        <v>760</v>
      </c>
      <c r="G113" s="9">
        <v>9.99</v>
      </c>
      <c r="H113" s="18" t="s">
        <v>761</v>
      </c>
      <c r="I113" s="3" t="s">
        <v>520</v>
      </c>
      <c r="J113" s="7" t="s">
        <v>72</v>
      </c>
      <c r="K113" s="7">
        <v>42748.047025462962</v>
      </c>
      <c r="L113" s="3" t="s">
        <v>72</v>
      </c>
      <c r="M113" s="7">
        <v>42748.047025462962</v>
      </c>
    </row>
    <row r="114" spans="3:13" x14ac:dyDescent="0.25">
      <c r="C114" t="str">
        <f>IF(COUNTBLANK(E114:N114) = 10,"",IF(AND(NOT(ISBLANK(E114)),COUNTBLANK(E114:N114) = 9),"3 Delete",IF(ISBLANK(E114),"2 Add",IF(JenkinsHashRange(E114:N114) = "1406696079","0 Original","1 Modify"))))</f>
        <v>0 Original</v>
      </c>
      <c r="D114" s="3" t="s">
        <v>762</v>
      </c>
      <c r="E114" s="5">
        <v>1113</v>
      </c>
      <c r="F114" s="3" t="s">
        <v>763</v>
      </c>
      <c r="G114" s="9">
        <v>9.99</v>
      </c>
      <c r="H114" s="18" t="s">
        <v>764</v>
      </c>
      <c r="I114" s="3" t="s">
        <v>382</v>
      </c>
      <c r="J114" s="7" t="s">
        <v>72</v>
      </c>
      <c r="K114" s="7">
        <v>42748.047025462962</v>
      </c>
      <c r="L114" s="3" t="s">
        <v>72</v>
      </c>
      <c r="M114" s="7">
        <v>42748.047025462962</v>
      </c>
    </row>
    <row r="115" spans="3:13" x14ac:dyDescent="0.25">
      <c r="C115" t="str">
        <f>IF(COUNTBLANK(E115:N115) = 10,"",IF(AND(NOT(ISBLANK(E115)),COUNTBLANK(E115:N115) = 9),"3 Delete",IF(ISBLANK(E115),"2 Add",IF(JenkinsHashRange(E115:N115) = "354593329","0 Original","1 Modify"))))</f>
        <v>0 Original</v>
      </c>
      <c r="D115" s="3" t="s">
        <v>765</v>
      </c>
      <c r="E115" s="5">
        <v>1114</v>
      </c>
      <c r="F115" s="3" t="s">
        <v>766</v>
      </c>
      <c r="G115" s="9">
        <v>9.99</v>
      </c>
      <c r="H115" s="18" t="s">
        <v>767</v>
      </c>
      <c r="I115" s="3" t="s">
        <v>382</v>
      </c>
      <c r="J115" s="7" t="s">
        <v>72</v>
      </c>
      <c r="K115" s="7">
        <v>42748.047025462962</v>
      </c>
      <c r="L115" s="3" t="s">
        <v>72</v>
      </c>
      <c r="M115" s="7">
        <v>42748.047025462962</v>
      </c>
    </row>
    <row r="116" spans="3:13" x14ac:dyDescent="0.25">
      <c r="C116" t="str">
        <f>IF(COUNTBLANK(E116:N116) = 10,"",IF(AND(NOT(ISBLANK(E116)),COUNTBLANK(E116:N116) = 9),"3 Delete",IF(ISBLANK(E116),"2 Add",IF(JenkinsHashRange(E116:N116) = "1231452531","0 Original","1 Modify"))))</f>
        <v>0 Original</v>
      </c>
      <c r="D116" s="3" t="s">
        <v>768</v>
      </c>
      <c r="E116" s="5">
        <v>1115</v>
      </c>
      <c r="F116" s="3" t="s">
        <v>769</v>
      </c>
      <c r="G116" s="9">
        <v>6.99</v>
      </c>
      <c r="H116" s="18" t="s">
        <v>770</v>
      </c>
      <c r="I116" s="3" t="s">
        <v>771</v>
      </c>
      <c r="J116" s="7" t="s">
        <v>72</v>
      </c>
      <c r="K116" s="7">
        <v>42748.047025462962</v>
      </c>
      <c r="L116" s="3" t="s">
        <v>72</v>
      </c>
      <c r="M116" s="7">
        <v>42748.047025462962</v>
      </c>
    </row>
    <row r="117" spans="3:13" x14ac:dyDescent="0.25">
      <c r="C117" t="str">
        <f>IF(COUNTBLANK(E117:N117) = 10,"",IF(AND(NOT(ISBLANK(E117)),COUNTBLANK(E117:N117) = 9),"3 Delete",IF(ISBLANK(E117),"2 Add",IF(JenkinsHashRange(E117:N117) = "610160117","0 Original","1 Modify"))))</f>
        <v>0 Original</v>
      </c>
      <c r="D117" s="3" t="s">
        <v>772</v>
      </c>
      <c r="E117" s="5">
        <v>1116</v>
      </c>
      <c r="F117" s="3" t="s">
        <v>773</v>
      </c>
      <c r="G117" s="9">
        <v>4.99</v>
      </c>
      <c r="H117" s="18" t="s">
        <v>774</v>
      </c>
      <c r="I117" s="3" t="s">
        <v>775</v>
      </c>
      <c r="J117" s="7" t="s">
        <v>72</v>
      </c>
      <c r="K117" s="7">
        <v>42748.047025462962</v>
      </c>
      <c r="L117" s="3" t="s">
        <v>72</v>
      </c>
      <c r="M117" s="7">
        <v>42748.047025462962</v>
      </c>
    </row>
    <row r="118" spans="3:13" x14ac:dyDescent="0.25">
      <c r="C118" t="str">
        <f>IF(COUNTBLANK(E118:N118) = 10,"",IF(AND(NOT(ISBLANK(E118)),COUNTBLANK(E118:N118) = 9),"3 Delete",IF(ISBLANK(E118),"2 Add",IF(JenkinsHashRange(E118:N118) = "457762775","0 Original","1 Modify"))))</f>
        <v>0 Original</v>
      </c>
      <c r="D118" s="3" t="s">
        <v>776</v>
      </c>
      <c r="E118" s="5">
        <v>1117</v>
      </c>
      <c r="F118" s="3" t="s">
        <v>777</v>
      </c>
      <c r="G118" s="9">
        <v>6.99</v>
      </c>
      <c r="H118" s="18" t="s">
        <v>778</v>
      </c>
      <c r="I118" s="3" t="s">
        <v>449</v>
      </c>
      <c r="J118" s="7" t="s">
        <v>72</v>
      </c>
      <c r="K118" s="7">
        <v>42748.047025462962</v>
      </c>
      <c r="L118" s="3" t="s">
        <v>72</v>
      </c>
      <c r="M118" s="7">
        <v>42748.047025462962</v>
      </c>
    </row>
    <row r="119" spans="3:13" x14ac:dyDescent="0.25">
      <c r="C119" t="str">
        <f>IF(COUNTBLANK(E119:N119) = 10,"",IF(AND(NOT(ISBLANK(E119)),COUNTBLANK(E119:N119) = 9),"3 Delete",IF(ISBLANK(E119),"2 Add",IF(JenkinsHashRange(E119:N119) = "1838608631","0 Original","1 Modify"))))</f>
        <v>0 Original</v>
      </c>
      <c r="D119" s="3" t="s">
        <v>779</v>
      </c>
      <c r="E119" s="5">
        <v>1118</v>
      </c>
      <c r="F119" s="3" t="s">
        <v>780</v>
      </c>
      <c r="G119" s="9">
        <v>6.99</v>
      </c>
      <c r="H119" s="18" t="s">
        <v>781</v>
      </c>
      <c r="I119" s="3" t="s">
        <v>782</v>
      </c>
      <c r="J119" s="7" t="s">
        <v>72</v>
      </c>
      <c r="K119" s="7">
        <v>42748.047025462962</v>
      </c>
      <c r="L119" s="3" t="s">
        <v>72</v>
      </c>
      <c r="M119" s="7">
        <v>42748.047025462962</v>
      </c>
    </row>
    <row r="120" spans="3:13" x14ac:dyDescent="0.25">
      <c r="C120" t="str">
        <f>IF(COUNTBLANK(E120:N120) = 10,"",IF(AND(NOT(ISBLANK(E120)),COUNTBLANK(E120:N120) = 9),"3 Delete",IF(ISBLANK(E120),"2 Add",IF(JenkinsHashRange(E120:N120) = "386151439","0 Original","1 Modify"))))</f>
        <v>0 Original</v>
      </c>
      <c r="D120" s="3" t="s">
        <v>783</v>
      </c>
      <c r="E120" s="5">
        <v>1119</v>
      </c>
      <c r="F120" s="3" t="s">
        <v>784</v>
      </c>
      <c r="G120" s="9">
        <v>6.99</v>
      </c>
      <c r="H120" s="18" t="s">
        <v>785</v>
      </c>
      <c r="I120" s="3" t="s">
        <v>378</v>
      </c>
      <c r="J120" s="7" t="s">
        <v>72</v>
      </c>
      <c r="K120" s="7">
        <v>42748.047025462962</v>
      </c>
      <c r="L120" s="3" t="s">
        <v>72</v>
      </c>
      <c r="M120" s="7">
        <v>42748.047025462962</v>
      </c>
    </row>
    <row r="121" spans="3:13" x14ac:dyDescent="0.25">
      <c r="C121" t="str">
        <f>IF(COUNTBLANK(E121:N121) = 10,"",IF(AND(NOT(ISBLANK(E121)),COUNTBLANK(E121:N121) = 9),"3 Delete",IF(ISBLANK(E121),"2 Add",IF(JenkinsHashRange(E121:N121) = "1506396899","0 Original","1 Modify"))))</f>
        <v>0 Original</v>
      </c>
      <c r="D121" s="3" t="s">
        <v>786</v>
      </c>
      <c r="E121" s="5">
        <v>1120</v>
      </c>
      <c r="F121" s="3" t="s">
        <v>787</v>
      </c>
      <c r="G121" s="9">
        <v>8.99</v>
      </c>
      <c r="H121" s="18" t="s">
        <v>788</v>
      </c>
      <c r="I121" s="3" t="s">
        <v>382</v>
      </c>
      <c r="J121" s="7" t="s">
        <v>72</v>
      </c>
      <c r="K121" s="7">
        <v>42748.047025462962</v>
      </c>
      <c r="L121" s="3" t="s">
        <v>72</v>
      </c>
      <c r="M121" s="7">
        <v>42748.047025462962</v>
      </c>
    </row>
    <row r="122" spans="3:13" x14ac:dyDescent="0.25">
      <c r="C122" t="str">
        <f>IF(COUNTBLANK(E122:N122) = 10,"",IF(AND(NOT(ISBLANK(E122)),COUNTBLANK(E122:N122) = 9),"3 Delete",IF(ISBLANK(E122),"2 Add",IF(JenkinsHashRange(E122:N122) = "616271685","0 Original","1 Modify"))))</f>
        <v>0 Original</v>
      </c>
      <c r="D122" s="3" t="s">
        <v>789</v>
      </c>
      <c r="E122" s="5">
        <v>1121</v>
      </c>
      <c r="F122" s="3" t="s">
        <v>790</v>
      </c>
      <c r="G122" s="9">
        <v>5.99</v>
      </c>
      <c r="H122" s="18" t="s">
        <v>791</v>
      </c>
      <c r="I122" s="3" t="s">
        <v>792</v>
      </c>
      <c r="J122" s="7" t="s">
        <v>72</v>
      </c>
      <c r="K122" s="7">
        <v>42748.047025462962</v>
      </c>
      <c r="L122" s="3" t="s">
        <v>72</v>
      </c>
      <c r="M122" s="7">
        <v>42748.047025462962</v>
      </c>
    </row>
    <row r="123" spans="3:13" x14ac:dyDescent="0.25">
      <c r="C123" t="str">
        <f>IF(COUNTBLANK(E123:N123) = 10,"",IF(AND(NOT(ISBLANK(E123)),COUNTBLANK(E123:N123) = 9),"3 Delete",IF(ISBLANK(E123),"2 Add",IF(JenkinsHashRange(E123:N123) = "498193105","0 Original","1 Modify"))))</f>
        <v>0 Original</v>
      </c>
      <c r="D123" s="3" t="s">
        <v>793</v>
      </c>
      <c r="E123" s="5">
        <v>1122</v>
      </c>
      <c r="F123" s="3" t="s">
        <v>794</v>
      </c>
      <c r="G123" s="9">
        <v>6.99</v>
      </c>
      <c r="H123" s="18" t="s">
        <v>795</v>
      </c>
      <c r="I123" s="3" t="s">
        <v>796</v>
      </c>
      <c r="J123" s="7" t="s">
        <v>72</v>
      </c>
      <c r="K123" s="7">
        <v>42748.047025462962</v>
      </c>
      <c r="L123" s="3" t="s">
        <v>72</v>
      </c>
      <c r="M123" s="7">
        <v>42748.047025462962</v>
      </c>
    </row>
    <row r="124" spans="3:13" x14ac:dyDescent="0.25">
      <c r="C124" t="str">
        <f>IF(COUNTBLANK(E124:N124) = 10,"",IF(AND(NOT(ISBLANK(E124)),COUNTBLANK(E124:N124) = 9),"3 Delete",IF(ISBLANK(E124),"2 Add",IF(JenkinsHashRange(E124:N124) = "857696730","0 Original","1 Modify"))))</f>
        <v>0 Original</v>
      </c>
      <c r="D124" s="3" t="s">
        <v>797</v>
      </c>
      <c r="E124" s="5">
        <v>1123</v>
      </c>
      <c r="F124" s="3" t="s">
        <v>798</v>
      </c>
      <c r="G124" s="9">
        <v>5.99</v>
      </c>
      <c r="H124" s="18" t="s">
        <v>799</v>
      </c>
      <c r="I124" s="3" t="s">
        <v>800</v>
      </c>
      <c r="J124" s="7" t="s">
        <v>72</v>
      </c>
      <c r="K124" s="7">
        <v>42748.047025462962</v>
      </c>
      <c r="L124" s="3" t="s">
        <v>72</v>
      </c>
      <c r="M124" s="7">
        <v>42748.047025462962</v>
      </c>
    </row>
    <row r="125" spans="3:13" x14ac:dyDescent="0.25">
      <c r="C125" t="str">
        <f>IF(COUNTBLANK(E125:N125) = 10,"",IF(AND(NOT(ISBLANK(E125)),COUNTBLANK(E125:N125) = 9),"3 Delete",IF(ISBLANK(E125),"2 Add",IF(JenkinsHashRange(E125:N125) = "1292784274","0 Original","1 Modify"))))</f>
        <v>0 Original</v>
      </c>
      <c r="D125" s="3" t="s">
        <v>801</v>
      </c>
      <c r="E125" s="5">
        <v>1124</v>
      </c>
      <c r="F125" s="3" t="s">
        <v>802</v>
      </c>
      <c r="G125" s="9">
        <v>6.99</v>
      </c>
      <c r="H125" s="18" t="s">
        <v>803</v>
      </c>
      <c r="I125" s="3" t="s">
        <v>382</v>
      </c>
      <c r="J125" s="7" t="s">
        <v>72</v>
      </c>
      <c r="K125" s="7">
        <v>42748.047025462962</v>
      </c>
      <c r="L125" s="3" t="s">
        <v>72</v>
      </c>
      <c r="M125" s="7">
        <v>42748.047025462962</v>
      </c>
    </row>
    <row r="126" spans="3:13" x14ac:dyDescent="0.25">
      <c r="C126" t="str">
        <f>IF(COUNTBLANK(E126:N126) = 10,"",IF(AND(NOT(ISBLANK(E126)),COUNTBLANK(E126:N126) = 9),"3 Delete",IF(ISBLANK(E126),"2 Add",IF(JenkinsHashRange(E126:N126) = "295562468","0 Original","1 Modify"))))</f>
        <v>0 Original</v>
      </c>
      <c r="D126" s="3" t="s">
        <v>804</v>
      </c>
      <c r="E126" s="5">
        <v>1125</v>
      </c>
      <c r="F126" s="3" t="s">
        <v>805</v>
      </c>
      <c r="G126" s="9">
        <v>4.99</v>
      </c>
      <c r="H126" s="18" t="s">
        <v>449</v>
      </c>
      <c r="I126" s="3" t="s">
        <v>466</v>
      </c>
      <c r="J126" s="7" t="s">
        <v>72</v>
      </c>
      <c r="K126" s="7">
        <v>42748.047025462962</v>
      </c>
      <c r="L126" s="3" t="s">
        <v>72</v>
      </c>
      <c r="M126" s="7">
        <v>42748.047025462962</v>
      </c>
    </row>
    <row r="127" spans="3:13" x14ac:dyDescent="0.25">
      <c r="C127" t="str">
        <f>IF(COUNTBLANK(E127:N127) = 10,"",IF(AND(NOT(ISBLANK(E127)),COUNTBLANK(E127:N127) = 9),"3 Delete",IF(ISBLANK(E127),"2 Add",IF(JenkinsHashRange(E127:N127) = "1677303500","0 Original","1 Modify"))))</f>
        <v>0 Original</v>
      </c>
      <c r="D127" s="3" t="s">
        <v>806</v>
      </c>
      <c r="E127" s="5">
        <v>1126</v>
      </c>
      <c r="F127" s="3" t="s">
        <v>807</v>
      </c>
      <c r="G127" s="9">
        <v>8.99</v>
      </c>
      <c r="H127" s="18" t="s">
        <v>808</v>
      </c>
      <c r="I127" s="3" t="s">
        <v>809</v>
      </c>
      <c r="J127" s="7" t="s">
        <v>72</v>
      </c>
      <c r="K127" s="7">
        <v>42748.047025462962</v>
      </c>
      <c r="L127" s="3" t="s">
        <v>72</v>
      </c>
      <c r="M127" s="7">
        <v>42748.047025462962</v>
      </c>
    </row>
    <row r="128" spans="3:13" x14ac:dyDescent="0.25">
      <c r="C128" t="str">
        <f>IF(COUNTBLANK(E128:N128) = 10,"",IF(AND(NOT(ISBLANK(E128)),COUNTBLANK(E128:N128) = 9),"3 Delete",IF(ISBLANK(E128),"2 Add",IF(JenkinsHashRange(E128:N128) = "272051591","0 Original","1 Modify"))))</f>
        <v>0 Original</v>
      </c>
      <c r="D128" s="3" t="s">
        <v>810</v>
      </c>
      <c r="E128" s="5">
        <v>1127</v>
      </c>
      <c r="F128" s="3" t="s">
        <v>811</v>
      </c>
      <c r="G128" s="9">
        <v>4.99</v>
      </c>
      <c r="H128" s="18" t="s">
        <v>812</v>
      </c>
      <c r="I128" s="3" t="s">
        <v>813</v>
      </c>
      <c r="J128" s="7" t="s">
        <v>72</v>
      </c>
      <c r="K128" s="7">
        <v>42748.047025462962</v>
      </c>
      <c r="L128" s="3" t="s">
        <v>72</v>
      </c>
      <c r="M128" s="7">
        <v>42748.047025462962</v>
      </c>
    </row>
    <row r="129" spans="3:13" x14ac:dyDescent="0.25">
      <c r="C129" t="str">
        <f>IF(COUNTBLANK(E129:N129) = 10,"",IF(AND(NOT(ISBLANK(E129)),COUNTBLANK(E129:N129) = 9),"3 Delete",IF(ISBLANK(E129),"2 Add",IF(JenkinsHashRange(E129:N129) = "1919365470","0 Original","1 Modify"))))</f>
        <v>0 Original</v>
      </c>
      <c r="D129" s="3" t="s">
        <v>814</v>
      </c>
      <c r="E129" s="5">
        <v>1128</v>
      </c>
      <c r="F129" s="3" t="s">
        <v>815</v>
      </c>
      <c r="G129" s="9">
        <v>9.99</v>
      </c>
      <c r="H129" s="18" t="s">
        <v>816</v>
      </c>
      <c r="I129" s="3" t="s">
        <v>382</v>
      </c>
      <c r="J129" s="7" t="s">
        <v>72</v>
      </c>
      <c r="K129" s="7">
        <v>42748.047025462962</v>
      </c>
      <c r="L129" s="3" t="s">
        <v>72</v>
      </c>
      <c r="M129" s="7">
        <v>42748.047025462962</v>
      </c>
    </row>
    <row r="130" spans="3:13" x14ac:dyDescent="0.25">
      <c r="C130" t="str">
        <f>IF(COUNTBLANK(E130:N130) = 10,"",IF(AND(NOT(ISBLANK(E130)),COUNTBLANK(E130:N130) = 9),"3 Delete",IF(ISBLANK(E130),"2 Add",IF(JenkinsHashRange(E130:N130) = "807756217","0 Original","1 Modify"))))</f>
        <v>0 Original</v>
      </c>
      <c r="D130" s="3" t="s">
        <v>817</v>
      </c>
      <c r="E130" s="5">
        <v>1129</v>
      </c>
      <c r="F130" s="3" t="s">
        <v>818</v>
      </c>
      <c r="G130" s="9">
        <v>5.99</v>
      </c>
      <c r="H130" s="18" t="s">
        <v>819</v>
      </c>
      <c r="I130" s="3" t="s">
        <v>775</v>
      </c>
      <c r="J130" s="7" t="s">
        <v>72</v>
      </c>
      <c r="K130" s="7">
        <v>42748.047025462962</v>
      </c>
      <c r="L130" s="3" t="s">
        <v>72</v>
      </c>
      <c r="M130" s="7">
        <v>42748.047025462962</v>
      </c>
    </row>
    <row r="131" spans="3:13" x14ac:dyDescent="0.25">
      <c r="C131" t="str">
        <f>IF(COUNTBLANK(E131:N131) = 10,"",IF(AND(NOT(ISBLANK(E131)),COUNTBLANK(E131:N131) = 9),"3 Delete",IF(ISBLANK(E131),"2 Add",IF(JenkinsHashRange(E131:N131) = "1847290404","0 Original","1 Modify"))))</f>
        <v>0 Original</v>
      </c>
      <c r="D131" s="3" t="s">
        <v>820</v>
      </c>
      <c r="E131" s="5">
        <v>1130</v>
      </c>
      <c r="F131" s="3" t="s">
        <v>821</v>
      </c>
      <c r="G131" s="9">
        <v>9.99</v>
      </c>
      <c r="H131" s="18" t="s">
        <v>822</v>
      </c>
      <c r="I131" s="3" t="s">
        <v>382</v>
      </c>
      <c r="J131" s="7" t="s">
        <v>72</v>
      </c>
      <c r="K131" s="7">
        <v>42748.047025462962</v>
      </c>
      <c r="L131" s="3" t="s">
        <v>72</v>
      </c>
      <c r="M131" s="7">
        <v>42748.047025462962</v>
      </c>
    </row>
    <row r="132" spans="3:13" x14ac:dyDescent="0.25">
      <c r="C132" t="str">
        <f>IF(COUNTBLANK(E132:N132) = 10,"",IF(AND(NOT(ISBLANK(E132)),COUNTBLANK(E132:N132) = 9),"3 Delete",IF(ISBLANK(E132),"2 Add",IF(JenkinsHashRange(E132:N132) = "1747368026","0 Original","1 Modify"))))</f>
        <v>0 Original</v>
      </c>
      <c r="D132" s="3" t="s">
        <v>823</v>
      </c>
      <c r="E132" s="5">
        <v>1131</v>
      </c>
      <c r="F132" s="3" t="s">
        <v>824</v>
      </c>
      <c r="G132" s="9">
        <v>7.99</v>
      </c>
      <c r="H132" s="18" t="s">
        <v>825</v>
      </c>
      <c r="I132" s="3" t="s">
        <v>826</v>
      </c>
      <c r="J132" s="7" t="s">
        <v>72</v>
      </c>
      <c r="K132" s="7">
        <v>42748.047025462962</v>
      </c>
      <c r="L132" s="3" t="s">
        <v>72</v>
      </c>
      <c r="M132" s="7">
        <v>42748.047025462962</v>
      </c>
    </row>
    <row r="133" spans="3:13" x14ac:dyDescent="0.25">
      <c r="C133" t="str">
        <f>IF(COUNTBLANK(E133:N133) = 10,"",IF(AND(NOT(ISBLANK(E133)),COUNTBLANK(E133:N133) = 9),"3 Delete",IF(ISBLANK(E133),"2 Add",IF(JenkinsHashRange(E133:N133) = "1098279503","0 Original","1 Modify"))))</f>
        <v>0 Original</v>
      </c>
      <c r="D133" s="3" t="s">
        <v>827</v>
      </c>
      <c r="E133" s="5">
        <v>1132</v>
      </c>
      <c r="F133" s="3" t="s">
        <v>828</v>
      </c>
      <c r="G133" s="9">
        <v>5.99</v>
      </c>
      <c r="H133" s="18" t="s">
        <v>829</v>
      </c>
      <c r="I133" s="3" t="s">
        <v>537</v>
      </c>
      <c r="J133" s="7" t="s">
        <v>72</v>
      </c>
      <c r="K133" s="7">
        <v>42748.047025462962</v>
      </c>
      <c r="L133" s="3" t="s">
        <v>72</v>
      </c>
      <c r="M133" s="7">
        <v>42748.047025462962</v>
      </c>
    </row>
    <row r="134" spans="3:13" x14ac:dyDescent="0.25">
      <c r="C134" t="str">
        <f>IF(COUNTBLANK(E134:N134) = 10,"",IF(AND(NOT(ISBLANK(E134)),COUNTBLANK(E134:N134) = 9),"3 Delete",IF(ISBLANK(E134),"2 Add",IF(JenkinsHashRange(E134:N134) = "828339278","0 Original","1 Modify"))))</f>
        <v>0 Original</v>
      </c>
      <c r="D134" s="3" t="s">
        <v>830</v>
      </c>
      <c r="E134" s="5">
        <v>1133</v>
      </c>
      <c r="F134" s="3" t="s">
        <v>831</v>
      </c>
      <c r="G134" s="9">
        <v>6.99</v>
      </c>
      <c r="H134" s="18" t="s">
        <v>832</v>
      </c>
      <c r="I134" s="3" t="s">
        <v>382</v>
      </c>
      <c r="J134" s="7" t="s">
        <v>72</v>
      </c>
      <c r="K134" s="7">
        <v>42748.047025462962</v>
      </c>
      <c r="L134" s="3" t="s">
        <v>72</v>
      </c>
      <c r="M134" s="7">
        <v>42748.047025462962</v>
      </c>
    </row>
    <row r="135" spans="3:13" x14ac:dyDescent="0.25">
      <c r="C135" t="str">
        <f>IF(COUNTBLANK(E135:N135) = 10,"",IF(AND(NOT(ISBLANK(E135)),COUNTBLANK(E135:N135) = 9),"3 Delete",IF(ISBLANK(E135),"2 Add",IF(JenkinsHashRange(E135:N135) = "393224597","0 Original","1 Modify"))))</f>
        <v>0 Original</v>
      </c>
      <c r="D135" s="3" t="s">
        <v>833</v>
      </c>
      <c r="E135" s="5">
        <v>1134</v>
      </c>
      <c r="F135" s="3" t="s">
        <v>834</v>
      </c>
      <c r="G135" s="9">
        <v>4.99</v>
      </c>
      <c r="H135" s="18" t="s">
        <v>835</v>
      </c>
      <c r="I135" s="3" t="s">
        <v>836</v>
      </c>
      <c r="J135" s="7" t="s">
        <v>72</v>
      </c>
      <c r="K135" s="7">
        <v>42748.047025462962</v>
      </c>
      <c r="L135" s="3" t="s">
        <v>72</v>
      </c>
      <c r="M135" s="7">
        <v>42748.047025462962</v>
      </c>
    </row>
    <row r="136" spans="3:13" x14ac:dyDescent="0.25">
      <c r="C136" t="str">
        <f>IF(COUNTBLANK(E136:N136) = 10,"",IF(AND(NOT(ISBLANK(E136)),COUNTBLANK(E136:N136) = 9),"3 Delete",IF(ISBLANK(E136),"2 Add",IF(JenkinsHashRange(E136:N136) = "1327095645","0 Original","1 Modify"))))</f>
        <v>0 Original</v>
      </c>
      <c r="D136" s="3" t="s">
        <v>837</v>
      </c>
      <c r="E136" s="5">
        <v>1135</v>
      </c>
      <c r="F136" s="3" t="s">
        <v>838</v>
      </c>
      <c r="G136" s="9">
        <v>6.99</v>
      </c>
      <c r="H136" s="18" t="s">
        <v>839</v>
      </c>
      <c r="I136" s="3" t="s">
        <v>382</v>
      </c>
      <c r="J136" s="7" t="s">
        <v>72</v>
      </c>
      <c r="K136" s="7">
        <v>42748.047025462962</v>
      </c>
      <c r="L136" s="3" t="s">
        <v>72</v>
      </c>
      <c r="M136" s="7">
        <v>42748.047025462962</v>
      </c>
    </row>
    <row r="137" spans="3:13" x14ac:dyDescent="0.25">
      <c r="C137" t="str">
        <f>IF(COUNTBLANK(E137:N137) = 10,"",IF(AND(NOT(ISBLANK(E137)),COUNTBLANK(E137:N137) = 9),"3 Delete",IF(ISBLANK(E137),"2 Add",IF(JenkinsHashRange(E137:N137) = "654471920","0 Original","1 Modify"))))</f>
        <v>0 Original</v>
      </c>
      <c r="D137" s="3" t="s">
        <v>840</v>
      </c>
      <c r="E137" s="5">
        <v>1136</v>
      </c>
      <c r="F137" s="3" t="s">
        <v>841</v>
      </c>
      <c r="G137" s="9">
        <v>9.99</v>
      </c>
      <c r="H137" s="18" t="s">
        <v>842</v>
      </c>
      <c r="I137" s="3" t="s">
        <v>771</v>
      </c>
      <c r="J137" s="7" t="s">
        <v>72</v>
      </c>
      <c r="K137" s="7">
        <v>42748.047025462962</v>
      </c>
      <c r="L137" s="3" t="s">
        <v>72</v>
      </c>
      <c r="M137" s="7">
        <v>42748.047025462962</v>
      </c>
    </row>
    <row r="138" spans="3:13" x14ac:dyDescent="0.25">
      <c r="C138" t="str">
        <f>IF(COUNTBLANK(E138:N138) = 10,"",IF(AND(NOT(ISBLANK(E138)),COUNTBLANK(E138:N138) = 9),"3 Delete",IF(ISBLANK(E138),"2 Add",IF(JenkinsHashRange(E138:N138) = "292675946","0 Original","1 Modify"))))</f>
        <v>0 Original</v>
      </c>
      <c r="D138" s="3" t="s">
        <v>843</v>
      </c>
      <c r="E138" s="5">
        <v>1137</v>
      </c>
      <c r="F138" s="3" t="s">
        <v>844</v>
      </c>
      <c r="G138" s="9">
        <v>6.99</v>
      </c>
      <c r="H138" s="18" t="s">
        <v>845</v>
      </c>
      <c r="I138" s="3" t="s">
        <v>378</v>
      </c>
      <c r="J138" s="7" t="s">
        <v>72</v>
      </c>
      <c r="K138" s="7">
        <v>42748.047025462962</v>
      </c>
      <c r="L138" s="3" t="s">
        <v>72</v>
      </c>
      <c r="M138" s="7">
        <v>42748.047025462962</v>
      </c>
    </row>
    <row r="139" spans="3:13" x14ac:dyDescent="0.25">
      <c r="C139" t="str">
        <f>IF(COUNTBLANK(E139:N139) = 10,"",IF(AND(NOT(ISBLANK(E139)),COUNTBLANK(E139:N139) = 9),"3 Delete",IF(ISBLANK(E139),"2 Add",IF(JenkinsHashRange(E139:N139) = "578748648","0 Original","1 Modify"))))</f>
        <v>0 Original</v>
      </c>
      <c r="D139" s="3" t="s">
        <v>846</v>
      </c>
      <c r="E139" s="5">
        <v>1138</v>
      </c>
      <c r="F139" s="3" t="s">
        <v>847</v>
      </c>
      <c r="G139" s="9">
        <v>8.99</v>
      </c>
      <c r="H139" s="18" t="s">
        <v>848</v>
      </c>
      <c r="I139" s="3" t="s">
        <v>849</v>
      </c>
      <c r="J139" s="7" t="s">
        <v>72</v>
      </c>
      <c r="K139" s="7">
        <v>42748.047025462962</v>
      </c>
      <c r="L139" s="3" t="s">
        <v>72</v>
      </c>
      <c r="M139" s="7">
        <v>42748.047025462962</v>
      </c>
    </row>
    <row r="140" spans="3:13" x14ac:dyDescent="0.25">
      <c r="C140" t="str">
        <f>IF(COUNTBLANK(E140:N140) = 10,"",IF(AND(NOT(ISBLANK(E140)),COUNTBLANK(E140:N140) = 9),"3 Delete",IF(ISBLANK(E140),"2 Add",IF(JenkinsHashRange(E140:N140) = "1981129797","0 Original","1 Modify"))))</f>
        <v>0 Original</v>
      </c>
      <c r="D140" s="3" t="s">
        <v>850</v>
      </c>
      <c r="E140" s="5">
        <v>1139</v>
      </c>
      <c r="F140" s="3" t="s">
        <v>851</v>
      </c>
      <c r="G140" s="9">
        <v>7.99</v>
      </c>
      <c r="H140" s="18" t="s">
        <v>852</v>
      </c>
      <c r="I140" s="3" t="s">
        <v>853</v>
      </c>
      <c r="J140" s="7" t="s">
        <v>72</v>
      </c>
      <c r="K140" s="7">
        <v>42748.047025462962</v>
      </c>
      <c r="L140" s="3" t="s">
        <v>72</v>
      </c>
      <c r="M140" s="7">
        <v>42748.047025462962</v>
      </c>
    </row>
    <row r="141" spans="3:13" x14ac:dyDescent="0.25">
      <c r="C141" t="str">
        <f>IF(COUNTBLANK(E141:N141) = 10,"",IF(AND(NOT(ISBLANK(E141)),COUNTBLANK(E141:N141) = 9),"3 Delete",IF(ISBLANK(E141),"2 Add",IF(JenkinsHashRange(E141:N141) = "1892887750","0 Original","1 Modify"))))</f>
        <v>0 Original</v>
      </c>
      <c r="D141" s="3" t="s">
        <v>854</v>
      </c>
      <c r="E141" s="5">
        <v>1140</v>
      </c>
      <c r="F141" s="3" t="s">
        <v>855</v>
      </c>
      <c r="G141" s="9">
        <v>8.99</v>
      </c>
      <c r="H141" s="18" t="s">
        <v>856</v>
      </c>
      <c r="I141" s="3" t="s">
        <v>857</v>
      </c>
      <c r="J141" s="7" t="s">
        <v>72</v>
      </c>
      <c r="K141" s="7">
        <v>42748.047025462962</v>
      </c>
      <c r="L141" s="3" t="s">
        <v>72</v>
      </c>
      <c r="M141" s="7">
        <v>42748.047025462962</v>
      </c>
    </row>
    <row r="142" spans="3:13" x14ac:dyDescent="0.25">
      <c r="C142" t="str">
        <f>IF(COUNTBLANK(E142:N142) = 10,"",IF(AND(NOT(ISBLANK(E142)),COUNTBLANK(E142:N142) = 9),"3 Delete",IF(ISBLANK(E142),"2 Add",IF(JenkinsHashRange(E142:N142) = "846848664","0 Original","1 Modify"))))</f>
        <v>0 Original</v>
      </c>
      <c r="D142" s="3" t="s">
        <v>858</v>
      </c>
      <c r="E142" s="5">
        <v>1141</v>
      </c>
      <c r="F142" s="3" t="s">
        <v>859</v>
      </c>
      <c r="G142" s="9">
        <v>4.99</v>
      </c>
      <c r="H142" s="18" t="s">
        <v>860</v>
      </c>
      <c r="I142" s="3" t="s">
        <v>382</v>
      </c>
      <c r="J142" s="7" t="s">
        <v>72</v>
      </c>
      <c r="K142" s="7">
        <v>42748.047025462962</v>
      </c>
      <c r="L142" s="3" t="s">
        <v>72</v>
      </c>
      <c r="M142" s="7">
        <v>42748.047025462962</v>
      </c>
    </row>
    <row r="143" spans="3:13" x14ac:dyDescent="0.25">
      <c r="C143" t="str">
        <f>IF(COUNTBLANK(E143:N143) = 10,"",IF(AND(NOT(ISBLANK(E143)),COUNTBLANK(E143:N143) = 9),"3 Delete",IF(ISBLANK(E143),"2 Add",IF(JenkinsHashRange(E143:N143) = "2146740538","0 Original","1 Modify"))))</f>
        <v>0 Original</v>
      </c>
      <c r="D143" s="3" t="s">
        <v>861</v>
      </c>
      <c r="E143" s="5">
        <v>1142</v>
      </c>
      <c r="F143" s="3" t="s">
        <v>862</v>
      </c>
      <c r="G143" s="9">
        <v>8.99</v>
      </c>
      <c r="H143" s="18" t="s">
        <v>863</v>
      </c>
      <c r="I143" s="3" t="s">
        <v>382</v>
      </c>
      <c r="J143" s="7" t="s">
        <v>72</v>
      </c>
      <c r="K143" s="7">
        <v>42748.047025462962</v>
      </c>
      <c r="L143" s="3" t="s">
        <v>72</v>
      </c>
      <c r="M143" s="7">
        <v>42748.047025462962</v>
      </c>
    </row>
    <row r="144" spans="3:13" x14ac:dyDescent="0.25">
      <c r="C144" t="str">
        <f>IF(COUNTBLANK(E144:N144) = 10,"",IF(AND(NOT(ISBLANK(E144)),COUNTBLANK(E144:N144) = 9),"3 Delete",IF(ISBLANK(E144),"2 Add",IF(JenkinsHashRange(E144:N144) = "2103491861","0 Original","1 Modify"))))</f>
        <v>0 Original</v>
      </c>
      <c r="D144" s="3" t="s">
        <v>864</v>
      </c>
      <c r="E144" s="5">
        <v>1143</v>
      </c>
      <c r="F144" s="3" t="s">
        <v>865</v>
      </c>
      <c r="G144" s="9">
        <v>6.99</v>
      </c>
      <c r="H144" s="18" t="s">
        <v>866</v>
      </c>
      <c r="I144" s="3" t="s">
        <v>382</v>
      </c>
      <c r="J144" s="7" t="s">
        <v>72</v>
      </c>
      <c r="K144" s="7">
        <v>42748.047025462962</v>
      </c>
      <c r="L144" s="3" t="s">
        <v>72</v>
      </c>
      <c r="M144" s="7">
        <v>42748.047025462962</v>
      </c>
    </row>
    <row r="145" spans="3:13" x14ac:dyDescent="0.25">
      <c r="C145" t="str">
        <f>IF(COUNTBLANK(E145:N145) = 10,"",IF(AND(NOT(ISBLANK(E145)),COUNTBLANK(E145:N145) = 9),"3 Delete",IF(ISBLANK(E145),"2 Add",IF(JenkinsHashRange(E145:N145) = "1564142469","0 Original","1 Modify"))))</f>
        <v>0 Original</v>
      </c>
      <c r="D145" s="3" t="s">
        <v>867</v>
      </c>
      <c r="E145" s="5">
        <v>1144</v>
      </c>
      <c r="F145" s="3" t="s">
        <v>868</v>
      </c>
      <c r="G145" s="9">
        <v>7.99</v>
      </c>
      <c r="H145" s="18" t="s">
        <v>869</v>
      </c>
      <c r="I145" s="3" t="s">
        <v>870</v>
      </c>
      <c r="J145" s="7" t="s">
        <v>72</v>
      </c>
      <c r="K145" s="7">
        <v>42748.047025462962</v>
      </c>
      <c r="L145" s="3" t="s">
        <v>72</v>
      </c>
      <c r="M145" s="7">
        <v>42748.047025462962</v>
      </c>
    </row>
    <row r="146" spans="3:13" x14ac:dyDescent="0.25">
      <c r="C146" t="str">
        <f>IF(COUNTBLANK(E146:N146) = 10,"",IF(AND(NOT(ISBLANK(E146)),COUNTBLANK(E146:N146) = 9),"3 Delete",IF(ISBLANK(E146),"2 Add",IF(JenkinsHashRange(E146:N146) = "785865583","0 Original","1 Modify"))))</f>
        <v>0 Original</v>
      </c>
      <c r="D146" s="3" t="s">
        <v>871</v>
      </c>
      <c r="E146" s="5">
        <v>1145</v>
      </c>
      <c r="F146" s="3" t="s">
        <v>872</v>
      </c>
      <c r="G146" s="9">
        <v>4.99</v>
      </c>
      <c r="H146" s="18" t="s">
        <v>873</v>
      </c>
      <c r="I146" s="3" t="s">
        <v>549</v>
      </c>
      <c r="J146" s="7" t="s">
        <v>72</v>
      </c>
      <c r="K146" s="7">
        <v>42748.047025462962</v>
      </c>
      <c r="L146" s="3" t="s">
        <v>72</v>
      </c>
      <c r="M146" s="7">
        <v>42748.047025462962</v>
      </c>
    </row>
    <row r="147" spans="3:13" x14ac:dyDescent="0.25">
      <c r="C147" t="str">
        <f>IF(COUNTBLANK(E147:N147) = 10,"",IF(AND(NOT(ISBLANK(E147)),COUNTBLANK(E147:N147) = 9),"3 Delete",IF(ISBLANK(E147),"2 Add",IF(JenkinsHashRange(E147:N147) = "1188675796","0 Original","1 Modify"))))</f>
        <v>0 Original</v>
      </c>
      <c r="D147" s="3" t="s">
        <v>874</v>
      </c>
      <c r="E147" s="5">
        <v>1146</v>
      </c>
      <c r="F147" s="3" t="s">
        <v>875</v>
      </c>
      <c r="G147" s="9">
        <v>5.99</v>
      </c>
      <c r="H147" s="18" t="s">
        <v>876</v>
      </c>
      <c r="I147" s="3" t="s">
        <v>549</v>
      </c>
      <c r="J147" s="7" t="s">
        <v>72</v>
      </c>
      <c r="K147" s="7">
        <v>42748.047025462962</v>
      </c>
      <c r="L147" s="3" t="s">
        <v>72</v>
      </c>
      <c r="M147" s="7">
        <v>42748.047025462962</v>
      </c>
    </row>
    <row r="148" spans="3:13" x14ac:dyDescent="0.25">
      <c r="C148" t="str">
        <f>IF(COUNTBLANK(E148:N148) = 10,"",IF(AND(NOT(ISBLANK(E148)),COUNTBLANK(E148:N148) = 9),"3 Delete",IF(ISBLANK(E148),"2 Add",IF(JenkinsHashRange(E148:N148) = "2108253554","0 Original","1 Modify"))))</f>
        <v>0 Original</v>
      </c>
      <c r="D148" s="3" t="s">
        <v>877</v>
      </c>
      <c r="E148" s="5">
        <v>1147</v>
      </c>
      <c r="F148" s="3" t="s">
        <v>878</v>
      </c>
      <c r="G148" s="9">
        <v>8.99</v>
      </c>
      <c r="H148" s="18" t="s">
        <v>879</v>
      </c>
      <c r="I148" s="3" t="s">
        <v>611</v>
      </c>
      <c r="J148" s="7" t="s">
        <v>72</v>
      </c>
      <c r="K148" s="7">
        <v>42748.047025462962</v>
      </c>
      <c r="L148" s="3" t="s">
        <v>72</v>
      </c>
      <c r="M148" s="7">
        <v>42748.047025462962</v>
      </c>
    </row>
    <row r="149" spans="3:13" x14ac:dyDescent="0.25">
      <c r="C149" t="str">
        <f>IF(COUNTBLANK(E149:N149) = 10,"",IF(AND(NOT(ISBLANK(E149)),COUNTBLANK(E149:N149) = 9),"3 Delete",IF(ISBLANK(E149),"2 Add",IF(JenkinsHashRange(E149:N149) = "306026883","0 Original","1 Modify"))))</f>
        <v>0 Original</v>
      </c>
      <c r="D149" s="3" t="s">
        <v>880</v>
      </c>
      <c r="E149" s="5">
        <v>1148</v>
      </c>
      <c r="F149" s="3" t="s">
        <v>881</v>
      </c>
      <c r="G149" s="9">
        <v>6.99</v>
      </c>
      <c r="H149" s="18" t="s">
        <v>882</v>
      </c>
      <c r="I149" s="3" t="s">
        <v>382</v>
      </c>
      <c r="J149" s="7" t="s">
        <v>72</v>
      </c>
      <c r="K149" s="7">
        <v>42748.047025462962</v>
      </c>
      <c r="L149" s="3" t="s">
        <v>72</v>
      </c>
      <c r="M149" s="7">
        <v>42748.047025462962</v>
      </c>
    </row>
    <row r="150" spans="3:13" x14ac:dyDescent="0.25">
      <c r="C150" t="str">
        <f>IF(COUNTBLANK(E150:N150) = 10,"",IF(AND(NOT(ISBLANK(E150)),COUNTBLANK(E150:N150) = 9),"3 Delete",IF(ISBLANK(E150),"2 Add",IF(JenkinsHashRange(E150:N150) = "1942383228","0 Original","1 Modify"))))</f>
        <v>0 Original</v>
      </c>
      <c r="D150" s="3" t="s">
        <v>883</v>
      </c>
      <c r="E150" s="5">
        <v>1149</v>
      </c>
      <c r="F150" s="3" t="s">
        <v>884</v>
      </c>
      <c r="G150" s="9">
        <v>4.99</v>
      </c>
      <c r="H150" s="18" t="s">
        <v>885</v>
      </c>
      <c r="I150" s="3" t="s">
        <v>603</v>
      </c>
      <c r="J150" s="7" t="s">
        <v>72</v>
      </c>
      <c r="K150" s="7">
        <v>42748.047025462962</v>
      </c>
      <c r="L150" s="3" t="s">
        <v>72</v>
      </c>
      <c r="M150" s="7">
        <v>42748.047025462962</v>
      </c>
    </row>
    <row r="151" spans="3:13" x14ac:dyDescent="0.25">
      <c r="C151" t="str">
        <f>IF(COUNTBLANK(E151:N151) = 10,"",IF(AND(NOT(ISBLANK(E151)),COUNTBLANK(E151:N151) = 9),"3 Delete",IF(ISBLANK(E151),"2 Add",IF(JenkinsHashRange(E151:N151) = "1967965009","0 Original","1 Modify"))))</f>
        <v>0 Original</v>
      </c>
      <c r="D151" s="3" t="s">
        <v>886</v>
      </c>
      <c r="E151" s="5">
        <v>1150</v>
      </c>
      <c r="F151" s="3" t="s">
        <v>887</v>
      </c>
      <c r="G151" s="9">
        <v>7.99</v>
      </c>
      <c r="H151" s="18" t="s">
        <v>888</v>
      </c>
      <c r="I151" s="3" t="s">
        <v>382</v>
      </c>
      <c r="J151" s="7" t="s">
        <v>72</v>
      </c>
      <c r="K151" s="7">
        <v>42748.047025462962</v>
      </c>
      <c r="L151" s="3" t="s">
        <v>72</v>
      </c>
      <c r="M151" s="7">
        <v>42748.047025462962</v>
      </c>
    </row>
    <row r="152" spans="3:13" x14ac:dyDescent="0.25">
      <c r="C152" t="str">
        <f>IF(COUNTBLANK(E152:N152) = 10,"",IF(AND(NOT(ISBLANK(E152)),COUNTBLANK(E152:N152) = 9),"3 Delete",IF(ISBLANK(E152),"2 Add",IF(JenkinsHashRange(E152:N152) = "1128051559","0 Original","1 Modify"))))</f>
        <v>0 Original</v>
      </c>
      <c r="D152" s="3" t="s">
        <v>889</v>
      </c>
      <c r="E152" s="5">
        <v>1151</v>
      </c>
      <c r="F152" s="3" t="s">
        <v>890</v>
      </c>
      <c r="G152" s="9">
        <v>5.99</v>
      </c>
      <c r="H152" s="18" t="s">
        <v>891</v>
      </c>
      <c r="I152" s="3" t="s">
        <v>449</v>
      </c>
      <c r="J152" s="7" t="s">
        <v>72</v>
      </c>
      <c r="K152" s="7">
        <v>42748.047025462962</v>
      </c>
      <c r="L152" s="3" t="s">
        <v>72</v>
      </c>
      <c r="M152" s="7">
        <v>42748.047025462962</v>
      </c>
    </row>
    <row r="153" spans="3:13" x14ac:dyDescent="0.25">
      <c r="C153" t="str">
        <f>IF(COUNTBLANK(E153:N153) = 10,"",IF(AND(NOT(ISBLANK(E153)),COUNTBLANK(E153:N153) = 9),"3 Delete",IF(ISBLANK(E153),"2 Add",IF(JenkinsHashRange(E153:N153) = "1051741650","0 Original","1 Modify"))))</f>
        <v>0 Original</v>
      </c>
      <c r="D153" s="3" t="s">
        <v>892</v>
      </c>
      <c r="E153" s="5">
        <v>1152</v>
      </c>
      <c r="F153" s="3" t="s">
        <v>893</v>
      </c>
      <c r="G153" s="9">
        <v>8.99</v>
      </c>
      <c r="H153" s="18" t="s">
        <v>894</v>
      </c>
      <c r="I153" s="3" t="s">
        <v>382</v>
      </c>
      <c r="J153" s="7" t="s">
        <v>72</v>
      </c>
      <c r="K153" s="7">
        <v>42748.047025462962</v>
      </c>
      <c r="L153" s="3" t="s">
        <v>72</v>
      </c>
      <c r="M153" s="7">
        <v>42748.047025462962</v>
      </c>
    </row>
    <row r="154" spans="3:13" x14ac:dyDescent="0.25">
      <c r="C154" t="str">
        <f>IF(COUNTBLANK(E154:N154) = 10,"",IF(AND(NOT(ISBLANK(E154)),COUNTBLANK(E154:N154) = 9),"3 Delete",IF(ISBLANK(E154),"2 Add",IF(JenkinsHashRange(E154:N154) = "923810083","0 Original","1 Modify"))))</f>
        <v>0 Original</v>
      </c>
      <c r="D154" s="3" t="s">
        <v>895</v>
      </c>
      <c r="E154" s="5">
        <v>1153</v>
      </c>
      <c r="F154" s="3" t="s">
        <v>896</v>
      </c>
      <c r="G154" s="9">
        <v>7.99</v>
      </c>
      <c r="H154" s="18" t="s">
        <v>897</v>
      </c>
      <c r="I154" s="3" t="s">
        <v>382</v>
      </c>
      <c r="J154" s="7" t="s">
        <v>72</v>
      </c>
      <c r="K154" s="7">
        <v>42748.047025462962</v>
      </c>
      <c r="L154" s="3" t="s">
        <v>72</v>
      </c>
      <c r="M154" s="7">
        <v>42748.047025462962</v>
      </c>
    </row>
    <row r="155" spans="3:13" x14ac:dyDescent="0.25">
      <c r="C155" t="str">
        <f>IF(COUNTBLANK(E155:N155) = 10,"",IF(AND(NOT(ISBLANK(E155)),COUNTBLANK(E155:N155) = 9),"3 Delete",IF(ISBLANK(E155),"2 Add",IF(JenkinsHashRange(E155:N155) = "38467937","0 Original","1 Modify"))))</f>
        <v>0 Original</v>
      </c>
      <c r="D155" s="3" t="s">
        <v>898</v>
      </c>
      <c r="E155" s="5">
        <v>1154</v>
      </c>
      <c r="F155" s="3" t="s">
        <v>899</v>
      </c>
      <c r="G155" s="9">
        <v>4.99</v>
      </c>
      <c r="H155" s="18" t="s">
        <v>900</v>
      </c>
      <c r="I155" s="3" t="s">
        <v>382</v>
      </c>
      <c r="J155" s="7" t="s">
        <v>72</v>
      </c>
      <c r="K155" s="7">
        <v>42748.047025462962</v>
      </c>
      <c r="L155" s="3" t="s">
        <v>72</v>
      </c>
      <c r="M155" s="7">
        <v>42748.047025462962</v>
      </c>
    </row>
    <row r="156" spans="3:13" x14ac:dyDescent="0.25">
      <c r="C156" t="str">
        <f>IF(COUNTBLANK(E156:N156) = 10,"",IF(AND(NOT(ISBLANK(E156)),COUNTBLANK(E156:N156) = 9),"3 Delete",IF(ISBLANK(E156),"2 Add",IF(JenkinsHashRange(E156:N156) = "813874632","0 Original","1 Modify"))))</f>
        <v>0 Original</v>
      </c>
      <c r="D156" s="3" t="s">
        <v>901</v>
      </c>
      <c r="E156" s="5">
        <v>1155</v>
      </c>
      <c r="F156" s="3" t="s">
        <v>902</v>
      </c>
      <c r="G156" s="9">
        <v>8.99</v>
      </c>
      <c r="H156" s="18" t="s">
        <v>903</v>
      </c>
      <c r="I156" s="3" t="s">
        <v>378</v>
      </c>
      <c r="J156" s="7" t="s">
        <v>72</v>
      </c>
      <c r="K156" s="7">
        <v>42748.047025462962</v>
      </c>
      <c r="L156" s="3" t="s">
        <v>72</v>
      </c>
      <c r="M156" s="7">
        <v>42748.047025462962</v>
      </c>
    </row>
    <row r="157" spans="3:13" x14ac:dyDescent="0.25">
      <c r="C157" t="str">
        <f>IF(COUNTBLANK(E157:N157) = 10,"",IF(AND(NOT(ISBLANK(E157)),COUNTBLANK(E157:N157) = 9),"3 Delete",IF(ISBLANK(E157),"2 Add",IF(JenkinsHashRange(E157:N157) = "1956952502","0 Original","1 Modify"))))</f>
        <v>0 Original</v>
      </c>
      <c r="D157" s="3" t="s">
        <v>904</v>
      </c>
      <c r="E157" s="5">
        <v>1156</v>
      </c>
      <c r="F157" s="3" t="s">
        <v>905</v>
      </c>
      <c r="G157" s="9">
        <v>9.99</v>
      </c>
      <c r="H157" s="18" t="s">
        <v>906</v>
      </c>
      <c r="I157" s="3" t="s">
        <v>382</v>
      </c>
      <c r="J157" s="7" t="s">
        <v>72</v>
      </c>
      <c r="K157" s="7">
        <v>42748.047025462962</v>
      </c>
      <c r="L157" s="3" t="s">
        <v>72</v>
      </c>
      <c r="M157" s="7">
        <v>42748.047025462962</v>
      </c>
    </row>
    <row r="158" spans="3:13" x14ac:dyDescent="0.25">
      <c r="C158" t="str">
        <f>IF(COUNTBLANK(E158:N158) = 10,"",IF(AND(NOT(ISBLANK(E158)),COUNTBLANK(E158:N158) = 9),"3 Delete",IF(ISBLANK(E158),"2 Add",IF(JenkinsHashRange(E158:N158) = "446808055","0 Original","1 Modify"))))</f>
        <v>0 Original</v>
      </c>
      <c r="D158" s="3" t="s">
        <v>907</v>
      </c>
      <c r="E158" s="5">
        <v>1157</v>
      </c>
      <c r="F158" s="3" t="s">
        <v>908</v>
      </c>
      <c r="G158" s="9">
        <v>8.99</v>
      </c>
      <c r="H158" s="18" t="s">
        <v>909</v>
      </c>
      <c r="I158" s="3" t="s">
        <v>910</v>
      </c>
      <c r="J158" s="7" t="s">
        <v>72</v>
      </c>
      <c r="K158" s="7">
        <v>42748.047025462962</v>
      </c>
      <c r="L158" s="3" t="s">
        <v>72</v>
      </c>
      <c r="M158" s="7">
        <v>42748.047025462962</v>
      </c>
    </row>
    <row r="159" spans="3:13" x14ac:dyDescent="0.25">
      <c r="C159" t="str">
        <f>IF(COUNTBLANK(E159:N159) = 10,"",IF(AND(NOT(ISBLANK(E159)),COUNTBLANK(E159:N159) = 9),"3 Delete",IF(ISBLANK(E159),"2 Add",IF(JenkinsHashRange(E159:N159) = "1930903825","0 Original","1 Modify"))))</f>
        <v>0 Original</v>
      </c>
      <c r="D159" s="3" t="s">
        <v>911</v>
      </c>
      <c r="E159" s="5">
        <v>1158</v>
      </c>
      <c r="F159" s="3" t="s">
        <v>912</v>
      </c>
      <c r="G159" s="9">
        <v>6.99</v>
      </c>
      <c r="H159" s="18" t="s">
        <v>913</v>
      </c>
      <c r="I159" s="3" t="s">
        <v>438</v>
      </c>
      <c r="J159" s="7" t="s">
        <v>72</v>
      </c>
      <c r="K159" s="7">
        <v>42748.047025462962</v>
      </c>
      <c r="L159" s="3" t="s">
        <v>72</v>
      </c>
      <c r="M159" s="7">
        <v>42748.047025462962</v>
      </c>
    </row>
    <row r="160" spans="3:13" x14ac:dyDescent="0.25">
      <c r="C160" t="str">
        <f>IF(COUNTBLANK(E160:N160) = 10,"",IF(AND(NOT(ISBLANK(E160)),COUNTBLANK(E160:N160) = 9),"3 Delete",IF(ISBLANK(E160),"2 Add",IF(JenkinsHashRange(E160:N160) = "1291667789","0 Original","1 Modify"))))</f>
        <v>0 Original</v>
      </c>
      <c r="D160" s="3" t="s">
        <v>914</v>
      </c>
      <c r="E160" s="5">
        <v>1159</v>
      </c>
      <c r="F160" s="3" t="s">
        <v>915</v>
      </c>
      <c r="G160" s="9">
        <v>8.99</v>
      </c>
      <c r="H160" s="18" t="s">
        <v>916</v>
      </c>
      <c r="I160" s="3" t="s">
        <v>449</v>
      </c>
      <c r="J160" s="7" t="s">
        <v>72</v>
      </c>
      <c r="K160" s="7">
        <v>42748.047025462962</v>
      </c>
      <c r="L160" s="3" t="s">
        <v>72</v>
      </c>
      <c r="M160" s="7">
        <v>42748.047025462962</v>
      </c>
    </row>
    <row r="161" spans="3:13" x14ac:dyDescent="0.25">
      <c r="C161" t="str">
        <f>IF(COUNTBLANK(E161:N161) = 10,"",IF(AND(NOT(ISBLANK(E161)),COUNTBLANK(E161:N161) = 9),"3 Delete",IF(ISBLANK(E161),"2 Add",IF(JenkinsHashRange(E161:N161) = "1342490360","0 Original","1 Modify"))))</f>
        <v>0 Original</v>
      </c>
      <c r="D161" s="3" t="s">
        <v>917</v>
      </c>
      <c r="E161" s="5">
        <v>1160</v>
      </c>
      <c r="F161" s="3" t="s">
        <v>918</v>
      </c>
      <c r="G161" s="9">
        <v>4.99</v>
      </c>
      <c r="H161" s="18" t="s">
        <v>919</v>
      </c>
      <c r="I161" s="3" t="s">
        <v>382</v>
      </c>
      <c r="J161" s="7" t="s">
        <v>72</v>
      </c>
      <c r="K161" s="7">
        <v>42748.047025462962</v>
      </c>
      <c r="L161" s="3" t="s">
        <v>72</v>
      </c>
      <c r="M161" s="7">
        <v>42748.047025462962</v>
      </c>
    </row>
    <row r="162" spans="3:13" x14ac:dyDescent="0.25">
      <c r="C162" t="str">
        <f>IF(COUNTBLANK(E162:N162) = 10,"",IF(AND(NOT(ISBLANK(E162)),COUNTBLANK(E162:N162) = 9),"3 Delete",IF(ISBLANK(E162),"2 Add",IF(JenkinsHashRange(E162:N162) = "573006602","0 Original","1 Modify"))))</f>
        <v>0 Original</v>
      </c>
      <c r="D162" s="3" t="s">
        <v>920</v>
      </c>
      <c r="E162" s="5">
        <v>1161</v>
      </c>
      <c r="F162" s="3" t="s">
        <v>921</v>
      </c>
      <c r="G162" s="9">
        <v>5.99</v>
      </c>
      <c r="H162" s="18" t="s">
        <v>922</v>
      </c>
      <c r="I162" s="3" t="s">
        <v>449</v>
      </c>
      <c r="J162" s="7" t="s">
        <v>72</v>
      </c>
      <c r="K162" s="7">
        <v>42748.047025462962</v>
      </c>
      <c r="L162" s="3" t="s">
        <v>72</v>
      </c>
      <c r="M162" s="7">
        <v>42748.047025462962</v>
      </c>
    </row>
    <row r="163" spans="3:13" x14ac:dyDescent="0.25">
      <c r="C163" t="str">
        <f>IF(COUNTBLANK(E163:N163) = 10,"",IF(AND(NOT(ISBLANK(E163)),COUNTBLANK(E163:N163) = 9),"3 Delete",IF(ISBLANK(E163),"2 Add",IF(JenkinsHashRange(E163:N163) = "47664972","0 Original","1 Modify"))))</f>
        <v>0 Original</v>
      </c>
      <c r="D163" s="3" t="s">
        <v>923</v>
      </c>
      <c r="E163" s="5">
        <v>1162</v>
      </c>
      <c r="F163" s="3" t="s">
        <v>924</v>
      </c>
      <c r="G163" s="9">
        <v>7.99</v>
      </c>
      <c r="H163" s="18" t="s">
        <v>925</v>
      </c>
      <c r="I163" s="3" t="s">
        <v>926</v>
      </c>
      <c r="J163" s="7" t="s">
        <v>72</v>
      </c>
      <c r="K163" s="7">
        <v>42748.047025462962</v>
      </c>
      <c r="L163" s="3" t="s">
        <v>72</v>
      </c>
      <c r="M163" s="7">
        <v>42748.047025462962</v>
      </c>
    </row>
    <row r="164" spans="3:13" x14ac:dyDescent="0.25">
      <c r="C164" t="str">
        <f>IF(COUNTBLANK(E164:N164) = 10,"",IF(AND(NOT(ISBLANK(E164)),COUNTBLANK(E164:N164) = 9),"3 Delete",IF(ISBLANK(E164),"2 Add",IF(JenkinsHashRange(E164:N164) = "427146084","0 Original","1 Modify"))))</f>
        <v>0 Original</v>
      </c>
      <c r="D164" s="3" t="s">
        <v>927</v>
      </c>
      <c r="E164" s="5">
        <v>1163</v>
      </c>
      <c r="F164" s="3" t="s">
        <v>928</v>
      </c>
      <c r="G164" s="9">
        <v>9.99</v>
      </c>
      <c r="H164" s="18" t="s">
        <v>929</v>
      </c>
      <c r="I164" s="3" t="s">
        <v>930</v>
      </c>
      <c r="J164" s="7" t="s">
        <v>72</v>
      </c>
      <c r="K164" s="7">
        <v>42748.047025462962</v>
      </c>
      <c r="L164" s="3" t="s">
        <v>72</v>
      </c>
      <c r="M164" s="7">
        <v>42748.047025462962</v>
      </c>
    </row>
    <row r="165" spans="3:13" x14ac:dyDescent="0.25">
      <c r="C165" t="str">
        <f>IF(COUNTBLANK(E165:N165) = 10,"",IF(AND(NOT(ISBLANK(E165)),COUNTBLANK(E165:N165) = 9),"3 Delete",IF(ISBLANK(E165),"2 Add",IF(JenkinsHashRange(E165:N165) = "924783419","0 Original","1 Modify"))))</f>
        <v>0 Original</v>
      </c>
      <c r="D165" s="3" t="s">
        <v>931</v>
      </c>
      <c r="E165" s="5">
        <v>1164</v>
      </c>
      <c r="F165" s="3" t="s">
        <v>932</v>
      </c>
      <c r="G165" s="9">
        <v>9.99</v>
      </c>
      <c r="H165" s="18" t="s">
        <v>933</v>
      </c>
      <c r="I165" s="3" t="s">
        <v>520</v>
      </c>
      <c r="J165" s="7" t="s">
        <v>72</v>
      </c>
      <c r="K165" s="7">
        <v>42748.047025462962</v>
      </c>
      <c r="L165" s="3" t="s">
        <v>72</v>
      </c>
      <c r="M165" s="7">
        <v>42748.047025462962</v>
      </c>
    </row>
    <row r="166" spans="3:13" x14ac:dyDescent="0.25">
      <c r="C166" t="str">
        <f>IF(COUNTBLANK(E166:N166) = 10,"",IF(AND(NOT(ISBLANK(E166)),COUNTBLANK(E166:N166) = 9),"3 Delete",IF(ISBLANK(E166),"2 Add",IF(JenkinsHashRange(E166:N166) = "968565020","0 Original","1 Modify"))))</f>
        <v>0 Original</v>
      </c>
      <c r="D166" s="3" t="s">
        <v>934</v>
      </c>
      <c r="E166" s="5">
        <v>1165</v>
      </c>
      <c r="F166" s="3" t="s">
        <v>935</v>
      </c>
      <c r="G166" s="9">
        <v>5.99</v>
      </c>
      <c r="H166" s="18" t="s">
        <v>936</v>
      </c>
      <c r="I166" s="3" t="s">
        <v>937</v>
      </c>
      <c r="J166" s="7" t="s">
        <v>72</v>
      </c>
      <c r="K166" s="7">
        <v>42748.047025462962</v>
      </c>
      <c r="L166" s="3" t="s">
        <v>72</v>
      </c>
      <c r="M166" s="7">
        <v>42748.047025462962</v>
      </c>
    </row>
    <row r="167" spans="3:13" x14ac:dyDescent="0.25">
      <c r="C167" t="str">
        <f>IF(COUNTBLANK(E167:N167) = 10,"",IF(AND(NOT(ISBLANK(E167)),COUNTBLANK(E167:N167) = 9),"3 Delete",IF(ISBLANK(E167),"2 Add",IF(JenkinsHashRange(E167:N167) = "1273420362","0 Original","1 Modify"))))</f>
        <v>0 Original</v>
      </c>
      <c r="D167" s="3" t="s">
        <v>938</v>
      </c>
      <c r="E167" s="5">
        <v>1166</v>
      </c>
      <c r="F167" s="3" t="s">
        <v>939</v>
      </c>
      <c r="G167" s="9">
        <v>4.99</v>
      </c>
      <c r="H167" s="18" t="s">
        <v>940</v>
      </c>
      <c r="I167" s="3" t="s">
        <v>382</v>
      </c>
      <c r="J167" s="7" t="s">
        <v>72</v>
      </c>
      <c r="K167" s="7">
        <v>42748.047025462962</v>
      </c>
      <c r="L167" s="3" t="s">
        <v>72</v>
      </c>
      <c r="M167" s="7">
        <v>42748.047025462962</v>
      </c>
    </row>
    <row r="168" spans="3:13" x14ac:dyDescent="0.25">
      <c r="C168" t="str">
        <f>IF(COUNTBLANK(E168:N168) = 10,"",IF(AND(NOT(ISBLANK(E168)),COUNTBLANK(E168:N168) = 9),"3 Delete",IF(ISBLANK(E168),"2 Add",IF(JenkinsHashRange(E168:N168) = "342425579","0 Original","1 Modify"))))</f>
        <v>0 Original</v>
      </c>
      <c r="D168" s="3" t="s">
        <v>941</v>
      </c>
      <c r="E168" s="5">
        <v>1167</v>
      </c>
      <c r="F168" s="3" t="s">
        <v>942</v>
      </c>
      <c r="G168" s="9">
        <v>8.99</v>
      </c>
      <c r="H168" s="18" t="s">
        <v>943</v>
      </c>
      <c r="I168" s="3" t="s">
        <v>944</v>
      </c>
      <c r="J168" s="7" t="s">
        <v>72</v>
      </c>
      <c r="K168" s="7">
        <v>42748.047025462962</v>
      </c>
      <c r="L168" s="3" t="s">
        <v>72</v>
      </c>
      <c r="M168" s="7">
        <v>42748.047025462962</v>
      </c>
    </row>
    <row r="169" spans="3:13" x14ac:dyDescent="0.25">
      <c r="C169" t="str">
        <f>IF(COUNTBLANK(E169:N169) = 10,"",IF(AND(NOT(ISBLANK(E169)),COUNTBLANK(E169:N169) = 9),"3 Delete",IF(ISBLANK(E169),"2 Add",IF(JenkinsHashRange(E169:N169) = "873982144","0 Original","1 Modify"))))</f>
        <v>0 Original</v>
      </c>
      <c r="D169" s="3" t="s">
        <v>945</v>
      </c>
      <c r="E169" s="5">
        <v>1168</v>
      </c>
      <c r="F169" s="3" t="s">
        <v>946</v>
      </c>
      <c r="G169" s="9">
        <v>7.99</v>
      </c>
      <c r="H169" s="18" t="s">
        <v>947</v>
      </c>
      <c r="I169" s="3" t="s">
        <v>466</v>
      </c>
      <c r="J169" s="7" t="s">
        <v>72</v>
      </c>
      <c r="K169" s="7">
        <v>42748.047025462962</v>
      </c>
      <c r="L169" s="3" t="s">
        <v>72</v>
      </c>
      <c r="M169" s="7">
        <v>42748.047025462962</v>
      </c>
    </row>
    <row r="170" spans="3:13" x14ac:dyDescent="0.25">
      <c r="C170" t="str">
        <f>IF(COUNTBLANK(E170:N170) = 10,"",IF(AND(NOT(ISBLANK(E170)),COUNTBLANK(E170:N170) = 9),"3 Delete",IF(ISBLANK(E170),"2 Add",IF(JenkinsHashRange(E170:N170) = "1039449676","0 Original","1 Modify"))))</f>
        <v>0 Original</v>
      </c>
      <c r="D170" s="3" t="s">
        <v>948</v>
      </c>
      <c r="E170" s="5">
        <v>1169</v>
      </c>
      <c r="F170" s="3" t="s">
        <v>949</v>
      </c>
      <c r="G170" s="9">
        <v>4.99</v>
      </c>
      <c r="H170" s="18" t="s">
        <v>950</v>
      </c>
      <c r="I170" s="3" t="s">
        <v>449</v>
      </c>
      <c r="J170" s="7" t="s">
        <v>72</v>
      </c>
      <c r="K170" s="7">
        <v>42748.047025462962</v>
      </c>
      <c r="L170" s="3" t="s">
        <v>72</v>
      </c>
      <c r="M170" s="7">
        <v>42748.047025462962</v>
      </c>
    </row>
    <row r="171" spans="3:13" x14ac:dyDescent="0.25">
      <c r="C171" t="str">
        <f>IF(COUNTBLANK(E171:N171) = 10,"",IF(AND(NOT(ISBLANK(E171)),COUNTBLANK(E171:N171) = 9),"3 Delete",IF(ISBLANK(E171),"2 Add",IF(JenkinsHashRange(E171:N171) = "913385218","0 Original","1 Modify"))))</f>
        <v>0 Original</v>
      </c>
      <c r="D171" s="3" t="s">
        <v>951</v>
      </c>
      <c r="E171" s="5">
        <v>1170</v>
      </c>
      <c r="F171" s="3" t="s">
        <v>952</v>
      </c>
      <c r="G171" s="9">
        <v>9.99</v>
      </c>
      <c r="H171" s="18" t="s">
        <v>953</v>
      </c>
      <c r="I171" s="3" t="s">
        <v>378</v>
      </c>
      <c r="J171" s="7" t="s">
        <v>72</v>
      </c>
      <c r="K171" s="7">
        <v>42748.047025462962</v>
      </c>
      <c r="L171" s="3" t="s">
        <v>72</v>
      </c>
      <c r="M171" s="7">
        <v>42748.047025462962</v>
      </c>
    </row>
    <row r="172" spans="3:13" x14ac:dyDescent="0.25">
      <c r="C172" t="str">
        <f>IF(COUNTBLANK(E172:N172) = 10,"",IF(AND(NOT(ISBLANK(E172)),COUNTBLANK(E172:N172) = 9),"3 Delete",IF(ISBLANK(E172),"2 Add",IF(JenkinsHashRange(E172:N172) = "1229373323","0 Original","1 Modify"))))</f>
        <v>0 Original</v>
      </c>
      <c r="D172" s="3" t="s">
        <v>954</v>
      </c>
      <c r="E172" s="5">
        <v>1171</v>
      </c>
      <c r="F172" s="3" t="s">
        <v>955</v>
      </c>
      <c r="G172" s="9">
        <v>8.99</v>
      </c>
      <c r="H172" s="18" t="s">
        <v>956</v>
      </c>
      <c r="I172" s="3" t="s">
        <v>449</v>
      </c>
      <c r="J172" s="7" t="s">
        <v>72</v>
      </c>
      <c r="K172" s="7">
        <v>42748.047025462962</v>
      </c>
      <c r="L172" s="3" t="s">
        <v>72</v>
      </c>
      <c r="M172" s="7">
        <v>42748.047025462962</v>
      </c>
    </row>
    <row r="173" spans="3:13" x14ac:dyDescent="0.25">
      <c r="C173" t="str">
        <f>IF(COUNTBLANK(E173:N173) = 10,"",IF(AND(NOT(ISBLANK(E173)),COUNTBLANK(E173:N173) = 9),"3 Delete",IF(ISBLANK(E173),"2 Add",IF(JenkinsHashRange(E173:N173) = "2137038288","0 Original","1 Modify"))))</f>
        <v>0 Original</v>
      </c>
      <c r="D173" s="3" t="s">
        <v>957</v>
      </c>
      <c r="E173" s="5">
        <v>1172</v>
      </c>
      <c r="F173" s="3" t="s">
        <v>958</v>
      </c>
      <c r="G173" s="9">
        <v>5.99</v>
      </c>
      <c r="H173" s="18" t="s">
        <v>959</v>
      </c>
      <c r="I173" s="3" t="s">
        <v>438</v>
      </c>
      <c r="J173" s="7" t="s">
        <v>72</v>
      </c>
      <c r="K173" s="7">
        <v>42748.047025462962</v>
      </c>
      <c r="L173" s="3" t="s">
        <v>72</v>
      </c>
      <c r="M173" s="7">
        <v>42748.047025462962</v>
      </c>
    </row>
    <row r="174" spans="3:13" x14ac:dyDescent="0.25">
      <c r="C174" t="str">
        <f>IF(COUNTBLANK(E174:N174) = 10,"",IF(AND(NOT(ISBLANK(E174)),COUNTBLANK(E174:N174) = 9),"3 Delete",IF(ISBLANK(E174),"2 Add",IF(JenkinsHashRange(E174:N174) = "1979884751","0 Original","1 Modify"))))</f>
        <v>0 Original</v>
      </c>
      <c r="D174" s="3" t="s">
        <v>960</v>
      </c>
      <c r="E174" s="5">
        <v>1173</v>
      </c>
      <c r="F174" s="3" t="s">
        <v>961</v>
      </c>
      <c r="G174" s="9">
        <v>7.99</v>
      </c>
      <c r="H174" s="18" t="s">
        <v>962</v>
      </c>
      <c r="I174" s="3" t="s">
        <v>672</v>
      </c>
      <c r="J174" s="7" t="s">
        <v>72</v>
      </c>
      <c r="K174" s="7">
        <v>42748.047025462962</v>
      </c>
      <c r="L174" s="3" t="s">
        <v>72</v>
      </c>
      <c r="M174" s="7">
        <v>42748.047025462962</v>
      </c>
    </row>
    <row r="175" spans="3:13" x14ac:dyDescent="0.25">
      <c r="C175" t="str">
        <f>IF(COUNTBLANK(E175:N175) = 10,"",IF(AND(NOT(ISBLANK(E175)),COUNTBLANK(E175:N175) = 9),"3 Delete",IF(ISBLANK(E175),"2 Add",IF(JenkinsHashRange(E175:N175) = "248988145","0 Original","1 Modify"))))</f>
        <v>0 Original</v>
      </c>
      <c r="D175" s="3" t="s">
        <v>963</v>
      </c>
      <c r="E175" s="5">
        <v>1174</v>
      </c>
      <c r="F175" s="3" t="s">
        <v>964</v>
      </c>
      <c r="G175" s="9">
        <v>6.99</v>
      </c>
      <c r="H175" s="18" t="s">
        <v>965</v>
      </c>
      <c r="I175" s="3" t="s">
        <v>966</v>
      </c>
      <c r="J175" s="7" t="s">
        <v>72</v>
      </c>
      <c r="K175" s="7">
        <v>42748.047025462962</v>
      </c>
      <c r="L175" s="3" t="s">
        <v>72</v>
      </c>
      <c r="M175" s="7">
        <v>42748.047025462962</v>
      </c>
    </row>
    <row r="176" spans="3:13" x14ac:dyDescent="0.25">
      <c r="C176" t="str">
        <f>IF(COUNTBLANK(E176:N176) = 10,"",IF(AND(NOT(ISBLANK(E176)),COUNTBLANK(E176:N176) = 9),"3 Delete",IF(ISBLANK(E176),"2 Add",IF(JenkinsHashRange(E176:N176) = "1239258034","0 Original","1 Modify"))))</f>
        <v/>
      </c>
    </row>
  </sheetData>
  <conditionalFormatting sqref="C2">
    <cfRule type="cellIs" dxfId="16358" priority="1" stopIfTrue="1" operator="equal">
      <formula>"1 Modify"</formula>
    </cfRule>
    <cfRule type="cellIs" dxfId="16357" priority="2" stopIfTrue="1" operator="equal">
      <formula>"2 Add"</formula>
    </cfRule>
    <cfRule type="cellIs" dxfId="16356" priority="3" stopIfTrue="1" operator="equal">
      <formula>"3 Delete"</formula>
    </cfRule>
  </conditionalFormatting>
  <conditionalFormatting sqref="C3">
    <cfRule type="cellIs" dxfId="16355" priority="4" stopIfTrue="1" operator="equal">
      <formula>"1 Modify"</formula>
    </cfRule>
    <cfRule type="cellIs" dxfId="16354" priority="5" stopIfTrue="1" operator="equal">
      <formula>"2 Add"</formula>
    </cfRule>
    <cfRule type="cellIs" dxfId="16353" priority="6" stopIfTrue="1" operator="equal">
      <formula>"3 Delete"</formula>
    </cfRule>
  </conditionalFormatting>
  <conditionalFormatting sqref="C4">
    <cfRule type="cellIs" dxfId="16352" priority="7" stopIfTrue="1" operator="equal">
      <formula>"1 Modify"</formula>
    </cfRule>
    <cfRule type="cellIs" dxfId="16351" priority="8" stopIfTrue="1" operator="equal">
      <formula>"2 Add"</formula>
    </cfRule>
    <cfRule type="cellIs" dxfId="16350" priority="9" stopIfTrue="1" operator="equal">
      <formula>"3 Delete"</formula>
    </cfRule>
  </conditionalFormatting>
  <conditionalFormatting sqref="C5">
    <cfRule type="cellIs" dxfId="16349" priority="10" stopIfTrue="1" operator="equal">
      <formula>"1 Modify"</formula>
    </cfRule>
    <cfRule type="cellIs" dxfId="16348" priority="11" stopIfTrue="1" operator="equal">
      <formula>"2 Add"</formula>
    </cfRule>
    <cfRule type="cellIs" dxfId="16347" priority="12" stopIfTrue="1" operator="equal">
      <formula>"3 Delete"</formula>
    </cfRule>
  </conditionalFormatting>
  <conditionalFormatting sqref="C6">
    <cfRule type="cellIs" dxfId="16346" priority="13" stopIfTrue="1" operator="equal">
      <formula>"1 Modify"</formula>
    </cfRule>
    <cfRule type="cellIs" dxfId="16345" priority="14" stopIfTrue="1" operator="equal">
      <formula>"2 Add"</formula>
    </cfRule>
    <cfRule type="cellIs" dxfId="16344" priority="15" stopIfTrue="1" operator="equal">
      <formula>"3 Delete"</formula>
    </cfRule>
  </conditionalFormatting>
  <conditionalFormatting sqref="C7">
    <cfRule type="cellIs" dxfId="16343" priority="16" stopIfTrue="1" operator="equal">
      <formula>"1 Modify"</formula>
    </cfRule>
    <cfRule type="cellIs" dxfId="16342" priority="17" stopIfTrue="1" operator="equal">
      <formula>"2 Add"</formula>
    </cfRule>
    <cfRule type="cellIs" dxfId="16341" priority="18" stopIfTrue="1" operator="equal">
      <formula>"3 Delete"</formula>
    </cfRule>
  </conditionalFormatting>
  <conditionalFormatting sqref="C8">
    <cfRule type="cellIs" dxfId="16340" priority="19" stopIfTrue="1" operator="equal">
      <formula>"1 Modify"</formula>
    </cfRule>
    <cfRule type="cellIs" dxfId="16339" priority="20" stopIfTrue="1" operator="equal">
      <formula>"2 Add"</formula>
    </cfRule>
    <cfRule type="cellIs" dxfId="16338" priority="21" stopIfTrue="1" operator="equal">
      <formula>"3 Delete"</formula>
    </cfRule>
  </conditionalFormatting>
  <conditionalFormatting sqref="C9">
    <cfRule type="cellIs" dxfId="16337" priority="22" stopIfTrue="1" operator="equal">
      <formula>"1 Modify"</formula>
    </cfRule>
    <cfRule type="cellIs" dxfId="16336" priority="23" stopIfTrue="1" operator="equal">
      <formula>"2 Add"</formula>
    </cfRule>
    <cfRule type="cellIs" dxfId="16335" priority="24" stopIfTrue="1" operator="equal">
      <formula>"3 Delete"</formula>
    </cfRule>
  </conditionalFormatting>
  <conditionalFormatting sqref="C10">
    <cfRule type="cellIs" dxfId="16334" priority="25" stopIfTrue="1" operator="equal">
      <formula>"1 Modify"</formula>
    </cfRule>
    <cfRule type="cellIs" dxfId="16333" priority="26" stopIfTrue="1" operator="equal">
      <formula>"2 Add"</formula>
    </cfRule>
    <cfRule type="cellIs" dxfId="16332" priority="27" stopIfTrue="1" operator="equal">
      <formula>"3 Delete"</formula>
    </cfRule>
  </conditionalFormatting>
  <conditionalFormatting sqref="C11">
    <cfRule type="cellIs" dxfId="16331" priority="28" stopIfTrue="1" operator="equal">
      <formula>"1 Modify"</formula>
    </cfRule>
    <cfRule type="cellIs" dxfId="16330" priority="29" stopIfTrue="1" operator="equal">
      <formula>"2 Add"</formula>
    </cfRule>
    <cfRule type="cellIs" dxfId="16329" priority="30" stopIfTrue="1" operator="equal">
      <formula>"3 Delete"</formula>
    </cfRule>
  </conditionalFormatting>
  <conditionalFormatting sqref="C12">
    <cfRule type="cellIs" dxfId="16328" priority="31" stopIfTrue="1" operator="equal">
      <formula>"1 Modify"</formula>
    </cfRule>
    <cfRule type="cellIs" dxfId="16327" priority="32" stopIfTrue="1" operator="equal">
      <formula>"2 Add"</formula>
    </cfRule>
    <cfRule type="cellIs" dxfId="16326" priority="33" stopIfTrue="1" operator="equal">
      <formula>"3 Delete"</formula>
    </cfRule>
  </conditionalFormatting>
  <conditionalFormatting sqref="C13">
    <cfRule type="cellIs" dxfId="16325" priority="34" stopIfTrue="1" operator="equal">
      <formula>"1 Modify"</formula>
    </cfRule>
    <cfRule type="cellIs" dxfId="16324" priority="35" stopIfTrue="1" operator="equal">
      <formula>"2 Add"</formula>
    </cfRule>
    <cfRule type="cellIs" dxfId="16323" priority="36" stopIfTrue="1" operator="equal">
      <formula>"3 Delete"</formula>
    </cfRule>
  </conditionalFormatting>
  <conditionalFormatting sqref="C14">
    <cfRule type="cellIs" dxfId="16322" priority="37" stopIfTrue="1" operator="equal">
      <formula>"1 Modify"</formula>
    </cfRule>
    <cfRule type="cellIs" dxfId="16321" priority="38" stopIfTrue="1" operator="equal">
      <formula>"2 Add"</formula>
    </cfRule>
    <cfRule type="cellIs" dxfId="16320" priority="39" stopIfTrue="1" operator="equal">
      <formula>"3 Delete"</formula>
    </cfRule>
  </conditionalFormatting>
  <conditionalFormatting sqref="C15">
    <cfRule type="cellIs" dxfId="16319" priority="40" stopIfTrue="1" operator="equal">
      <formula>"1 Modify"</formula>
    </cfRule>
    <cfRule type="cellIs" dxfId="16318" priority="41" stopIfTrue="1" operator="equal">
      <formula>"2 Add"</formula>
    </cfRule>
    <cfRule type="cellIs" dxfId="16317" priority="42" stopIfTrue="1" operator="equal">
      <formula>"3 Delete"</formula>
    </cfRule>
  </conditionalFormatting>
  <conditionalFormatting sqref="C16">
    <cfRule type="cellIs" dxfId="16316" priority="43" stopIfTrue="1" operator="equal">
      <formula>"1 Modify"</formula>
    </cfRule>
    <cfRule type="cellIs" dxfId="16315" priority="44" stopIfTrue="1" operator="equal">
      <formula>"2 Add"</formula>
    </cfRule>
    <cfRule type="cellIs" dxfId="16314" priority="45" stopIfTrue="1" operator="equal">
      <formula>"3 Delete"</formula>
    </cfRule>
  </conditionalFormatting>
  <conditionalFormatting sqref="C17">
    <cfRule type="cellIs" dxfId="16313" priority="46" stopIfTrue="1" operator="equal">
      <formula>"1 Modify"</formula>
    </cfRule>
    <cfRule type="cellIs" dxfId="16312" priority="47" stopIfTrue="1" operator="equal">
      <formula>"2 Add"</formula>
    </cfRule>
    <cfRule type="cellIs" dxfId="16311" priority="48" stopIfTrue="1" operator="equal">
      <formula>"3 Delete"</formula>
    </cfRule>
  </conditionalFormatting>
  <conditionalFormatting sqref="C18">
    <cfRule type="cellIs" dxfId="16310" priority="49" stopIfTrue="1" operator="equal">
      <formula>"1 Modify"</formula>
    </cfRule>
    <cfRule type="cellIs" dxfId="16309" priority="50" stopIfTrue="1" operator="equal">
      <formula>"2 Add"</formula>
    </cfRule>
    <cfRule type="cellIs" dxfId="16308" priority="51" stopIfTrue="1" operator="equal">
      <formula>"3 Delete"</formula>
    </cfRule>
  </conditionalFormatting>
  <conditionalFormatting sqref="C19">
    <cfRule type="cellIs" dxfId="16307" priority="52" stopIfTrue="1" operator="equal">
      <formula>"1 Modify"</formula>
    </cfRule>
    <cfRule type="cellIs" dxfId="16306" priority="53" stopIfTrue="1" operator="equal">
      <formula>"2 Add"</formula>
    </cfRule>
    <cfRule type="cellIs" dxfId="16305" priority="54" stopIfTrue="1" operator="equal">
      <formula>"3 Delete"</formula>
    </cfRule>
  </conditionalFormatting>
  <conditionalFormatting sqref="C20">
    <cfRule type="cellIs" dxfId="16304" priority="55" stopIfTrue="1" operator="equal">
      <formula>"1 Modify"</formula>
    </cfRule>
    <cfRule type="cellIs" dxfId="16303" priority="56" stopIfTrue="1" operator="equal">
      <formula>"2 Add"</formula>
    </cfRule>
    <cfRule type="cellIs" dxfId="16302" priority="57" stopIfTrue="1" operator="equal">
      <formula>"3 Delete"</formula>
    </cfRule>
  </conditionalFormatting>
  <conditionalFormatting sqref="C21">
    <cfRule type="cellIs" dxfId="16301" priority="58" stopIfTrue="1" operator="equal">
      <formula>"1 Modify"</formula>
    </cfRule>
    <cfRule type="cellIs" dxfId="16300" priority="59" stopIfTrue="1" operator="equal">
      <formula>"2 Add"</formula>
    </cfRule>
    <cfRule type="cellIs" dxfId="16299" priority="60" stopIfTrue="1" operator="equal">
      <formula>"3 Delete"</formula>
    </cfRule>
  </conditionalFormatting>
  <conditionalFormatting sqref="C22">
    <cfRule type="cellIs" dxfId="16298" priority="61" stopIfTrue="1" operator="equal">
      <formula>"1 Modify"</formula>
    </cfRule>
  </conditionalFormatting>
  <conditionalFormatting sqref="C22">
    <cfRule type="cellIs" dxfId="16297" priority="62" stopIfTrue="1" operator="equal">
      <formula>"2 Add"</formula>
    </cfRule>
  </conditionalFormatting>
  <conditionalFormatting sqref="C22">
    <cfRule type="cellIs" dxfId="16296" priority="63" stopIfTrue="1" operator="equal">
      <formula>"3 Delete"</formula>
    </cfRule>
  </conditionalFormatting>
  <conditionalFormatting sqref="C23">
    <cfRule type="cellIs" dxfId="16295" priority="64" stopIfTrue="1" operator="equal">
      <formula>"1 Modify"</formula>
    </cfRule>
  </conditionalFormatting>
  <conditionalFormatting sqref="C23">
    <cfRule type="cellIs" dxfId="16294" priority="65" stopIfTrue="1" operator="equal">
      <formula>"2 Add"</formula>
    </cfRule>
  </conditionalFormatting>
  <conditionalFormatting sqref="C23">
    <cfRule type="cellIs" dxfId="16293" priority="66" stopIfTrue="1" operator="equal">
      <formula>"3 Delete"</formula>
    </cfRule>
  </conditionalFormatting>
  <conditionalFormatting sqref="C24">
    <cfRule type="cellIs" dxfId="16292" priority="67" stopIfTrue="1" operator="equal">
      <formula>"1 Modify"</formula>
    </cfRule>
  </conditionalFormatting>
  <conditionalFormatting sqref="C24">
    <cfRule type="cellIs" dxfId="16291" priority="68" stopIfTrue="1" operator="equal">
      <formula>"2 Add"</formula>
    </cfRule>
  </conditionalFormatting>
  <conditionalFormatting sqref="C24">
    <cfRule type="cellIs" dxfId="16290" priority="69" stopIfTrue="1" operator="equal">
      <formula>"3 Delete"</formula>
    </cfRule>
  </conditionalFormatting>
  <conditionalFormatting sqref="C25">
    <cfRule type="cellIs" dxfId="16289" priority="70" stopIfTrue="1" operator="equal">
      <formula>"1 Modify"</formula>
    </cfRule>
  </conditionalFormatting>
  <conditionalFormatting sqref="C25">
    <cfRule type="cellIs" dxfId="16288" priority="71" stopIfTrue="1" operator="equal">
      <formula>"2 Add"</formula>
    </cfRule>
  </conditionalFormatting>
  <conditionalFormatting sqref="C25">
    <cfRule type="cellIs" dxfId="16287" priority="72" stopIfTrue="1" operator="equal">
      <formula>"3 Delete"</formula>
    </cfRule>
  </conditionalFormatting>
  <conditionalFormatting sqref="C26">
    <cfRule type="cellIs" dxfId="16286" priority="73" stopIfTrue="1" operator="equal">
      <formula>"1 Modify"</formula>
    </cfRule>
  </conditionalFormatting>
  <conditionalFormatting sqref="C26">
    <cfRule type="cellIs" dxfId="16285" priority="74" stopIfTrue="1" operator="equal">
      <formula>"2 Add"</formula>
    </cfRule>
  </conditionalFormatting>
  <conditionalFormatting sqref="C26">
    <cfRule type="cellIs" dxfId="16284" priority="75" stopIfTrue="1" operator="equal">
      <formula>"3 Delete"</formula>
    </cfRule>
  </conditionalFormatting>
  <conditionalFormatting sqref="C27">
    <cfRule type="cellIs" dxfId="16283" priority="76" stopIfTrue="1" operator="equal">
      <formula>"1 Modify"</formula>
    </cfRule>
  </conditionalFormatting>
  <conditionalFormatting sqref="C27">
    <cfRule type="cellIs" dxfId="16282" priority="77" stopIfTrue="1" operator="equal">
      <formula>"2 Add"</formula>
    </cfRule>
  </conditionalFormatting>
  <conditionalFormatting sqref="C27">
    <cfRule type="cellIs" dxfId="16281" priority="78" stopIfTrue="1" operator="equal">
      <formula>"3 Delete"</formula>
    </cfRule>
  </conditionalFormatting>
  <conditionalFormatting sqref="C28">
    <cfRule type="cellIs" dxfId="16280" priority="79" stopIfTrue="1" operator="equal">
      <formula>"1 Modify"</formula>
    </cfRule>
  </conditionalFormatting>
  <conditionalFormatting sqref="C28">
    <cfRule type="cellIs" dxfId="16279" priority="80" stopIfTrue="1" operator="equal">
      <formula>"2 Add"</formula>
    </cfRule>
  </conditionalFormatting>
  <conditionalFormatting sqref="C28">
    <cfRule type="cellIs" dxfId="16278" priority="81" stopIfTrue="1" operator="equal">
      <formula>"3 Delete"</formula>
    </cfRule>
  </conditionalFormatting>
  <conditionalFormatting sqref="C29">
    <cfRule type="cellIs" dxfId="16277" priority="82" stopIfTrue="1" operator="equal">
      <formula>"1 Modify"</formula>
    </cfRule>
  </conditionalFormatting>
  <conditionalFormatting sqref="C29">
    <cfRule type="cellIs" dxfId="16276" priority="83" stopIfTrue="1" operator="equal">
      <formula>"2 Add"</formula>
    </cfRule>
  </conditionalFormatting>
  <conditionalFormatting sqref="C29">
    <cfRule type="cellIs" dxfId="16275" priority="84" stopIfTrue="1" operator="equal">
      <formula>"3 Delete"</formula>
    </cfRule>
  </conditionalFormatting>
  <conditionalFormatting sqref="C30">
    <cfRule type="cellIs" dxfId="16274" priority="85" stopIfTrue="1" operator="equal">
      <formula>"1 Modify"</formula>
    </cfRule>
  </conditionalFormatting>
  <conditionalFormatting sqref="C30">
    <cfRule type="cellIs" dxfId="16273" priority="86" stopIfTrue="1" operator="equal">
      <formula>"2 Add"</formula>
    </cfRule>
  </conditionalFormatting>
  <conditionalFormatting sqref="C30">
    <cfRule type="cellIs" dxfId="16272" priority="87" stopIfTrue="1" operator="equal">
      <formula>"3 Delete"</formula>
    </cfRule>
  </conditionalFormatting>
  <conditionalFormatting sqref="C31">
    <cfRule type="cellIs" dxfId="16271" priority="88" stopIfTrue="1" operator="equal">
      <formula>"1 Modify"</formula>
    </cfRule>
  </conditionalFormatting>
  <conditionalFormatting sqref="C31">
    <cfRule type="cellIs" dxfId="16270" priority="89" stopIfTrue="1" operator="equal">
      <formula>"2 Add"</formula>
    </cfRule>
  </conditionalFormatting>
  <conditionalFormatting sqref="C31">
    <cfRule type="cellIs" dxfId="16269" priority="90" stopIfTrue="1" operator="equal">
      <formula>"3 Delete"</formula>
    </cfRule>
  </conditionalFormatting>
  <conditionalFormatting sqref="C32">
    <cfRule type="cellIs" dxfId="16268" priority="91" stopIfTrue="1" operator="equal">
      <formula>"1 Modify"</formula>
    </cfRule>
  </conditionalFormatting>
  <conditionalFormatting sqref="C32">
    <cfRule type="cellIs" dxfId="16267" priority="92" stopIfTrue="1" operator="equal">
      <formula>"2 Add"</formula>
    </cfRule>
  </conditionalFormatting>
  <conditionalFormatting sqref="C32">
    <cfRule type="cellIs" dxfId="16266" priority="93" stopIfTrue="1" operator="equal">
      <formula>"3 Delete"</formula>
    </cfRule>
  </conditionalFormatting>
  <conditionalFormatting sqref="C33">
    <cfRule type="cellIs" dxfId="16265" priority="94" stopIfTrue="1" operator="equal">
      <formula>"1 Modify"</formula>
    </cfRule>
  </conditionalFormatting>
  <conditionalFormatting sqref="C33">
    <cfRule type="cellIs" dxfId="16264" priority="95" stopIfTrue="1" operator="equal">
      <formula>"2 Add"</formula>
    </cfRule>
  </conditionalFormatting>
  <conditionalFormatting sqref="C33">
    <cfRule type="cellIs" dxfId="16263" priority="96" stopIfTrue="1" operator="equal">
      <formula>"3 Delete"</formula>
    </cfRule>
  </conditionalFormatting>
  <conditionalFormatting sqref="C34">
    <cfRule type="cellIs" dxfId="16262" priority="97" stopIfTrue="1" operator="equal">
      <formula>"1 Modify"</formula>
    </cfRule>
  </conditionalFormatting>
  <conditionalFormatting sqref="C34">
    <cfRule type="cellIs" dxfId="16261" priority="98" stopIfTrue="1" operator="equal">
      <formula>"2 Add"</formula>
    </cfRule>
  </conditionalFormatting>
  <conditionalFormatting sqref="C34">
    <cfRule type="cellIs" dxfId="16260" priority="99" stopIfTrue="1" operator="equal">
      <formula>"3 Delete"</formula>
    </cfRule>
  </conditionalFormatting>
  <conditionalFormatting sqref="C35">
    <cfRule type="cellIs" dxfId="16259" priority="100" stopIfTrue="1" operator="equal">
      <formula>"1 Modify"</formula>
    </cfRule>
  </conditionalFormatting>
  <conditionalFormatting sqref="C35">
    <cfRule type="cellIs" dxfId="16258" priority="101" stopIfTrue="1" operator="equal">
      <formula>"2 Add"</formula>
    </cfRule>
  </conditionalFormatting>
  <conditionalFormatting sqref="C35">
    <cfRule type="cellIs" dxfId="16257" priority="102" stopIfTrue="1" operator="equal">
      <formula>"3 Delete"</formula>
    </cfRule>
  </conditionalFormatting>
  <conditionalFormatting sqref="C36">
    <cfRule type="cellIs" dxfId="16256" priority="103" stopIfTrue="1" operator="equal">
      <formula>"1 Modify"</formula>
    </cfRule>
  </conditionalFormatting>
  <conditionalFormatting sqref="C36">
    <cfRule type="cellIs" dxfId="16255" priority="104" stopIfTrue="1" operator="equal">
      <formula>"2 Add"</formula>
    </cfRule>
  </conditionalFormatting>
  <conditionalFormatting sqref="C36">
    <cfRule type="cellIs" dxfId="16254" priority="105" stopIfTrue="1" operator="equal">
      <formula>"3 Delete"</formula>
    </cfRule>
  </conditionalFormatting>
  <conditionalFormatting sqref="C37">
    <cfRule type="cellIs" dxfId="16253" priority="106" stopIfTrue="1" operator="equal">
      <formula>"1 Modify"</formula>
    </cfRule>
  </conditionalFormatting>
  <conditionalFormatting sqref="C37">
    <cfRule type="cellIs" dxfId="16252" priority="107" stopIfTrue="1" operator="equal">
      <formula>"2 Add"</formula>
    </cfRule>
  </conditionalFormatting>
  <conditionalFormatting sqref="C37">
    <cfRule type="cellIs" dxfId="16251" priority="108" stopIfTrue="1" operator="equal">
      <formula>"3 Delete"</formula>
    </cfRule>
  </conditionalFormatting>
  <conditionalFormatting sqref="C38">
    <cfRule type="cellIs" dxfId="16250" priority="109" stopIfTrue="1" operator="equal">
      <formula>"1 Modify"</formula>
    </cfRule>
  </conditionalFormatting>
  <conditionalFormatting sqref="C38">
    <cfRule type="cellIs" dxfId="16249" priority="110" stopIfTrue="1" operator="equal">
      <formula>"2 Add"</formula>
    </cfRule>
  </conditionalFormatting>
  <conditionalFormatting sqref="C38">
    <cfRule type="cellIs" dxfId="16248" priority="111" stopIfTrue="1" operator="equal">
      <formula>"3 Delete"</formula>
    </cfRule>
  </conditionalFormatting>
  <conditionalFormatting sqref="C39">
    <cfRule type="cellIs" dxfId="16247" priority="112" stopIfTrue="1" operator="equal">
      <formula>"1 Modify"</formula>
    </cfRule>
  </conditionalFormatting>
  <conditionalFormatting sqref="C39">
    <cfRule type="cellIs" dxfId="16246" priority="113" stopIfTrue="1" operator="equal">
      <formula>"2 Add"</formula>
    </cfRule>
  </conditionalFormatting>
  <conditionalFormatting sqref="C39">
    <cfRule type="cellIs" dxfId="16245" priority="114" stopIfTrue="1" operator="equal">
      <formula>"3 Delete"</formula>
    </cfRule>
  </conditionalFormatting>
  <conditionalFormatting sqref="C40">
    <cfRule type="cellIs" dxfId="16244" priority="115" stopIfTrue="1" operator="equal">
      <formula>"1 Modify"</formula>
    </cfRule>
  </conditionalFormatting>
  <conditionalFormatting sqref="C40">
    <cfRule type="cellIs" dxfId="16243" priority="116" stopIfTrue="1" operator="equal">
      <formula>"2 Add"</formula>
    </cfRule>
  </conditionalFormatting>
  <conditionalFormatting sqref="C40">
    <cfRule type="cellIs" dxfId="16242" priority="117" stopIfTrue="1" operator="equal">
      <formula>"3 Delete"</formula>
    </cfRule>
  </conditionalFormatting>
  <conditionalFormatting sqref="C41">
    <cfRule type="cellIs" dxfId="16241" priority="118" stopIfTrue="1" operator="equal">
      <formula>"1 Modify"</formula>
    </cfRule>
  </conditionalFormatting>
  <conditionalFormatting sqref="C41">
    <cfRule type="cellIs" dxfId="16240" priority="119" stopIfTrue="1" operator="equal">
      <formula>"2 Add"</formula>
    </cfRule>
  </conditionalFormatting>
  <conditionalFormatting sqref="C41">
    <cfRule type="cellIs" dxfId="16239" priority="120" stopIfTrue="1" operator="equal">
      <formula>"3 Delete"</formula>
    </cfRule>
  </conditionalFormatting>
  <conditionalFormatting sqref="C42">
    <cfRule type="cellIs" dxfId="16238" priority="121" stopIfTrue="1" operator="equal">
      <formula>"1 Modify"</formula>
    </cfRule>
  </conditionalFormatting>
  <conditionalFormatting sqref="C42">
    <cfRule type="cellIs" dxfId="16237" priority="122" stopIfTrue="1" operator="equal">
      <formula>"2 Add"</formula>
    </cfRule>
  </conditionalFormatting>
  <conditionalFormatting sqref="C42">
    <cfRule type="cellIs" dxfId="16236" priority="123" stopIfTrue="1" operator="equal">
      <formula>"3 Delete"</formula>
    </cfRule>
  </conditionalFormatting>
  <conditionalFormatting sqref="C43">
    <cfRule type="cellIs" dxfId="16235" priority="124" stopIfTrue="1" operator="equal">
      <formula>"1 Modify"</formula>
    </cfRule>
  </conditionalFormatting>
  <conditionalFormatting sqref="C43">
    <cfRule type="cellIs" dxfId="16234" priority="125" stopIfTrue="1" operator="equal">
      <formula>"2 Add"</formula>
    </cfRule>
  </conditionalFormatting>
  <conditionalFormatting sqref="C43">
    <cfRule type="cellIs" dxfId="16233" priority="126" stopIfTrue="1" operator="equal">
      <formula>"3 Delete"</formula>
    </cfRule>
  </conditionalFormatting>
  <conditionalFormatting sqref="C44">
    <cfRule type="cellIs" dxfId="16232" priority="127" stopIfTrue="1" operator="equal">
      <formula>"1 Modify"</formula>
    </cfRule>
  </conditionalFormatting>
  <conditionalFormatting sqref="C44">
    <cfRule type="cellIs" dxfId="16231" priority="128" stopIfTrue="1" operator="equal">
      <formula>"2 Add"</formula>
    </cfRule>
  </conditionalFormatting>
  <conditionalFormatting sqref="C44">
    <cfRule type="cellIs" dxfId="16230" priority="129" stopIfTrue="1" operator="equal">
      <formula>"3 Delete"</formula>
    </cfRule>
  </conditionalFormatting>
  <conditionalFormatting sqref="C45">
    <cfRule type="cellIs" dxfId="16229" priority="130" stopIfTrue="1" operator="equal">
      <formula>"1 Modify"</formula>
    </cfRule>
  </conditionalFormatting>
  <conditionalFormatting sqref="C45">
    <cfRule type="cellIs" dxfId="16228" priority="131" stopIfTrue="1" operator="equal">
      <formula>"2 Add"</formula>
    </cfRule>
  </conditionalFormatting>
  <conditionalFormatting sqref="C45">
    <cfRule type="cellIs" dxfId="16227" priority="132" stopIfTrue="1" operator="equal">
      <formula>"3 Delete"</formula>
    </cfRule>
  </conditionalFormatting>
  <conditionalFormatting sqref="C46">
    <cfRule type="cellIs" dxfId="16226" priority="133" stopIfTrue="1" operator="equal">
      <formula>"1 Modify"</formula>
    </cfRule>
  </conditionalFormatting>
  <conditionalFormatting sqref="C46">
    <cfRule type="cellIs" dxfId="16225" priority="134" stopIfTrue="1" operator="equal">
      <formula>"2 Add"</formula>
    </cfRule>
  </conditionalFormatting>
  <conditionalFormatting sqref="C46">
    <cfRule type="cellIs" dxfId="16224" priority="135" stopIfTrue="1" operator="equal">
      <formula>"3 Delete"</formula>
    </cfRule>
  </conditionalFormatting>
  <conditionalFormatting sqref="C47">
    <cfRule type="cellIs" dxfId="16223" priority="136" stopIfTrue="1" operator="equal">
      <formula>"1 Modify"</formula>
    </cfRule>
  </conditionalFormatting>
  <conditionalFormatting sqref="C47">
    <cfRule type="cellIs" dxfId="16222" priority="137" stopIfTrue="1" operator="equal">
      <formula>"2 Add"</formula>
    </cfRule>
  </conditionalFormatting>
  <conditionalFormatting sqref="C47">
    <cfRule type="cellIs" dxfId="16221" priority="138" stopIfTrue="1" operator="equal">
      <formula>"3 Delete"</formula>
    </cfRule>
  </conditionalFormatting>
  <conditionalFormatting sqref="C48">
    <cfRule type="cellIs" dxfId="16220" priority="139" stopIfTrue="1" operator="equal">
      <formula>"1 Modify"</formula>
    </cfRule>
  </conditionalFormatting>
  <conditionalFormatting sqref="C48">
    <cfRule type="cellIs" dxfId="16219" priority="140" stopIfTrue="1" operator="equal">
      <formula>"2 Add"</formula>
    </cfRule>
  </conditionalFormatting>
  <conditionalFormatting sqref="C48">
    <cfRule type="cellIs" dxfId="16218" priority="141" stopIfTrue="1" operator="equal">
      <formula>"3 Delete"</formula>
    </cfRule>
  </conditionalFormatting>
  <conditionalFormatting sqref="C49">
    <cfRule type="cellIs" dxfId="16217" priority="142" stopIfTrue="1" operator="equal">
      <formula>"1 Modify"</formula>
    </cfRule>
  </conditionalFormatting>
  <conditionalFormatting sqref="C49">
    <cfRule type="cellIs" dxfId="16216" priority="143" stopIfTrue="1" operator="equal">
      <formula>"2 Add"</formula>
    </cfRule>
  </conditionalFormatting>
  <conditionalFormatting sqref="C49">
    <cfRule type="cellIs" dxfId="16215" priority="144" stopIfTrue="1" operator="equal">
      <formula>"3 Delete"</formula>
    </cfRule>
  </conditionalFormatting>
  <conditionalFormatting sqref="C50">
    <cfRule type="cellIs" dxfId="16214" priority="145" stopIfTrue="1" operator="equal">
      <formula>"1 Modify"</formula>
    </cfRule>
  </conditionalFormatting>
  <conditionalFormatting sqref="C50">
    <cfRule type="cellIs" dxfId="16213" priority="146" stopIfTrue="1" operator="equal">
      <formula>"2 Add"</formula>
    </cfRule>
  </conditionalFormatting>
  <conditionalFormatting sqref="C50">
    <cfRule type="cellIs" dxfId="16212" priority="147" stopIfTrue="1" operator="equal">
      <formula>"3 Delete"</formula>
    </cfRule>
  </conditionalFormatting>
  <conditionalFormatting sqref="C51">
    <cfRule type="cellIs" dxfId="16211" priority="148" stopIfTrue="1" operator="equal">
      <formula>"1 Modify"</formula>
    </cfRule>
  </conditionalFormatting>
  <conditionalFormatting sqref="C51">
    <cfRule type="cellIs" dxfId="16210" priority="149" stopIfTrue="1" operator="equal">
      <formula>"2 Add"</formula>
    </cfRule>
  </conditionalFormatting>
  <conditionalFormatting sqref="C51">
    <cfRule type="cellIs" dxfId="16209" priority="150" stopIfTrue="1" operator="equal">
      <formula>"3 Delete"</formula>
    </cfRule>
  </conditionalFormatting>
  <conditionalFormatting sqref="C52">
    <cfRule type="cellIs" dxfId="16208" priority="151" stopIfTrue="1" operator="equal">
      <formula>"1 Modify"</formula>
    </cfRule>
  </conditionalFormatting>
  <conditionalFormatting sqref="C52">
    <cfRule type="cellIs" dxfId="16207" priority="152" stopIfTrue="1" operator="equal">
      <formula>"2 Add"</formula>
    </cfRule>
  </conditionalFormatting>
  <conditionalFormatting sqref="C52">
    <cfRule type="cellIs" dxfId="16206" priority="153" stopIfTrue="1" operator="equal">
      <formula>"3 Delete"</formula>
    </cfRule>
  </conditionalFormatting>
  <conditionalFormatting sqref="C53">
    <cfRule type="cellIs" dxfId="16205" priority="154" stopIfTrue="1" operator="equal">
      <formula>"1 Modify"</formula>
    </cfRule>
  </conditionalFormatting>
  <conditionalFormatting sqref="C53">
    <cfRule type="cellIs" dxfId="16204" priority="155" stopIfTrue="1" operator="equal">
      <formula>"2 Add"</formula>
    </cfRule>
  </conditionalFormatting>
  <conditionalFormatting sqref="C53">
    <cfRule type="cellIs" dxfId="16203" priority="156" stopIfTrue="1" operator="equal">
      <formula>"3 Delete"</formula>
    </cfRule>
  </conditionalFormatting>
  <conditionalFormatting sqref="C54">
    <cfRule type="cellIs" dxfId="16202" priority="157" stopIfTrue="1" operator="equal">
      <formula>"1 Modify"</formula>
    </cfRule>
  </conditionalFormatting>
  <conditionalFormatting sqref="C54">
    <cfRule type="cellIs" dxfId="16201" priority="158" stopIfTrue="1" operator="equal">
      <formula>"2 Add"</formula>
    </cfRule>
  </conditionalFormatting>
  <conditionalFormatting sqref="C54">
    <cfRule type="cellIs" dxfId="16200" priority="159" stopIfTrue="1" operator="equal">
      <formula>"3 Delete"</formula>
    </cfRule>
  </conditionalFormatting>
  <conditionalFormatting sqref="C55">
    <cfRule type="cellIs" dxfId="16199" priority="160" stopIfTrue="1" operator="equal">
      <formula>"1 Modify"</formula>
    </cfRule>
  </conditionalFormatting>
  <conditionalFormatting sqref="C55">
    <cfRule type="cellIs" dxfId="16198" priority="161" stopIfTrue="1" operator="equal">
      <formula>"2 Add"</formula>
    </cfRule>
  </conditionalFormatting>
  <conditionalFormatting sqref="C55">
    <cfRule type="cellIs" dxfId="16197" priority="162" stopIfTrue="1" operator="equal">
      <formula>"3 Delete"</formula>
    </cfRule>
  </conditionalFormatting>
  <conditionalFormatting sqref="C56">
    <cfRule type="cellIs" dxfId="16196" priority="163" stopIfTrue="1" operator="equal">
      <formula>"1 Modify"</formula>
    </cfRule>
  </conditionalFormatting>
  <conditionalFormatting sqref="C56">
    <cfRule type="cellIs" dxfId="16195" priority="164" stopIfTrue="1" operator="equal">
      <formula>"2 Add"</formula>
    </cfRule>
  </conditionalFormatting>
  <conditionalFormatting sqref="C56">
    <cfRule type="cellIs" dxfId="16194" priority="165" stopIfTrue="1" operator="equal">
      <formula>"3 Delete"</formula>
    </cfRule>
  </conditionalFormatting>
  <conditionalFormatting sqref="C57">
    <cfRule type="cellIs" dxfId="16193" priority="166" stopIfTrue="1" operator="equal">
      <formula>"1 Modify"</formula>
    </cfRule>
  </conditionalFormatting>
  <conditionalFormatting sqref="C57">
    <cfRule type="cellIs" dxfId="16192" priority="167" stopIfTrue="1" operator="equal">
      <formula>"2 Add"</formula>
    </cfRule>
  </conditionalFormatting>
  <conditionalFormatting sqref="C57">
    <cfRule type="cellIs" dxfId="16191" priority="168" stopIfTrue="1" operator="equal">
      <formula>"3 Delete"</formula>
    </cfRule>
  </conditionalFormatting>
  <conditionalFormatting sqref="C58">
    <cfRule type="cellIs" dxfId="16190" priority="169" stopIfTrue="1" operator="equal">
      <formula>"1 Modify"</formula>
    </cfRule>
  </conditionalFormatting>
  <conditionalFormatting sqref="C58">
    <cfRule type="cellIs" dxfId="16189" priority="170" stopIfTrue="1" operator="equal">
      <formula>"2 Add"</formula>
    </cfRule>
  </conditionalFormatting>
  <conditionalFormatting sqref="C58">
    <cfRule type="cellIs" dxfId="16188" priority="171" stopIfTrue="1" operator="equal">
      <formula>"3 Delete"</formula>
    </cfRule>
  </conditionalFormatting>
  <conditionalFormatting sqref="C59">
    <cfRule type="cellIs" dxfId="16187" priority="172" stopIfTrue="1" operator="equal">
      <formula>"1 Modify"</formula>
    </cfRule>
  </conditionalFormatting>
  <conditionalFormatting sqref="C59">
    <cfRule type="cellIs" dxfId="16186" priority="173" stopIfTrue="1" operator="equal">
      <formula>"2 Add"</formula>
    </cfRule>
  </conditionalFormatting>
  <conditionalFormatting sqref="C59">
    <cfRule type="cellIs" dxfId="16185" priority="174" stopIfTrue="1" operator="equal">
      <formula>"3 Delete"</formula>
    </cfRule>
  </conditionalFormatting>
  <conditionalFormatting sqref="C60">
    <cfRule type="cellIs" dxfId="16184" priority="175" stopIfTrue="1" operator="equal">
      <formula>"1 Modify"</formula>
    </cfRule>
  </conditionalFormatting>
  <conditionalFormatting sqref="C60">
    <cfRule type="cellIs" dxfId="16183" priority="176" stopIfTrue="1" operator="equal">
      <formula>"2 Add"</formula>
    </cfRule>
  </conditionalFormatting>
  <conditionalFormatting sqref="C60">
    <cfRule type="cellIs" dxfId="16182" priority="177" stopIfTrue="1" operator="equal">
      <formula>"3 Delete"</formula>
    </cfRule>
  </conditionalFormatting>
  <conditionalFormatting sqref="C61">
    <cfRule type="cellIs" dxfId="16181" priority="178" stopIfTrue="1" operator="equal">
      <formula>"1 Modify"</formula>
    </cfRule>
  </conditionalFormatting>
  <conditionalFormatting sqref="C61">
    <cfRule type="cellIs" dxfId="16180" priority="179" stopIfTrue="1" operator="equal">
      <formula>"2 Add"</formula>
    </cfRule>
  </conditionalFormatting>
  <conditionalFormatting sqref="C61">
    <cfRule type="cellIs" dxfId="16179" priority="180" stopIfTrue="1" operator="equal">
      <formula>"3 Delete"</formula>
    </cfRule>
  </conditionalFormatting>
  <conditionalFormatting sqref="C62">
    <cfRule type="cellIs" dxfId="16178" priority="181" stopIfTrue="1" operator="equal">
      <formula>"1 Modify"</formula>
    </cfRule>
  </conditionalFormatting>
  <conditionalFormatting sqref="C62">
    <cfRule type="cellIs" dxfId="16177" priority="182" stopIfTrue="1" operator="equal">
      <formula>"2 Add"</formula>
    </cfRule>
  </conditionalFormatting>
  <conditionalFormatting sqref="C62">
    <cfRule type="cellIs" dxfId="16176" priority="183" stopIfTrue="1" operator="equal">
      <formula>"3 Delete"</formula>
    </cfRule>
  </conditionalFormatting>
  <conditionalFormatting sqref="C63">
    <cfRule type="cellIs" dxfId="16175" priority="184" stopIfTrue="1" operator="equal">
      <formula>"1 Modify"</formula>
    </cfRule>
  </conditionalFormatting>
  <conditionalFormatting sqref="C63">
    <cfRule type="cellIs" dxfId="16174" priority="185" stopIfTrue="1" operator="equal">
      <formula>"2 Add"</formula>
    </cfRule>
  </conditionalFormatting>
  <conditionalFormatting sqref="C63">
    <cfRule type="cellIs" dxfId="16173" priority="186" stopIfTrue="1" operator="equal">
      <formula>"3 Delete"</formula>
    </cfRule>
  </conditionalFormatting>
  <conditionalFormatting sqref="C64">
    <cfRule type="cellIs" dxfId="16172" priority="187" stopIfTrue="1" operator="equal">
      <formula>"1 Modify"</formula>
    </cfRule>
  </conditionalFormatting>
  <conditionalFormatting sqref="C64">
    <cfRule type="cellIs" dxfId="16171" priority="188" stopIfTrue="1" operator="equal">
      <formula>"2 Add"</formula>
    </cfRule>
  </conditionalFormatting>
  <conditionalFormatting sqref="C64">
    <cfRule type="cellIs" dxfId="16170" priority="189" stopIfTrue="1" operator="equal">
      <formula>"3 Delete"</formula>
    </cfRule>
  </conditionalFormatting>
  <conditionalFormatting sqref="C65">
    <cfRule type="cellIs" dxfId="16169" priority="190" stopIfTrue="1" operator="equal">
      <formula>"1 Modify"</formula>
    </cfRule>
  </conditionalFormatting>
  <conditionalFormatting sqref="C65">
    <cfRule type="cellIs" dxfId="16168" priority="191" stopIfTrue="1" operator="equal">
      <formula>"2 Add"</formula>
    </cfRule>
  </conditionalFormatting>
  <conditionalFormatting sqref="C65">
    <cfRule type="cellIs" dxfId="16167" priority="192" stopIfTrue="1" operator="equal">
      <formula>"3 Delete"</formula>
    </cfRule>
  </conditionalFormatting>
  <conditionalFormatting sqref="C66">
    <cfRule type="cellIs" dxfId="16166" priority="193" stopIfTrue="1" operator="equal">
      <formula>"1 Modify"</formula>
    </cfRule>
  </conditionalFormatting>
  <conditionalFormatting sqref="C66">
    <cfRule type="cellIs" dxfId="16165" priority="194" stopIfTrue="1" operator="equal">
      <formula>"2 Add"</formula>
    </cfRule>
  </conditionalFormatting>
  <conditionalFormatting sqref="C66">
    <cfRule type="cellIs" dxfId="16164" priority="195" stopIfTrue="1" operator="equal">
      <formula>"3 Delete"</formula>
    </cfRule>
  </conditionalFormatting>
  <conditionalFormatting sqref="C67">
    <cfRule type="cellIs" dxfId="16163" priority="196" stopIfTrue="1" operator="equal">
      <formula>"1 Modify"</formula>
    </cfRule>
  </conditionalFormatting>
  <conditionalFormatting sqref="C67">
    <cfRule type="cellIs" dxfId="16162" priority="197" stopIfTrue="1" operator="equal">
      <formula>"2 Add"</formula>
    </cfRule>
  </conditionalFormatting>
  <conditionalFormatting sqref="C67">
    <cfRule type="cellIs" dxfId="16161" priority="198" stopIfTrue="1" operator="equal">
      <formula>"3 Delete"</formula>
    </cfRule>
  </conditionalFormatting>
  <conditionalFormatting sqref="C68">
    <cfRule type="cellIs" dxfId="16160" priority="199" stopIfTrue="1" operator="equal">
      <formula>"1 Modify"</formula>
    </cfRule>
  </conditionalFormatting>
  <conditionalFormatting sqref="C68">
    <cfRule type="cellIs" dxfId="16159" priority="200" stopIfTrue="1" operator="equal">
      <formula>"2 Add"</formula>
    </cfRule>
  </conditionalFormatting>
  <conditionalFormatting sqref="C68">
    <cfRule type="cellIs" dxfId="16158" priority="201" stopIfTrue="1" operator="equal">
      <formula>"3 Delete"</formula>
    </cfRule>
  </conditionalFormatting>
  <conditionalFormatting sqref="C69">
    <cfRule type="cellIs" dxfId="16157" priority="202" stopIfTrue="1" operator="equal">
      <formula>"1 Modify"</formula>
    </cfRule>
  </conditionalFormatting>
  <conditionalFormatting sqref="C69">
    <cfRule type="cellIs" dxfId="16156" priority="203" stopIfTrue="1" operator="equal">
      <formula>"2 Add"</formula>
    </cfRule>
  </conditionalFormatting>
  <conditionalFormatting sqref="C69">
    <cfRule type="cellIs" dxfId="16155" priority="204" stopIfTrue="1" operator="equal">
      <formula>"3 Delete"</formula>
    </cfRule>
  </conditionalFormatting>
  <conditionalFormatting sqref="C70">
    <cfRule type="cellIs" dxfId="16154" priority="205" stopIfTrue="1" operator="equal">
      <formula>"1 Modify"</formula>
    </cfRule>
  </conditionalFormatting>
  <conditionalFormatting sqref="C70">
    <cfRule type="cellIs" dxfId="16153" priority="206" stopIfTrue="1" operator="equal">
      <formula>"2 Add"</formula>
    </cfRule>
  </conditionalFormatting>
  <conditionalFormatting sqref="C70">
    <cfRule type="cellIs" dxfId="16152" priority="207" stopIfTrue="1" operator="equal">
      <formula>"3 Delete"</formula>
    </cfRule>
  </conditionalFormatting>
  <conditionalFormatting sqref="C71">
    <cfRule type="cellIs" dxfId="16151" priority="208" stopIfTrue="1" operator="equal">
      <formula>"1 Modify"</formula>
    </cfRule>
  </conditionalFormatting>
  <conditionalFormatting sqref="C71">
    <cfRule type="cellIs" dxfId="16150" priority="209" stopIfTrue="1" operator="equal">
      <formula>"2 Add"</formula>
    </cfRule>
  </conditionalFormatting>
  <conditionalFormatting sqref="C71">
    <cfRule type="cellIs" dxfId="16149" priority="210" stopIfTrue="1" operator="equal">
      <formula>"3 Delete"</formula>
    </cfRule>
  </conditionalFormatting>
  <conditionalFormatting sqref="C72">
    <cfRule type="cellIs" dxfId="16148" priority="211" stopIfTrue="1" operator="equal">
      <formula>"1 Modify"</formula>
    </cfRule>
  </conditionalFormatting>
  <conditionalFormatting sqref="C72">
    <cfRule type="cellIs" dxfId="16147" priority="212" stopIfTrue="1" operator="equal">
      <formula>"2 Add"</formula>
    </cfRule>
  </conditionalFormatting>
  <conditionalFormatting sqref="C72">
    <cfRule type="cellIs" dxfId="16146" priority="213" stopIfTrue="1" operator="equal">
      <formula>"3 Delete"</formula>
    </cfRule>
  </conditionalFormatting>
  <conditionalFormatting sqref="C73">
    <cfRule type="cellIs" dxfId="16145" priority="214" stopIfTrue="1" operator="equal">
      <formula>"1 Modify"</formula>
    </cfRule>
  </conditionalFormatting>
  <conditionalFormatting sqref="C73">
    <cfRule type="cellIs" dxfId="16144" priority="215" stopIfTrue="1" operator="equal">
      <formula>"2 Add"</formula>
    </cfRule>
  </conditionalFormatting>
  <conditionalFormatting sqref="C73">
    <cfRule type="cellIs" dxfId="16143" priority="216" stopIfTrue="1" operator="equal">
      <formula>"3 Delete"</formula>
    </cfRule>
  </conditionalFormatting>
  <conditionalFormatting sqref="C74">
    <cfRule type="cellIs" dxfId="16142" priority="217" stopIfTrue="1" operator="equal">
      <formula>"1 Modify"</formula>
    </cfRule>
  </conditionalFormatting>
  <conditionalFormatting sqref="C74">
    <cfRule type="cellIs" dxfId="16141" priority="218" stopIfTrue="1" operator="equal">
      <formula>"2 Add"</formula>
    </cfRule>
  </conditionalFormatting>
  <conditionalFormatting sqref="C74">
    <cfRule type="cellIs" dxfId="16140" priority="219" stopIfTrue="1" operator="equal">
      <formula>"3 Delete"</formula>
    </cfRule>
  </conditionalFormatting>
  <conditionalFormatting sqref="C75">
    <cfRule type="cellIs" dxfId="16139" priority="220" stopIfTrue="1" operator="equal">
      <formula>"1 Modify"</formula>
    </cfRule>
  </conditionalFormatting>
  <conditionalFormatting sqref="C75">
    <cfRule type="cellIs" dxfId="16138" priority="221" stopIfTrue="1" operator="equal">
      <formula>"2 Add"</formula>
    </cfRule>
  </conditionalFormatting>
  <conditionalFormatting sqref="C75">
    <cfRule type="cellIs" dxfId="16137" priority="222" stopIfTrue="1" operator="equal">
      <formula>"3 Delete"</formula>
    </cfRule>
  </conditionalFormatting>
  <conditionalFormatting sqref="C76">
    <cfRule type="cellIs" dxfId="16136" priority="223" stopIfTrue="1" operator="equal">
      <formula>"1 Modify"</formula>
    </cfRule>
  </conditionalFormatting>
  <conditionalFormatting sqref="C76">
    <cfRule type="cellIs" dxfId="16135" priority="224" stopIfTrue="1" operator="equal">
      <formula>"2 Add"</formula>
    </cfRule>
  </conditionalFormatting>
  <conditionalFormatting sqref="C76">
    <cfRule type="cellIs" dxfId="16134" priority="225" stopIfTrue="1" operator="equal">
      <formula>"3 Delete"</formula>
    </cfRule>
  </conditionalFormatting>
  <conditionalFormatting sqref="C77">
    <cfRule type="cellIs" dxfId="16133" priority="226" stopIfTrue="1" operator="equal">
      <formula>"1 Modify"</formula>
    </cfRule>
  </conditionalFormatting>
  <conditionalFormatting sqref="C77">
    <cfRule type="cellIs" dxfId="16132" priority="227" stopIfTrue="1" operator="equal">
      <formula>"2 Add"</formula>
    </cfRule>
  </conditionalFormatting>
  <conditionalFormatting sqref="C77">
    <cfRule type="cellIs" dxfId="16131" priority="228" stopIfTrue="1" operator="equal">
      <formula>"3 Delete"</formula>
    </cfRule>
  </conditionalFormatting>
  <conditionalFormatting sqref="C78">
    <cfRule type="cellIs" dxfId="16130" priority="229" stopIfTrue="1" operator="equal">
      <formula>"1 Modify"</formula>
    </cfRule>
  </conditionalFormatting>
  <conditionalFormatting sqref="C78">
    <cfRule type="cellIs" dxfId="16129" priority="230" stopIfTrue="1" operator="equal">
      <formula>"2 Add"</formula>
    </cfRule>
  </conditionalFormatting>
  <conditionalFormatting sqref="C78">
    <cfRule type="cellIs" dxfId="16128" priority="231" stopIfTrue="1" operator="equal">
      <formula>"3 Delete"</formula>
    </cfRule>
  </conditionalFormatting>
  <conditionalFormatting sqref="C79">
    <cfRule type="cellIs" dxfId="16127" priority="232" stopIfTrue="1" operator="equal">
      <formula>"1 Modify"</formula>
    </cfRule>
  </conditionalFormatting>
  <conditionalFormatting sqref="C79">
    <cfRule type="cellIs" dxfId="16126" priority="233" stopIfTrue="1" operator="equal">
      <formula>"2 Add"</formula>
    </cfRule>
  </conditionalFormatting>
  <conditionalFormatting sqref="C79">
    <cfRule type="cellIs" dxfId="16125" priority="234" stopIfTrue="1" operator="equal">
      <formula>"3 Delete"</formula>
    </cfRule>
  </conditionalFormatting>
  <conditionalFormatting sqref="C80">
    <cfRule type="cellIs" dxfId="16124" priority="235" stopIfTrue="1" operator="equal">
      <formula>"1 Modify"</formula>
    </cfRule>
  </conditionalFormatting>
  <conditionalFormatting sqref="C80">
    <cfRule type="cellIs" dxfId="16123" priority="236" stopIfTrue="1" operator="equal">
      <formula>"2 Add"</formula>
    </cfRule>
  </conditionalFormatting>
  <conditionalFormatting sqref="C80">
    <cfRule type="cellIs" dxfId="16122" priority="237" stopIfTrue="1" operator="equal">
      <formula>"3 Delete"</formula>
    </cfRule>
  </conditionalFormatting>
  <conditionalFormatting sqref="C81">
    <cfRule type="cellIs" dxfId="16121" priority="238" stopIfTrue="1" operator="equal">
      <formula>"1 Modify"</formula>
    </cfRule>
  </conditionalFormatting>
  <conditionalFormatting sqref="C81">
    <cfRule type="cellIs" dxfId="16120" priority="239" stopIfTrue="1" operator="equal">
      <formula>"2 Add"</formula>
    </cfRule>
  </conditionalFormatting>
  <conditionalFormatting sqref="C81">
    <cfRule type="cellIs" dxfId="16119" priority="240" stopIfTrue="1" operator="equal">
      <formula>"3 Delete"</formula>
    </cfRule>
  </conditionalFormatting>
  <conditionalFormatting sqref="C82">
    <cfRule type="cellIs" dxfId="16118" priority="241" stopIfTrue="1" operator="equal">
      <formula>"1 Modify"</formula>
    </cfRule>
  </conditionalFormatting>
  <conditionalFormatting sqref="C82">
    <cfRule type="cellIs" dxfId="16117" priority="242" stopIfTrue="1" operator="equal">
      <formula>"2 Add"</formula>
    </cfRule>
  </conditionalFormatting>
  <conditionalFormatting sqref="C82">
    <cfRule type="cellIs" dxfId="16116" priority="243" stopIfTrue="1" operator="equal">
      <formula>"3 Delete"</formula>
    </cfRule>
  </conditionalFormatting>
  <conditionalFormatting sqref="C83">
    <cfRule type="cellIs" dxfId="16115" priority="244" stopIfTrue="1" operator="equal">
      <formula>"1 Modify"</formula>
    </cfRule>
  </conditionalFormatting>
  <conditionalFormatting sqref="C83">
    <cfRule type="cellIs" dxfId="16114" priority="245" stopIfTrue="1" operator="equal">
      <formula>"2 Add"</formula>
    </cfRule>
  </conditionalFormatting>
  <conditionalFormatting sqref="C83">
    <cfRule type="cellIs" dxfId="16113" priority="246" stopIfTrue="1" operator="equal">
      <formula>"3 Delete"</formula>
    </cfRule>
  </conditionalFormatting>
  <conditionalFormatting sqref="C84">
    <cfRule type="cellIs" dxfId="16112" priority="247" stopIfTrue="1" operator="equal">
      <formula>"1 Modify"</formula>
    </cfRule>
  </conditionalFormatting>
  <conditionalFormatting sqref="C84">
    <cfRule type="cellIs" dxfId="16111" priority="248" stopIfTrue="1" operator="equal">
      <formula>"2 Add"</formula>
    </cfRule>
  </conditionalFormatting>
  <conditionalFormatting sqref="C84">
    <cfRule type="cellIs" dxfId="16110" priority="249" stopIfTrue="1" operator="equal">
      <formula>"3 Delete"</formula>
    </cfRule>
  </conditionalFormatting>
  <conditionalFormatting sqref="C85">
    <cfRule type="cellIs" dxfId="16109" priority="250" stopIfTrue="1" operator="equal">
      <formula>"1 Modify"</formula>
    </cfRule>
  </conditionalFormatting>
  <conditionalFormatting sqref="C85">
    <cfRule type="cellIs" dxfId="16108" priority="251" stopIfTrue="1" operator="equal">
      <formula>"2 Add"</formula>
    </cfRule>
  </conditionalFormatting>
  <conditionalFormatting sqref="C85">
    <cfRule type="cellIs" dxfId="16107" priority="252" stopIfTrue="1" operator="equal">
      <formula>"3 Delete"</formula>
    </cfRule>
  </conditionalFormatting>
  <conditionalFormatting sqref="C86">
    <cfRule type="cellIs" dxfId="16106" priority="253" stopIfTrue="1" operator="equal">
      <formula>"1 Modify"</formula>
    </cfRule>
  </conditionalFormatting>
  <conditionalFormatting sqref="C86">
    <cfRule type="cellIs" dxfId="16105" priority="254" stopIfTrue="1" operator="equal">
      <formula>"2 Add"</formula>
    </cfRule>
  </conditionalFormatting>
  <conditionalFormatting sqref="C86">
    <cfRule type="cellIs" dxfId="16104" priority="255" stopIfTrue="1" operator="equal">
      <formula>"3 Delete"</formula>
    </cfRule>
  </conditionalFormatting>
  <conditionalFormatting sqref="C87">
    <cfRule type="cellIs" dxfId="16103" priority="256" stopIfTrue="1" operator="equal">
      <formula>"1 Modify"</formula>
    </cfRule>
  </conditionalFormatting>
  <conditionalFormatting sqref="C87">
    <cfRule type="cellIs" dxfId="16102" priority="257" stopIfTrue="1" operator="equal">
      <formula>"2 Add"</formula>
    </cfRule>
  </conditionalFormatting>
  <conditionalFormatting sqref="C87">
    <cfRule type="cellIs" dxfId="16101" priority="258" stopIfTrue="1" operator="equal">
      <formula>"3 Delete"</formula>
    </cfRule>
  </conditionalFormatting>
  <conditionalFormatting sqref="C88">
    <cfRule type="cellIs" dxfId="16100" priority="259" stopIfTrue="1" operator="equal">
      <formula>"1 Modify"</formula>
    </cfRule>
  </conditionalFormatting>
  <conditionalFormatting sqref="C88">
    <cfRule type="cellIs" dxfId="16099" priority="260" stopIfTrue="1" operator="equal">
      <formula>"2 Add"</formula>
    </cfRule>
  </conditionalFormatting>
  <conditionalFormatting sqref="C88">
    <cfRule type="cellIs" dxfId="16098" priority="261" stopIfTrue="1" operator="equal">
      <formula>"3 Delete"</formula>
    </cfRule>
  </conditionalFormatting>
  <conditionalFormatting sqref="C89">
    <cfRule type="cellIs" dxfId="16097" priority="262" stopIfTrue="1" operator="equal">
      <formula>"1 Modify"</formula>
    </cfRule>
  </conditionalFormatting>
  <conditionalFormatting sqref="C89">
    <cfRule type="cellIs" dxfId="16096" priority="263" stopIfTrue="1" operator="equal">
      <formula>"2 Add"</formula>
    </cfRule>
  </conditionalFormatting>
  <conditionalFormatting sqref="C89">
    <cfRule type="cellIs" dxfId="16095" priority="264" stopIfTrue="1" operator="equal">
      <formula>"3 Delete"</formula>
    </cfRule>
  </conditionalFormatting>
  <conditionalFormatting sqref="C90">
    <cfRule type="cellIs" dxfId="16094" priority="265" stopIfTrue="1" operator="equal">
      <formula>"1 Modify"</formula>
    </cfRule>
  </conditionalFormatting>
  <conditionalFormatting sqref="C90">
    <cfRule type="cellIs" dxfId="16093" priority="266" stopIfTrue="1" operator="equal">
      <formula>"2 Add"</formula>
    </cfRule>
  </conditionalFormatting>
  <conditionalFormatting sqref="C90">
    <cfRule type="cellIs" dxfId="16092" priority="267" stopIfTrue="1" operator="equal">
      <formula>"3 Delete"</formula>
    </cfRule>
  </conditionalFormatting>
  <conditionalFormatting sqref="C91">
    <cfRule type="cellIs" dxfId="16091" priority="268" stopIfTrue="1" operator="equal">
      <formula>"1 Modify"</formula>
    </cfRule>
  </conditionalFormatting>
  <conditionalFormatting sqref="C91">
    <cfRule type="cellIs" dxfId="16090" priority="269" stopIfTrue="1" operator="equal">
      <formula>"2 Add"</formula>
    </cfRule>
  </conditionalFormatting>
  <conditionalFormatting sqref="C91">
    <cfRule type="cellIs" dxfId="16089" priority="270" stopIfTrue="1" operator="equal">
      <formula>"3 Delete"</formula>
    </cfRule>
  </conditionalFormatting>
  <conditionalFormatting sqref="C92">
    <cfRule type="cellIs" dxfId="16088" priority="271" stopIfTrue="1" operator="equal">
      <formula>"1 Modify"</formula>
    </cfRule>
  </conditionalFormatting>
  <conditionalFormatting sqref="C92">
    <cfRule type="cellIs" dxfId="16087" priority="272" stopIfTrue="1" operator="equal">
      <formula>"2 Add"</formula>
    </cfRule>
  </conditionalFormatting>
  <conditionalFormatting sqref="C92">
    <cfRule type="cellIs" dxfId="16086" priority="273" stopIfTrue="1" operator="equal">
      <formula>"3 Delete"</formula>
    </cfRule>
  </conditionalFormatting>
  <conditionalFormatting sqref="C93">
    <cfRule type="cellIs" dxfId="16085" priority="274" stopIfTrue="1" operator="equal">
      <formula>"1 Modify"</formula>
    </cfRule>
  </conditionalFormatting>
  <conditionalFormatting sqref="C93">
    <cfRule type="cellIs" dxfId="16084" priority="275" stopIfTrue="1" operator="equal">
      <formula>"2 Add"</formula>
    </cfRule>
  </conditionalFormatting>
  <conditionalFormatting sqref="C93">
    <cfRule type="cellIs" dxfId="16083" priority="276" stopIfTrue="1" operator="equal">
      <formula>"3 Delete"</formula>
    </cfRule>
  </conditionalFormatting>
  <conditionalFormatting sqref="C94">
    <cfRule type="cellIs" dxfId="16082" priority="277" stopIfTrue="1" operator="equal">
      <formula>"1 Modify"</formula>
    </cfRule>
  </conditionalFormatting>
  <conditionalFormatting sqref="C94">
    <cfRule type="cellIs" dxfId="16081" priority="278" stopIfTrue="1" operator="equal">
      <formula>"2 Add"</formula>
    </cfRule>
  </conditionalFormatting>
  <conditionalFormatting sqref="C94">
    <cfRule type="cellIs" dxfId="16080" priority="279" stopIfTrue="1" operator="equal">
      <formula>"3 Delete"</formula>
    </cfRule>
  </conditionalFormatting>
  <conditionalFormatting sqref="C95">
    <cfRule type="cellIs" dxfId="16079" priority="280" stopIfTrue="1" operator="equal">
      <formula>"1 Modify"</formula>
    </cfRule>
  </conditionalFormatting>
  <conditionalFormatting sqref="C95">
    <cfRule type="cellIs" dxfId="16078" priority="281" stopIfTrue="1" operator="equal">
      <formula>"2 Add"</formula>
    </cfRule>
  </conditionalFormatting>
  <conditionalFormatting sqref="C95">
    <cfRule type="cellIs" dxfId="16077" priority="282" stopIfTrue="1" operator="equal">
      <formula>"3 Delete"</formula>
    </cfRule>
  </conditionalFormatting>
  <conditionalFormatting sqref="C96">
    <cfRule type="cellIs" dxfId="16076" priority="283" stopIfTrue="1" operator="equal">
      <formula>"1 Modify"</formula>
    </cfRule>
  </conditionalFormatting>
  <conditionalFormatting sqref="C96">
    <cfRule type="cellIs" dxfId="16075" priority="284" stopIfTrue="1" operator="equal">
      <formula>"2 Add"</formula>
    </cfRule>
  </conditionalFormatting>
  <conditionalFormatting sqref="C96">
    <cfRule type="cellIs" dxfId="16074" priority="285" stopIfTrue="1" operator="equal">
      <formula>"3 Delete"</formula>
    </cfRule>
  </conditionalFormatting>
  <conditionalFormatting sqref="C97">
    <cfRule type="cellIs" dxfId="16073" priority="286" stopIfTrue="1" operator="equal">
      <formula>"1 Modify"</formula>
    </cfRule>
  </conditionalFormatting>
  <conditionalFormatting sqref="C97">
    <cfRule type="cellIs" dxfId="16072" priority="287" stopIfTrue="1" operator="equal">
      <formula>"2 Add"</formula>
    </cfRule>
  </conditionalFormatting>
  <conditionalFormatting sqref="C97">
    <cfRule type="cellIs" dxfId="16071" priority="288" stopIfTrue="1" operator="equal">
      <formula>"3 Delete"</formula>
    </cfRule>
  </conditionalFormatting>
  <conditionalFormatting sqref="C98">
    <cfRule type="cellIs" dxfId="16070" priority="289" stopIfTrue="1" operator="equal">
      <formula>"1 Modify"</formula>
    </cfRule>
  </conditionalFormatting>
  <conditionalFormatting sqref="C98">
    <cfRule type="cellIs" dxfId="16069" priority="290" stopIfTrue="1" operator="equal">
      <formula>"2 Add"</formula>
    </cfRule>
  </conditionalFormatting>
  <conditionalFormatting sqref="C98">
    <cfRule type="cellIs" dxfId="16068" priority="291" stopIfTrue="1" operator="equal">
      <formula>"3 Delete"</formula>
    </cfRule>
  </conditionalFormatting>
  <conditionalFormatting sqref="C99">
    <cfRule type="cellIs" dxfId="16067" priority="292" stopIfTrue="1" operator="equal">
      <formula>"1 Modify"</formula>
    </cfRule>
  </conditionalFormatting>
  <conditionalFormatting sqref="C99">
    <cfRule type="cellIs" dxfId="16066" priority="293" stopIfTrue="1" operator="equal">
      <formula>"2 Add"</formula>
    </cfRule>
  </conditionalFormatting>
  <conditionalFormatting sqref="C99">
    <cfRule type="cellIs" dxfId="16065" priority="294" stopIfTrue="1" operator="equal">
      <formula>"3 Delete"</formula>
    </cfRule>
  </conditionalFormatting>
  <conditionalFormatting sqref="C100">
    <cfRule type="cellIs" dxfId="16064" priority="295" stopIfTrue="1" operator="equal">
      <formula>"1 Modify"</formula>
    </cfRule>
  </conditionalFormatting>
  <conditionalFormatting sqref="C100">
    <cfRule type="cellIs" dxfId="16063" priority="296" stopIfTrue="1" operator="equal">
      <formula>"2 Add"</formula>
    </cfRule>
  </conditionalFormatting>
  <conditionalFormatting sqref="C100">
    <cfRule type="cellIs" dxfId="16062" priority="297" stopIfTrue="1" operator="equal">
      <formula>"3 Delete"</formula>
    </cfRule>
  </conditionalFormatting>
  <conditionalFormatting sqref="C101">
    <cfRule type="cellIs" dxfId="16061" priority="298" stopIfTrue="1" operator="equal">
      <formula>"1 Modify"</formula>
    </cfRule>
  </conditionalFormatting>
  <conditionalFormatting sqref="C101">
    <cfRule type="cellIs" dxfId="16060" priority="299" stopIfTrue="1" operator="equal">
      <formula>"2 Add"</formula>
    </cfRule>
  </conditionalFormatting>
  <conditionalFormatting sqref="C101">
    <cfRule type="cellIs" dxfId="16059" priority="300" stopIfTrue="1" operator="equal">
      <formula>"3 Delete"</formula>
    </cfRule>
  </conditionalFormatting>
  <conditionalFormatting sqref="C102">
    <cfRule type="cellIs" dxfId="16058" priority="301" stopIfTrue="1" operator="equal">
      <formula>"1 Modify"</formula>
    </cfRule>
  </conditionalFormatting>
  <conditionalFormatting sqref="C102">
    <cfRule type="cellIs" dxfId="16057" priority="302" stopIfTrue="1" operator="equal">
      <formula>"2 Add"</formula>
    </cfRule>
  </conditionalFormatting>
  <conditionalFormatting sqref="C102">
    <cfRule type="cellIs" dxfId="16056" priority="303" stopIfTrue="1" operator="equal">
      <formula>"3 Delete"</formula>
    </cfRule>
  </conditionalFormatting>
  <conditionalFormatting sqref="C103">
    <cfRule type="cellIs" dxfId="16055" priority="304" stopIfTrue="1" operator="equal">
      <formula>"1 Modify"</formula>
    </cfRule>
  </conditionalFormatting>
  <conditionalFormatting sqref="C103">
    <cfRule type="cellIs" dxfId="16054" priority="305" stopIfTrue="1" operator="equal">
      <formula>"2 Add"</formula>
    </cfRule>
  </conditionalFormatting>
  <conditionalFormatting sqref="C103">
    <cfRule type="cellIs" dxfId="16053" priority="306" stopIfTrue="1" operator="equal">
      <formula>"3 Delete"</formula>
    </cfRule>
  </conditionalFormatting>
  <conditionalFormatting sqref="C104">
    <cfRule type="cellIs" dxfId="16052" priority="307" stopIfTrue="1" operator="equal">
      <formula>"1 Modify"</formula>
    </cfRule>
  </conditionalFormatting>
  <conditionalFormatting sqref="C104">
    <cfRule type="cellIs" dxfId="16051" priority="308" stopIfTrue="1" operator="equal">
      <formula>"2 Add"</formula>
    </cfRule>
  </conditionalFormatting>
  <conditionalFormatting sqref="C104">
    <cfRule type="cellIs" dxfId="16050" priority="309" stopIfTrue="1" operator="equal">
      <formula>"3 Delete"</formula>
    </cfRule>
  </conditionalFormatting>
  <conditionalFormatting sqref="C105">
    <cfRule type="cellIs" dxfId="16049" priority="310" stopIfTrue="1" operator="equal">
      <formula>"1 Modify"</formula>
    </cfRule>
  </conditionalFormatting>
  <conditionalFormatting sqref="C105">
    <cfRule type="cellIs" dxfId="16048" priority="311" stopIfTrue="1" operator="equal">
      <formula>"2 Add"</formula>
    </cfRule>
  </conditionalFormatting>
  <conditionalFormatting sqref="C105">
    <cfRule type="cellIs" dxfId="16047" priority="312" stopIfTrue="1" operator="equal">
      <formula>"3 Delete"</formula>
    </cfRule>
  </conditionalFormatting>
  <conditionalFormatting sqref="C106">
    <cfRule type="cellIs" dxfId="16046" priority="313" stopIfTrue="1" operator="equal">
      <formula>"1 Modify"</formula>
    </cfRule>
  </conditionalFormatting>
  <conditionalFormatting sqref="C106">
    <cfRule type="cellIs" dxfId="16045" priority="314" stopIfTrue="1" operator="equal">
      <formula>"2 Add"</formula>
    </cfRule>
  </conditionalFormatting>
  <conditionalFormatting sqref="C106">
    <cfRule type="cellIs" dxfId="16044" priority="315" stopIfTrue="1" operator="equal">
      <formula>"3 Delete"</formula>
    </cfRule>
  </conditionalFormatting>
  <conditionalFormatting sqref="C107">
    <cfRule type="cellIs" dxfId="16043" priority="316" stopIfTrue="1" operator="equal">
      <formula>"1 Modify"</formula>
    </cfRule>
  </conditionalFormatting>
  <conditionalFormatting sqref="C107">
    <cfRule type="cellIs" dxfId="16042" priority="317" stopIfTrue="1" operator="equal">
      <formula>"2 Add"</formula>
    </cfRule>
  </conditionalFormatting>
  <conditionalFormatting sqref="C107">
    <cfRule type="cellIs" dxfId="16041" priority="318" stopIfTrue="1" operator="equal">
      <formula>"3 Delete"</formula>
    </cfRule>
  </conditionalFormatting>
  <conditionalFormatting sqref="C108">
    <cfRule type="cellIs" dxfId="16040" priority="319" stopIfTrue="1" operator="equal">
      <formula>"1 Modify"</formula>
    </cfRule>
  </conditionalFormatting>
  <conditionalFormatting sqref="C108">
    <cfRule type="cellIs" dxfId="16039" priority="320" stopIfTrue="1" operator="equal">
      <formula>"2 Add"</formula>
    </cfRule>
  </conditionalFormatting>
  <conditionalFormatting sqref="C108">
    <cfRule type="cellIs" dxfId="16038" priority="321" stopIfTrue="1" operator="equal">
      <formula>"3 Delete"</formula>
    </cfRule>
  </conditionalFormatting>
  <conditionalFormatting sqref="C109">
    <cfRule type="cellIs" dxfId="16037" priority="322" stopIfTrue="1" operator="equal">
      <formula>"1 Modify"</formula>
    </cfRule>
  </conditionalFormatting>
  <conditionalFormatting sqref="C109">
    <cfRule type="cellIs" dxfId="16036" priority="323" stopIfTrue="1" operator="equal">
      <formula>"2 Add"</formula>
    </cfRule>
  </conditionalFormatting>
  <conditionalFormatting sqref="C109">
    <cfRule type="cellIs" dxfId="16035" priority="324" stopIfTrue="1" operator="equal">
      <formula>"3 Delete"</formula>
    </cfRule>
  </conditionalFormatting>
  <conditionalFormatting sqref="C110">
    <cfRule type="cellIs" dxfId="16034" priority="325" stopIfTrue="1" operator="equal">
      <formula>"1 Modify"</formula>
    </cfRule>
  </conditionalFormatting>
  <conditionalFormatting sqref="C110">
    <cfRule type="cellIs" dxfId="16033" priority="326" stopIfTrue="1" operator="equal">
      <formula>"2 Add"</formula>
    </cfRule>
  </conditionalFormatting>
  <conditionalFormatting sqref="C110">
    <cfRule type="cellIs" dxfId="16032" priority="327" stopIfTrue="1" operator="equal">
      <formula>"3 Delete"</formula>
    </cfRule>
  </conditionalFormatting>
  <conditionalFormatting sqref="C111">
    <cfRule type="cellIs" dxfId="16031" priority="328" stopIfTrue="1" operator="equal">
      <formula>"1 Modify"</formula>
    </cfRule>
  </conditionalFormatting>
  <conditionalFormatting sqref="C111">
    <cfRule type="cellIs" dxfId="16030" priority="329" stopIfTrue="1" operator="equal">
      <formula>"2 Add"</formula>
    </cfRule>
  </conditionalFormatting>
  <conditionalFormatting sqref="C111">
    <cfRule type="cellIs" dxfId="16029" priority="330" stopIfTrue="1" operator="equal">
      <formula>"3 Delete"</formula>
    </cfRule>
  </conditionalFormatting>
  <conditionalFormatting sqref="C112">
    <cfRule type="cellIs" dxfId="16028" priority="331" stopIfTrue="1" operator="equal">
      <formula>"1 Modify"</formula>
    </cfRule>
  </conditionalFormatting>
  <conditionalFormatting sqref="C112">
    <cfRule type="cellIs" dxfId="16027" priority="332" stopIfTrue="1" operator="equal">
      <formula>"2 Add"</formula>
    </cfRule>
  </conditionalFormatting>
  <conditionalFormatting sqref="C112">
    <cfRule type="cellIs" dxfId="16026" priority="333" stopIfTrue="1" operator="equal">
      <formula>"3 Delete"</formula>
    </cfRule>
  </conditionalFormatting>
  <conditionalFormatting sqref="C113">
    <cfRule type="cellIs" dxfId="16025" priority="334" stopIfTrue="1" operator="equal">
      <formula>"1 Modify"</formula>
    </cfRule>
  </conditionalFormatting>
  <conditionalFormatting sqref="C113">
    <cfRule type="cellIs" dxfId="16024" priority="335" stopIfTrue="1" operator="equal">
      <formula>"2 Add"</formula>
    </cfRule>
  </conditionalFormatting>
  <conditionalFormatting sqref="C113">
    <cfRule type="cellIs" dxfId="16023" priority="336" stopIfTrue="1" operator="equal">
      <formula>"3 Delete"</formula>
    </cfRule>
  </conditionalFormatting>
  <conditionalFormatting sqref="C114">
    <cfRule type="cellIs" dxfId="16022" priority="337" stopIfTrue="1" operator="equal">
      <formula>"1 Modify"</formula>
    </cfRule>
  </conditionalFormatting>
  <conditionalFormatting sqref="C114">
    <cfRule type="cellIs" dxfId="16021" priority="338" stopIfTrue="1" operator="equal">
      <formula>"2 Add"</formula>
    </cfRule>
  </conditionalFormatting>
  <conditionalFormatting sqref="C114">
    <cfRule type="cellIs" dxfId="16020" priority="339" stopIfTrue="1" operator="equal">
      <formula>"3 Delete"</formula>
    </cfRule>
  </conditionalFormatting>
  <conditionalFormatting sqref="C115">
    <cfRule type="cellIs" dxfId="16019" priority="340" stopIfTrue="1" operator="equal">
      <formula>"1 Modify"</formula>
    </cfRule>
  </conditionalFormatting>
  <conditionalFormatting sqref="C115">
    <cfRule type="cellIs" dxfId="16018" priority="341" stopIfTrue="1" operator="equal">
      <formula>"2 Add"</formula>
    </cfRule>
  </conditionalFormatting>
  <conditionalFormatting sqref="C115">
    <cfRule type="cellIs" dxfId="16017" priority="342" stopIfTrue="1" operator="equal">
      <formula>"3 Delete"</formula>
    </cfRule>
  </conditionalFormatting>
  <conditionalFormatting sqref="C116">
    <cfRule type="cellIs" dxfId="16016" priority="343" stopIfTrue="1" operator="equal">
      <formula>"1 Modify"</formula>
    </cfRule>
  </conditionalFormatting>
  <conditionalFormatting sqref="C116">
    <cfRule type="cellIs" dxfId="16015" priority="344" stopIfTrue="1" operator="equal">
      <formula>"2 Add"</formula>
    </cfRule>
  </conditionalFormatting>
  <conditionalFormatting sqref="C116">
    <cfRule type="cellIs" dxfId="16014" priority="345" stopIfTrue="1" operator="equal">
      <formula>"3 Delete"</formula>
    </cfRule>
  </conditionalFormatting>
  <conditionalFormatting sqref="C117">
    <cfRule type="cellIs" dxfId="16013" priority="346" stopIfTrue="1" operator="equal">
      <formula>"1 Modify"</formula>
    </cfRule>
  </conditionalFormatting>
  <conditionalFormatting sqref="C117">
    <cfRule type="cellIs" dxfId="16012" priority="347" stopIfTrue="1" operator="equal">
      <formula>"2 Add"</formula>
    </cfRule>
  </conditionalFormatting>
  <conditionalFormatting sqref="C117">
    <cfRule type="cellIs" dxfId="16011" priority="348" stopIfTrue="1" operator="equal">
      <formula>"3 Delete"</formula>
    </cfRule>
  </conditionalFormatting>
  <conditionalFormatting sqref="C118">
    <cfRule type="cellIs" dxfId="16010" priority="349" stopIfTrue="1" operator="equal">
      <formula>"1 Modify"</formula>
    </cfRule>
  </conditionalFormatting>
  <conditionalFormatting sqref="C118">
    <cfRule type="cellIs" dxfId="16009" priority="350" stopIfTrue="1" operator="equal">
      <formula>"2 Add"</formula>
    </cfRule>
  </conditionalFormatting>
  <conditionalFormatting sqref="C118">
    <cfRule type="cellIs" dxfId="16008" priority="351" stopIfTrue="1" operator="equal">
      <formula>"3 Delete"</formula>
    </cfRule>
  </conditionalFormatting>
  <conditionalFormatting sqref="C119">
    <cfRule type="cellIs" dxfId="16007" priority="352" stopIfTrue="1" operator="equal">
      <formula>"1 Modify"</formula>
    </cfRule>
  </conditionalFormatting>
  <conditionalFormatting sqref="C119">
    <cfRule type="cellIs" dxfId="16006" priority="353" stopIfTrue="1" operator="equal">
      <formula>"2 Add"</formula>
    </cfRule>
  </conditionalFormatting>
  <conditionalFormatting sqref="C119">
    <cfRule type="cellIs" dxfId="16005" priority="354" stopIfTrue="1" operator="equal">
      <formula>"3 Delete"</formula>
    </cfRule>
  </conditionalFormatting>
  <conditionalFormatting sqref="C120">
    <cfRule type="cellIs" dxfId="16004" priority="355" stopIfTrue="1" operator="equal">
      <formula>"1 Modify"</formula>
    </cfRule>
  </conditionalFormatting>
  <conditionalFormatting sqref="C120">
    <cfRule type="cellIs" dxfId="16003" priority="356" stopIfTrue="1" operator="equal">
      <formula>"2 Add"</formula>
    </cfRule>
  </conditionalFormatting>
  <conditionalFormatting sqref="C120">
    <cfRule type="cellIs" dxfId="16002" priority="357" stopIfTrue="1" operator="equal">
      <formula>"3 Delete"</formula>
    </cfRule>
  </conditionalFormatting>
  <conditionalFormatting sqref="C121">
    <cfRule type="cellIs" dxfId="16001" priority="358" stopIfTrue="1" operator="equal">
      <formula>"1 Modify"</formula>
    </cfRule>
  </conditionalFormatting>
  <conditionalFormatting sqref="C121">
    <cfRule type="cellIs" dxfId="16000" priority="359" stopIfTrue="1" operator="equal">
      <formula>"2 Add"</formula>
    </cfRule>
  </conditionalFormatting>
  <conditionalFormatting sqref="C121">
    <cfRule type="cellIs" dxfId="15999" priority="360" stopIfTrue="1" operator="equal">
      <formula>"3 Delete"</formula>
    </cfRule>
  </conditionalFormatting>
  <conditionalFormatting sqref="C122">
    <cfRule type="cellIs" dxfId="15998" priority="361" stopIfTrue="1" operator="equal">
      <formula>"1 Modify"</formula>
    </cfRule>
  </conditionalFormatting>
  <conditionalFormatting sqref="C122">
    <cfRule type="cellIs" dxfId="15997" priority="362" stopIfTrue="1" operator="equal">
      <formula>"2 Add"</formula>
    </cfRule>
  </conditionalFormatting>
  <conditionalFormatting sqref="C122">
    <cfRule type="cellIs" dxfId="15996" priority="363" stopIfTrue="1" operator="equal">
      <formula>"3 Delete"</formula>
    </cfRule>
  </conditionalFormatting>
  <conditionalFormatting sqref="C123">
    <cfRule type="cellIs" dxfId="15995" priority="364" stopIfTrue="1" operator="equal">
      <formula>"1 Modify"</formula>
    </cfRule>
  </conditionalFormatting>
  <conditionalFormatting sqref="C123">
    <cfRule type="cellIs" dxfId="15994" priority="365" stopIfTrue="1" operator="equal">
      <formula>"2 Add"</formula>
    </cfRule>
  </conditionalFormatting>
  <conditionalFormatting sqref="C123">
    <cfRule type="cellIs" dxfId="15993" priority="366" stopIfTrue="1" operator="equal">
      <formula>"3 Delete"</formula>
    </cfRule>
  </conditionalFormatting>
  <conditionalFormatting sqref="C124">
    <cfRule type="cellIs" dxfId="15992" priority="367" stopIfTrue="1" operator="equal">
      <formula>"1 Modify"</formula>
    </cfRule>
  </conditionalFormatting>
  <conditionalFormatting sqref="C124">
    <cfRule type="cellIs" dxfId="15991" priority="368" stopIfTrue="1" operator="equal">
      <formula>"2 Add"</formula>
    </cfRule>
  </conditionalFormatting>
  <conditionalFormatting sqref="C124">
    <cfRule type="cellIs" dxfId="15990" priority="369" stopIfTrue="1" operator="equal">
      <formula>"3 Delete"</formula>
    </cfRule>
  </conditionalFormatting>
  <conditionalFormatting sqref="C125">
    <cfRule type="cellIs" dxfId="15989" priority="370" stopIfTrue="1" operator="equal">
      <formula>"1 Modify"</formula>
    </cfRule>
  </conditionalFormatting>
  <conditionalFormatting sqref="C125">
    <cfRule type="cellIs" dxfId="15988" priority="371" stopIfTrue="1" operator="equal">
      <formula>"2 Add"</formula>
    </cfRule>
  </conditionalFormatting>
  <conditionalFormatting sqref="C125">
    <cfRule type="cellIs" dxfId="15987" priority="372" stopIfTrue="1" operator="equal">
      <formula>"3 Delete"</formula>
    </cfRule>
  </conditionalFormatting>
  <conditionalFormatting sqref="C126">
    <cfRule type="cellIs" dxfId="15986" priority="373" stopIfTrue="1" operator="equal">
      <formula>"1 Modify"</formula>
    </cfRule>
  </conditionalFormatting>
  <conditionalFormatting sqref="C126">
    <cfRule type="cellIs" dxfId="15985" priority="374" stopIfTrue="1" operator="equal">
      <formula>"2 Add"</formula>
    </cfRule>
  </conditionalFormatting>
  <conditionalFormatting sqref="C126">
    <cfRule type="cellIs" dxfId="15984" priority="375" stopIfTrue="1" operator="equal">
      <formula>"3 Delete"</formula>
    </cfRule>
  </conditionalFormatting>
  <conditionalFormatting sqref="C127">
    <cfRule type="cellIs" dxfId="15983" priority="376" stopIfTrue="1" operator="equal">
      <formula>"1 Modify"</formula>
    </cfRule>
  </conditionalFormatting>
  <conditionalFormatting sqref="C127">
    <cfRule type="cellIs" dxfId="15982" priority="377" stopIfTrue="1" operator="equal">
      <formula>"2 Add"</formula>
    </cfRule>
  </conditionalFormatting>
  <conditionalFormatting sqref="C127">
    <cfRule type="cellIs" dxfId="15981" priority="378" stopIfTrue="1" operator="equal">
      <formula>"3 Delete"</formula>
    </cfRule>
  </conditionalFormatting>
  <conditionalFormatting sqref="C128">
    <cfRule type="cellIs" dxfId="15980" priority="379" stopIfTrue="1" operator="equal">
      <formula>"1 Modify"</formula>
    </cfRule>
  </conditionalFormatting>
  <conditionalFormatting sqref="C128">
    <cfRule type="cellIs" dxfId="15979" priority="380" stopIfTrue="1" operator="equal">
      <formula>"2 Add"</formula>
    </cfRule>
  </conditionalFormatting>
  <conditionalFormatting sqref="C128">
    <cfRule type="cellIs" dxfId="15978" priority="381" stopIfTrue="1" operator="equal">
      <formula>"3 Delete"</formula>
    </cfRule>
  </conditionalFormatting>
  <conditionalFormatting sqref="C129">
    <cfRule type="cellIs" dxfId="15977" priority="382" stopIfTrue="1" operator="equal">
      <formula>"1 Modify"</formula>
    </cfRule>
  </conditionalFormatting>
  <conditionalFormatting sqref="C129">
    <cfRule type="cellIs" dxfId="15976" priority="383" stopIfTrue="1" operator="equal">
      <formula>"2 Add"</formula>
    </cfRule>
  </conditionalFormatting>
  <conditionalFormatting sqref="C129">
    <cfRule type="cellIs" dxfId="15975" priority="384" stopIfTrue="1" operator="equal">
      <formula>"3 Delete"</formula>
    </cfRule>
  </conditionalFormatting>
  <conditionalFormatting sqref="C130">
    <cfRule type="cellIs" dxfId="15974" priority="385" stopIfTrue="1" operator="equal">
      <formula>"1 Modify"</formula>
    </cfRule>
  </conditionalFormatting>
  <conditionalFormatting sqref="C130">
    <cfRule type="cellIs" dxfId="15973" priority="386" stopIfTrue="1" operator="equal">
      <formula>"2 Add"</formula>
    </cfRule>
  </conditionalFormatting>
  <conditionalFormatting sqref="C130">
    <cfRule type="cellIs" dxfId="15972" priority="387" stopIfTrue="1" operator="equal">
      <formula>"3 Delete"</formula>
    </cfRule>
  </conditionalFormatting>
  <conditionalFormatting sqref="C131">
    <cfRule type="cellIs" dxfId="15971" priority="388" stopIfTrue="1" operator="equal">
      <formula>"1 Modify"</formula>
    </cfRule>
  </conditionalFormatting>
  <conditionalFormatting sqref="C131">
    <cfRule type="cellIs" dxfId="15970" priority="389" stopIfTrue="1" operator="equal">
      <formula>"2 Add"</formula>
    </cfRule>
  </conditionalFormatting>
  <conditionalFormatting sqref="C131">
    <cfRule type="cellIs" dxfId="15969" priority="390" stopIfTrue="1" operator="equal">
      <formula>"3 Delete"</formula>
    </cfRule>
  </conditionalFormatting>
  <conditionalFormatting sqref="C132">
    <cfRule type="cellIs" dxfId="15968" priority="391" stopIfTrue="1" operator="equal">
      <formula>"1 Modify"</formula>
    </cfRule>
  </conditionalFormatting>
  <conditionalFormatting sqref="C132">
    <cfRule type="cellIs" dxfId="15967" priority="392" stopIfTrue="1" operator="equal">
      <formula>"2 Add"</formula>
    </cfRule>
  </conditionalFormatting>
  <conditionalFormatting sqref="C132">
    <cfRule type="cellIs" dxfId="15966" priority="393" stopIfTrue="1" operator="equal">
      <formula>"3 Delete"</formula>
    </cfRule>
  </conditionalFormatting>
  <conditionalFormatting sqref="C133">
    <cfRule type="cellIs" dxfId="15965" priority="394" stopIfTrue="1" operator="equal">
      <formula>"1 Modify"</formula>
    </cfRule>
  </conditionalFormatting>
  <conditionalFormatting sqref="C133">
    <cfRule type="cellIs" dxfId="15964" priority="395" stopIfTrue="1" operator="equal">
      <formula>"2 Add"</formula>
    </cfRule>
  </conditionalFormatting>
  <conditionalFormatting sqref="C133">
    <cfRule type="cellIs" dxfId="15963" priority="396" stopIfTrue="1" operator="equal">
      <formula>"3 Delete"</formula>
    </cfRule>
  </conditionalFormatting>
  <conditionalFormatting sqref="C134">
    <cfRule type="cellIs" dxfId="15962" priority="397" stopIfTrue="1" operator="equal">
      <formula>"1 Modify"</formula>
    </cfRule>
  </conditionalFormatting>
  <conditionalFormatting sqref="C134">
    <cfRule type="cellIs" dxfId="15961" priority="398" stopIfTrue="1" operator="equal">
      <formula>"2 Add"</formula>
    </cfRule>
  </conditionalFormatting>
  <conditionalFormatting sqref="C134">
    <cfRule type="cellIs" dxfId="15960" priority="399" stopIfTrue="1" operator="equal">
      <formula>"3 Delete"</formula>
    </cfRule>
  </conditionalFormatting>
  <conditionalFormatting sqref="C135">
    <cfRule type="cellIs" dxfId="15959" priority="400" stopIfTrue="1" operator="equal">
      <formula>"1 Modify"</formula>
    </cfRule>
  </conditionalFormatting>
  <conditionalFormatting sqref="C135">
    <cfRule type="cellIs" dxfId="15958" priority="401" stopIfTrue="1" operator="equal">
      <formula>"2 Add"</formula>
    </cfRule>
  </conditionalFormatting>
  <conditionalFormatting sqref="C135">
    <cfRule type="cellIs" dxfId="15957" priority="402" stopIfTrue="1" operator="equal">
      <formula>"3 Delete"</formula>
    </cfRule>
  </conditionalFormatting>
  <conditionalFormatting sqref="C136">
    <cfRule type="cellIs" dxfId="15956" priority="403" stopIfTrue="1" operator="equal">
      <formula>"1 Modify"</formula>
    </cfRule>
  </conditionalFormatting>
  <conditionalFormatting sqref="C136">
    <cfRule type="cellIs" dxfId="15955" priority="404" stopIfTrue="1" operator="equal">
      <formula>"2 Add"</formula>
    </cfRule>
  </conditionalFormatting>
  <conditionalFormatting sqref="C136">
    <cfRule type="cellIs" dxfId="15954" priority="405" stopIfTrue="1" operator="equal">
      <formula>"3 Delete"</formula>
    </cfRule>
  </conditionalFormatting>
  <conditionalFormatting sqref="C137">
    <cfRule type="cellIs" dxfId="15953" priority="406" stopIfTrue="1" operator="equal">
      <formula>"1 Modify"</formula>
    </cfRule>
  </conditionalFormatting>
  <conditionalFormatting sqref="C137">
    <cfRule type="cellIs" dxfId="15952" priority="407" stopIfTrue="1" operator="equal">
      <formula>"2 Add"</formula>
    </cfRule>
  </conditionalFormatting>
  <conditionalFormatting sqref="C137">
    <cfRule type="cellIs" dxfId="15951" priority="408" stopIfTrue="1" operator="equal">
      <formula>"3 Delete"</formula>
    </cfRule>
  </conditionalFormatting>
  <conditionalFormatting sqref="C138">
    <cfRule type="cellIs" dxfId="15950" priority="409" stopIfTrue="1" operator="equal">
      <formula>"1 Modify"</formula>
    </cfRule>
  </conditionalFormatting>
  <conditionalFormatting sqref="C138">
    <cfRule type="cellIs" dxfId="15949" priority="410" stopIfTrue="1" operator="equal">
      <formula>"2 Add"</formula>
    </cfRule>
  </conditionalFormatting>
  <conditionalFormatting sqref="C138">
    <cfRule type="cellIs" dxfId="15948" priority="411" stopIfTrue="1" operator="equal">
      <formula>"3 Delete"</formula>
    </cfRule>
  </conditionalFormatting>
  <conditionalFormatting sqref="C139">
    <cfRule type="cellIs" dxfId="15947" priority="412" stopIfTrue="1" operator="equal">
      <formula>"1 Modify"</formula>
    </cfRule>
  </conditionalFormatting>
  <conditionalFormatting sqref="C139">
    <cfRule type="cellIs" dxfId="15946" priority="413" stopIfTrue="1" operator="equal">
      <formula>"2 Add"</formula>
    </cfRule>
  </conditionalFormatting>
  <conditionalFormatting sqref="C139">
    <cfRule type="cellIs" dxfId="15945" priority="414" stopIfTrue="1" operator="equal">
      <formula>"3 Delete"</formula>
    </cfRule>
  </conditionalFormatting>
  <conditionalFormatting sqref="C140">
    <cfRule type="cellIs" dxfId="15944" priority="415" stopIfTrue="1" operator="equal">
      <formula>"1 Modify"</formula>
    </cfRule>
  </conditionalFormatting>
  <conditionalFormatting sqref="C140">
    <cfRule type="cellIs" dxfId="15943" priority="416" stopIfTrue="1" operator="equal">
      <formula>"2 Add"</formula>
    </cfRule>
  </conditionalFormatting>
  <conditionalFormatting sqref="C140">
    <cfRule type="cellIs" dxfId="15942" priority="417" stopIfTrue="1" operator="equal">
      <formula>"3 Delete"</formula>
    </cfRule>
  </conditionalFormatting>
  <conditionalFormatting sqref="C141">
    <cfRule type="cellIs" dxfId="15941" priority="418" stopIfTrue="1" operator="equal">
      <formula>"1 Modify"</formula>
    </cfRule>
  </conditionalFormatting>
  <conditionalFormatting sqref="C141">
    <cfRule type="cellIs" dxfId="15940" priority="419" stopIfTrue="1" operator="equal">
      <formula>"2 Add"</formula>
    </cfRule>
  </conditionalFormatting>
  <conditionalFormatting sqref="C141">
    <cfRule type="cellIs" dxfId="15939" priority="420" stopIfTrue="1" operator="equal">
      <formula>"3 Delete"</formula>
    </cfRule>
  </conditionalFormatting>
  <conditionalFormatting sqref="C142">
    <cfRule type="cellIs" dxfId="15938" priority="421" stopIfTrue="1" operator="equal">
      <formula>"1 Modify"</formula>
    </cfRule>
  </conditionalFormatting>
  <conditionalFormatting sqref="C142">
    <cfRule type="cellIs" dxfId="15937" priority="422" stopIfTrue="1" operator="equal">
      <formula>"2 Add"</formula>
    </cfRule>
  </conditionalFormatting>
  <conditionalFormatting sqref="C142">
    <cfRule type="cellIs" dxfId="15936" priority="423" stopIfTrue="1" operator="equal">
      <formula>"3 Delete"</formula>
    </cfRule>
  </conditionalFormatting>
  <conditionalFormatting sqref="C143">
    <cfRule type="cellIs" dxfId="15935" priority="424" stopIfTrue="1" operator="equal">
      <formula>"1 Modify"</formula>
    </cfRule>
  </conditionalFormatting>
  <conditionalFormatting sqref="C143">
    <cfRule type="cellIs" dxfId="15934" priority="425" stopIfTrue="1" operator="equal">
      <formula>"2 Add"</formula>
    </cfRule>
  </conditionalFormatting>
  <conditionalFormatting sqref="C143">
    <cfRule type="cellIs" dxfId="15933" priority="426" stopIfTrue="1" operator="equal">
      <formula>"3 Delete"</formula>
    </cfRule>
  </conditionalFormatting>
  <conditionalFormatting sqref="C144">
    <cfRule type="cellIs" dxfId="15932" priority="427" stopIfTrue="1" operator="equal">
      <formula>"1 Modify"</formula>
    </cfRule>
  </conditionalFormatting>
  <conditionalFormatting sqref="C144">
    <cfRule type="cellIs" dxfId="15931" priority="428" stopIfTrue="1" operator="equal">
      <formula>"2 Add"</formula>
    </cfRule>
  </conditionalFormatting>
  <conditionalFormatting sqref="C144">
    <cfRule type="cellIs" dxfId="15930" priority="429" stopIfTrue="1" operator="equal">
      <formula>"3 Delete"</formula>
    </cfRule>
  </conditionalFormatting>
  <conditionalFormatting sqref="C145">
    <cfRule type="cellIs" dxfId="15929" priority="430" stopIfTrue="1" operator="equal">
      <formula>"1 Modify"</formula>
    </cfRule>
  </conditionalFormatting>
  <conditionalFormatting sqref="C145">
    <cfRule type="cellIs" dxfId="15928" priority="431" stopIfTrue="1" operator="equal">
      <formula>"2 Add"</formula>
    </cfRule>
  </conditionalFormatting>
  <conditionalFormatting sqref="C145">
    <cfRule type="cellIs" dxfId="15927" priority="432" stopIfTrue="1" operator="equal">
      <formula>"3 Delete"</formula>
    </cfRule>
  </conditionalFormatting>
  <conditionalFormatting sqref="C146">
    <cfRule type="cellIs" dxfId="15926" priority="433" stopIfTrue="1" operator="equal">
      <formula>"1 Modify"</formula>
    </cfRule>
  </conditionalFormatting>
  <conditionalFormatting sqref="C146">
    <cfRule type="cellIs" dxfId="15925" priority="434" stopIfTrue="1" operator="equal">
      <formula>"2 Add"</formula>
    </cfRule>
  </conditionalFormatting>
  <conditionalFormatting sqref="C146">
    <cfRule type="cellIs" dxfId="15924" priority="435" stopIfTrue="1" operator="equal">
      <formula>"3 Delete"</formula>
    </cfRule>
  </conditionalFormatting>
  <conditionalFormatting sqref="C147">
    <cfRule type="cellIs" dxfId="15923" priority="436" stopIfTrue="1" operator="equal">
      <formula>"1 Modify"</formula>
    </cfRule>
  </conditionalFormatting>
  <conditionalFormatting sqref="C147">
    <cfRule type="cellIs" dxfId="15922" priority="437" stopIfTrue="1" operator="equal">
      <formula>"2 Add"</formula>
    </cfRule>
  </conditionalFormatting>
  <conditionalFormatting sqref="C147">
    <cfRule type="cellIs" dxfId="15921" priority="438" stopIfTrue="1" operator="equal">
      <formula>"3 Delete"</formula>
    </cfRule>
  </conditionalFormatting>
  <conditionalFormatting sqref="C148">
    <cfRule type="cellIs" dxfId="15920" priority="439" stopIfTrue="1" operator="equal">
      <formula>"1 Modify"</formula>
    </cfRule>
  </conditionalFormatting>
  <conditionalFormatting sqref="C148">
    <cfRule type="cellIs" dxfId="15919" priority="440" stopIfTrue="1" operator="equal">
      <formula>"2 Add"</formula>
    </cfRule>
  </conditionalFormatting>
  <conditionalFormatting sqref="C148">
    <cfRule type="cellIs" dxfId="15918" priority="441" stopIfTrue="1" operator="equal">
      <formula>"3 Delete"</formula>
    </cfRule>
  </conditionalFormatting>
  <conditionalFormatting sqref="C149">
    <cfRule type="cellIs" dxfId="15917" priority="442" stopIfTrue="1" operator="equal">
      <formula>"1 Modify"</formula>
    </cfRule>
  </conditionalFormatting>
  <conditionalFormatting sqref="C149">
    <cfRule type="cellIs" dxfId="15916" priority="443" stopIfTrue="1" operator="equal">
      <formula>"2 Add"</formula>
    </cfRule>
  </conditionalFormatting>
  <conditionalFormatting sqref="C149">
    <cfRule type="cellIs" dxfId="15915" priority="444" stopIfTrue="1" operator="equal">
      <formula>"3 Delete"</formula>
    </cfRule>
  </conditionalFormatting>
  <conditionalFormatting sqref="C150">
    <cfRule type="cellIs" dxfId="15914" priority="445" stopIfTrue="1" operator="equal">
      <formula>"1 Modify"</formula>
    </cfRule>
  </conditionalFormatting>
  <conditionalFormatting sqref="C150">
    <cfRule type="cellIs" dxfId="15913" priority="446" stopIfTrue="1" operator="equal">
      <formula>"2 Add"</formula>
    </cfRule>
  </conditionalFormatting>
  <conditionalFormatting sqref="C150">
    <cfRule type="cellIs" dxfId="15912" priority="447" stopIfTrue="1" operator="equal">
      <formula>"3 Delete"</formula>
    </cfRule>
  </conditionalFormatting>
  <conditionalFormatting sqref="C151">
    <cfRule type="cellIs" dxfId="15911" priority="448" stopIfTrue="1" operator="equal">
      <formula>"1 Modify"</formula>
    </cfRule>
  </conditionalFormatting>
  <conditionalFormatting sqref="C151">
    <cfRule type="cellIs" dxfId="15910" priority="449" stopIfTrue="1" operator="equal">
      <formula>"2 Add"</formula>
    </cfRule>
  </conditionalFormatting>
  <conditionalFormatting sqref="C151">
    <cfRule type="cellIs" dxfId="15909" priority="450" stopIfTrue="1" operator="equal">
      <formula>"3 Delete"</formula>
    </cfRule>
  </conditionalFormatting>
  <conditionalFormatting sqref="C152">
    <cfRule type="cellIs" dxfId="15908" priority="451" stopIfTrue="1" operator="equal">
      <formula>"1 Modify"</formula>
    </cfRule>
  </conditionalFormatting>
  <conditionalFormatting sqref="C152">
    <cfRule type="cellIs" dxfId="15907" priority="452" stopIfTrue="1" operator="equal">
      <formula>"2 Add"</formula>
    </cfRule>
  </conditionalFormatting>
  <conditionalFormatting sqref="C152">
    <cfRule type="cellIs" dxfId="15906" priority="453" stopIfTrue="1" operator="equal">
      <formula>"3 Delete"</formula>
    </cfRule>
  </conditionalFormatting>
  <conditionalFormatting sqref="C153">
    <cfRule type="cellIs" dxfId="15905" priority="454" stopIfTrue="1" operator="equal">
      <formula>"1 Modify"</formula>
    </cfRule>
  </conditionalFormatting>
  <conditionalFormatting sqref="C153">
    <cfRule type="cellIs" dxfId="15904" priority="455" stopIfTrue="1" operator="equal">
      <formula>"2 Add"</formula>
    </cfRule>
  </conditionalFormatting>
  <conditionalFormatting sqref="C153">
    <cfRule type="cellIs" dxfId="15903" priority="456" stopIfTrue="1" operator="equal">
      <formula>"3 Delete"</formula>
    </cfRule>
  </conditionalFormatting>
  <conditionalFormatting sqref="C154">
    <cfRule type="cellIs" dxfId="15902" priority="457" stopIfTrue="1" operator="equal">
      <formula>"1 Modify"</formula>
    </cfRule>
  </conditionalFormatting>
  <conditionalFormatting sqref="C154">
    <cfRule type="cellIs" dxfId="15901" priority="458" stopIfTrue="1" operator="equal">
      <formula>"2 Add"</formula>
    </cfRule>
  </conditionalFormatting>
  <conditionalFormatting sqref="C154">
    <cfRule type="cellIs" dxfId="15900" priority="459" stopIfTrue="1" operator="equal">
      <formula>"3 Delete"</formula>
    </cfRule>
  </conditionalFormatting>
  <conditionalFormatting sqref="C155">
    <cfRule type="cellIs" dxfId="15899" priority="460" stopIfTrue="1" operator="equal">
      <formula>"1 Modify"</formula>
    </cfRule>
  </conditionalFormatting>
  <conditionalFormatting sqref="C155">
    <cfRule type="cellIs" dxfId="15898" priority="461" stopIfTrue="1" operator="equal">
      <formula>"2 Add"</formula>
    </cfRule>
  </conditionalFormatting>
  <conditionalFormatting sqref="C155">
    <cfRule type="cellIs" dxfId="15897" priority="462" stopIfTrue="1" operator="equal">
      <formula>"3 Delete"</formula>
    </cfRule>
  </conditionalFormatting>
  <conditionalFormatting sqref="C156">
    <cfRule type="cellIs" dxfId="15896" priority="463" stopIfTrue="1" operator="equal">
      <formula>"1 Modify"</formula>
    </cfRule>
  </conditionalFormatting>
  <conditionalFormatting sqref="C156">
    <cfRule type="cellIs" dxfId="15895" priority="464" stopIfTrue="1" operator="equal">
      <formula>"2 Add"</formula>
    </cfRule>
  </conditionalFormatting>
  <conditionalFormatting sqref="C156">
    <cfRule type="cellIs" dxfId="15894" priority="465" stopIfTrue="1" operator="equal">
      <formula>"3 Delete"</formula>
    </cfRule>
  </conditionalFormatting>
  <conditionalFormatting sqref="C157">
    <cfRule type="cellIs" dxfId="15893" priority="466" stopIfTrue="1" operator="equal">
      <formula>"1 Modify"</formula>
    </cfRule>
  </conditionalFormatting>
  <conditionalFormatting sqref="C157">
    <cfRule type="cellIs" dxfId="15892" priority="467" stopIfTrue="1" operator="equal">
      <formula>"2 Add"</formula>
    </cfRule>
  </conditionalFormatting>
  <conditionalFormatting sqref="C157">
    <cfRule type="cellIs" dxfId="15891" priority="468" stopIfTrue="1" operator="equal">
      <formula>"3 Delete"</formula>
    </cfRule>
  </conditionalFormatting>
  <conditionalFormatting sqref="C158">
    <cfRule type="cellIs" dxfId="15890" priority="469" stopIfTrue="1" operator="equal">
      <formula>"1 Modify"</formula>
    </cfRule>
  </conditionalFormatting>
  <conditionalFormatting sqref="C158">
    <cfRule type="cellIs" dxfId="15889" priority="470" stopIfTrue="1" operator="equal">
      <formula>"2 Add"</formula>
    </cfRule>
  </conditionalFormatting>
  <conditionalFormatting sqref="C158">
    <cfRule type="cellIs" dxfId="15888" priority="471" stopIfTrue="1" operator="equal">
      <formula>"3 Delete"</formula>
    </cfRule>
  </conditionalFormatting>
  <conditionalFormatting sqref="C159">
    <cfRule type="cellIs" dxfId="15887" priority="472" stopIfTrue="1" operator="equal">
      <formula>"1 Modify"</formula>
    </cfRule>
  </conditionalFormatting>
  <conditionalFormatting sqref="C159">
    <cfRule type="cellIs" dxfId="15886" priority="473" stopIfTrue="1" operator="equal">
      <formula>"2 Add"</formula>
    </cfRule>
  </conditionalFormatting>
  <conditionalFormatting sqref="C159">
    <cfRule type="cellIs" dxfId="15885" priority="474" stopIfTrue="1" operator="equal">
      <formula>"3 Delete"</formula>
    </cfRule>
  </conditionalFormatting>
  <conditionalFormatting sqref="C160">
    <cfRule type="cellIs" dxfId="15884" priority="475" stopIfTrue="1" operator="equal">
      <formula>"1 Modify"</formula>
    </cfRule>
  </conditionalFormatting>
  <conditionalFormatting sqref="C160">
    <cfRule type="cellIs" dxfId="15883" priority="476" stopIfTrue="1" operator="equal">
      <formula>"2 Add"</formula>
    </cfRule>
  </conditionalFormatting>
  <conditionalFormatting sqref="C160">
    <cfRule type="cellIs" dxfId="15882" priority="477" stopIfTrue="1" operator="equal">
      <formula>"3 Delete"</formula>
    </cfRule>
  </conditionalFormatting>
  <conditionalFormatting sqref="C161">
    <cfRule type="cellIs" dxfId="15881" priority="478" stopIfTrue="1" operator="equal">
      <formula>"1 Modify"</formula>
    </cfRule>
  </conditionalFormatting>
  <conditionalFormatting sqref="C161">
    <cfRule type="cellIs" dxfId="15880" priority="479" stopIfTrue="1" operator="equal">
      <formula>"2 Add"</formula>
    </cfRule>
  </conditionalFormatting>
  <conditionalFormatting sqref="C161">
    <cfRule type="cellIs" dxfId="15879" priority="480" stopIfTrue="1" operator="equal">
      <formula>"3 Delete"</formula>
    </cfRule>
  </conditionalFormatting>
  <conditionalFormatting sqref="C162">
    <cfRule type="cellIs" dxfId="15878" priority="481" stopIfTrue="1" operator="equal">
      <formula>"1 Modify"</formula>
    </cfRule>
  </conditionalFormatting>
  <conditionalFormatting sqref="C162">
    <cfRule type="cellIs" dxfId="15877" priority="482" stopIfTrue="1" operator="equal">
      <formula>"2 Add"</formula>
    </cfRule>
  </conditionalFormatting>
  <conditionalFormatting sqref="C162">
    <cfRule type="cellIs" dxfId="15876" priority="483" stopIfTrue="1" operator="equal">
      <formula>"3 Delete"</formula>
    </cfRule>
  </conditionalFormatting>
  <conditionalFormatting sqref="C163">
    <cfRule type="cellIs" dxfId="15875" priority="484" stopIfTrue="1" operator="equal">
      <formula>"1 Modify"</formula>
    </cfRule>
  </conditionalFormatting>
  <conditionalFormatting sqref="C163">
    <cfRule type="cellIs" dxfId="15874" priority="485" stopIfTrue="1" operator="equal">
      <formula>"2 Add"</formula>
    </cfRule>
  </conditionalFormatting>
  <conditionalFormatting sqref="C163">
    <cfRule type="cellIs" dxfId="15873" priority="486" stopIfTrue="1" operator="equal">
      <formula>"3 Delete"</formula>
    </cfRule>
  </conditionalFormatting>
  <conditionalFormatting sqref="C164">
    <cfRule type="cellIs" dxfId="15872" priority="487" stopIfTrue="1" operator="equal">
      <formula>"1 Modify"</formula>
    </cfRule>
  </conditionalFormatting>
  <conditionalFormatting sqref="C164">
    <cfRule type="cellIs" dxfId="15871" priority="488" stopIfTrue="1" operator="equal">
      <formula>"2 Add"</formula>
    </cfRule>
  </conditionalFormatting>
  <conditionalFormatting sqref="C164">
    <cfRule type="cellIs" dxfId="15870" priority="489" stopIfTrue="1" operator="equal">
      <formula>"3 Delete"</formula>
    </cfRule>
  </conditionalFormatting>
  <conditionalFormatting sqref="C165">
    <cfRule type="cellIs" dxfId="15869" priority="490" stopIfTrue="1" operator="equal">
      <formula>"1 Modify"</formula>
    </cfRule>
  </conditionalFormatting>
  <conditionalFormatting sqref="C165">
    <cfRule type="cellIs" dxfId="15868" priority="491" stopIfTrue="1" operator="equal">
      <formula>"2 Add"</formula>
    </cfRule>
  </conditionalFormatting>
  <conditionalFormatting sqref="C165">
    <cfRule type="cellIs" dxfId="15867" priority="492" stopIfTrue="1" operator="equal">
      <formula>"3 Delete"</formula>
    </cfRule>
  </conditionalFormatting>
  <conditionalFormatting sqref="C166">
    <cfRule type="cellIs" dxfId="15866" priority="493" stopIfTrue="1" operator="equal">
      <formula>"1 Modify"</formula>
    </cfRule>
  </conditionalFormatting>
  <conditionalFormatting sqref="C166">
    <cfRule type="cellIs" dxfId="15865" priority="494" stopIfTrue="1" operator="equal">
      <formula>"2 Add"</formula>
    </cfRule>
  </conditionalFormatting>
  <conditionalFormatting sqref="C166">
    <cfRule type="cellIs" dxfId="15864" priority="495" stopIfTrue="1" operator="equal">
      <formula>"3 Delete"</formula>
    </cfRule>
  </conditionalFormatting>
  <conditionalFormatting sqref="C167">
    <cfRule type="cellIs" dxfId="15863" priority="496" stopIfTrue="1" operator="equal">
      <formula>"1 Modify"</formula>
    </cfRule>
  </conditionalFormatting>
  <conditionalFormatting sqref="C167">
    <cfRule type="cellIs" dxfId="15862" priority="497" stopIfTrue="1" operator="equal">
      <formula>"2 Add"</formula>
    </cfRule>
  </conditionalFormatting>
  <conditionalFormatting sqref="C167">
    <cfRule type="cellIs" dxfId="15861" priority="498" stopIfTrue="1" operator="equal">
      <formula>"3 Delete"</formula>
    </cfRule>
  </conditionalFormatting>
  <conditionalFormatting sqref="C168">
    <cfRule type="cellIs" dxfId="15860" priority="499" stopIfTrue="1" operator="equal">
      <formula>"1 Modify"</formula>
    </cfRule>
  </conditionalFormatting>
  <conditionalFormatting sqref="C168">
    <cfRule type="cellIs" dxfId="15859" priority="500" stopIfTrue="1" operator="equal">
      <formula>"2 Add"</formula>
    </cfRule>
  </conditionalFormatting>
  <conditionalFormatting sqref="C168">
    <cfRule type="cellIs" dxfId="15858" priority="501" stopIfTrue="1" operator="equal">
      <formula>"3 Delete"</formula>
    </cfRule>
  </conditionalFormatting>
  <conditionalFormatting sqref="C169">
    <cfRule type="cellIs" dxfId="15857" priority="502" stopIfTrue="1" operator="equal">
      <formula>"1 Modify"</formula>
    </cfRule>
  </conditionalFormatting>
  <conditionalFormatting sqref="C169">
    <cfRule type="cellIs" dxfId="15856" priority="503" stopIfTrue="1" operator="equal">
      <formula>"2 Add"</formula>
    </cfRule>
  </conditionalFormatting>
  <conditionalFormatting sqref="C169">
    <cfRule type="cellIs" dxfId="15855" priority="504" stopIfTrue="1" operator="equal">
      <formula>"3 Delete"</formula>
    </cfRule>
  </conditionalFormatting>
  <conditionalFormatting sqref="C170">
    <cfRule type="cellIs" dxfId="15854" priority="505" stopIfTrue="1" operator="equal">
      <formula>"1 Modify"</formula>
    </cfRule>
  </conditionalFormatting>
  <conditionalFormatting sqref="C170">
    <cfRule type="cellIs" dxfId="15853" priority="506" stopIfTrue="1" operator="equal">
      <formula>"2 Add"</formula>
    </cfRule>
  </conditionalFormatting>
  <conditionalFormatting sqref="C170">
    <cfRule type="cellIs" dxfId="15852" priority="507" stopIfTrue="1" operator="equal">
      <formula>"3 Delete"</formula>
    </cfRule>
  </conditionalFormatting>
  <conditionalFormatting sqref="C171">
    <cfRule type="cellIs" dxfId="15851" priority="508" stopIfTrue="1" operator="equal">
      <formula>"1 Modify"</formula>
    </cfRule>
  </conditionalFormatting>
  <conditionalFormatting sqref="C171">
    <cfRule type="cellIs" dxfId="15850" priority="509" stopIfTrue="1" operator="equal">
      <formula>"2 Add"</formula>
    </cfRule>
  </conditionalFormatting>
  <conditionalFormatting sqref="C171">
    <cfRule type="cellIs" dxfId="15849" priority="510" stopIfTrue="1" operator="equal">
      <formula>"3 Delete"</formula>
    </cfRule>
  </conditionalFormatting>
  <conditionalFormatting sqref="C172">
    <cfRule type="cellIs" dxfId="15848" priority="511" stopIfTrue="1" operator="equal">
      <formula>"1 Modify"</formula>
    </cfRule>
  </conditionalFormatting>
  <conditionalFormatting sqref="C172">
    <cfRule type="cellIs" dxfId="15847" priority="512" stopIfTrue="1" operator="equal">
      <formula>"2 Add"</formula>
    </cfRule>
  </conditionalFormatting>
  <conditionalFormatting sqref="C172">
    <cfRule type="cellIs" dxfId="15846" priority="513" stopIfTrue="1" operator="equal">
      <formula>"3 Delete"</formula>
    </cfRule>
  </conditionalFormatting>
  <conditionalFormatting sqref="C173">
    <cfRule type="cellIs" dxfId="15845" priority="514" stopIfTrue="1" operator="equal">
      <formula>"1 Modify"</formula>
    </cfRule>
  </conditionalFormatting>
  <conditionalFormatting sqref="C173">
    <cfRule type="cellIs" dxfId="15844" priority="515" stopIfTrue="1" operator="equal">
      <formula>"2 Add"</formula>
    </cfRule>
  </conditionalFormatting>
  <conditionalFormatting sqref="C173">
    <cfRule type="cellIs" dxfId="15843" priority="516" stopIfTrue="1" operator="equal">
      <formula>"3 Delete"</formula>
    </cfRule>
  </conditionalFormatting>
  <conditionalFormatting sqref="C174">
    <cfRule type="cellIs" dxfId="15842" priority="517" stopIfTrue="1" operator="equal">
      <formula>"1 Modify"</formula>
    </cfRule>
  </conditionalFormatting>
  <conditionalFormatting sqref="C174">
    <cfRule type="cellIs" dxfId="15841" priority="518" stopIfTrue="1" operator="equal">
      <formula>"2 Add"</formula>
    </cfRule>
  </conditionalFormatting>
  <conditionalFormatting sqref="C174">
    <cfRule type="cellIs" dxfId="15840" priority="519" stopIfTrue="1" operator="equal">
      <formula>"3 Delete"</formula>
    </cfRule>
  </conditionalFormatting>
  <conditionalFormatting sqref="C175">
    <cfRule type="cellIs" dxfId="15839" priority="520" stopIfTrue="1" operator="equal">
      <formula>"1 Modify"</formula>
    </cfRule>
  </conditionalFormatting>
  <conditionalFormatting sqref="C175">
    <cfRule type="cellIs" dxfId="15838" priority="521" stopIfTrue="1" operator="equal">
      <formula>"2 Add"</formula>
    </cfRule>
  </conditionalFormatting>
  <conditionalFormatting sqref="C175">
    <cfRule type="cellIs" dxfId="15837" priority="522" stopIfTrue="1" operator="equal">
      <formula>"3 Delete"</formula>
    </cfRule>
  </conditionalFormatting>
  <conditionalFormatting sqref="C176">
    <cfRule type="cellIs" dxfId="15836" priority="523" stopIfTrue="1" operator="equal">
      <formula>"1 Modify"</formula>
    </cfRule>
  </conditionalFormatting>
  <conditionalFormatting sqref="C176">
    <cfRule type="cellIs" dxfId="15835" priority="524" stopIfTrue="1" operator="equal">
      <formula>"2 Add"</formula>
    </cfRule>
  </conditionalFormatting>
  <conditionalFormatting sqref="C176">
    <cfRule type="cellIs" dxfId="15834" priority="525" stopIfTrue="1" operator="equal">
      <formula>"3 Delete"</formula>
    </cfRule>
  </conditionalFormatting>
  <dataValidations count="20">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decimal" operator="greaterThan" allowBlank="1" showInputMessage="1" showErrorMessage="1" error="Value must be a Decimal Number" sqref="G2:G1048576">
      <formula1>-999999</formula1>
    </dataValidation>
    <dataValidation type="custom" allowBlank="1" showInputMessage="1" showErrorMessage="1" error="Column Headers are read-only" sqref="G1">
      <formula1>FALSE</formula1>
    </dataValidation>
    <dataValidation type="custom" allowBlank="1" showInputMessage="1" showErrorMessage="1" error="Column Headers are read-only" sqref="H1">
      <formula1>FALSE</formula1>
    </dataValidation>
    <dataValidation type="custom" allowBlank="1" showInputMessage="1" showErrorMessage="1" error="Column Headers are read-only" sqref="I1">
      <formula1>FALSE</formula1>
    </dataValidation>
    <dataValidation type="custom" allowBlank="1" showInputMessage="1" showErrorMessage="1" error="Column is read-only" sqref="J2:J1048576">
      <formula1>FALSE</formula1>
    </dataValidation>
    <dataValidation type="custom" allowBlank="1" showInputMessage="1" showErrorMessage="1" error="Column Headers are read-only" sqref="J1">
      <formula1>FALSE</formula1>
    </dataValidation>
    <dataValidation type="custom" allowBlank="1" showInputMessage="1" showErrorMessage="1" error="Column is read-only" sqref="K2:K1048576">
      <formula1>FALSE</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L1">
      <formula1>FALSE</formula1>
    </dataValidation>
    <dataValidation type="custom" allowBlank="1" showInputMessage="1" showErrorMessage="1" error="Column is read-only" sqref="M2:M1048576">
      <formula1>FALSE</formula1>
    </dataValidation>
    <dataValidation type="custom" allowBlank="1" showInputMessage="1" showErrorMessage="1" error="Column Headers are read-only" sqref="M1">
      <formula1>FALSE</formula1>
    </dataValidation>
    <dataValidation type="custom" allowBlank="1" showInputMessage="1" showErrorMessage="1" error="Column Headers are read-only" sqref="N1">
      <formula1>FALSE</formula1>
    </dataValidation>
    <dataValidation type="custom" allowBlank="1" showInputMessage="1" showErrorMessage="1" error="Column Headers are read-only" sqref="A1">
      <formula1>FALSE</formula1>
    </dataValidation>
  </dataValidations>
  <hyperlinks>
    <hyperlink ref="A2" tooltip="macro:ShowLoadRefreshSheet" display="Load"/>
    <hyperlink ref="A3" tooltip="macro:ShowSaveActiveSheet" display="Save"/>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N933"/>
  <sheetViews>
    <sheetView workbookViewId="0">
      <selection activeCell="D678" sqref="D678"/>
    </sheetView>
  </sheetViews>
  <sheetFormatPr defaultRowHeight="15" x14ac:dyDescent="0.25"/>
  <cols>
    <col min="4" max="4" width="9.140625" style="3"/>
    <col min="5" max="5" width="9.140625" style="5"/>
    <col min="6" max="6" width="13.140625" style="11" bestFit="1" customWidth="1"/>
    <col min="7" max="7" width="24.5703125" bestFit="1" customWidth="1"/>
    <col min="8" max="8" width="15.42578125" style="9" bestFit="1" customWidth="1"/>
    <col min="9" max="10" width="0" style="7" hidden="1" customWidth="1"/>
    <col min="11" max="11" width="0" style="3" hidden="1" customWidth="1"/>
    <col min="12" max="12" width="0" style="7" hidden="1" customWidth="1"/>
    <col min="13" max="13" width="0" style="3" hidden="1" customWidth="1"/>
    <col min="14" max="14" width="11.85546875" style="16" bestFit="1" customWidth="1"/>
  </cols>
  <sheetData>
    <row r="1" spans="1:14" x14ac:dyDescent="0.25">
      <c r="A1" s="1" t="s">
        <v>0</v>
      </c>
      <c r="C1" s="1" t="s">
        <v>59</v>
      </c>
      <c r="D1" s="4" t="s">
        <v>60</v>
      </c>
      <c r="E1" s="6" t="s">
        <v>61</v>
      </c>
      <c r="F1" s="12" t="s">
        <v>967</v>
      </c>
      <c r="G1" s="1" t="s">
        <v>968</v>
      </c>
      <c r="H1" s="10" t="s">
        <v>969</v>
      </c>
      <c r="I1" s="8" t="s">
        <v>64</v>
      </c>
      <c r="J1" s="8" t="s">
        <v>65</v>
      </c>
      <c r="K1" s="4" t="s">
        <v>66</v>
      </c>
      <c r="L1" s="8" t="s">
        <v>67</v>
      </c>
      <c r="M1" s="4" t="s">
        <v>68</v>
      </c>
      <c r="N1" s="16" t="s">
        <v>985</v>
      </c>
    </row>
    <row r="2" spans="1:14" hidden="1" x14ac:dyDescent="0.25">
      <c r="A2" s="2" t="s">
        <v>370</v>
      </c>
      <c r="C2" t="str">
        <f>IF(COUNTBLANK(E2:M2) = 9,"",IF(AND(NOT(ISBLANK(E2)),COUNTBLANK(E2:M2) = 8),"3 Delete",IF(ISBLANK(E2),"2 Add",IF(JenkinsHashRange(E2:M2) = "1239258034","0 Original","1 Modify"))))</f>
        <v/>
      </c>
      <c r="N2" s="16" t="str">
        <f>TEXT(F2,"mm-yyyy")</f>
        <v>01-1900</v>
      </c>
    </row>
    <row r="3" spans="1:14" hidden="1" x14ac:dyDescent="0.25">
      <c r="A3" s="2" t="s">
        <v>371</v>
      </c>
      <c r="N3" s="16" t="str">
        <f>TEXT(F3,"mm-yyyy")</f>
        <v>01-1900</v>
      </c>
    </row>
    <row r="4" spans="1:14" hidden="1" x14ac:dyDescent="0.25">
      <c r="N4" s="16" t="str">
        <f>TEXT(F4,"mm-yyyy")</f>
        <v>01-1900</v>
      </c>
    </row>
    <row r="5" spans="1:14" hidden="1" x14ac:dyDescent="0.25">
      <c r="N5" s="16" t="str">
        <f>TEXT(F5,"mm-yyyy")</f>
        <v>01-1900</v>
      </c>
    </row>
    <row r="6" spans="1:14" hidden="1" x14ac:dyDescent="0.25">
      <c r="N6" s="16" t="str">
        <f>TEXT(F6,"mm-yyyy")</f>
        <v>01-1900</v>
      </c>
    </row>
    <row r="7" spans="1:14" hidden="1" x14ac:dyDescent="0.25">
      <c r="N7" s="16" t="str">
        <f>TEXT(F7,"mm-yyyy")</f>
        <v>01-1900</v>
      </c>
    </row>
    <row r="8" spans="1:14" hidden="1" x14ac:dyDescent="0.25">
      <c r="N8" s="16" t="str">
        <f>TEXT(F8,"mm-yyyy")</f>
        <v>01-1900</v>
      </c>
    </row>
    <row r="9" spans="1:14" hidden="1" x14ac:dyDescent="0.25">
      <c r="N9" s="16" t="str">
        <f>TEXT(F9,"mm-yyyy")</f>
        <v>01-1900</v>
      </c>
    </row>
    <row r="10" spans="1:14" hidden="1" x14ac:dyDescent="0.25">
      <c r="N10" s="16" t="str">
        <f>TEXT(F10,"mm-yyyy")</f>
        <v>01-1900</v>
      </c>
    </row>
    <row r="11" spans="1:14" hidden="1" x14ac:dyDescent="0.25">
      <c r="N11" s="16" t="str">
        <f>TEXT(F11,"mm-yyyy")</f>
        <v>01-1900</v>
      </c>
    </row>
    <row r="12" spans="1:14" hidden="1" x14ac:dyDescent="0.25">
      <c r="N12" s="16" t="str">
        <f>TEXT(F12,"mm-yyyy")</f>
        <v>01-1900</v>
      </c>
    </row>
    <row r="13" spans="1:14" hidden="1" x14ac:dyDescent="0.25">
      <c r="N13" s="16" t="str">
        <f>TEXT(F13,"mm-yyyy")</f>
        <v>01-1900</v>
      </c>
    </row>
    <row r="14" spans="1:14" hidden="1" x14ac:dyDescent="0.25">
      <c r="N14" s="16" t="str">
        <f>TEXT(F14,"mm-yyyy")</f>
        <v>01-1900</v>
      </c>
    </row>
    <row r="15" spans="1:14" hidden="1" x14ac:dyDescent="0.25">
      <c r="N15" s="16" t="str">
        <f>TEXT(F15,"mm-yyyy")</f>
        <v>01-1900</v>
      </c>
    </row>
    <row r="16" spans="1:14" hidden="1" x14ac:dyDescent="0.25">
      <c r="N16" s="16" t="str">
        <f>TEXT(F16,"mm-yyyy")</f>
        <v>01-1900</v>
      </c>
    </row>
    <row r="17" spans="14:14" hidden="1" x14ac:dyDescent="0.25">
      <c r="N17" s="16" t="str">
        <f>TEXT(F17,"mm-yyyy")</f>
        <v>01-1900</v>
      </c>
    </row>
    <row r="18" spans="14:14" hidden="1" x14ac:dyDescent="0.25">
      <c r="N18" s="16" t="str">
        <f>TEXT(F18,"mm-yyyy")</f>
        <v>01-1900</v>
      </c>
    </row>
    <row r="19" spans="14:14" hidden="1" x14ac:dyDescent="0.25">
      <c r="N19" s="16" t="str">
        <f>TEXT(F19,"mm-yyyy")</f>
        <v>01-1900</v>
      </c>
    </row>
    <row r="20" spans="14:14" hidden="1" x14ac:dyDescent="0.25">
      <c r="N20" s="16" t="str">
        <f>TEXT(F20,"mm-yyyy")</f>
        <v>01-1900</v>
      </c>
    </row>
    <row r="21" spans="14:14" hidden="1" x14ac:dyDescent="0.25">
      <c r="N21" s="16" t="str">
        <f>TEXT(F21,"mm-yyyy")</f>
        <v>01-1900</v>
      </c>
    </row>
    <row r="22" spans="14:14" hidden="1" x14ac:dyDescent="0.25">
      <c r="N22" s="16" t="str">
        <f>TEXT(F22,"mm-yyyy")</f>
        <v>01-1900</v>
      </c>
    </row>
    <row r="23" spans="14:14" hidden="1" x14ac:dyDescent="0.25">
      <c r="N23" s="16" t="str">
        <f>TEXT(F23,"mm-yyyy")</f>
        <v>01-1900</v>
      </c>
    </row>
    <row r="24" spans="14:14" hidden="1" x14ac:dyDescent="0.25">
      <c r="N24" s="16" t="str">
        <f>TEXT(F24,"mm-yyyy")</f>
        <v>01-1900</v>
      </c>
    </row>
    <row r="25" spans="14:14" hidden="1" x14ac:dyDescent="0.25">
      <c r="N25" s="16" t="str">
        <f>TEXT(F25,"mm-yyyy")</f>
        <v>01-1900</v>
      </c>
    </row>
    <row r="26" spans="14:14" hidden="1" x14ac:dyDescent="0.25">
      <c r="N26" s="16" t="str">
        <f>TEXT(F26,"mm-yyyy")</f>
        <v>01-1900</v>
      </c>
    </row>
    <row r="27" spans="14:14" hidden="1" x14ac:dyDescent="0.25">
      <c r="N27" s="16" t="str">
        <f>TEXT(F27,"mm-yyyy")</f>
        <v>01-1900</v>
      </c>
    </row>
    <row r="28" spans="14:14" hidden="1" x14ac:dyDescent="0.25">
      <c r="N28" s="16" t="str">
        <f>TEXT(F28,"mm-yyyy")</f>
        <v>01-1900</v>
      </c>
    </row>
    <row r="29" spans="14:14" hidden="1" x14ac:dyDescent="0.25">
      <c r="N29" s="16" t="str">
        <f>TEXT(F29,"mm-yyyy")</f>
        <v>01-1900</v>
      </c>
    </row>
    <row r="30" spans="14:14" hidden="1" x14ac:dyDescent="0.25">
      <c r="N30" s="16" t="str">
        <f>TEXT(F30,"mm-yyyy")</f>
        <v>01-1900</v>
      </c>
    </row>
    <row r="31" spans="14:14" hidden="1" x14ac:dyDescent="0.25">
      <c r="N31" s="16" t="str">
        <f>TEXT(F31,"mm-yyyy")</f>
        <v>01-1900</v>
      </c>
    </row>
    <row r="32" spans="14:14" hidden="1" x14ac:dyDescent="0.25">
      <c r="N32" s="16" t="str">
        <f>TEXT(F32,"mm-yyyy")</f>
        <v>01-1900</v>
      </c>
    </row>
    <row r="33" spans="14:14" hidden="1" x14ac:dyDescent="0.25">
      <c r="N33" s="16" t="str">
        <f>TEXT(F33,"mm-yyyy")</f>
        <v>01-1900</v>
      </c>
    </row>
    <row r="34" spans="14:14" hidden="1" x14ac:dyDescent="0.25">
      <c r="N34" s="16" t="str">
        <f>TEXT(F34,"mm-yyyy")</f>
        <v>01-1900</v>
      </c>
    </row>
    <row r="35" spans="14:14" hidden="1" x14ac:dyDescent="0.25">
      <c r="N35" s="16" t="str">
        <f>TEXT(F35,"mm-yyyy")</f>
        <v>01-1900</v>
      </c>
    </row>
    <row r="36" spans="14:14" hidden="1" x14ac:dyDescent="0.25">
      <c r="N36" s="16" t="str">
        <f>TEXT(F36,"mm-yyyy")</f>
        <v>01-1900</v>
      </c>
    </row>
    <row r="37" spans="14:14" hidden="1" x14ac:dyDescent="0.25">
      <c r="N37" s="16" t="str">
        <f>TEXT(F37,"mm-yyyy")</f>
        <v>01-1900</v>
      </c>
    </row>
    <row r="38" spans="14:14" hidden="1" x14ac:dyDescent="0.25">
      <c r="N38" s="16" t="str">
        <f>TEXT(F38,"mm-yyyy")</f>
        <v>01-1900</v>
      </c>
    </row>
    <row r="39" spans="14:14" hidden="1" x14ac:dyDescent="0.25">
      <c r="N39" s="16" t="str">
        <f>TEXT(F39,"mm-yyyy")</f>
        <v>01-1900</v>
      </c>
    </row>
    <row r="40" spans="14:14" hidden="1" x14ac:dyDescent="0.25">
      <c r="N40" s="16" t="str">
        <f>TEXT(F40,"mm-yyyy")</f>
        <v>01-1900</v>
      </c>
    </row>
    <row r="41" spans="14:14" hidden="1" x14ac:dyDescent="0.25">
      <c r="N41" s="16" t="str">
        <f>TEXT(F41,"mm-yyyy")</f>
        <v>01-1900</v>
      </c>
    </row>
    <row r="42" spans="14:14" hidden="1" x14ac:dyDescent="0.25">
      <c r="N42" s="16" t="str">
        <f>TEXT(F42,"mm-yyyy")</f>
        <v>01-1900</v>
      </c>
    </row>
    <row r="43" spans="14:14" hidden="1" x14ac:dyDescent="0.25">
      <c r="N43" s="16" t="str">
        <f>TEXT(F43,"mm-yyyy")</f>
        <v>01-1900</v>
      </c>
    </row>
    <row r="44" spans="14:14" hidden="1" x14ac:dyDescent="0.25">
      <c r="N44" s="16" t="str">
        <f>TEXT(F44,"mm-yyyy")</f>
        <v>01-1900</v>
      </c>
    </row>
    <row r="45" spans="14:14" hidden="1" x14ac:dyDescent="0.25">
      <c r="N45" s="16" t="str">
        <f>TEXT(F45,"mm-yyyy")</f>
        <v>01-1900</v>
      </c>
    </row>
    <row r="46" spans="14:14" hidden="1" x14ac:dyDescent="0.25">
      <c r="N46" s="16" t="str">
        <f>TEXT(F46,"mm-yyyy")</f>
        <v>01-1900</v>
      </c>
    </row>
    <row r="47" spans="14:14" hidden="1" x14ac:dyDescent="0.25">
      <c r="N47" s="16" t="str">
        <f>TEXT(F47,"mm-yyyy")</f>
        <v>01-1900</v>
      </c>
    </row>
    <row r="48" spans="14:14" hidden="1" x14ac:dyDescent="0.25">
      <c r="N48" s="16" t="str">
        <f>TEXT(F48,"mm-yyyy")</f>
        <v>01-1900</v>
      </c>
    </row>
    <row r="49" spans="14:14" hidden="1" x14ac:dyDescent="0.25">
      <c r="N49" s="16" t="str">
        <f>TEXT(F49,"mm-yyyy")</f>
        <v>01-1900</v>
      </c>
    </row>
    <row r="50" spans="14:14" hidden="1" x14ac:dyDescent="0.25">
      <c r="N50" s="16" t="str">
        <f>TEXT(F50,"mm-yyyy")</f>
        <v>01-1900</v>
      </c>
    </row>
    <row r="51" spans="14:14" hidden="1" x14ac:dyDescent="0.25">
      <c r="N51" s="16" t="str">
        <f>TEXT(F51,"mm-yyyy")</f>
        <v>01-1900</v>
      </c>
    </row>
    <row r="52" spans="14:14" hidden="1" x14ac:dyDescent="0.25">
      <c r="N52" s="16" t="str">
        <f>TEXT(F52,"mm-yyyy")</f>
        <v>01-1900</v>
      </c>
    </row>
    <row r="53" spans="14:14" hidden="1" x14ac:dyDescent="0.25">
      <c r="N53" s="16" t="str">
        <f>TEXT(F53,"mm-yyyy")</f>
        <v>01-1900</v>
      </c>
    </row>
    <row r="54" spans="14:14" hidden="1" x14ac:dyDescent="0.25">
      <c r="N54" s="16" t="str">
        <f>TEXT(F54,"mm-yyyy")</f>
        <v>01-1900</v>
      </c>
    </row>
    <row r="55" spans="14:14" hidden="1" x14ac:dyDescent="0.25">
      <c r="N55" s="16" t="str">
        <f>TEXT(F55,"mm-yyyy")</f>
        <v>01-1900</v>
      </c>
    </row>
    <row r="56" spans="14:14" hidden="1" x14ac:dyDescent="0.25">
      <c r="N56" s="16" t="str">
        <f>TEXT(F56,"mm-yyyy")</f>
        <v>01-1900</v>
      </c>
    </row>
    <row r="57" spans="14:14" hidden="1" x14ac:dyDescent="0.25">
      <c r="N57" s="16" t="str">
        <f>TEXT(F57,"mm-yyyy")</f>
        <v>01-1900</v>
      </c>
    </row>
    <row r="58" spans="14:14" hidden="1" x14ac:dyDescent="0.25">
      <c r="N58" s="16" t="str">
        <f>TEXT(F58,"mm-yyyy")</f>
        <v>01-1900</v>
      </c>
    </row>
    <row r="59" spans="14:14" hidden="1" x14ac:dyDescent="0.25">
      <c r="N59" s="16" t="str">
        <f>TEXT(F59,"mm-yyyy")</f>
        <v>01-1900</v>
      </c>
    </row>
    <row r="60" spans="14:14" hidden="1" x14ac:dyDescent="0.25">
      <c r="N60" s="16" t="str">
        <f>TEXT(F60,"mm-yyyy")</f>
        <v>01-1900</v>
      </c>
    </row>
    <row r="61" spans="14:14" hidden="1" x14ac:dyDescent="0.25">
      <c r="N61" s="16" t="str">
        <f>TEXT(F61,"mm-yyyy")</f>
        <v>01-1900</v>
      </c>
    </row>
    <row r="62" spans="14:14" hidden="1" x14ac:dyDescent="0.25">
      <c r="N62" s="16" t="str">
        <f>TEXT(F62,"mm-yyyy")</f>
        <v>01-1900</v>
      </c>
    </row>
    <row r="63" spans="14:14" hidden="1" x14ac:dyDescent="0.25">
      <c r="N63" s="16" t="str">
        <f>TEXT(F63,"mm-yyyy")</f>
        <v>01-1900</v>
      </c>
    </row>
    <row r="64" spans="14:14" hidden="1" x14ac:dyDescent="0.25">
      <c r="N64" s="16" t="str">
        <f>TEXT(F64,"mm-yyyy")</f>
        <v>01-1900</v>
      </c>
    </row>
    <row r="65" spans="14:14" hidden="1" x14ac:dyDescent="0.25">
      <c r="N65" s="16" t="str">
        <f>TEXT(F65,"mm-yyyy")</f>
        <v>01-1900</v>
      </c>
    </row>
    <row r="66" spans="14:14" hidden="1" x14ac:dyDescent="0.25">
      <c r="N66" s="16" t="str">
        <f>TEXT(F66,"mm-yyyy")</f>
        <v>01-1900</v>
      </c>
    </row>
    <row r="67" spans="14:14" hidden="1" x14ac:dyDescent="0.25">
      <c r="N67" s="16" t="str">
        <f>TEXT(F67,"mm-yyyy")</f>
        <v>01-1900</v>
      </c>
    </row>
    <row r="68" spans="14:14" hidden="1" x14ac:dyDescent="0.25">
      <c r="N68" s="16" t="str">
        <f>TEXT(F68,"mm-yyyy")</f>
        <v>01-1900</v>
      </c>
    </row>
    <row r="69" spans="14:14" hidden="1" x14ac:dyDescent="0.25">
      <c r="N69" s="16" t="str">
        <f>TEXT(F69,"mm-yyyy")</f>
        <v>01-1900</v>
      </c>
    </row>
    <row r="70" spans="14:14" hidden="1" x14ac:dyDescent="0.25">
      <c r="N70" s="16" t="str">
        <f>TEXT(F70,"mm-yyyy")</f>
        <v>01-1900</v>
      </c>
    </row>
    <row r="71" spans="14:14" hidden="1" x14ac:dyDescent="0.25">
      <c r="N71" s="16" t="str">
        <f>TEXT(F71,"mm-yyyy")</f>
        <v>01-1900</v>
      </c>
    </row>
    <row r="72" spans="14:14" hidden="1" x14ac:dyDescent="0.25">
      <c r="N72" s="16" t="str">
        <f>TEXT(F72,"mm-yyyy")</f>
        <v>01-1900</v>
      </c>
    </row>
    <row r="73" spans="14:14" hidden="1" x14ac:dyDescent="0.25">
      <c r="N73" s="16" t="str">
        <f>TEXT(F73,"mm-yyyy")</f>
        <v>01-1900</v>
      </c>
    </row>
    <row r="74" spans="14:14" hidden="1" x14ac:dyDescent="0.25">
      <c r="N74" s="16" t="str">
        <f>TEXT(F74,"mm-yyyy")</f>
        <v>01-1900</v>
      </c>
    </row>
    <row r="75" spans="14:14" hidden="1" x14ac:dyDescent="0.25">
      <c r="N75" s="16" t="str">
        <f>TEXT(F75,"mm-yyyy")</f>
        <v>01-1900</v>
      </c>
    </row>
    <row r="76" spans="14:14" hidden="1" x14ac:dyDescent="0.25">
      <c r="N76" s="16" t="str">
        <f>TEXT(F76,"mm-yyyy")</f>
        <v>01-1900</v>
      </c>
    </row>
    <row r="77" spans="14:14" hidden="1" x14ac:dyDescent="0.25">
      <c r="N77" s="16" t="str">
        <f>TEXT(F77,"mm-yyyy")</f>
        <v>01-1900</v>
      </c>
    </row>
    <row r="78" spans="14:14" hidden="1" x14ac:dyDescent="0.25">
      <c r="N78" s="16" t="str">
        <f>TEXT(F78,"mm-yyyy")</f>
        <v>01-1900</v>
      </c>
    </row>
    <row r="79" spans="14:14" hidden="1" x14ac:dyDescent="0.25">
      <c r="N79" s="16" t="str">
        <f>TEXT(F79,"mm-yyyy")</f>
        <v>01-1900</v>
      </c>
    </row>
    <row r="80" spans="14:14" hidden="1" x14ac:dyDescent="0.25">
      <c r="N80" s="16" t="str">
        <f>TEXT(F80,"mm-yyyy")</f>
        <v>01-1900</v>
      </c>
    </row>
    <row r="81" spans="14:14" hidden="1" x14ac:dyDescent="0.25">
      <c r="N81" s="16" t="str">
        <f>TEXT(F81,"mm-yyyy")</f>
        <v>01-1900</v>
      </c>
    </row>
    <row r="82" spans="14:14" hidden="1" x14ac:dyDescent="0.25">
      <c r="N82" s="16" t="str">
        <f>TEXT(F82,"mm-yyyy")</f>
        <v>01-1900</v>
      </c>
    </row>
    <row r="83" spans="14:14" hidden="1" x14ac:dyDescent="0.25">
      <c r="N83" s="16" t="str">
        <f>TEXT(F83,"mm-yyyy")</f>
        <v>01-1900</v>
      </c>
    </row>
    <row r="84" spans="14:14" hidden="1" x14ac:dyDescent="0.25">
      <c r="N84" s="16" t="str">
        <f>TEXT(F84,"mm-yyyy")</f>
        <v>01-1900</v>
      </c>
    </row>
    <row r="85" spans="14:14" hidden="1" x14ac:dyDescent="0.25">
      <c r="N85" s="16" t="str">
        <f>TEXT(F85,"mm-yyyy")</f>
        <v>01-1900</v>
      </c>
    </row>
    <row r="86" spans="14:14" hidden="1" x14ac:dyDescent="0.25">
      <c r="N86" s="16" t="str">
        <f>TEXT(F86,"mm-yyyy")</f>
        <v>01-1900</v>
      </c>
    </row>
    <row r="87" spans="14:14" hidden="1" x14ac:dyDescent="0.25">
      <c r="N87" s="16" t="str">
        <f>TEXT(F87,"mm-yyyy")</f>
        <v>01-1900</v>
      </c>
    </row>
    <row r="88" spans="14:14" hidden="1" x14ac:dyDescent="0.25">
      <c r="N88" s="16" t="str">
        <f>TEXT(F88,"mm-yyyy")</f>
        <v>01-1900</v>
      </c>
    </row>
    <row r="89" spans="14:14" hidden="1" x14ac:dyDescent="0.25">
      <c r="N89" s="16" t="str">
        <f>TEXT(F89,"mm-yyyy")</f>
        <v>01-1900</v>
      </c>
    </row>
    <row r="90" spans="14:14" hidden="1" x14ac:dyDescent="0.25">
      <c r="N90" s="16" t="str">
        <f>TEXT(F90,"mm-yyyy")</f>
        <v>01-1900</v>
      </c>
    </row>
    <row r="91" spans="14:14" hidden="1" x14ac:dyDescent="0.25">
      <c r="N91" s="16" t="str">
        <f>TEXT(F91,"mm-yyyy")</f>
        <v>01-1900</v>
      </c>
    </row>
    <row r="92" spans="14:14" hidden="1" x14ac:dyDescent="0.25">
      <c r="N92" s="16" t="str">
        <f>TEXT(F92,"mm-yyyy")</f>
        <v>01-1900</v>
      </c>
    </row>
    <row r="93" spans="14:14" hidden="1" x14ac:dyDescent="0.25">
      <c r="N93" s="16" t="str">
        <f>TEXT(F93,"mm-yyyy")</f>
        <v>01-1900</v>
      </c>
    </row>
    <row r="94" spans="14:14" hidden="1" x14ac:dyDescent="0.25">
      <c r="N94" s="16" t="str">
        <f>TEXT(F94,"mm-yyyy")</f>
        <v>01-1900</v>
      </c>
    </row>
    <row r="95" spans="14:14" hidden="1" x14ac:dyDescent="0.25">
      <c r="N95" s="16" t="str">
        <f>TEXT(F95,"mm-yyyy")</f>
        <v>01-1900</v>
      </c>
    </row>
    <row r="96" spans="14:14" hidden="1" x14ac:dyDescent="0.25">
      <c r="N96" s="16" t="str">
        <f>TEXT(F96,"mm-yyyy")</f>
        <v>01-1900</v>
      </c>
    </row>
    <row r="97" spans="14:14" hidden="1" x14ac:dyDescent="0.25">
      <c r="N97" s="16" t="str">
        <f>TEXT(F97,"mm-yyyy")</f>
        <v>01-1900</v>
      </c>
    </row>
    <row r="98" spans="14:14" hidden="1" x14ac:dyDescent="0.25">
      <c r="N98" s="16" t="str">
        <f>TEXT(F98,"mm-yyyy")</f>
        <v>01-1900</v>
      </c>
    </row>
    <row r="99" spans="14:14" hidden="1" x14ac:dyDescent="0.25">
      <c r="N99" s="16" t="str">
        <f>TEXT(F99,"mm-yyyy")</f>
        <v>01-1900</v>
      </c>
    </row>
    <row r="100" spans="14:14" hidden="1" x14ac:dyDescent="0.25">
      <c r="N100" s="16" t="str">
        <f>TEXT(F100,"mm-yyyy")</f>
        <v>01-1900</v>
      </c>
    </row>
    <row r="101" spans="14:14" hidden="1" x14ac:dyDescent="0.25">
      <c r="N101" s="16" t="str">
        <f>TEXT(F101,"mm-yyyy")</f>
        <v>01-1900</v>
      </c>
    </row>
    <row r="102" spans="14:14" hidden="1" x14ac:dyDescent="0.25">
      <c r="N102" s="16" t="str">
        <f>TEXT(F102,"mm-yyyy")</f>
        <v>01-1900</v>
      </c>
    </row>
    <row r="103" spans="14:14" hidden="1" x14ac:dyDescent="0.25">
      <c r="N103" s="16" t="str">
        <f>TEXT(F103,"mm-yyyy")</f>
        <v>01-1900</v>
      </c>
    </row>
    <row r="104" spans="14:14" hidden="1" x14ac:dyDescent="0.25">
      <c r="N104" s="16" t="str">
        <f>TEXT(F104,"mm-yyyy")</f>
        <v>01-1900</v>
      </c>
    </row>
    <row r="105" spans="14:14" hidden="1" x14ac:dyDescent="0.25">
      <c r="N105" s="16" t="str">
        <f>TEXT(F105,"mm-yyyy")</f>
        <v>01-1900</v>
      </c>
    </row>
    <row r="106" spans="14:14" hidden="1" x14ac:dyDescent="0.25">
      <c r="N106" s="16" t="str">
        <f>TEXT(F106,"mm-yyyy")</f>
        <v>01-1900</v>
      </c>
    </row>
    <row r="107" spans="14:14" hidden="1" x14ac:dyDescent="0.25">
      <c r="N107" s="16" t="str">
        <f>TEXT(F107,"mm-yyyy")</f>
        <v>01-1900</v>
      </c>
    </row>
    <row r="108" spans="14:14" hidden="1" x14ac:dyDescent="0.25">
      <c r="N108" s="16" t="str">
        <f>TEXT(F108,"mm-yyyy")</f>
        <v>01-1900</v>
      </c>
    </row>
    <row r="109" spans="14:14" hidden="1" x14ac:dyDescent="0.25">
      <c r="N109" s="16" t="str">
        <f>TEXT(F109,"mm-yyyy")</f>
        <v>01-1900</v>
      </c>
    </row>
    <row r="110" spans="14:14" hidden="1" x14ac:dyDescent="0.25">
      <c r="N110" s="16" t="str">
        <f>TEXT(F110,"mm-yyyy")</f>
        <v>01-1900</v>
      </c>
    </row>
    <row r="111" spans="14:14" hidden="1" x14ac:dyDescent="0.25">
      <c r="N111" s="16" t="str">
        <f>TEXT(F111,"mm-yyyy")</f>
        <v>01-1900</v>
      </c>
    </row>
    <row r="112" spans="14:14" hidden="1" x14ac:dyDescent="0.25">
      <c r="N112" s="16" t="str">
        <f>TEXT(F112,"mm-yyyy")</f>
        <v>01-1900</v>
      </c>
    </row>
    <row r="113" spans="14:14" hidden="1" x14ac:dyDescent="0.25">
      <c r="N113" s="16" t="str">
        <f>TEXT(F113,"mm-yyyy")</f>
        <v>01-1900</v>
      </c>
    </row>
    <row r="114" spans="14:14" hidden="1" x14ac:dyDescent="0.25">
      <c r="N114" s="16" t="str">
        <f>TEXT(F114,"mm-yyyy")</f>
        <v>01-1900</v>
      </c>
    </row>
    <row r="115" spans="14:14" hidden="1" x14ac:dyDescent="0.25">
      <c r="N115" s="16" t="str">
        <f>TEXT(F115,"mm-yyyy")</f>
        <v>01-1900</v>
      </c>
    </row>
    <row r="116" spans="14:14" hidden="1" x14ac:dyDescent="0.25">
      <c r="N116" s="16" t="str">
        <f>TEXT(F116,"mm-yyyy")</f>
        <v>01-1900</v>
      </c>
    </row>
    <row r="117" spans="14:14" hidden="1" x14ac:dyDescent="0.25">
      <c r="N117" s="16" t="str">
        <f>TEXT(F117,"mm-yyyy")</f>
        <v>01-1900</v>
      </c>
    </row>
    <row r="118" spans="14:14" hidden="1" x14ac:dyDescent="0.25">
      <c r="N118" s="16" t="str">
        <f>TEXT(F118,"mm-yyyy")</f>
        <v>01-1900</v>
      </c>
    </row>
    <row r="119" spans="14:14" hidden="1" x14ac:dyDescent="0.25">
      <c r="N119" s="16" t="str">
        <f>TEXT(F119,"mm-yyyy")</f>
        <v>01-1900</v>
      </c>
    </row>
    <row r="120" spans="14:14" hidden="1" x14ac:dyDescent="0.25">
      <c r="N120" s="16" t="str">
        <f>TEXT(F120,"mm-yyyy")</f>
        <v>01-1900</v>
      </c>
    </row>
    <row r="121" spans="14:14" hidden="1" x14ac:dyDescent="0.25">
      <c r="N121" s="16" t="str">
        <f>TEXT(F121,"mm-yyyy")</f>
        <v>01-1900</v>
      </c>
    </row>
    <row r="122" spans="14:14" hidden="1" x14ac:dyDescent="0.25">
      <c r="N122" s="16" t="str">
        <f>TEXT(F122,"mm-yyyy")</f>
        <v>01-1900</v>
      </c>
    </row>
    <row r="123" spans="14:14" hidden="1" x14ac:dyDescent="0.25">
      <c r="N123" s="16" t="str">
        <f>TEXT(F123,"mm-yyyy")</f>
        <v>01-1900</v>
      </c>
    </row>
    <row r="124" spans="14:14" hidden="1" x14ac:dyDescent="0.25">
      <c r="N124" s="16" t="str">
        <f>TEXT(F124,"mm-yyyy")</f>
        <v>01-1900</v>
      </c>
    </row>
    <row r="125" spans="14:14" hidden="1" x14ac:dyDescent="0.25">
      <c r="N125" s="16" t="str">
        <f>TEXT(F125,"mm-yyyy")</f>
        <v>01-1900</v>
      </c>
    </row>
    <row r="126" spans="14:14" hidden="1" x14ac:dyDescent="0.25">
      <c r="N126" s="16" t="str">
        <f>TEXT(F126,"mm-yyyy")</f>
        <v>01-1900</v>
      </c>
    </row>
    <row r="127" spans="14:14" hidden="1" x14ac:dyDescent="0.25">
      <c r="N127" s="16" t="str">
        <f>TEXT(F127,"mm-yyyy")</f>
        <v>01-1900</v>
      </c>
    </row>
    <row r="128" spans="14:14" hidden="1" x14ac:dyDescent="0.25">
      <c r="N128" s="16" t="str">
        <f>TEXT(F128,"mm-yyyy")</f>
        <v>01-1900</v>
      </c>
    </row>
    <row r="129" spans="14:14" hidden="1" x14ac:dyDescent="0.25">
      <c r="N129" s="16" t="str">
        <f>TEXT(F129,"mm-yyyy")</f>
        <v>01-1900</v>
      </c>
    </row>
    <row r="130" spans="14:14" hidden="1" x14ac:dyDescent="0.25">
      <c r="N130" s="16" t="str">
        <f>TEXT(F130,"mm-yyyy")</f>
        <v>01-1900</v>
      </c>
    </row>
    <row r="131" spans="14:14" hidden="1" x14ac:dyDescent="0.25">
      <c r="N131" s="16" t="str">
        <f>TEXT(F131,"mm-yyyy")</f>
        <v>01-1900</v>
      </c>
    </row>
    <row r="132" spans="14:14" hidden="1" x14ac:dyDescent="0.25">
      <c r="N132" s="16" t="str">
        <f>TEXT(F132,"mm-yyyy")</f>
        <v>01-1900</v>
      </c>
    </row>
    <row r="133" spans="14:14" hidden="1" x14ac:dyDescent="0.25">
      <c r="N133" s="16" t="str">
        <f>TEXT(F133,"mm-yyyy")</f>
        <v>01-1900</v>
      </c>
    </row>
    <row r="134" spans="14:14" hidden="1" x14ac:dyDescent="0.25">
      <c r="N134" s="16" t="str">
        <f>TEXT(F134,"mm-yyyy")</f>
        <v>01-1900</v>
      </c>
    </row>
    <row r="135" spans="14:14" hidden="1" x14ac:dyDescent="0.25">
      <c r="N135" s="16" t="str">
        <f>TEXT(F135,"mm-yyyy")</f>
        <v>01-1900</v>
      </c>
    </row>
    <row r="136" spans="14:14" hidden="1" x14ac:dyDescent="0.25">
      <c r="N136" s="16" t="str">
        <f>TEXT(F136,"mm-yyyy")</f>
        <v>01-1900</v>
      </c>
    </row>
    <row r="137" spans="14:14" hidden="1" x14ac:dyDescent="0.25">
      <c r="N137" s="16" t="str">
        <f>TEXT(F137,"mm-yyyy")</f>
        <v>01-1900</v>
      </c>
    </row>
    <row r="138" spans="14:14" hidden="1" x14ac:dyDescent="0.25">
      <c r="N138" s="16" t="str">
        <f>TEXT(F138,"mm-yyyy")</f>
        <v>01-1900</v>
      </c>
    </row>
    <row r="139" spans="14:14" hidden="1" x14ac:dyDescent="0.25">
      <c r="N139" s="16" t="str">
        <f>TEXT(F139,"mm-yyyy")</f>
        <v>01-1900</v>
      </c>
    </row>
    <row r="140" spans="14:14" hidden="1" x14ac:dyDescent="0.25">
      <c r="N140" s="16" t="str">
        <f>TEXT(F140,"mm-yyyy")</f>
        <v>01-1900</v>
      </c>
    </row>
    <row r="141" spans="14:14" hidden="1" x14ac:dyDescent="0.25">
      <c r="N141" s="16" t="str">
        <f>TEXT(F141,"mm-yyyy")</f>
        <v>01-1900</v>
      </c>
    </row>
    <row r="142" spans="14:14" hidden="1" x14ac:dyDescent="0.25">
      <c r="N142" s="16" t="str">
        <f>TEXT(F142,"mm-yyyy")</f>
        <v>01-1900</v>
      </c>
    </row>
    <row r="143" spans="14:14" hidden="1" x14ac:dyDescent="0.25">
      <c r="N143" s="16" t="str">
        <f>TEXT(F143,"mm-yyyy")</f>
        <v>01-1900</v>
      </c>
    </row>
    <row r="144" spans="14:14" hidden="1" x14ac:dyDescent="0.25">
      <c r="N144" s="16" t="str">
        <f>TEXT(F144,"mm-yyyy")</f>
        <v>01-1900</v>
      </c>
    </row>
    <row r="145" spans="14:14" hidden="1" x14ac:dyDescent="0.25">
      <c r="N145" s="16" t="str">
        <f>TEXT(F145,"mm-yyyy")</f>
        <v>01-1900</v>
      </c>
    </row>
    <row r="146" spans="14:14" hidden="1" x14ac:dyDescent="0.25">
      <c r="N146" s="16" t="str">
        <f>TEXT(F146,"mm-yyyy")</f>
        <v>01-1900</v>
      </c>
    </row>
    <row r="147" spans="14:14" hidden="1" x14ac:dyDescent="0.25">
      <c r="N147" s="16" t="str">
        <f>TEXT(F147,"mm-yyyy")</f>
        <v>01-1900</v>
      </c>
    </row>
    <row r="148" spans="14:14" hidden="1" x14ac:dyDescent="0.25">
      <c r="N148" s="16" t="str">
        <f>TEXT(F148,"mm-yyyy")</f>
        <v>01-1900</v>
      </c>
    </row>
    <row r="149" spans="14:14" hidden="1" x14ac:dyDescent="0.25">
      <c r="N149" s="16" t="str">
        <f>TEXT(F149,"mm-yyyy")</f>
        <v>01-1900</v>
      </c>
    </row>
    <row r="150" spans="14:14" hidden="1" x14ac:dyDescent="0.25">
      <c r="N150" s="16" t="str">
        <f>TEXT(F150,"mm-yyyy")</f>
        <v>01-1900</v>
      </c>
    </row>
    <row r="151" spans="14:14" hidden="1" x14ac:dyDescent="0.25">
      <c r="N151" s="16" t="str">
        <f>TEXT(F151,"mm-yyyy")</f>
        <v>01-1900</v>
      </c>
    </row>
    <row r="152" spans="14:14" hidden="1" x14ac:dyDescent="0.25">
      <c r="N152" s="16" t="str">
        <f>TEXT(F152,"mm-yyyy")</f>
        <v>01-1900</v>
      </c>
    </row>
    <row r="153" spans="14:14" hidden="1" x14ac:dyDescent="0.25">
      <c r="N153" s="16" t="str">
        <f>TEXT(F153,"mm-yyyy")</f>
        <v>01-1900</v>
      </c>
    </row>
    <row r="154" spans="14:14" hidden="1" x14ac:dyDescent="0.25">
      <c r="N154" s="16" t="str">
        <f>TEXT(F154,"mm-yyyy")</f>
        <v>01-1900</v>
      </c>
    </row>
    <row r="155" spans="14:14" hidden="1" x14ac:dyDescent="0.25">
      <c r="N155" s="16" t="str">
        <f>TEXT(F155,"mm-yyyy")</f>
        <v>01-1900</v>
      </c>
    </row>
    <row r="156" spans="14:14" hidden="1" x14ac:dyDescent="0.25">
      <c r="N156" s="16" t="str">
        <f>TEXT(F156,"mm-yyyy")</f>
        <v>01-1900</v>
      </c>
    </row>
    <row r="157" spans="14:14" hidden="1" x14ac:dyDescent="0.25">
      <c r="N157" s="16" t="str">
        <f>TEXT(F157,"mm-yyyy")</f>
        <v>01-1900</v>
      </c>
    </row>
    <row r="158" spans="14:14" hidden="1" x14ac:dyDescent="0.25">
      <c r="N158" s="16" t="str">
        <f>TEXT(F158,"mm-yyyy")</f>
        <v>01-1900</v>
      </c>
    </row>
    <row r="159" spans="14:14" hidden="1" x14ac:dyDescent="0.25">
      <c r="N159" s="16" t="str">
        <f>TEXT(F159,"mm-yyyy")</f>
        <v>01-1900</v>
      </c>
    </row>
    <row r="160" spans="14:14" hidden="1" x14ac:dyDescent="0.25">
      <c r="N160" s="16" t="str">
        <f>TEXT(F160,"mm-yyyy")</f>
        <v>01-1900</v>
      </c>
    </row>
    <row r="161" spans="14:14" hidden="1" x14ac:dyDescent="0.25">
      <c r="N161" s="16" t="str">
        <f>TEXT(F161,"mm-yyyy")</f>
        <v>01-1900</v>
      </c>
    </row>
    <row r="162" spans="14:14" hidden="1" x14ac:dyDescent="0.25">
      <c r="N162" s="16" t="str">
        <f>TEXT(F162,"mm-yyyy")</f>
        <v>01-1900</v>
      </c>
    </row>
    <row r="163" spans="14:14" hidden="1" x14ac:dyDescent="0.25">
      <c r="N163" s="16" t="str">
        <f>TEXT(F163,"mm-yyyy")</f>
        <v>01-1900</v>
      </c>
    </row>
    <row r="164" spans="14:14" hidden="1" x14ac:dyDescent="0.25">
      <c r="N164" s="16" t="str">
        <f>TEXT(F164,"mm-yyyy")</f>
        <v>01-1900</v>
      </c>
    </row>
    <row r="165" spans="14:14" hidden="1" x14ac:dyDescent="0.25">
      <c r="N165" s="16" t="str">
        <f>TEXT(F165,"mm-yyyy")</f>
        <v>01-1900</v>
      </c>
    </row>
    <row r="166" spans="14:14" hidden="1" x14ac:dyDescent="0.25">
      <c r="N166" s="16" t="str">
        <f>TEXT(F166,"mm-yyyy")</f>
        <v>01-1900</v>
      </c>
    </row>
    <row r="167" spans="14:14" hidden="1" x14ac:dyDescent="0.25">
      <c r="N167" s="16" t="str">
        <f>TEXT(F167,"mm-yyyy")</f>
        <v>01-1900</v>
      </c>
    </row>
    <row r="168" spans="14:14" hidden="1" x14ac:dyDescent="0.25">
      <c r="N168" s="16" t="str">
        <f>TEXT(F168,"mm-yyyy")</f>
        <v>01-1900</v>
      </c>
    </row>
    <row r="169" spans="14:14" hidden="1" x14ac:dyDescent="0.25">
      <c r="N169" s="16" t="str">
        <f>TEXT(F169,"mm-yyyy")</f>
        <v>01-1900</v>
      </c>
    </row>
    <row r="170" spans="14:14" hidden="1" x14ac:dyDescent="0.25">
      <c r="N170" s="16" t="str">
        <f>TEXT(F170,"mm-yyyy")</f>
        <v>01-1900</v>
      </c>
    </row>
    <row r="171" spans="14:14" hidden="1" x14ac:dyDescent="0.25">
      <c r="N171" s="16" t="str">
        <f>TEXT(F171,"mm-yyyy")</f>
        <v>01-1900</v>
      </c>
    </row>
    <row r="172" spans="14:14" hidden="1" x14ac:dyDescent="0.25">
      <c r="N172" s="16" t="str">
        <f>TEXT(F172,"mm-yyyy")</f>
        <v>01-1900</v>
      </c>
    </row>
    <row r="173" spans="14:14" hidden="1" x14ac:dyDescent="0.25">
      <c r="N173" s="16" t="str">
        <f>TEXT(F173,"mm-yyyy")</f>
        <v>01-1900</v>
      </c>
    </row>
    <row r="174" spans="14:14" hidden="1" x14ac:dyDescent="0.25">
      <c r="N174" s="16" t="str">
        <f>TEXT(F174,"mm-yyyy")</f>
        <v>01-1900</v>
      </c>
    </row>
    <row r="175" spans="14:14" hidden="1" x14ac:dyDescent="0.25">
      <c r="N175" s="16" t="str">
        <f>TEXT(F175,"mm-yyyy")</f>
        <v>01-1900</v>
      </c>
    </row>
    <row r="176" spans="14:14" hidden="1" x14ac:dyDescent="0.25">
      <c r="N176" s="16" t="str">
        <f>TEXT(F176,"mm-yyyy")</f>
        <v>01-1900</v>
      </c>
    </row>
    <row r="177" spans="14:14" hidden="1" x14ac:dyDescent="0.25">
      <c r="N177" s="16" t="str">
        <f>TEXT(F177,"mm-yyyy")</f>
        <v>01-1900</v>
      </c>
    </row>
    <row r="178" spans="14:14" hidden="1" x14ac:dyDescent="0.25">
      <c r="N178" s="16" t="str">
        <f>TEXT(F178,"mm-yyyy")</f>
        <v>01-1900</v>
      </c>
    </row>
    <row r="179" spans="14:14" hidden="1" x14ac:dyDescent="0.25">
      <c r="N179" s="16" t="str">
        <f>TEXT(F179,"mm-yyyy")</f>
        <v>01-1900</v>
      </c>
    </row>
    <row r="180" spans="14:14" hidden="1" x14ac:dyDescent="0.25">
      <c r="N180" s="16" t="str">
        <f>TEXT(F180,"mm-yyyy")</f>
        <v>01-1900</v>
      </c>
    </row>
    <row r="181" spans="14:14" hidden="1" x14ac:dyDescent="0.25">
      <c r="N181" s="16" t="str">
        <f>TEXT(F181,"mm-yyyy")</f>
        <v>01-1900</v>
      </c>
    </row>
    <row r="182" spans="14:14" hidden="1" x14ac:dyDescent="0.25">
      <c r="N182" s="16" t="str">
        <f>TEXT(F182,"mm-yyyy")</f>
        <v>01-1900</v>
      </c>
    </row>
    <row r="183" spans="14:14" hidden="1" x14ac:dyDescent="0.25">
      <c r="N183" s="16" t="str">
        <f>TEXT(F183,"mm-yyyy")</f>
        <v>01-1900</v>
      </c>
    </row>
    <row r="184" spans="14:14" hidden="1" x14ac:dyDescent="0.25">
      <c r="N184" s="16" t="str">
        <f>TEXT(F184,"mm-yyyy")</f>
        <v>01-1900</v>
      </c>
    </row>
    <row r="185" spans="14:14" hidden="1" x14ac:dyDescent="0.25">
      <c r="N185" s="16" t="str">
        <f>TEXT(F185,"mm-yyyy")</f>
        <v>01-1900</v>
      </c>
    </row>
    <row r="186" spans="14:14" hidden="1" x14ac:dyDescent="0.25">
      <c r="N186" s="16" t="str">
        <f>TEXT(F186,"mm-yyyy")</f>
        <v>01-1900</v>
      </c>
    </row>
    <row r="187" spans="14:14" hidden="1" x14ac:dyDescent="0.25">
      <c r="N187" s="16" t="str">
        <f>TEXT(F187,"mm-yyyy")</f>
        <v>01-1900</v>
      </c>
    </row>
    <row r="188" spans="14:14" hidden="1" x14ac:dyDescent="0.25">
      <c r="N188" s="16" t="str">
        <f>TEXT(F188,"mm-yyyy")</f>
        <v>01-1900</v>
      </c>
    </row>
    <row r="189" spans="14:14" hidden="1" x14ac:dyDescent="0.25">
      <c r="N189" s="16" t="str">
        <f>TEXT(F189,"mm-yyyy")</f>
        <v>01-1900</v>
      </c>
    </row>
    <row r="190" spans="14:14" hidden="1" x14ac:dyDescent="0.25">
      <c r="N190" s="16" t="str">
        <f>TEXT(F190,"mm-yyyy")</f>
        <v>01-1900</v>
      </c>
    </row>
    <row r="191" spans="14:14" hidden="1" x14ac:dyDescent="0.25">
      <c r="N191" s="16" t="str">
        <f>TEXT(F191,"mm-yyyy")</f>
        <v>01-1900</v>
      </c>
    </row>
    <row r="192" spans="14:14" hidden="1" x14ac:dyDescent="0.25">
      <c r="N192" s="16" t="str">
        <f>TEXT(F192,"mm-yyyy")</f>
        <v>01-1900</v>
      </c>
    </row>
    <row r="193" spans="14:14" hidden="1" x14ac:dyDescent="0.25">
      <c r="N193" s="16" t="str">
        <f>TEXT(F193,"mm-yyyy")</f>
        <v>01-1900</v>
      </c>
    </row>
    <row r="194" spans="14:14" hidden="1" x14ac:dyDescent="0.25">
      <c r="N194" s="16" t="str">
        <f>TEXT(F194,"mm-yyyy")</f>
        <v>01-1900</v>
      </c>
    </row>
    <row r="195" spans="14:14" hidden="1" x14ac:dyDescent="0.25">
      <c r="N195" s="16" t="str">
        <f>TEXT(F195,"mm-yyyy")</f>
        <v>01-1900</v>
      </c>
    </row>
    <row r="196" spans="14:14" hidden="1" x14ac:dyDescent="0.25">
      <c r="N196" s="16" t="str">
        <f>TEXT(F196,"mm-yyyy")</f>
        <v>01-1900</v>
      </c>
    </row>
    <row r="197" spans="14:14" hidden="1" x14ac:dyDescent="0.25">
      <c r="N197" s="16" t="str">
        <f>TEXT(F197,"mm-yyyy")</f>
        <v>01-1900</v>
      </c>
    </row>
    <row r="198" spans="14:14" hidden="1" x14ac:dyDescent="0.25">
      <c r="N198" s="16" t="str">
        <f>TEXT(F198,"mm-yyyy")</f>
        <v>01-1900</v>
      </c>
    </row>
    <row r="199" spans="14:14" hidden="1" x14ac:dyDescent="0.25">
      <c r="N199" s="16" t="str">
        <f>TEXT(F199,"mm-yyyy")</f>
        <v>01-1900</v>
      </c>
    </row>
    <row r="200" spans="14:14" hidden="1" x14ac:dyDescent="0.25">
      <c r="N200" s="16" t="str">
        <f>TEXT(F200,"mm-yyyy")</f>
        <v>01-1900</v>
      </c>
    </row>
    <row r="201" spans="14:14" hidden="1" x14ac:dyDescent="0.25">
      <c r="N201" s="16" t="str">
        <f>TEXT(F201,"mm-yyyy")</f>
        <v>01-1900</v>
      </c>
    </row>
    <row r="202" spans="14:14" hidden="1" x14ac:dyDescent="0.25">
      <c r="N202" s="16" t="str">
        <f>TEXT(F202,"mm-yyyy")</f>
        <v>01-1900</v>
      </c>
    </row>
    <row r="203" spans="14:14" hidden="1" x14ac:dyDescent="0.25">
      <c r="N203" s="16" t="str">
        <f>TEXT(F203,"mm-yyyy")</f>
        <v>01-1900</v>
      </c>
    </row>
    <row r="204" spans="14:14" hidden="1" x14ac:dyDescent="0.25">
      <c r="N204" s="16" t="str">
        <f>TEXT(F204,"mm-yyyy")</f>
        <v>01-1900</v>
      </c>
    </row>
    <row r="205" spans="14:14" hidden="1" x14ac:dyDescent="0.25">
      <c r="N205" s="16" t="str">
        <f>TEXT(F205,"mm-yyyy")</f>
        <v>01-1900</v>
      </c>
    </row>
    <row r="206" spans="14:14" hidden="1" x14ac:dyDescent="0.25">
      <c r="N206" s="16" t="str">
        <f>TEXT(F206,"mm-yyyy")</f>
        <v>01-1900</v>
      </c>
    </row>
    <row r="207" spans="14:14" hidden="1" x14ac:dyDescent="0.25">
      <c r="N207" s="16" t="str">
        <f>TEXT(F207,"mm-yyyy")</f>
        <v>01-1900</v>
      </c>
    </row>
    <row r="208" spans="14:14" hidden="1" x14ac:dyDescent="0.25">
      <c r="N208" s="16" t="str">
        <f>TEXT(F208,"mm-yyyy")</f>
        <v>01-1900</v>
      </c>
    </row>
    <row r="209" spans="14:14" hidden="1" x14ac:dyDescent="0.25">
      <c r="N209" s="16" t="str">
        <f>TEXT(F209,"mm-yyyy")</f>
        <v>01-1900</v>
      </c>
    </row>
    <row r="210" spans="14:14" hidden="1" x14ac:dyDescent="0.25">
      <c r="N210" s="16" t="str">
        <f>TEXT(F210,"mm-yyyy")</f>
        <v>01-1900</v>
      </c>
    </row>
    <row r="211" spans="14:14" hidden="1" x14ac:dyDescent="0.25">
      <c r="N211" s="16" t="str">
        <f>TEXT(F211,"mm-yyyy")</f>
        <v>01-1900</v>
      </c>
    </row>
    <row r="212" spans="14:14" hidden="1" x14ac:dyDescent="0.25">
      <c r="N212" s="16" t="str">
        <f>TEXT(F212,"mm-yyyy")</f>
        <v>01-1900</v>
      </c>
    </row>
    <row r="213" spans="14:14" hidden="1" x14ac:dyDescent="0.25">
      <c r="N213" s="16" t="str">
        <f>TEXT(F213,"mm-yyyy")</f>
        <v>01-1900</v>
      </c>
    </row>
    <row r="214" spans="14:14" hidden="1" x14ac:dyDescent="0.25">
      <c r="N214" s="16" t="str">
        <f>TEXT(F214,"mm-yyyy")</f>
        <v>01-1900</v>
      </c>
    </row>
    <row r="215" spans="14:14" hidden="1" x14ac:dyDescent="0.25">
      <c r="N215" s="16" t="str">
        <f>TEXT(F215,"mm-yyyy")</f>
        <v>01-1900</v>
      </c>
    </row>
    <row r="216" spans="14:14" hidden="1" x14ac:dyDescent="0.25">
      <c r="N216" s="16" t="str">
        <f>TEXT(F216,"mm-yyyy")</f>
        <v>01-1900</v>
      </c>
    </row>
    <row r="217" spans="14:14" hidden="1" x14ac:dyDescent="0.25">
      <c r="N217" s="16" t="str">
        <f>TEXT(F217,"mm-yyyy")</f>
        <v>01-1900</v>
      </c>
    </row>
    <row r="218" spans="14:14" hidden="1" x14ac:dyDescent="0.25">
      <c r="N218" s="16" t="str">
        <f>TEXT(F218,"mm-yyyy")</f>
        <v>01-1900</v>
      </c>
    </row>
    <row r="219" spans="14:14" hidden="1" x14ac:dyDescent="0.25">
      <c r="N219" s="16" t="str">
        <f>TEXT(F219,"mm-yyyy")</f>
        <v>01-1900</v>
      </c>
    </row>
    <row r="220" spans="14:14" hidden="1" x14ac:dyDescent="0.25">
      <c r="N220" s="16" t="str">
        <f>TEXT(F220,"mm-yyyy")</f>
        <v>01-1900</v>
      </c>
    </row>
    <row r="221" spans="14:14" hidden="1" x14ac:dyDescent="0.25">
      <c r="N221" s="16" t="str">
        <f>TEXT(F221,"mm-yyyy")</f>
        <v>01-1900</v>
      </c>
    </row>
    <row r="222" spans="14:14" hidden="1" x14ac:dyDescent="0.25">
      <c r="N222" s="16" t="str">
        <f>TEXT(F222,"mm-yyyy")</f>
        <v>01-1900</v>
      </c>
    </row>
    <row r="223" spans="14:14" hidden="1" x14ac:dyDescent="0.25">
      <c r="N223" s="16" t="str">
        <f>TEXT(F223,"mm-yyyy")</f>
        <v>01-1900</v>
      </c>
    </row>
    <row r="224" spans="14:14" hidden="1" x14ac:dyDescent="0.25">
      <c r="N224" s="16" t="str">
        <f>TEXT(F224,"mm-yyyy")</f>
        <v>01-1900</v>
      </c>
    </row>
    <row r="225" spans="14:14" hidden="1" x14ac:dyDescent="0.25">
      <c r="N225" s="16" t="str">
        <f>TEXT(F225,"mm-yyyy")</f>
        <v>01-1900</v>
      </c>
    </row>
    <row r="226" spans="14:14" hidden="1" x14ac:dyDescent="0.25">
      <c r="N226" s="16" t="str">
        <f>TEXT(F226,"mm-yyyy")</f>
        <v>01-1900</v>
      </c>
    </row>
    <row r="227" spans="14:14" hidden="1" x14ac:dyDescent="0.25">
      <c r="N227" s="16" t="str">
        <f>TEXT(F227,"mm-yyyy")</f>
        <v>01-1900</v>
      </c>
    </row>
    <row r="228" spans="14:14" hidden="1" x14ac:dyDescent="0.25">
      <c r="N228" s="16" t="str">
        <f>TEXT(F228,"mm-yyyy")</f>
        <v>01-1900</v>
      </c>
    </row>
    <row r="229" spans="14:14" hidden="1" x14ac:dyDescent="0.25">
      <c r="N229" s="16" t="str">
        <f>TEXT(F229,"mm-yyyy")</f>
        <v>01-1900</v>
      </c>
    </row>
    <row r="230" spans="14:14" hidden="1" x14ac:dyDescent="0.25">
      <c r="N230" s="16" t="str">
        <f>TEXT(F230,"mm-yyyy")</f>
        <v>01-1900</v>
      </c>
    </row>
    <row r="231" spans="14:14" hidden="1" x14ac:dyDescent="0.25">
      <c r="N231" s="16" t="str">
        <f>TEXT(F231,"mm-yyyy")</f>
        <v>01-1900</v>
      </c>
    </row>
    <row r="232" spans="14:14" hidden="1" x14ac:dyDescent="0.25">
      <c r="N232" s="16" t="str">
        <f>TEXT(F232,"mm-yyyy")</f>
        <v>01-1900</v>
      </c>
    </row>
    <row r="233" spans="14:14" hidden="1" x14ac:dyDescent="0.25">
      <c r="N233" s="16" t="str">
        <f>TEXT(F233,"mm-yyyy")</f>
        <v>01-1900</v>
      </c>
    </row>
    <row r="234" spans="14:14" hidden="1" x14ac:dyDescent="0.25">
      <c r="N234" s="16" t="str">
        <f>TEXT(F234,"mm-yyyy")</f>
        <v>01-1900</v>
      </c>
    </row>
    <row r="235" spans="14:14" hidden="1" x14ac:dyDescent="0.25">
      <c r="N235" s="16" t="str">
        <f>TEXT(F235,"mm-yyyy")</f>
        <v>01-1900</v>
      </c>
    </row>
    <row r="236" spans="14:14" hidden="1" x14ac:dyDescent="0.25">
      <c r="N236" s="16" t="str">
        <f>TEXT(F236,"mm-yyyy")</f>
        <v>01-1900</v>
      </c>
    </row>
    <row r="237" spans="14:14" hidden="1" x14ac:dyDescent="0.25">
      <c r="N237" s="16" t="str">
        <f>TEXT(F237,"mm-yyyy")</f>
        <v>01-1900</v>
      </c>
    </row>
    <row r="238" spans="14:14" hidden="1" x14ac:dyDescent="0.25">
      <c r="N238" s="16" t="str">
        <f>TEXT(F238,"mm-yyyy")</f>
        <v>01-1900</v>
      </c>
    </row>
    <row r="239" spans="14:14" hidden="1" x14ac:dyDescent="0.25">
      <c r="N239" s="16" t="str">
        <f>TEXT(F239,"mm-yyyy")</f>
        <v>01-1900</v>
      </c>
    </row>
    <row r="240" spans="14:14" hidden="1" x14ac:dyDescent="0.25">
      <c r="N240" s="16" t="str">
        <f>TEXT(F240,"mm-yyyy")</f>
        <v>01-1900</v>
      </c>
    </row>
    <row r="241" spans="14:14" hidden="1" x14ac:dyDescent="0.25">
      <c r="N241" s="16" t="str">
        <f>TEXT(F241,"mm-yyyy")</f>
        <v>01-1900</v>
      </c>
    </row>
    <row r="242" spans="14:14" hidden="1" x14ac:dyDescent="0.25">
      <c r="N242" s="16" t="str">
        <f>TEXT(F242,"mm-yyyy")</f>
        <v>01-1900</v>
      </c>
    </row>
    <row r="243" spans="14:14" hidden="1" x14ac:dyDescent="0.25">
      <c r="N243" s="16" t="str">
        <f>TEXT(F243,"mm-yyyy")</f>
        <v>01-1900</v>
      </c>
    </row>
    <row r="244" spans="14:14" hidden="1" x14ac:dyDescent="0.25">
      <c r="N244" s="16" t="str">
        <f>TEXT(F244,"mm-yyyy")</f>
        <v>01-1900</v>
      </c>
    </row>
    <row r="245" spans="14:14" hidden="1" x14ac:dyDescent="0.25">
      <c r="N245" s="16" t="str">
        <f>TEXT(F245,"mm-yyyy")</f>
        <v>01-1900</v>
      </c>
    </row>
    <row r="246" spans="14:14" hidden="1" x14ac:dyDescent="0.25">
      <c r="N246" s="16" t="str">
        <f>TEXT(F246,"mm-yyyy")</f>
        <v>01-1900</v>
      </c>
    </row>
    <row r="247" spans="14:14" hidden="1" x14ac:dyDescent="0.25">
      <c r="N247" s="16" t="str">
        <f>TEXT(F247,"mm-yyyy")</f>
        <v>01-1900</v>
      </c>
    </row>
    <row r="248" spans="14:14" hidden="1" x14ac:dyDescent="0.25">
      <c r="N248" s="16" t="str">
        <f>TEXT(F248,"mm-yyyy")</f>
        <v>01-1900</v>
      </c>
    </row>
    <row r="249" spans="14:14" hidden="1" x14ac:dyDescent="0.25">
      <c r="N249" s="16" t="str">
        <f>TEXT(F249,"mm-yyyy")</f>
        <v>01-1900</v>
      </c>
    </row>
    <row r="250" spans="14:14" hidden="1" x14ac:dyDescent="0.25">
      <c r="N250" s="16" t="str">
        <f>TEXT(F250,"mm-yyyy")</f>
        <v>01-1900</v>
      </c>
    </row>
    <row r="251" spans="14:14" hidden="1" x14ac:dyDescent="0.25">
      <c r="N251" s="16" t="str">
        <f>TEXT(F251,"mm-yyyy")</f>
        <v>01-1900</v>
      </c>
    </row>
    <row r="252" spans="14:14" hidden="1" x14ac:dyDescent="0.25">
      <c r="N252" s="16" t="str">
        <f>TEXT(F252,"mm-yyyy")</f>
        <v>01-1900</v>
      </c>
    </row>
    <row r="253" spans="14:14" hidden="1" x14ac:dyDescent="0.25">
      <c r="N253" s="16" t="str">
        <f>TEXT(F253,"mm-yyyy")</f>
        <v>01-1900</v>
      </c>
    </row>
    <row r="254" spans="14:14" hidden="1" x14ac:dyDescent="0.25">
      <c r="N254" s="16" t="str">
        <f>TEXT(F254,"mm-yyyy")</f>
        <v>01-1900</v>
      </c>
    </row>
    <row r="255" spans="14:14" hidden="1" x14ac:dyDescent="0.25">
      <c r="N255" s="16" t="str">
        <f>TEXT(F255,"mm-yyyy")</f>
        <v>01-1900</v>
      </c>
    </row>
    <row r="256" spans="14:14" hidden="1" x14ac:dyDescent="0.25">
      <c r="N256" s="16" t="str">
        <f>TEXT(F256,"mm-yyyy")</f>
        <v>01-1900</v>
      </c>
    </row>
    <row r="257" spans="14:14" hidden="1" x14ac:dyDescent="0.25">
      <c r="N257" s="16" t="str">
        <f>TEXT(F257,"mm-yyyy")</f>
        <v>01-1900</v>
      </c>
    </row>
    <row r="258" spans="14:14" hidden="1" x14ac:dyDescent="0.25">
      <c r="N258" s="16" t="str">
        <f>TEXT(F258,"mm-yyyy")</f>
        <v>01-1900</v>
      </c>
    </row>
    <row r="259" spans="14:14" hidden="1" x14ac:dyDescent="0.25">
      <c r="N259" s="16" t="str">
        <f>TEXT(F259,"mm-yyyy")</f>
        <v>01-1900</v>
      </c>
    </row>
    <row r="260" spans="14:14" hidden="1" x14ac:dyDescent="0.25">
      <c r="N260" s="16" t="str">
        <f>TEXT(F260,"mm-yyyy")</f>
        <v>01-1900</v>
      </c>
    </row>
    <row r="261" spans="14:14" hidden="1" x14ac:dyDescent="0.25">
      <c r="N261" s="16" t="str">
        <f>TEXT(F261,"mm-yyyy")</f>
        <v>01-1900</v>
      </c>
    </row>
    <row r="262" spans="14:14" hidden="1" x14ac:dyDescent="0.25">
      <c r="N262" s="16" t="str">
        <f>TEXT(F262,"mm-yyyy")</f>
        <v>01-1900</v>
      </c>
    </row>
    <row r="263" spans="14:14" hidden="1" x14ac:dyDescent="0.25">
      <c r="N263" s="16" t="str">
        <f>TEXT(F263,"mm-yyyy")</f>
        <v>01-1900</v>
      </c>
    </row>
    <row r="264" spans="14:14" hidden="1" x14ac:dyDescent="0.25">
      <c r="N264" s="16" t="str">
        <f>TEXT(F264,"mm-yyyy")</f>
        <v>01-1900</v>
      </c>
    </row>
    <row r="265" spans="14:14" hidden="1" x14ac:dyDescent="0.25">
      <c r="N265" s="16" t="str">
        <f>TEXT(F265,"mm-yyyy")</f>
        <v>01-1900</v>
      </c>
    </row>
    <row r="266" spans="14:14" hidden="1" x14ac:dyDescent="0.25">
      <c r="N266" s="16" t="str">
        <f>TEXT(F266,"mm-yyyy")</f>
        <v>01-1900</v>
      </c>
    </row>
    <row r="267" spans="14:14" hidden="1" x14ac:dyDescent="0.25">
      <c r="N267" s="16" t="str">
        <f>TEXT(F267,"mm-yyyy")</f>
        <v>01-1900</v>
      </c>
    </row>
    <row r="268" spans="14:14" hidden="1" x14ac:dyDescent="0.25">
      <c r="N268" s="16" t="str">
        <f>TEXT(F268,"mm-yyyy")</f>
        <v>01-1900</v>
      </c>
    </row>
    <row r="269" spans="14:14" hidden="1" x14ac:dyDescent="0.25">
      <c r="N269" s="16" t="str">
        <f>TEXT(F269,"mm-yyyy")</f>
        <v>01-1900</v>
      </c>
    </row>
    <row r="270" spans="14:14" hidden="1" x14ac:dyDescent="0.25">
      <c r="N270" s="16" t="str">
        <f>TEXT(F270,"mm-yyyy")</f>
        <v>01-1900</v>
      </c>
    </row>
    <row r="271" spans="14:14" hidden="1" x14ac:dyDescent="0.25">
      <c r="N271" s="16" t="str">
        <f>TEXT(F271,"mm-yyyy")</f>
        <v>01-1900</v>
      </c>
    </row>
    <row r="272" spans="14:14" hidden="1" x14ac:dyDescent="0.25">
      <c r="N272" s="16" t="str">
        <f>TEXT(F272,"mm-yyyy")</f>
        <v>01-1900</v>
      </c>
    </row>
    <row r="273" spans="14:14" hidden="1" x14ac:dyDescent="0.25">
      <c r="N273" s="16" t="str">
        <f>TEXT(F273,"mm-yyyy")</f>
        <v>01-1900</v>
      </c>
    </row>
    <row r="274" spans="14:14" hidden="1" x14ac:dyDescent="0.25">
      <c r="N274" s="16" t="str">
        <f>TEXT(F274,"mm-yyyy")</f>
        <v>01-1900</v>
      </c>
    </row>
    <row r="275" spans="14:14" hidden="1" x14ac:dyDescent="0.25">
      <c r="N275" s="16" t="str">
        <f>TEXT(F275,"mm-yyyy")</f>
        <v>01-1900</v>
      </c>
    </row>
    <row r="276" spans="14:14" hidden="1" x14ac:dyDescent="0.25">
      <c r="N276" s="16" t="str">
        <f>TEXT(F276,"mm-yyyy")</f>
        <v>01-1900</v>
      </c>
    </row>
    <row r="277" spans="14:14" hidden="1" x14ac:dyDescent="0.25">
      <c r="N277" s="16" t="str">
        <f>TEXT(F277,"mm-yyyy")</f>
        <v>01-1900</v>
      </c>
    </row>
    <row r="278" spans="14:14" hidden="1" x14ac:dyDescent="0.25">
      <c r="N278" s="16" t="str">
        <f>TEXT(F278,"mm-yyyy")</f>
        <v>01-1900</v>
      </c>
    </row>
    <row r="279" spans="14:14" hidden="1" x14ac:dyDescent="0.25">
      <c r="N279" s="16" t="str">
        <f>TEXT(F279,"mm-yyyy")</f>
        <v>01-1900</v>
      </c>
    </row>
    <row r="280" spans="14:14" hidden="1" x14ac:dyDescent="0.25">
      <c r="N280" s="16" t="str">
        <f>TEXT(F280,"mm-yyyy")</f>
        <v>01-1900</v>
      </c>
    </row>
    <row r="281" spans="14:14" hidden="1" x14ac:dyDescent="0.25">
      <c r="N281" s="16" t="str">
        <f>TEXT(F281,"mm-yyyy")</f>
        <v>01-1900</v>
      </c>
    </row>
    <row r="282" spans="14:14" hidden="1" x14ac:dyDescent="0.25">
      <c r="N282" s="16" t="str">
        <f>TEXT(F282,"mm-yyyy")</f>
        <v>01-1900</v>
      </c>
    </row>
    <row r="283" spans="14:14" hidden="1" x14ac:dyDescent="0.25">
      <c r="N283" s="16" t="str">
        <f>TEXT(F283,"mm-yyyy")</f>
        <v>01-1900</v>
      </c>
    </row>
    <row r="284" spans="14:14" hidden="1" x14ac:dyDescent="0.25">
      <c r="N284" s="16" t="str">
        <f>TEXT(F284,"mm-yyyy")</f>
        <v>01-1900</v>
      </c>
    </row>
    <row r="285" spans="14:14" hidden="1" x14ac:dyDescent="0.25">
      <c r="N285" s="16" t="str">
        <f>TEXT(F285,"mm-yyyy")</f>
        <v>01-1900</v>
      </c>
    </row>
    <row r="286" spans="14:14" hidden="1" x14ac:dyDescent="0.25">
      <c r="N286" s="16" t="str">
        <f>TEXT(F286,"mm-yyyy")</f>
        <v>01-1900</v>
      </c>
    </row>
    <row r="287" spans="14:14" hidden="1" x14ac:dyDescent="0.25">
      <c r="N287" s="16" t="str">
        <f>TEXT(F287,"mm-yyyy")</f>
        <v>01-1900</v>
      </c>
    </row>
    <row r="288" spans="14:14" hidden="1" x14ac:dyDescent="0.25">
      <c r="N288" s="16" t="str">
        <f>TEXT(F288,"mm-yyyy")</f>
        <v>01-1900</v>
      </c>
    </row>
    <row r="289" spans="14:14" hidden="1" x14ac:dyDescent="0.25">
      <c r="N289" s="16" t="str">
        <f>TEXT(F289,"mm-yyyy")</f>
        <v>01-1900</v>
      </c>
    </row>
    <row r="290" spans="14:14" hidden="1" x14ac:dyDescent="0.25">
      <c r="N290" s="16" t="str">
        <f>TEXT(F290,"mm-yyyy")</f>
        <v>01-1900</v>
      </c>
    </row>
    <row r="291" spans="14:14" hidden="1" x14ac:dyDescent="0.25">
      <c r="N291" s="16" t="str">
        <f>TEXT(F291,"mm-yyyy")</f>
        <v>01-1900</v>
      </c>
    </row>
    <row r="292" spans="14:14" hidden="1" x14ac:dyDescent="0.25">
      <c r="N292" s="16" t="str">
        <f>TEXT(F292,"mm-yyyy")</f>
        <v>01-1900</v>
      </c>
    </row>
    <row r="293" spans="14:14" hidden="1" x14ac:dyDescent="0.25">
      <c r="N293" s="16" t="str">
        <f>TEXT(F293,"mm-yyyy")</f>
        <v>01-1900</v>
      </c>
    </row>
    <row r="294" spans="14:14" hidden="1" x14ac:dyDescent="0.25">
      <c r="N294" s="16" t="str">
        <f>TEXT(F294,"mm-yyyy")</f>
        <v>01-1900</v>
      </c>
    </row>
    <row r="295" spans="14:14" hidden="1" x14ac:dyDescent="0.25">
      <c r="N295" s="16" t="str">
        <f>TEXT(F295,"mm-yyyy")</f>
        <v>01-1900</v>
      </c>
    </row>
    <row r="296" spans="14:14" hidden="1" x14ac:dyDescent="0.25">
      <c r="N296" s="16" t="str">
        <f>TEXT(F296,"mm-yyyy")</f>
        <v>01-1900</v>
      </c>
    </row>
    <row r="297" spans="14:14" hidden="1" x14ac:dyDescent="0.25">
      <c r="N297" s="16" t="str">
        <f>TEXT(F297,"mm-yyyy")</f>
        <v>01-1900</v>
      </c>
    </row>
    <row r="298" spans="14:14" hidden="1" x14ac:dyDescent="0.25">
      <c r="N298" s="16" t="str">
        <f>TEXT(F298,"mm-yyyy")</f>
        <v>01-1900</v>
      </c>
    </row>
    <row r="299" spans="14:14" hidden="1" x14ac:dyDescent="0.25">
      <c r="N299" s="16" t="str">
        <f>TEXT(F299,"mm-yyyy")</f>
        <v>01-1900</v>
      </c>
    </row>
    <row r="300" spans="14:14" hidden="1" x14ac:dyDescent="0.25">
      <c r="N300" s="16" t="str">
        <f>TEXT(F300,"mm-yyyy")</f>
        <v>01-1900</v>
      </c>
    </row>
    <row r="301" spans="14:14" hidden="1" x14ac:dyDescent="0.25">
      <c r="N301" s="16" t="str">
        <f>TEXT(F301,"mm-yyyy")</f>
        <v>01-1900</v>
      </c>
    </row>
    <row r="302" spans="14:14" hidden="1" x14ac:dyDescent="0.25">
      <c r="N302" s="16" t="str">
        <f>TEXT(F302,"mm-yyyy")</f>
        <v>01-1900</v>
      </c>
    </row>
    <row r="303" spans="14:14" hidden="1" x14ac:dyDescent="0.25">
      <c r="N303" s="16" t="str">
        <f>TEXT(F303,"mm-yyyy")</f>
        <v>01-1900</v>
      </c>
    </row>
    <row r="304" spans="14:14" hidden="1" x14ac:dyDescent="0.25">
      <c r="N304" s="16" t="str">
        <f>TEXT(F304,"mm-yyyy")</f>
        <v>01-1900</v>
      </c>
    </row>
    <row r="305" spans="14:14" hidden="1" x14ac:dyDescent="0.25">
      <c r="N305" s="16" t="str">
        <f>TEXT(F305,"mm-yyyy")</f>
        <v>01-1900</v>
      </c>
    </row>
    <row r="306" spans="14:14" hidden="1" x14ac:dyDescent="0.25">
      <c r="N306" s="16" t="str">
        <f>TEXT(F306,"mm-yyyy")</f>
        <v>01-1900</v>
      </c>
    </row>
    <row r="307" spans="14:14" hidden="1" x14ac:dyDescent="0.25">
      <c r="N307" s="16" t="str">
        <f>TEXT(F307,"mm-yyyy")</f>
        <v>01-1900</v>
      </c>
    </row>
    <row r="308" spans="14:14" hidden="1" x14ac:dyDescent="0.25">
      <c r="N308" s="16" t="str">
        <f>TEXT(F308,"mm-yyyy")</f>
        <v>01-1900</v>
      </c>
    </row>
    <row r="309" spans="14:14" hidden="1" x14ac:dyDescent="0.25">
      <c r="N309" s="16" t="str">
        <f>TEXT(F309,"mm-yyyy")</f>
        <v>01-1900</v>
      </c>
    </row>
    <row r="310" spans="14:14" hidden="1" x14ac:dyDescent="0.25">
      <c r="N310" s="16" t="str">
        <f>TEXT(F310,"mm-yyyy")</f>
        <v>01-1900</v>
      </c>
    </row>
    <row r="311" spans="14:14" hidden="1" x14ac:dyDescent="0.25">
      <c r="N311" s="16" t="str">
        <f>TEXT(F311,"mm-yyyy")</f>
        <v>01-1900</v>
      </c>
    </row>
    <row r="312" spans="14:14" hidden="1" x14ac:dyDescent="0.25">
      <c r="N312" s="16" t="str">
        <f>TEXT(F312,"mm-yyyy")</f>
        <v>01-1900</v>
      </c>
    </row>
    <row r="313" spans="14:14" hidden="1" x14ac:dyDescent="0.25">
      <c r="N313" s="16" t="str">
        <f>TEXT(F313,"mm-yyyy")</f>
        <v>01-1900</v>
      </c>
    </row>
    <row r="314" spans="14:14" hidden="1" x14ac:dyDescent="0.25">
      <c r="N314" s="16" t="str">
        <f>TEXT(F314,"mm-yyyy")</f>
        <v>01-1900</v>
      </c>
    </row>
    <row r="315" spans="14:14" hidden="1" x14ac:dyDescent="0.25">
      <c r="N315" s="16" t="str">
        <f>TEXT(F315,"mm-yyyy")</f>
        <v>01-1900</v>
      </c>
    </row>
    <row r="316" spans="14:14" hidden="1" x14ac:dyDescent="0.25">
      <c r="N316" s="16" t="str">
        <f>TEXT(F316,"mm-yyyy")</f>
        <v>01-1900</v>
      </c>
    </row>
    <row r="317" spans="14:14" hidden="1" x14ac:dyDescent="0.25">
      <c r="N317" s="16" t="str">
        <f>TEXT(F317,"mm-yyyy")</f>
        <v>01-1900</v>
      </c>
    </row>
    <row r="318" spans="14:14" hidden="1" x14ac:dyDescent="0.25">
      <c r="N318" s="16" t="str">
        <f>TEXT(F318,"mm-yyyy")</f>
        <v>01-1900</v>
      </c>
    </row>
    <row r="319" spans="14:14" hidden="1" x14ac:dyDescent="0.25">
      <c r="N319" s="16" t="str">
        <f>TEXT(F319,"mm-yyyy")</f>
        <v>01-1900</v>
      </c>
    </row>
    <row r="320" spans="14:14" hidden="1" x14ac:dyDescent="0.25">
      <c r="N320" s="16" t="str">
        <f>TEXT(F320,"mm-yyyy")</f>
        <v>01-1900</v>
      </c>
    </row>
    <row r="321" spans="14:14" hidden="1" x14ac:dyDescent="0.25">
      <c r="N321" s="16" t="str">
        <f>TEXT(F321,"mm-yyyy")</f>
        <v>01-1900</v>
      </c>
    </row>
    <row r="322" spans="14:14" hidden="1" x14ac:dyDescent="0.25">
      <c r="N322" s="16" t="str">
        <f>TEXT(F322,"mm-yyyy")</f>
        <v>01-1900</v>
      </c>
    </row>
    <row r="323" spans="14:14" hidden="1" x14ac:dyDescent="0.25">
      <c r="N323" s="16" t="str">
        <f>TEXT(F323,"mm-yyyy")</f>
        <v>01-1900</v>
      </c>
    </row>
    <row r="324" spans="14:14" hidden="1" x14ac:dyDescent="0.25">
      <c r="N324" s="16" t="str">
        <f>TEXT(F324,"mm-yyyy")</f>
        <v>01-1900</v>
      </c>
    </row>
    <row r="325" spans="14:14" hidden="1" x14ac:dyDescent="0.25">
      <c r="N325" s="16" t="str">
        <f>TEXT(F325,"mm-yyyy")</f>
        <v>01-1900</v>
      </c>
    </row>
    <row r="326" spans="14:14" hidden="1" x14ac:dyDescent="0.25">
      <c r="N326" s="16" t="str">
        <f>TEXT(F326,"mm-yyyy")</f>
        <v>01-1900</v>
      </c>
    </row>
    <row r="327" spans="14:14" hidden="1" x14ac:dyDescent="0.25">
      <c r="N327" s="16" t="str">
        <f>TEXT(F327,"mm-yyyy")</f>
        <v>01-1900</v>
      </c>
    </row>
    <row r="328" spans="14:14" hidden="1" x14ac:dyDescent="0.25">
      <c r="N328" s="16" t="str">
        <f>TEXT(F328,"mm-yyyy")</f>
        <v>01-1900</v>
      </c>
    </row>
    <row r="329" spans="14:14" hidden="1" x14ac:dyDescent="0.25">
      <c r="N329" s="16" t="str">
        <f>TEXT(F329,"mm-yyyy")</f>
        <v>01-1900</v>
      </c>
    </row>
    <row r="330" spans="14:14" hidden="1" x14ac:dyDescent="0.25">
      <c r="N330" s="16" t="str">
        <f>TEXT(F330,"mm-yyyy")</f>
        <v>01-1900</v>
      </c>
    </row>
    <row r="331" spans="14:14" hidden="1" x14ac:dyDescent="0.25">
      <c r="N331" s="16" t="str">
        <f>TEXT(F331,"mm-yyyy")</f>
        <v>01-1900</v>
      </c>
    </row>
    <row r="332" spans="14:14" hidden="1" x14ac:dyDescent="0.25">
      <c r="N332" s="16" t="str">
        <f>TEXT(F332,"mm-yyyy")</f>
        <v>01-1900</v>
      </c>
    </row>
    <row r="333" spans="14:14" hidden="1" x14ac:dyDescent="0.25">
      <c r="N333" s="16" t="str">
        <f>TEXT(F333,"mm-yyyy")</f>
        <v>01-1900</v>
      </c>
    </row>
    <row r="334" spans="14:14" hidden="1" x14ac:dyDescent="0.25">
      <c r="N334" s="16" t="str">
        <f>TEXT(F334,"mm-yyyy")</f>
        <v>01-1900</v>
      </c>
    </row>
    <row r="335" spans="14:14" hidden="1" x14ac:dyDescent="0.25">
      <c r="N335" s="16" t="str">
        <f>TEXT(F335,"mm-yyyy")</f>
        <v>01-1900</v>
      </c>
    </row>
    <row r="336" spans="14:14" hidden="1" x14ac:dyDescent="0.25">
      <c r="N336" s="16" t="str">
        <f>TEXT(F336,"mm-yyyy")</f>
        <v>01-1900</v>
      </c>
    </row>
    <row r="337" spans="14:14" hidden="1" x14ac:dyDescent="0.25">
      <c r="N337" s="16" t="str">
        <f>TEXT(F337,"mm-yyyy")</f>
        <v>01-1900</v>
      </c>
    </row>
    <row r="338" spans="14:14" hidden="1" x14ac:dyDescent="0.25">
      <c r="N338" s="16" t="str">
        <f>TEXT(F338,"mm-yyyy")</f>
        <v>01-1900</v>
      </c>
    </row>
    <row r="339" spans="14:14" hidden="1" x14ac:dyDescent="0.25">
      <c r="N339" s="16" t="str">
        <f>TEXT(F339,"mm-yyyy")</f>
        <v>01-1900</v>
      </c>
    </row>
    <row r="340" spans="14:14" hidden="1" x14ac:dyDescent="0.25">
      <c r="N340" s="16" t="str">
        <f>TEXT(F340,"mm-yyyy")</f>
        <v>01-1900</v>
      </c>
    </row>
    <row r="341" spans="14:14" hidden="1" x14ac:dyDescent="0.25">
      <c r="N341" s="16" t="str">
        <f>TEXT(F341,"mm-yyyy")</f>
        <v>01-1900</v>
      </c>
    </row>
    <row r="342" spans="14:14" hidden="1" x14ac:dyDescent="0.25">
      <c r="N342" s="16" t="str">
        <f>TEXT(F342,"mm-yyyy")</f>
        <v>01-1900</v>
      </c>
    </row>
    <row r="343" spans="14:14" hidden="1" x14ac:dyDescent="0.25">
      <c r="N343" s="16" t="str">
        <f>TEXT(F343,"mm-yyyy")</f>
        <v>01-1900</v>
      </c>
    </row>
    <row r="344" spans="14:14" hidden="1" x14ac:dyDescent="0.25">
      <c r="N344" s="16" t="str">
        <f>TEXT(F344,"mm-yyyy")</f>
        <v>01-1900</v>
      </c>
    </row>
    <row r="345" spans="14:14" hidden="1" x14ac:dyDescent="0.25">
      <c r="N345" s="16" t="str">
        <f>TEXT(F345,"mm-yyyy")</f>
        <v>01-1900</v>
      </c>
    </row>
    <row r="346" spans="14:14" hidden="1" x14ac:dyDescent="0.25">
      <c r="N346" s="16" t="str">
        <f>TEXT(F346,"mm-yyyy")</f>
        <v>01-1900</v>
      </c>
    </row>
    <row r="347" spans="14:14" hidden="1" x14ac:dyDescent="0.25">
      <c r="N347" s="16" t="str">
        <f>TEXT(F347,"mm-yyyy")</f>
        <v>01-1900</v>
      </c>
    </row>
    <row r="348" spans="14:14" hidden="1" x14ac:dyDescent="0.25">
      <c r="N348" s="16" t="str">
        <f>TEXT(F348,"mm-yyyy")</f>
        <v>01-1900</v>
      </c>
    </row>
    <row r="349" spans="14:14" hidden="1" x14ac:dyDescent="0.25">
      <c r="N349" s="16" t="str">
        <f>TEXT(F349,"mm-yyyy")</f>
        <v>01-1900</v>
      </c>
    </row>
    <row r="350" spans="14:14" hidden="1" x14ac:dyDescent="0.25">
      <c r="N350" s="16" t="str">
        <f>TEXT(F350,"mm-yyyy")</f>
        <v>01-1900</v>
      </c>
    </row>
    <row r="351" spans="14:14" hidden="1" x14ac:dyDescent="0.25">
      <c r="N351" s="16" t="str">
        <f>TEXT(F351,"mm-yyyy")</f>
        <v>01-1900</v>
      </c>
    </row>
    <row r="352" spans="14:14" hidden="1" x14ac:dyDescent="0.25">
      <c r="N352" s="16" t="str">
        <f>TEXT(F352,"mm-yyyy")</f>
        <v>01-1900</v>
      </c>
    </row>
    <row r="353" spans="14:14" hidden="1" x14ac:dyDescent="0.25">
      <c r="N353" s="16" t="str">
        <f>TEXT(F353,"mm-yyyy")</f>
        <v>01-1900</v>
      </c>
    </row>
    <row r="354" spans="14:14" hidden="1" x14ac:dyDescent="0.25">
      <c r="N354" s="16" t="str">
        <f>TEXT(F354,"mm-yyyy")</f>
        <v>01-1900</v>
      </c>
    </row>
    <row r="355" spans="14:14" hidden="1" x14ac:dyDescent="0.25">
      <c r="N355" s="16" t="str">
        <f>TEXT(F355,"mm-yyyy")</f>
        <v>01-1900</v>
      </c>
    </row>
    <row r="356" spans="14:14" hidden="1" x14ac:dyDescent="0.25">
      <c r="N356" s="16" t="str">
        <f>TEXT(F356,"mm-yyyy")</f>
        <v>01-1900</v>
      </c>
    </row>
    <row r="357" spans="14:14" hidden="1" x14ac:dyDescent="0.25">
      <c r="N357" s="16" t="str">
        <f>TEXT(F357,"mm-yyyy")</f>
        <v>01-1900</v>
      </c>
    </row>
    <row r="358" spans="14:14" hidden="1" x14ac:dyDescent="0.25">
      <c r="N358" s="16" t="str">
        <f>TEXT(F358,"mm-yyyy")</f>
        <v>01-1900</v>
      </c>
    </row>
    <row r="359" spans="14:14" hidden="1" x14ac:dyDescent="0.25">
      <c r="N359" s="16" t="str">
        <f>TEXT(F359,"mm-yyyy")</f>
        <v>01-1900</v>
      </c>
    </row>
    <row r="360" spans="14:14" hidden="1" x14ac:dyDescent="0.25">
      <c r="N360" s="16" t="str">
        <f>TEXT(F360,"mm-yyyy")</f>
        <v>01-1900</v>
      </c>
    </row>
    <row r="361" spans="14:14" hidden="1" x14ac:dyDescent="0.25">
      <c r="N361" s="16" t="str">
        <f>TEXT(F361,"mm-yyyy")</f>
        <v>01-1900</v>
      </c>
    </row>
    <row r="362" spans="14:14" hidden="1" x14ac:dyDescent="0.25">
      <c r="N362" s="16" t="str">
        <f>TEXT(F362,"mm-yyyy")</f>
        <v>01-1900</v>
      </c>
    </row>
    <row r="363" spans="14:14" hidden="1" x14ac:dyDescent="0.25">
      <c r="N363" s="16" t="str">
        <f>TEXT(F363,"mm-yyyy")</f>
        <v>01-1900</v>
      </c>
    </row>
    <row r="364" spans="14:14" hidden="1" x14ac:dyDescent="0.25">
      <c r="N364" s="16" t="str">
        <f>TEXT(F364,"mm-yyyy")</f>
        <v>01-1900</v>
      </c>
    </row>
    <row r="365" spans="14:14" hidden="1" x14ac:dyDescent="0.25">
      <c r="N365" s="16" t="str">
        <f>TEXT(F365,"mm-yyyy")</f>
        <v>01-1900</v>
      </c>
    </row>
    <row r="366" spans="14:14" hidden="1" x14ac:dyDescent="0.25">
      <c r="N366" s="16" t="str">
        <f>TEXT(F366,"mm-yyyy")</f>
        <v>01-1900</v>
      </c>
    </row>
    <row r="367" spans="14:14" hidden="1" x14ac:dyDescent="0.25">
      <c r="N367" s="16" t="str">
        <f>TEXT(F367,"mm-yyyy")</f>
        <v>01-1900</v>
      </c>
    </row>
    <row r="368" spans="14:14" hidden="1" x14ac:dyDescent="0.25">
      <c r="N368" s="16" t="str">
        <f>TEXT(F368,"mm-yyyy")</f>
        <v>01-1900</v>
      </c>
    </row>
    <row r="369" spans="14:14" hidden="1" x14ac:dyDescent="0.25">
      <c r="N369" s="16" t="str">
        <f>TEXT(F369,"mm-yyyy")</f>
        <v>01-1900</v>
      </c>
    </row>
    <row r="370" spans="14:14" hidden="1" x14ac:dyDescent="0.25">
      <c r="N370" s="16" t="str">
        <f>TEXT(F370,"mm-yyyy")</f>
        <v>01-1900</v>
      </c>
    </row>
    <row r="371" spans="14:14" hidden="1" x14ac:dyDescent="0.25">
      <c r="N371" s="16" t="str">
        <f>TEXT(F371,"mm-yyyy")</f>
        <v>01-1900</v>
      </c>
    </row>
    <row r="372" spans="14:14" hidden="1" x14ac:dyDescent="0.25">
      <c r="N372" s="16" t="str">
        <f>TEXT(F372,"mm-yyyy")</f>
        <v>01-1900</v>
      </c>
    </row>
    <row r="373" spans="14:14" hidden="1" x14ac:dyDescent="0.25">
      <c r="N373" s="16" t="str">
        <f>TEXT(F373,"mm-yyyy")</f>
        <v>01-1900</v>
      </c>
    </row>
    <row r="374" spans="14:14" hidden="1" x14ac:dyDescent="0.25">
      <c r="N374" s="16" t="str">
        <f>TEXT(F374,"mm-yyyy")</f>
        <v>01-1900</v>
      </c>
    </row>
    <row r="375" spans="14:14" hidden="1" x14ac:dyDescent="0.25">
      <c r="N375" s="16" t="str">
        <f>TEXT(F375,"mm-yyyy")</f>
        <v>01-1900</v>
      </c>
    </row>
    <row r="376" spans="14:14" hidden="1" x14ac:dyDescent="0.25">
      <c r="N376" s="16" t="str">
        <f>TEXT(F376,"mm-yyyy")</f>
        <v>01-1900</v>
      </c>
    </row>
    <row r="377" spans="14:14" hidden="1" x14ac:dyDescent="0.25">
      <c r="N377" s="16" t="str">
        <f>TEXT(F377,"mm-yyyy")</f>
        <v>01-1900</v>
      </c>
    </row>
    <row r="378" spans="14:14" hidden="1" x14ac:dyDescent="0.25">
      <c r="N378" s="16" t="str">
        <f>TEXT(F378,"mm-yyyy")</f>
        <v>01-1900</v>
      </c>
    </row>
    <row r="379" spans="14:14" hidden="1" x14ac:dyDescent="0.25">
      <c r="N379" s="16" t="str">
        <f>TEXT(F379,"mm-yyyy")</f>
        <v>01-1900</v>
      </c>
    </row>
    <row r="380" spans="14:14" hidden="1" x14ac:dyDescent="0.25">
      <c r="N380" s="16" t="str">
        <f>TEXT(F380,"mm-yyyy")</f>
        <v>01-1900</v>
      </c>
    </row>
    <row r="381" spans="14:14" hidden="1" x14ac:dyDescent="0.25">
      <c r="N381" s="16" t="str">
        <f>TEXT(F381,"mm-yyyy")</f>
        <v>01-1900</v>
      </c>
    </row>
    <row r="382" spans="14:14" hidden="1" x14ac:dyDescent="0.25">
      <c r="N382" s="16" t="str">
        <f>TEXT(F382,"mm-yyyy")</f>
        <v>01-1900</v>
      </c>
    </row>
    <row r="383" spans="14:14" hidden="1" x14ac:dyDescent="0.25">
      <c r="N383" s="16" t="str">
        <f>TEXT(F383,"mm-yyyy")</f>
        <v>01-1900</v>
      </c>
    </row>
    <row r="384" spans="14:14" hidden="1" x14ac:dyDescent="0.25">
      <c r="N384" s="16" t="str">
        <f>TEXT(F384,"mm-yyyy")</f>
        <v>01-1900</v>
      </c>
    </row>
    <row r="385" spans="14:14" hidden="1" x14ac:dyDescent="0.25">
      <c r="N385" s="16" t="str">
        <f>TEXT(F385,"mm-yyyy")</f>
        <v>01-1900</v>
      </c>
    </row>
    <row r="386" spans="14:14" hidden="1" x14ac:dyDescent="0.25">
      <c r="N386" s="16" t="str">
        <f>TEXT(F386,"mm-yyyy")</f>
        <v>01-1900</v>
      </c>
    </row>
    <row r="387" spans="14:14" hidden="1" x14ac:dyDescent="0.25">
      <c r="N387" s="16" t="str">
        <f>TEXT(F387,"mm-yyyy")</f>
        <v>01-1900</v>
      </c>
    </row>
    <row r="388" spans="14:14" hidden="1" x14ac:dyDescent="0.25">
      <c r="N388" s="16" t="str">
        <f>TEXT(F388,"mm-yyyy")</f>
        <v>01-1900</v>
      </c>
    </row>
    <row r="389" spans="14:14" hidden="1" x14ac:dyDescent="0.25">
      <c r="N389" s="16" t="str">
        <f>TEXT(F389,"mm-yyyy")</f>
        <v>01-1900</v>
      </c>
    </row>
    <row r="390" spans="14:14" hidden="1" x14ac:dyDescent="0.25">
      <c r="N390" s="16" t="str">
        <f>TEXT(F390,"mm-yyyy")</f>
        <v>01-1900</v>
      </c>
    </row>
    <row r="391" spans="14:14" hidden="1" x14ac:dyDescent="0.25">
      <c r="N391" s="16" t="str">
        <f>TEXT(F391,"mm-yyyy")</f>
        <v>01-1900</v>
      </c>
    </row>
    <row r="392" spans="14:14" hidden="1" x14ac:dyDescent="0.25">
      <c r="N392" s="16" t="str">
        <f>TEXT(F392,"mm-yyyy")</f>
        <v>01-1900</v>
      </c>
    </row>
    <row r="393" spans="14:14" hidden="1" x14ac:dyDescent="0.25">
      <c r="N393" s="16" t="str">
        <f>TEXT(F393,"mm-yyyy")</f>
        <v>01-1900</v>
      </c>
    </row>
    <row r="394" spans="14:14" hidden="1" x14ac:dyDescent="0.25">
      <c r="N394" s="16" t="str">
        <f>TEXT(F394,"mm-yyyy")</f>
        <v>01-1900</v>
      </c>
    </row>
    <row r="395" spans="14:14" hidden="1" x14ac:dyDescent="0.25">
      <c r="N395" s="16" t="str">
        <f>TEXT(F395,"mm-yyyy")</f>
        <v>01-1900</v>
      </c>
    </row>
    <row r="396" spans="14:14" hidden="1" x14ac:dyDescent="0.25">
      <c r="N396" s="16" t="str">
        <f>TEXT(F396,"mm-yyyy")</f>
        <v>01-1900</v>
      </c>
    </row>
    <row r="397" spans="14:14" hidden="1" x14ac:dyDescent="0.25">
      <c r="N397" s="16" t="str">
        <f>TEXT(F397,"mm-yyyy")</f>
        <v>01-1900</v>
      </c>
    </row>
    <row r="398" spans="14:14" hidden="1" x14ac:dyDescent="0.25">
      <c r="N398" s="16" t="str">
        <f>TEXT(F398,"mm-yyyy")</f>
        <v>01-1900</v>
      </c>
    </row>
    <row r="399" spans="14:14" hidden="1" x14ac:dyDescent="0.25">
      <c r="N399" s="16" t="str">
        <f>TEXT(F399,"mm-yyyy")</f>
        <v>01-1900</v>
      </c>
    </row>
    <row r="400" spans="14:14" hidden="1" x14ac:dyDescent="0.25">
      <c r="N400" s="16" t="str">
        <f>TEXT(F400,"mm-yyyy")</f>
        <v>01-1900</v>
      </c>
    </row>
    <row r="401" spans="14:14" hidden="1" x14ac:dyDescent="0.25">
      <c r="N401" s="16" t="str">
        <f>TEXT(F401,"mm-yyyy")</f>
        <v>01-1900</v>
      </c>
    </row>
    <row r="402" spans="14:14" hidden="1" x14ac:dyDescent="0.25">
      <c r="N402" s="16" t="str">
        <f>TEXT(F402,"mm-yyyy")</f>
        <v>01-1900</v>
      </c>
    </row>
    <row r="403" spans="14:14" hidden="1" x14ac:dyDescent="0.25">
      <c r="N403" s="16" t="str">
        <f>TEXT(F403,"mm-yyyy")</f>
        <v>01-1900</v>
      </c>
    </row>
    <row r="404" spans="14:14" hidden="1" x14ac:dyDescent="0.25">
      <c r="N404" s="16" t="str">
        <f>TEXT(F404,"mm-yyyy")</f>
        <v>01-1900</v>
      </c>
    </row>
    <row r="405" spans="14:14" hidden="1" x14ac:dyDescent="0.25">
      <c r="N405" s="16" t="str">
        <f>TEXT(F405,"mm-yyyy")</f>
        <v>01-1900</v>
      </c>
    </row>
    <row r="406" spans="14:14" hidden="1" x14ac:dyDescent="0.25">
      <c r="N406" s="16" t="str">
        <f>TEXT(F406,"mm-yyyy")</f>
        <v>01-1900</v>
      </c>
    </row>
    <row r="407" spans="14:14" hidden="1" x14ac:dyDescent="0.25">
      <c r="N407" s="16" t="str">
        <f>TEXT(F407,"mm-yyyy")</f>
        <v>01-1900</v>
      </c>
    </row>
    <row r="408" spans="14:14" hidden="1" x14ac:dyDescent="0.25">
      <c r="N408" s="16" t="str">
        <f>TEXT(F408,"mm-yyyy")</f>
        <v>01-1900</v>
      </c>
    </row>
    <row r="409" spans="14:14" hidden="1" x14ac:dyDescent="0.25">
      <c r="N409" s="16" t="str">
        <f>TEXT(F409,"mm-yyyy")</f>
        <v>01-1900</v>
      </c>
    </row>
    <row r="410" spans="14:14" hidden="1" x14ac:dyDescent="0.25">
      <c r="N410" s="16" t="str">
        <f>TEXT(F410,"mm-yyyy")</f>
        <v>01-1900</v>
      </c>
    </row>
    <row r="411" spans="14:14" hidden="1" x14ac:dyDescent="0.25">
      <c r="N411" s="16" t="str">
        <f>TEXT(F411,"mm-yyyy")</f>
        <v>01-1900</v>
      </c>
    </row>
    <row r="412" spans="14:14" hidden="1" x14ac:dyDescent="0.25">
      <c r="N412" s="16" t="str">
        <f>TEXT(F412,"mm-yyyy")</f>
        <v>01-1900</v>
      </c>
    </row>
    <row r="413" spans="14:14" hidden="1" x14ac:dyDescent="0.25">
      <c r="N413" s="16" t="str">
        <f>TEXT(F413,"mm-yyyy")</f>
        <v>01-1900</v>
      </c>
    </row>
    <row r="414" spans="14:14" hidden="1" x14ac:dyDescent="0.25">
      <c r="N414" s="16" t="str">
        <f>TEXT(F414,"mm-yyyy")</f>
        <v>01-1900</v>
      </c>
    </row>
    <row r="415" spans="14:14" hidden="1" x14ac:dyDescent="0.25">
      <c r="N415" s="16" t="str">
        <f>TEXT(F415,"mm-yyyy")</f>
        <v>01-1900</v>
      </c>
    </row>
    <row r="416" spans="14:14" hidden="1" x14ac:dyDescent="0.25">
      <c r="N416" s="16" t="str">
        <f>TEXT(F416,"mm-yyyy")</f>
        <v>01-1900</v>
      </c>
    </row>
    <row r="417" spans="14:14" hidden="1" x14ac:dyDescent="0.25">
      <c r="N417" s="16" t="str">
        <f>TEXT(F417,"mm-yyyy")</f>
        <v>01-1900</v>
      </c>
    </row>
    <row r="418" spans="14:14" hidden="1" x14ac:dyDescent="0.25">
      <c r="N418" s="16" t="str">
        <f>TEXT(F418,"mm-yyyy")</f>
        <v>01-1900</v>
      </c>
    </row>
    <row r="419" spans="14:14" hidden="1" x14ac:dyDescent="0.25">
      <c r="N419" s="16" t="str">
        <f>TEXT(F419,"mm-yyyy")</f>
        <v>01-1900</v>
      </c>
    </row>
    <row r="420" spans="14:14" hidden="1" x14ac:dyDescent="0.25">
      <c r="N420" s="16" t="str">
        <f>TEXT(F420,"mm-yyyy")</f>
        <v>01-1900</v>
      </c>
    </row>
    <row r="421" spans="14:14" hidden="1" x14ac:dyDescent="0.25">
      <c r="N421" s="16" t="str">
        <f>TEXT(F421,"mm-yyyy")</f>
        <v>01-1900</v>
      </c>
    </row>
    <row r="422" spans="14:14" hidden="1" x14ac:dyDescent="0.25">
      <c r="N422" s="16" t="str">
        <f>TEXT(F422,"mm-yyyy")</f>
        <v>01-1900</v>
      </c>
    </row>
    <row r="423" spans="14:14" hidden="1" x14ac:dyDescent="0.25">
      <c r="N423" s="16" t="str">
        <f>TEXT(F423,"mm-yyyy")</f>
        <v>01-1900</v>
      </c>
    </row>
    <row r="424" spans="14:14" hidden="1" x14ac:dyDescent="0.25">
      <c r="N424" s="16" t="str">
        <f>TEXT(F424,"mm-yyyy")</f>
        <v>01-1900</v>
      </c>
    </row>
    <row r="425" spans="14:14" hidden="1" x14ac:dyDescent="0.25">
      <c r="N425" s="16" t="str">
        <f>TEXT(F425,"mm-yyyy")</f>
        <v>01-1900</v>
      </c>
    </row>
    <row r="426" spans="14:14" hidden="1" x14ac:dyDescent="0.25">
      <c r="N426" s="16" t="str">
        <f>TEXT(F426,"mm-yyyy")</f>
        <v>01-1900</v>
      </c>
    </row>
    <row r="427" spans="14:14" hidden="1" x14ac:dyDescent="0.25">
      <c r="N427" s="16" t="str">
        <f>TEXT(F427,"mm-yyyy")</f>
        <v>01-1900</v>
      </c>
    </row>
    <row r="428" spans="14:14" hidden="1" x14ac:dyDescent="0.25">
      <c r="N428" s="16" t="str">
        <f>TEXT(F428,"mm-yyyy")</f>
        <v>01-1900</v>
      </c>
    </row>
    <row r="429" spans="14:14" hidden="1" x14ac:dyDescent="0.25">
      <c r="N429" s="16" t="str">
        <f>TEXT(F429,"mm-yyyy")</f>
        <v>01-1900</v>
      </c>
    </row>
    <row r="430" spans="14:14" hidden="1" x14ac:dyDescent="0.25">
      <c r="N430" s="16" t="str">
        <f>TEXT(F430,"mm-yyyy")</f>
        <v>01-1900</v>
      </c>
    </row>
    <row r="431" spans="14:14" hidden="1" x14ac:dyDescent="0.25">
      <c r="N431" s="16" t="str">
        <f>TEXT(F431,"mm-yyyy")</f>
        <v>01-1900</v>
      </c>
    </row>
    <row r="432" spans="14:14" hidden="1" x14ac:dyDescent="0.25">
      <c r="N432" s="16" t="str">
        <f>TEXT(F432,"mm-yyyy")</f>
        <v>01-1900</v>
      </c>
    </row>
    <row r="433" spans="14:14" hidden="1" x14ac:dyDescent="0.25">
      <c r="N433" s="16" t="str">
        <f>TEXT(F433,"mm-yyyy")</f>
        <v>01-1900</v>
      </c>
    </row>
    <row r="434" spans="14:14" hidden="1" x14ac:dyDescent="0.25">
      <c r="N434" s="16" t="str">
        <f>TEXT(F434,"mm-yyyy")</f>
        <v>01-1900</v>
      </c>
    </row>
    <row r="435" spans="14:14" hidden="1" x14ac:dyDescent="0.25">
      <c r="N435" s="16" t="str">
        <f>TEXT(F435,"mm-yyyy")</f>
        <v>01-1900</v>
      </c>
    </row>
    <row r="436" spans="14:14" hidden="1" x14ac:dyDescent="0.25">
      <c r="N436" s="16" t="str">
        <f>TEXT(F436,"mm-yyyy")</f>
        <v>01-1900</v>
      </c>
    </row>
    <row r="437" spans="14:14" hidden="1" x14ac:dyDescent="0.25">
      <c r="N437" s="16" t="str">
        <f>TEXT(F437,"mm-yyyy")</f>
        <v>01-1900</v>
      </c>
    </row>
    <row r="438" spans="14:14" hidden="1" x14ac:dyDescent="0.25">
      <c r="N438" s="16" t="str">
        <f>TEXT(F438,"mm-yyyy")</f>
        <v>01-1900</v>
      </c>
    </row>
    <row r="439" spans="14:14" hidden="1" x14ac:dyDescent="0.25">
      <c r="N439" s="16" t="str">
        <f>TEXT(F439,"mm-yyyy")</f>
        <v>01-1900</v>
      </c>
    </row>
    <row r="440" spans="14:14" hidden="1" x14ac:dyDescent="0.25">
      <c r="N440" s="16" t="str">
        <f>TEXT(F440,"mm-yyyy")</f>
        <v>01-1900</v>
      </c>
    </row>
    <row r="441" spans="14:14" hidden="1" x14ac:dyDescent="0.25">
      <c r="N441" s="16" t="str">
        <f>TEXT(F441,"mm-yyyy")</f>
        <v>01-1900</v>
      </c>
    </row>
    <row r="442" spans="14:14" hidden="1" x14ac:dyDescent="0.25">
      <c r="N442" s="16" t="str">
        <f>TEXT(F442,"mm-yyyy")</f>
        <v>01-1900</v>
      </c>
    </row>
    <row r="443" spans="14:14" hidden="1" x14ac:dyDescent="0.25">
      <c r="N443" s="16" t="str">
        <f>TEXT(F443,"mm-yyyy")</f>
        <v>01-1900</v>
      </c>
    </row>
    <row r="444" spans="14:14" hidden="1" x14ac:dyDescent="0.25">
      <c r="N444" s="16" t="str">
        <f>TEXT(F444,"mm-yyyy")</f>
        <v>01-1900</v>
      </c>
    </row>
    <row r="445" spans="14:14" hidden="1" x14ac:dyDescent="0.25">
      <c r="N445" s="16" t="str">
        <f>TEXT(F445,"mm-yyyy")</f>
        <v>01-1900</v>
      </c>
    </row>
    <row r="446" spans="14:14" hidden="1" x14ac:dyDescent="0.25">
      <c r="N446" s="16" t="str">
        <f>TEXT(F446,"mm-yyyy")</f>
        <v>01-1900</v>
      </c>
    </row>
    <row r="447" spans="14:14" hidden="1" x14ac:dyDescent="0.25">
      <c r="N447" s="16" t="str">
        <f>TEXT(F447,"mm-yyyy")</f>
        <v>01-1900</v>
      </c>
    </row>
    <row r="448" spans="14:14" hidden="1" x14ac:dyDescent="0.25">
      <c r="N448" s="16" t="str">
        <f>TEXT(F448,"mm-yyyy")</f>
        <v>01-1900</v>
      </c>
    </row>
    <row r="449" spans="14:14" hidden="1" x14ac:dyDescent="0.25">
      <c r="N449" s="16" t="str">
        <f>TEXT(F449,"mm-yyyy")</f>
        <v>01-1900</v>
      </c>
    </row>
    <row r="450" spans="14:14" hidden="1" x14ac:dyDescent="0.25">
      <c r="N450" s="16" t="str">
        <f>TEXT(F450,"mm-yyyy")</f>
        <v>01-1900</v>
      </c>
    </row>
    <row r="451" spans="14:14" hidden="1" x14ac:dyDescent="0.25">
      <c r="N451" s="16" t="str">
        <f>TEXT(F451,"mm-yyyy")</f>
        <v>01-1900</v>
      </c>
    </row>
    <row r="452" spans="14:14" hidden="1" x14ac:dyDescent="0.25">
      <c r="N452" s="16" t="str">
        <f>TEXT(F452,"mm-yyyy")</f>
        <v>01-1900</v>
      </c>
    </row>
    <row r="453" spans="14:14" hidden="1" x14ac:dyDescent="0.25">
      <c r="N453" s="16" t="str">
        <f>TEXT(F453,"mm-yyyy")</f>
        <v>01-1900</v>
      </c>
    </row>
    <row r="454" spans="14:14" hidden="1" x14ac:dyDescent="0.25">
      <c r="N454" s="16" t="str">
        <f>TEXT(F454,"mm-yyyy")</f>
        <v>01-1900</v>
      </c>
    </row>
    <row r="455" spans="14:14" hidden="1" x14ac:dyDescent="0.25">
      <c r="N455" s="16" t="str">
        <f>TEXT(F455,"mm-yyyy")</f>
        <v>01-1900</v>
      </c>
    </row>
    <row r="456" spans="14:14" hidden="1" x14ac:dyDescent="0.25">
      <c r="N456" s="16" t="str">
        <f>TEXT(F456,"mm-yyyy")</f>
        <v>01-1900</v>
      </c>
    </row>
    <row r="457" spans="14:14" hidden="1" x14ac:dyDescent="0.25">
      <c r="N457" s="16" t="str">
        <f>TEXT(F457,"mm-yyyy")</f>
        <v>01-1900</v>
      </c>
    </row>
    <row r="458" spans="14:14" hidden="1" x14ac:dyDescent="0.25">
      <c r="N458" s="16" t="str">
        <f>TEXT(F458,"mm-yyyy")</f>
        <v>01-1900</v>
      </c>
    </row>
    <row r="459" spans="14:14" hidden="1" x14ac:dyDescent="0.25">
      <c r="N459" s="16" t="str">
        <f>TEXT(F459,"mm-yyyy")</f>
        <v>01-1900</v>
      </c>
    </row>
    <row r="460" spans="14:14" hidden="1" x14ac:dyDescent="0.25">
      <c r="N460" s="16" t="str">
        <f>TEXT(F460,"mm-yyyy")</f>
        <v>01-1900</v>
      </c>
    </row>
    <row r="461" spans="14:14" hidden="1" x14ac:dyDescent="0.25">
      <c r="N461" s="16" t="str">
        <f>TEXT(F461,"mm-yyyy")</f>
        <v>01-1900</v>
      </c>
    </row>
    <row r="462" spans="14:14" hidden="1" x14ac:dyDescent="0.25">
      <c r="N462" s="16" t="str">
        <f>TEXT(F462,"mm-yyyy")</f>
        <v>01-1900</v>
      </c>
    </row>
    <row r="463" spans="14:14" hidden="1" x14ac:dyDescent="0.25">
      <c r="N463" s="16" t="str">
        <f>TEXT(F463,"mm-yyyy")</f>
        <v>01-1900</v>
      </c>
    </row>
    <row r="464" spans="14:14" hidden="1" x14ac:dyDescent="0.25">
      <c r="N464" s="16" t="str">
        <f>TEXT(F464,"mm-yyyy")</f>
        <v>01-1900</v>
      </c>
    </row>
    <row r="465" spans="14:14" hidden="1" x14ac:dyDescent="0.25">
      <c r="N465" s="16" t="str">
        <f>TEXT(F465,"mm-yyyy")</f>
        <v>01-1900</v>
      </c>
    </row>
    <row r="466" spans="14:14" hidden="1" x14ac:dyDescent="0.25">
      <c r="N466" s="16" t="str">
        <f>TEXT(F466,"mm-yyyy")</f>
        <v>01-1900</v>
      </c>
    </row>
    <row r="467" spans="14:14" hidden="1" x14ac:dyDescent="0.25">
      <c r="N467" s="16" t="str">
        <f>TEXT(F467,"mm-yyyy")</f>
        <v>01-1900</v>
      </c>
    </row>
    <row r="468" spans="14:14" hidden="1" x14ac:dyDescent="0.25">
      <c r="N468" s="16" t="str">
        <f>TEXT(F468,"mm-yyyy")</f>
        <v>01-1900</v>
      </c>
    </row>
    <row r="469" spans="14:14" hidden="1" x14ac:dyDescent="0.25">
      <c r="N469" s="16" t="str">
        <f>TEXT(F469,"mm-yyyy")</f>
        <v>01-1900</v>
      </c>
    </row>
    <row r="470" spans="14:14" hidden="1" x14ac:dyDescent="0.25">
      <c r="N470" s="16" t="str">
        <f>TEXT(F470,"mm-yyyy")</f>
        <v>01-1900</v>
      </c>
    </row>
    <row r="471" spans="14:14" hidden="1" x14ac:dyDescent="0.25">
      <c r="N471" s="16" t="str">
        <f>TEXT(F471,"mm-yyyy")</f>
        <v>01-1900</v>
      </c>
    </row>
    <row r="472" spans="14:14" hidden="1" x14ac:dyDescent="0.25">
      <c r="N472" s="16" t="str">
        <f>TEXT(F472,"mm-yyyy")</f>
        <v>01-1900</v>
      </c>
    </row>
    <row r="473" spans="14:14" hidden="1" x14ac:dyDescent="0.25">
      <c r="N473" s="16" t="str">
        <f>TEXT(F473,"mm-yyyy")</f>
        <v>01-1900</v>
      </c>
    </row>
    <row r="474" spans="14:14" hidden="1" x14ac:dyDescent="0.25">
      <c r="N474" s="16" t="str">
        <f>TEXT(F474,"mm-yyyy")</f>
        <v>01-1900</v>
      </c>
    </row>
    <row r="475" spans="14:14" hidden="1" x14ac:dyDescent="0.25">
      <c r="N475" s="16" t="str">
        <f>TEXT(F475,"mm-yyyy")</f>
        <v>01-1900</v>
      </c>
    </row>
    <row r="476" spans="14:14" hidden="1" x14ac:dyDescent="0.25">
      <c r="N476" s="16" t="str">
        <f>TEXT(F476,"mm-yyyy")</f>
        <v>01-1900</v>
      </c>
    </row>
    <row r="477" spans="14:14" hidden="1" x14ac:dyDescent="0.25">
      <c r="N477" s="16" t="str">
        <f>TEXT(F477,"mm-yyyy")</f>
        <v>01-1900</v>
      </c>
    </row>
    <row r="478" spans="14:14" hidden="1" x14ac:dyDescent="0.25">
      <c r="N478" s="16" t="str">
        <f>TEXT(F478,"mm-yyyy")</f>
        <v>01-1900</v>
      </c>
    </row>
    <row r="479" spans="14:14" hidden="1" x14ac:dyDescent="0.25">
      <c r="N479" s="16" t="str">
        <f>TEXT(F479,"mm-yyyy")</f>
        <v>01-1900</v>
      </c>
    </row>
    <row r="480" spans="14:14" hidden="1" x14ac:dyDescent="0.25">
      <c r="N480" s="16" t="str">
        <f>TEXT(F480,"mm-yyyy")</f>
        <v>01-1900</v>
      </c>
    </row>
    <row r="481" spans="14:14" hidden="1" x14ac:dyDescent="0.25">
      <c r="N481" s="16" t="str">
        <f>TEXT(F481,"mm-yyyy")</f>
        <v>01-1900</v>
      </c>
    </row>
    <row r="482" spans="14:14" hidden="1" x14ac:dyDescent="0.25">
      <c r="N482" s="16" t="str">
        <f>TEXT(F482,"mm-yyyy")</f>
        <v>01-1900</v>
      </c>
    </row>
    <row r="483" spans="14:14" hidden="1" x14ac:dyDescent="0.25">
      <c r="N483" s="16" t="str">
        <f>TEXT(F483,"mm-yyyy")</f>
        <v>01-1900</v>
      </c>
    </row>
    <row r="484" spans="14:14" hidden="1" x14ac:dyDescent="0.25">
      <c r="N484" s="16" t="str">
        <f>TEXT(F484,"mm-yyyy")</f>
        <v>01-1900</v>
      </c>
    </row>
    <row r="485" spans="14:14" hidden="1" x14ac:dyDescent="0.25">
      <c r="N485" s="16" t="str">
        <f>TEXT(F485,"mm-yyyy")</f>
        <v>01-1900</v>
      </c>
    </row>
    <row r="486" spans="14:14" hidden="1" x14ac:dyDescent="0.25">
      <c r="N486" s="16" t="str">
        <f>TEXT(F486,"mm-yyyy")</f>
        <v>01-1900</v>
      </c>
    </row>
    <row r="487" spans="14:14" hidden="1" x14ac:dyDescent="0.25">
      <c r="N487" s="16" t="str">
        <f>TEXT(F487,"mm-yyyy")</f>
        <v>01-1900</v>
      </c>
    </row>
    <row r="488" spans="14:14" hidden="1" x14ac:dyDescent="0.25">
      <c r="N488" s="16" t="str">
        <f>TEXT(F488,"mm-yyyy")</f>
        <v>01-1900</v>
      </c>
    </row>
    <row r="489" spans="14:14" hidden="1" x14ac:dyDescent="0.25">
      <c r="N489" s="16" t="str">
        <f>TEXT(F489,"mm-yyyy")</f>
        <v>01-1900</v>
      </c>
    </row>
    <row r="490" spans="14:14" hidden="1" x14ac:dyDescent="0.25">
      <c r="N490" s="16" t="str">
        <f>TEXT(F490,"mm-yyyy")</f>
        <v>01-1900</v>
      </c>
    </row>
    <row r="491" spans="14:14" hidden="1" x14ac:dyDescent="0.25">
      <c r="N491" s="16" t="str">
        <f>TEXT(F491,"mm-yyyy")</f>
        <v>01-1900</v>
      </c>
    </row>
    <row r="492" spans="14:14" hidden="1" x14ac:dyDescent="0.25">
      <c r="N492" s="16" t="str">
        <f>TEXT(F492,"mm-yyyy")</f>
        <v>01-1900</v>
      </c>
    </row>
    <row r="493" spans="14:14" hidden="1" x14ac:dyDescent="0.25">
      <c r="N493" s="16" t="str">
        <f>TEXT(F493,"mm-yyyy")</f>
        <v>01-1900</v>
      </c>
    </row>
    <row r="494" spans="14:14" hidden="1" x14ac:dyDescent="0.25">
      <c r="N494" s="16" t="str">
        <f>TEXT(F494,"mm-yyyy")</f>
        <v>01-1900</v>
      </c>
    </row>
    <row r="495" spans="14:14" hidden="1" x14ac:dyDescent="0.25">
      <c r="N495" s="16" t="str">
        <f>TEXT(F495,"mm-yyyy")</f>
        <v>01-1900</v>
      </c>
    </row>
    <row r="496" spans="14:14" hidden="1" x14ac:dyDescent="0.25">
      <c r="N496" s="16" t="str">
        <f>TEXT(F496,"mm-yyyy")</f>
        <v>01-1900</v>
      </c>
    </row>
    <row r="497" spans="14:14" hidden="1" x14ac:dyDescent="0.25">
      <c r="N497" s="16" t="str">
        <f>TEXT(F497,"mm-yyyy")</f>
        <v>01-1900</v>
      </c>
    </row>
    <row r="498" spans="14:14" hidden="1" x14ac:dyDescent="0.25">
      <c r="N498" s="16" t="str">
        <f>TEXT(F498,"mm-yyyy")</f>
        <v>01-1900</v>
      </c>
    </row>
    <row r="499" spans="14:14" hidden="1" x14ac:dyDescent="0.25">
      <c r="N499" s="16" t="str">
        <f>TEXT(F499,"mm-yyyy")</f>
        <v>01-1900</v>
      </c>
    </row>
    <row r="500" spans="14:14" hidden="1" x14ac:dyDescent="0.25">
      <c r="N500" s="16" t="str">
        <f>TEXT(F500,"mm-yyyy")</f>
        <v>01-1900</v>
      </c>
    </row>
    <row r="501" spans="14:14" hidden="1" x14ac:dyDescent="0.25">
      <c r="N501" s="16" t="str">
        <f>TEXT(F501,"mm-yyyy")</f>
        <v>01-1900</v>
      </c>
    </row>
    <row r="502" spans="14:14" hidden="1" x14ac:dyDescent="0.25">
      <c r="N502" s="16" t="str">
        <f>TEXT(F502,"mm-yyyy")</f>
        <v>01-1900</v>
      </c>
    </row>
    <row r="503" spans="14:14" hidden="1" x14ac:dyDescent="0.25">
      <c r="N503" s="16" t="str">
        <f>TEXT(F503,"mm-yyyy")</f>
        <v>01-1900</v>
      </c>
    </row>
    <row r="504" spans="14:14" hidden="1" x14ac:dyDescent="0.25">
      <c r="N504" s="16" t="str">
        <f>TEXT(F504,"mm-yyyy")</f>
        <v>01-1900</v>
      </c>
    </row>
    <row r="505" spans="14:14" hidden="1" x14ac:dyDescent="0.25">
      <c r="N505" s="16" t="str">
        <f>TEXT(F505,"mm-yyyy")</f>
        <v>01-1900</v>
      </c>
    </row>
    <row r="506" spans="14:14" hidden="1" x14ac:dyDescent="0.25">
      <c r="N506" s="16" t="str">
        <f>TEXT(F506,"mm-yyyy")</f>
        <v>01-1900</v>
      </c>
    </row>
    <row r="507" spans="14:14" hidden="1" x14ac:dyDescent="0.25">
      <c r="N507" s="16" t="str">
        <f>TEXT(F507,"mm-yyyy")</f>
        <v>01-1900</v>
      </c>
    </row>
    <row r="508" spans="14:14" hidden="1" x14ac:dyDescent="0.25">
      <c r="N508" s="16" t="str">
        <f>TEXT(F508,"mm-yyyy")</f>
        <v>01-1900</v>
      </c>
    </row>
    <row r="509" spans="14:14" hidden="1" x14ac:dyDescent="0.25">
      <c r="N509" s="16" t="str">
        <f>TEXT(F509,"mm-yyyy")</f>
        <v>01-1900</v>
      </c>
    </row>
    <row r="510" spans="14:14" hidden="1" x14ac:dyDescent="0.25">
      <c r="N510" s="16" t="str">
        <f>TEXT(F510,"mm-yyyy")</f>
        <v>01-1900</v>
      </c>
    </row>
    <row r="511" spans="14:14" hidden="1" x14ac:dyDescent="0.25">
      <c r="N511" s="16" t="str">
        <f>TEXT(F511,"mm-yyyy")</f>
        <v>01-1900</v>
      </c>
    </row>
    <row r="512" spans="14:14" hidden="1" x14ac:dyDescent="0.25">
      <c r="N512" s="16" t="str">
        <f>TEXT(F512,"mm-yyyy")</f>
        <v>01-1900</v>
      </c>
    </row>
    <row r="513" spans="14:14" hidden="1" x14ac:dyDescent="0.25">
      <c r="N513" s="16" t="str">
        <f>TEXT(F513,"mm-yyyy")</f>
        <v>01-1900</v>
      </c>
    </row>
    <row r="514" spans="14:14" hidden="1" x14ac:dyDescent="0.25">
      <c r="N514" s="16" t="str">
        <f>TEXT(F514,"mm-yyyy")</f>
        <v>01-1900</v>
      </c>
    </row>
    <row r="515" spans="14:14" hidden="1" x14ac:dyDescent="0.25">
      <c r="N515" s="16" t="str">
        <f>TEXT(F515,"mm-yyyy")</f>
        <v>01-1900</v>
      </c>
    </row>
    <row r="516" spans="14:14" hidden="1" x14ac:dyDescent="0.25">
      <c r="N516" s="16" t="str">
        <f>TEXT(F516,"mm-yyyy")</f>
        <v>01-1900</v>
      </c>
    </row>
    <row r="517" spans="14:14" hidden="1" x14ac:dyDescent="0.25">
      <c r="N517" s="16" t="str">
        <f>TEXT(F517,"mm-yyyy")</f>
        <v>01-1900</v>
      </c>
    </row>
    <row r="518" spans="14:14" hidden="1" x14ac:dyDescent="0.25">
      <c r="N518" s="16" t="str">
        <f>TEXT(F518,"mm-yyyy")</f>
        <v>01-1900</v>
      </c>
    </row>
    <row r="519" spans="14:14" hidden="1" x14ac:dyDescent="0.25">
      <c r="N519" s="16" t="str">
        <f>TEXT(F519,"mm-yyyy")</f>
        <v>01-1900</v>
      </c>
    </row>
    <row r="520" spans="14:14" hidden="1" x14ac:dyDescent="0.25">
      <c r="N520" s="16" t="str">
        <f>TEXT(F520,"mm-yyyy")</f>
        <v>01-1900</v>
      </c>
    </row>
    <row r="521" spans="14:14" hidden="1" x14ac:dyDescent="0.25">
      <c r="N521" s="16" t="str">
        <f>TEXT(F521,"mm-yyyy")</f>
        <v>01-1900</v>
      </c>
    </row>
    <row r="522" spans="14:14" hidden="1" x14ac:dyDescent="0.25">
      <c r="N522" s="16" t="str">
        <f>TEXT(F522,"mm-yyyy")</f>
        <v>01-1900</v>
      </c>
    </row>
    <row r="523" spans="14:14" hidden="1" x14ac:dyDescent="0.25">
      <c r="N523" s="16" t="str">
        <f>TEXT(F523,"mm-yyyy")</f>
        <v>01-1900</v>
      </c>
    </row>
    <row r="524" spans="14:14" hidden="1" x14ac:dyDescent="0.25">
      <c r="N524" s="16" t="str">
        <f>TEXT(F524,"mm-yyyy")</f>
        <v>01-1900</v>
      </c>
    </row>
    <row r="525" spans="14:14" hidden="1" x14ac:dyDescent="0.25">
      <c r="N525" s="16" t="str">
        <f>TEXT(F525,"mm-yyyy")</f>
        <v>01-1900</v>
      </c>
    </row>
    <row r="526" spans="14:14" hidden="1" x14ac:dyDescent="0.25">
      <c r="N526" s="16" t="str">
        <f>TEXT(F526,"mm-yyyy")</f>
        <v>01-1900</v>
      </c>
    </row>
    <row r="527" spans="14:14" hidden="1" x14ac:dyDescent="0.25">
      <c r="N527" s="16" t="str">
        <f>TEXT(F527,"mm-yyyy")</f>
        <v>01-1900</v>
      </c>
    </row>
    <row r="528" spans="14:14" hidden="1" x14ac:dyDescent="0.25">
      <c r="N528" s="16" t="str">
        <f>TEXT(F528,"mm-yyyy")</f>
        <v>01-1900</v>
      </c>
    </row>
    <row r="529" spans="14:14" hidden="1" x14ac:dyDescent="0.25">
      <c r="N529" s="16" t="str">
        <f>TEXT(F529,"mm-yyyy")</f>
        <v>01-1900</v>
      </c>
    </row>
    <row r="530" spans="14:14" hidden="1" x14ac:dyDescent="0.25">
      <c r="N530" s="16" t="str">
        <f>TEXT(F530,"mm-yyyy")</f>
        <v>01-1900</v>
      </c>
    </row>
    <row r="531" spans="14:14" hidden="1" x14ac:dyDescent="0.25">
      <c r="N531" s="16" t="str">
        <f>TEXT(F531,"mm-yyyy")</f>
        <v>01-1900</v>
      </c>
    </row>
    <row r="532" spans="14:14" hidden="1" x14ac:dyDescent="0.25">
      <c r="N532" s="16" t="str">
        <f>TEXT(F532,"mm-yyyy")</f>
        <v>01-1900</v>
      </c>
    </row>
    <row r="533" spans="14:14" hidden="1" x14ac:dyDescent="0.25">
      <c r="N533" s="16" t="str">
        <f>TEXT(F533,"mm-yyyy")</f>
        <v>01-1900</v>
      </c>
    </row>
    <row r="534" spans="14:14" hidden="1" x14ac:dyDescent="0.25">
      <c r="N534" s="16" t="str">
        <f>TEXT(F534,"mm-yyyy")</f>
        <v>01-1900</v>
      </c>
    </row>
    <row r="535" spans="14:14" hidden="1" x14ac:dyDescent="0.25">
      <c r="N535" s="16" t="str">
        <f>TEXT(F535,"mm-yyyy")</f>
        <v>01-1900</v>
      </c>
    </row>
    <row r="536" spans="14:14" hidden="1" x14ac:dyDescent="0.25">
      <c r="N536" s="16" t="str">
        <f>TEXT(F536,"mm-yyyy")</f>
        <v>01-1900</v>
      </c>
    </row>
    <row r="537" spans="14:14" hidden="1" x14ac:dyDescent="0.25">
      <c r="N537" s="16" t="str">
        <f>TEXT(F537,"mm-yyyy")</f>
        <v>01-1900</v>
      </c>
    </row>
    <row r="538" spans="14:14" hidden="1" x14ac:dyDescent="0.25">
      <c r="N538" s="16" t="str">
        <f>TEXT(F538,"mm-yyyy")</f>
        <v>01-1900</v>
      </c>
    </row>
    <row r="539" spans="14:14" hidden="1" x14ac:dyDescent="0.25">
      <c r="N539" s="16" t="str">
        <f>TEXT(F539,"mm-yyyy")</f>
        <v>01-1900</v>
      </c>
    </row>
    <row r="540" spans="14:14" hidden="1" x14ac:dyDescent="0.25">
      <c r="N540" s="16" t="str">
        <f>TEXT(F540,"mm-yyyy")</f>
        <v>01-1900</v>
      </c>
    </row>
    <row r="541" spans="14:14" hidden="1" x14ac:dyDescent="0.25">
      <c r="N541" s="16" t="str">
        <f>TEXT(F541,"mm-yyyy")</f>
        <v>01-1900</v>
      </c>
    </row>
    <row r="542" spans="14:14" hidden="1" x14ac:dyDescent="0.25">
      <c r="N542" s="16" t="str">
        <f>TEXT(F542,"mm-yyyy")</f>
        <v>01-1900</v>
      </c>
    </row>
    <row r="543" spans="14:14" hidden="1" x14ac:dyDescent="0.25">
      <c r="N543" s="16" t="str">
        <f>TEXT(F543,"mm-yyyy")</f>
        <v>01-1900</v>
      </c>
    </row>
    <row r="544" spans="14:14" hidden="1" x14ac:dyDescent="0.25">
      <c r="N544" s="16" t="str">
        <f>TEXT(F544,"mm-yyyy")</f>
        <v>01-1900</v>
      </c>
    </row>
    <row r="545" spans="14:14" hidden="1" x14ac:dyDescent="0.25">
      <c r="N545" s="16" t="str">
        <f>TEXT(F545,"mm-yyyy")</f>
        <v>01-1900</v>
      </c>
    </row>
    <row r="546" spans="14:14" hidden="1" x14ac:dyDescent="0.25">
      <c r="N546" s="16" t="str">
        <f>TEXT(F546,"mm-yyyy")</f>
        <v>01-1900</v>
      </c>
    </row>
    <row r="547" spans="14:14" hidden="1" x14ac:dyDescent="0.25">
      <c r="N547" s="16" t="str">
        <f>TEXT(F547,"mm-yyyy")</f>
        <v>01-1900</v>
      </c>
    </row>
    <row r="548" spans="14:14" hidden="1" x14ac:dyDescent="0.25">
      <c r="N548" s="16" t="str">
        <f>TEXT(F548,"mm-yyyy")</f>
        <v>01-1900</v>
      </c>
    </row>
    <row r="549" spans="14:14" hidden="1" x14ac:dyDescent="0.25">
      <c r="N549" s="16" t="str">
        <f>TEXT(F549,"mm-yyyy")</f>
        <v>01-1900</v>
      </c>
    </row>
    <row r="550" spans="14:14" hidden="1" x14ac:dyDescent="0.25">
      <c r="N550" s="16" t="str">
        <f>TEXT(F550,"mm-yyyy")</f>
        <v>01-1900</v>
      </c>
    </row>
    <row r="551" spans="14:14" hidden="1" x14ac:dyDescent="0.25">
      <c r="N551" s="16" t="str">
        <f>TEXT(F551,"mm-yyyy")</f>
        <v>01-1900</v>
      </c>
    </row>
    <row r="552" spans="14:14" hidden="1" x14ac:dyDescent="0.25">
      <c r="N552" s="16" t="str">
        <f>TEXT(F552,"mm-yyyy")</f>
        <v>01-1900</v>
      </c>
    </row>
    <row r="553" spans="14:14" hidden="1" x14ac:dyDescent="0.25">
      <c r="N553" s="16" t="str">
        <f>TEXT(F553,"mm-yyyy")</f>
        <v>01-1900</v>
      </c>
    </row>
    <row r="554" spans="14:14" hidden="1" x14ac:dyDescent="0.25">
      <c r="N554" s="16" t="str">
        <f>TEXT(F554,"mm-yyyy")</f>
        <v>01-1900</v>
      </c>
    </row>
    <row r="555" spans="14:14" hidden="1" x14ac:dyDescent="0.25">
      <c r="N555" s="16" t="str">
        <f>TEXT(F555,"mm-yyyy")</f>
        <v>01-1900</v>
      </c>
    </row>
    <row r="556" spans="14:14" hidden="1" x14ac:dyDescent="0.25">
      <c r="N556" s="16" t="str">
        <f>TEXT(F556,"mm-yyyy")</f>
        <v>01-1900</v>
      </c>
    </row>
    <row r="557" spans="14:14" hidden="1" x14ac:dyDescent="0.25">
      <c r="N557" s="16" t="str">
        <f>TEXT(F557,"mm-yyyy")</f>
        <v>01-1900</v>
      </c>
    </row>
    <row r="558" spans="14:14" hidden="1" x14ac:dyDescent="0.25">
      <c r="N558" s="16" t="str">
        <f>TEXT(F558,"mm-yyyy")</f>
        <v>01-1900</v>
      </c>
    </row>
    <row r="559" spans="14:14" hidden="1" x14ac:dyDescent="0.25">
      <c r="N559" s="16" t="str">
        <f>TEXT(F559,"mm-yyyy")</f>
        <v>01-1900</v>
      </c>
    </row>
    <row r="560" spans="14:14" hidden="1" x14ac:dyDescent="0.25">
      <c r="N560" s="16" t="str">
        <f>TEXT(F560,"mm-yyyy")</f>
        <v>01-1900</v>
      </c>
    </row>
    <row r="561" spans="14:14" hidden="1" x14ac:dyDescent="0.25">
      <c r="N561" s="16" t="str">
        <f>TEXT(F561,"mm-yyyy")</f>
        <v>01-1900</v>
      </c>
    </row>
    <row r="562" spans="14:14" hidden="1" x14ac:dyDescent="0.25">
      <c r="N562" s="16" t="str">
        <f>TEXT(F562,"mm-yyyy")</f>
        <v>01-1900</v>
      </c>
    </row>
    <row r="563" spans="14:14" hidden="1" x14ac:dyDescent="0.25">
      <c r="N563" s="16" t="str">
        <f>TEXT(F563,"mm-yyyy")</f>
        <v>01-1900</v>
      </c>
    </row>
    <row r="564" spans="14:14" hidden="1" x14ac:dyDescent="0.25">
      <c r="N564" s="16" t="str">
        <f>TEXT(F564,"mm-yyyy")</f>
        <v>01-1900</v>
      </c>
    </row>
    <row r="565" spans="14:14" hidden="1" x14ac:dyDescent="0.25">
      <c r="N565" s="16" t="str">
        <f>TEXT(F565,"mm-yyyy")</f>
        <v>01-1900</v>
      </c>
    </row>
    <row r="566" spans="14:14" hidden="1" x14ac:dyDescent="0.25">
      <c r="N566" s="16" t="str">
        <f>TEXT(F566,"mm-yyyy")</f>
        <v>01-1900</v>
      </c>
    </row>
    <row r="567" spans="14:14" hidden="1" x14ac:dyDescent="0.25">
      <c r="N567" s="16" t="str">
        <f>TEXT(F567,"mm-yyyy")</f>
        <v>01-1900</v>
      </c>
    </row>
    <row r="568" spans="14:14" hidden="1" x14ac:dyDescent="0.25">
      <c r="N568" s="16" t="str">
        <f>TEXT(F568,"mm-yyyy")</f>
        <v>01-1900</v>
      </c>
    </row>
    <row r="569" spans="14:14" hidden="1" x14ac:dyDescent="0.25">
      <c r="N569" s="16" t="str">
        <f>TEXT(F569,"mm-yyyy")</f>
        <v>01-1900</v>
      </c>
    </row>
    <row r="570" spans="14:14" hidden="1" x14ac:dyDescent="0.25">
      <c r="N570" s="16" t="str">
        <f>TEXT(F570,"mm-yyyy")</f>
        <v>01-1900</v>
      </c>
    </row>
    <row r="571" spans="14:14" hidden="1" x14ac:dyDescent="0.25">
      <c r="N571" s="16" t="str">
        <f>TEXT(F571,"mm-yyyy")</f>
        <v>01-1900</v>
      </c>
    </row>
    <row r="572" spans="14:14" hidden="1" x14ac:dyDescent="0.25">
      <c r="N572" s="16" t="str">
        <f>TEXT(F572,"mm-yyyy")</f>
        <v>01-1900</v>
      </c>
    </row>
    <row r="573" spans="14:14" hidden="1" x14ac:dyDescent="0.25">
      <c r="N573" s="16" t="str">
        <f>TEXT(F573,"mm-yyyy")</f>
        <v>01-1900</v>
      </c>
    </row>
    <row r="574" spans="14:14" hidden="1" x14ac:dyDescent="0.25">
      <c r="N574" s="16" t="str">
        <f>TEXT(F574,"mm-yyyy")</f>
        <v>01-1900</v>
      </c>
    </row>
    <row r="575" spans="14:14" hidden="1" x14ac:dyDescent="0.25">
      <c r="N575" s="16" t="str">
        <f>TEXT(F575,"mm-yyyy")</f>
        <v>01-1900</v>
      </c>
    </row>
    <row r="576" spans="14:14" hidden="1" x14ac:dyDescent="0.25">
      <c r="N576" s="16" t="str">
        <f>TEXT(F576,"mm-yyyy")</f>
        <v>01-1900</v>
      </c>
    </row>
    <row r="577" spans="14:14" hidden="1" x14ac:dyDescent="0.25">
      <c r="N577" s="16" t="str">
        <f>TEXT(F577,"mm-yyyy")</f>
        <v>01-1900</v>
      </c>
    </row>
    <row r="578" spans="14:14" hidden="1" x14ac:dyDescent="0.25">
      <c r="N578" s="16" t="str">
        <f>TEXT(F578,"mm-yyyy")</f>
        <v>01-1900</v>
      </c>
    </row>
    <row r="579" spans="14:14" hidden="1" x14ac:dyDescent="0.25">
      <c r="N579" s="16" t="str">
        <f>TEXT(F579,"mm-yyyy")</f>
        <v>01-1900</v>
      </c>
    </row>
    <row r="580" spans="14:14" hidden="1" x14ac:dyDescent="0.25">
      <c r="N580" s="16" t="str">
        <f>TEXT(F580,"mm-yyyy")</f>
        <v>01-1900</v>
      </c>
    </row>
    <row r="581" spans="14:14" hidden="1" x14ac:dyDescent="0.25">
      <c r="N581" s="16" t="str">
        <f>TEXT(F581,"mm-yyyy")</f>
        <v>01-1900</v>
      </c>
    </row>
    <row r="582" spans="14:14" hidden="1" x14ac:dyDescent="0.25">
      <c r="N582" s="16" t="str">
        <f>TEXT(F582,"mm-yyyy")</f>
        <v>01-1900</v>
      </c>
    </row>
    <row r="583" spans="14:14" hidden="1" x14ac:dyDescent="0.25">
      <c r="N583" s="16" t="str">
        <f>TEXT(F583,"mm-yyyy")</f>
        <v>01-1900</v>
      </c>
    </row>
    <row r="584" spans="14:14" hidden="1" x14ac:dyDescent="0.25">
      <c r="N584" s="16" t="str">
        <f>TEXT(F584,"mm-yyyy")</f>
        <v>01-1900</v>
      </c>
    </row>
    <row r="585" spans="14:14" hidden="1" x14ac:dyDescent="0.25">
      <c r="N585" s="16" t="str">
        <f>TEXT(F585,"mm-yyyy")</f>
        <v>01-1900</v>
      </c>
    </row>
    <row r="586" spans="14:14" hidden="1" x14ac:dyDescent="0.25">
      <c r="N586" s="16" t="str">
        <f>TEXT(F586,"mm-yyyy")</f>
        <v>01-1900</v>
      </c>
    </row>
    <row r="587" spans="14:14" hidden="1" x14ac:dyDescent="0.25">
      <c r="N587" s="16" t="str">
        <f>TEXT(F587,"mm-yyyy")</f>
        <v>01-1900</v>
      </c>
    </row>
    <row r="588" spans="14:14" hidden="1" x14ac:dyDescent="0.25">
      <c r="N588" s="16" t="str">
        <f>TEXT(F588,"mm-yyyy")</f>
        <v>01-1900</v>
      </c>
    </row>
    <row r="589" spans="14:14" hidden="1" x14ac:dyDescent="0.25">
      <c r="N589" s="16" t="str">
        <f>TEXT(F589,"mm-yyyy")</f>
        <v>01-1900</v>
      </c>
    </row>
    <row r="590" spans="14:14" hidden="1" x14ac:dyDescent="0.25">
      <c r="N590" s="16" t="str">
        <f>TEXT(F590,"mm-yyyy")</f>
        <v>01-1900</v>
      </c>
    </row>
    <row r="591" spans="14:14" hidden="1" x14ac:dyDescent="0.25">
      <c r="N591" s="16" t="str">
        <f>TEXT(F591,"mm-yyyy")</f>
        <v>01-1900</v>
      </c>
    </row>
    <row r="592" spans="14:14" hidden="1" x14ac:dyDescent="0.25">
      <c r="N592" s="16" t="str">
        <f>TEXT(F592,"mm-yyyy")</f>
        <v>01-1900</v>
      </c>
    </row>
    <row r="593" spans="14:14" hidden="1" x14ac:dyDescent="0.25">
      <c r="N593" s="16" t="str">
        <f>TEXT(F593,"mm-yyyy")</f>
        <v>01-1900</v>
      </c>
    </row>
    <row r="594" spans="14:14" hidden="1" x14ac:dyDescent="0.25">
      <c r="N594" s="16" t="str">
        <f>TEXT(F594,"mm-yyyy")</f>
        <v>01-1900</v>
      </c>
    </row>
    <row r="595" spans="14:14" hidden="1" x14ac:dyDescent="0.25">
      <c r="N595" s="16" t="str">
        <f>TEXT(F595,"mm-yyyy")</f>
        <v>01-1900</v>
      </c>
    </row>
    <row r="596" spans="14:14" hidden="1" x14ac:dyDescent="0.25">
      <c r="N596" s="16" t="str">
        <f>TEXT(F596,"mm-yyyy")</f>
        <v>01-1900</v>
      </c>
    </row>
    <row r="597" spans="14:14" hidden="1" x14ac:dyDescent="0.25">
      <c r="N597" s="16" t="str">
        <f>TEXT(F597,"mm-yyyy")</f>
        <v>01-1900</v>
      </c>
    </row>
    <row r="598" spans="14:14" hidden="1" x14ac:dyDescent="0.25">
      <c r="N598" s="16" t="str">
        <f>TEXT(F598,"mm-yyyy")</f>
        <v>01-1900</v>
      </c>
    </row>
    <row r="599" spans="14:14" hidden="1" x14ac:dyDescent="0.25">
      <c r="N599" s="16" t="str">
        <f>TEXT(F599,"mm-yyyy")</f>
        <v>01-1900</v>
      </c>
    </row>
    <row r="600" spans="14:14" hidden="1" x14ac:dyDescent="0.25">
      <c r="N600" s="16" t="str">
        <f>TEXT(F600,"mm-yyyy")</f>
        <v>01-1900</v>
      </c>
    </row>
    <row r="601" spans="14:14" hidden="1" x14ac:dyDescent="0.25">
      <c r="N601" s="16" t="str">
        <f>TEXT(F601,"mm-yyyy")</f>
        <v>01-1900</v>
      </c>
    </row>
    <row r="602" spans="14:14" hidden="1" x14ac:dyDescent="0.25">
      <c r="N602" s="16" t="str">
        <f>TEXT(F602,"mm-yyyy")</f>
        <v>01-1900</v>
      </c>
    </row>
    <row r="603" spans="14:14" hidden="1" x14ac:dyDescent="0.25">
      <c r="N603" s="16" t="str">
        <f>TEXT(F603,"mm-yyyy")</f>
        <v>01-1900</v>
      </c>
    </row>
    <row r="604" spans="14:14" hidden="1" x14ac:dyDescent="0.25">
      <c r="N604" s="16" t="str">
        <f>TEXT(F604,"mm-yyyy")</f>
        <v>01-1900</v>
      </c>
    </row>
    <row r="605" spans="14:14" hidden="1" x14ac:dyDescent="0.25">
      <c r="N605" s="16" t="str">
        <f>TEXT(F605,"mm-yyyy")</f>
        <v>01-1900</v>
      </c>
    </row>
    <row r="606" spans="14:14" hidden="1" x14ac:dyDescent="0.25">
      <c r="N606" s="16" t="str">
        <f>TEXT(F606,"mm-yyyy")</f>
        <v>01-1900</v>
      </c>
    </row>
    <row r="607" spans="14:14" hidden="1" x14ac:dyDescent="0.25">
      <c r="N607" s="16" t="str">
        <f>TEXT(F607,"mm-yyyy")</f>
        <v>01-1900</v>
      </c>
    </row>
    <row r="608" spans="14:14" hidden="1" x14ac:dyDescent="0.25">
      <c r="N608" s="16" t="str">
        <f>TEXT(F608,"mm-yyyy")</f>
        <v>01-1900</v>
      </c>
    </row>
    <row r="609" spans="14:14" hidden="1" x14ac:dyDescent="0.25">
      <c r="N609" s="16" t="str">
        <f>TEXT(F609,"mm-yyyy")</f>
        <v>01-1900</v>
      </c>
    </row>
    <row r="610" spans="14:14" hidden="1" x14ac:dyDescent="0.25">
      <c r="N610" s="16" t="str">
        <f>TEXT(F610,"mm-yyyy")</f>
        <v>01-1900</v>
      </c>
    </row>
    <row r="611" spans="14:14" hidden="1" x14ac:dyDescent="0.25">
      <c r="N611" s="16" t="str">
        <f>TEXT(F611,"mm-yyyy")</f>
        <v>01-1900</v>
      </c>
    </row>
    <row r="612" spans="14:14" hidden="1" x14ac:dyDescent="0.25">
      <c r="N612" s="16" t="str">
        <f>TEXT(F612,"mm-yyyy")</f>
        <v>01-1900</v>
      </c>
    </row>
    <row r="613" spans="14:14" hidden="1" x14ac:dyDescent="0.25">
      <c r="N613" s="16" t="str">
        <f>TEXT(F613,"mm-yyyy")</f>
        <v>01-1900</v>
      </c>
    </row>
    <row r="614" spans="14:14" hidden="1" x14ac:dyDescent="0.25">
      <c r="N614" s="16" t="str">
        <f>TEXT(F614,"mm-yyyy")</f>
        <v>01-1900</v>
      </c>
    </row>
    <row r="615" spans="14:14" hidden="1" x14ac:dyDescent="0.25">
      <c r="N615" s="16" t="str">
        <f>TEXT(F615,"mm-yyyy")</f>
        <v>01-1900</v>
      </c>
    </row>
    <row r="616" spans="14:14" hidden="1" x14ac:dyDescent="0.25">
      <c r="N616" s="16" t="str">
        <f>TEXT(F616,"mm-yyyy")</f>
        <v>01-1900</v>
      </c>
    </row>
    <row r="617" spans="14:14" hidden="1" x14ac:dyDescent="0.25">
      <c r="N617" s="16" t="str">
        <f>TEXT(F617,"mm-yyyy")</f>
        <v>01-1900</v>
      </c>
    </row>
    <row r="618" spans="14:14" hidden="1" x14ac:dyDescent="0.25">
      <c r="N618" s="16" t="str">
        <f>TEXT(F618,"mm-yyyy")</f>
        <v>01-1900</v>
      </c>
    </row>
    <row r="619" spans="14:14" hidden="1" x14ac:dyDescent="0.25">
      <c r="N619" s="16" t="str">
        <f>TEXT(F619,"mm-yyyy")</f>
        <v>01-1900</v>
      </c>
    </row>
    <row r="620" spans="14:14" hidden="1" x14ac:dyDescent="0.25">
      <c r="N620" s="16" t="str">
        <f>TEXT(F620,"mm-yyyy")</f>
        <v>01-1900</v>
      </c>
    </row>
    <row r="621" spans="14:14" hidden="1" x14ac:dyDescent="0.25">
      <c r="N621" s="16" t="str">
        <f>TEXT(F621,"mm-yyyy")</f>
        <v>01-1900</v>
      </c>
    </row>
    <row r="622" spans="14:14" hidden="1" x14ac:dyDescent="0.25">
      <c r="N622" s="16" t="str">
        <f>TEXT(F622,"mm-yyyy")</f>
        <v>01-1900</v>
      </c>
    </row>
    <row r="623" spans="14:14" hidden="1" x14ac:dyDescent="0.25">
      <c r="N623" s="16" t="str">
        <f>TEXT(F623,"mm-yyyy")</f>
        <v>01-1900</v>
      </c>
    </row>
    <row r="624" spans="14:14" hidden="1" x14ac:dyDescent="0.25">
      <c r="N624" s="16" t="str">
        <f>TEXT(F624,"mm-yyyy")</f>
        <v>01-1900</v>
      </c>
    </row>
    <row r="625" spans="14:14" hidden="1" x14ac:dyDescent="0.25">
      <c r="N625" s="16" t="str">
        <f>TEXT(F625,"mm-yyyy")</f>
        <v>01-1900</v>
      </c>
    </row>
    <row r="626" spans="14:14" hidden="1" x14ac:dyDescent="0.25">
      <c r="N626" s="16" t="str">
        <f>TEXT(F626,"mm-yyyy")</f>
        <v>01-1900</v>
      </c>
    </row>
    <row r="627" spans="14:14" hidden="1" x14ac:dyDescent="0.25">
      <c r="N627" s="16" t="str">
        <f>TEXT(F627,"mm-yyyy")</f>
        <v>01-1900</v>
      </c>
    </row>
    <row r="628" spans="14:14" hidden="1" x14ac:dyDescent="0.25">
      <c r="N628" s="16" t="str">
        <f>TEXT(F628,"mm-yyyy")</f>
        <v>01-1900</v>
      </c>
    </row>
    <row r="629" spans="14:14" hidden="1" x14ac:dyDescent="0.25">
      <c r="N629" s="16" t="str">
        <f>TEXT(F629,"mm-yyyy")</f>
        <v>01-1900</v>
      </c>
    </row>
    <row r="630" spans="14:14" hidden="1" x14ac:dyDescent="0.25">
      <c r="N630" s="16" t="str">
        <f>TEXT(F630,"mm-yyyy")</f>
        <v>01-1900</v>
      </c>
    </row>
    <row r="631" spans="14:14" hidden="1" x14ac:dyDescent="0.25">
      <c r="N631" s="16" t="str">
        <f>TEXT(F631,"mm-yyyy")</f>
        <v>01-1900</v>
      </c>
    </row>
    <row r="632" spans="14:14" hidden="1" x14ac:dyDescent="0.25">
      <c r="N632" s="16" t="str">
        <f>TEXT(F632,"mm-yyyy")</f>
        <v>01-1900</v>
      </c>
    </row>
    <row r="633" spans="14:14" hidden="1" x14ac:dyDescent="0.25">
      <c r="N633" s="16" t="str">
        <f>TEXT(F633,"mm-yyyy")</f>
        <v>01-1900</v>
      </c>
    </row>
    <row r="634" spans="14:14" hidden="1" x14ac:dyDescent="0.25">
      <c r="N634" s="16" t="str">
        <f>TEXT(F634,"mm-yyyy")</f>
        <v>01-1900</v>
      </c>
    </row>
    <row r="635" spans="14:14" hidden="1" x14ac:dyDescent="0.25">
      <c r="N635" s="16" t="str">
        <f>TEXT(F635,"mm-yyyy")</f>
        <v>01-1900</v>
      </c>
    </row>
    <row r="636" spans="14:14" hidden="1" x14ac:dyDescent="0.25">
      <c r="N636" s="16" t="str">
        <f>TEXT(F636,"mm-yyyy")</f>
        <v>01-1900</v>
      </c>
    </row>
    <row r="637" spans="14:14" hidden="1" x14ac:dyDescent="0.25">
      <c r="N637" s="16" t="str">
        <f>TEXT(F637,"mm-yyyy")</f>
        <v>01-1900</v>
      </c>
    </row>
    <row r="638" spans="14:14" hidden="1" x14ac:dyDescent="0.25">
      <c r="N638" s="16" t="str">
        <f>TEXT(F638,"mm-yyyy")</f>
        <v>01-1900</v>
      </c>
    </row>
    <row r="639" spans="14:14" hidden="1" x14ac:dyDescent="0.25">
      <c r="N639" s="16" t="str">
        <f>TEXT(F639,"mm-yyyy")</f>
        <v>01-1900</v>
      </c>
    </row>
    <row r="640" spans="14:14" hidden="1" x14ac:dyDescent="0.25">
      <c r="N640" s="16" t="str">
        <f>TEXT(F640,"mm-yyyy")</f>
        <v>01-1900</v>
      </c>
    </row>
    <row r="641" spans="14:14" hidden="1" x14ac:dyDescent="0.25">
      <c r="N641" s="16" t="str">
        <f>TEXT(F641,"mm-yyyy")</f>
        <v>01-1900</v>
      </c>
    </row>
    <row r="642" spans="14:14" hidden="1" x14ac:dyDescent="0.25">
      <c r="N642" s="16" t="str">
        <f>TEXT(F642,"mm-yyyy")</f>
        <v>01-1900</v>
      </c>
    </row>
    <row r="643" spans="14:14" hidden="1" x14ac:dyDescent="0.25">
      <c r="N643" s="16" t="str">
        <f>TEXT(F643,"mm-yyyy")</f>
        <v>01-1900</v>
      </c>
    </row>
    <row r="644" spans="14:14" hidden="1" x14ac:dyDescent="0.25">
      <c r="N644" s="16" t="str">
        <f>TEXT(F644,"mm-yyyy")</f>
        <v>01-1900</v>
      </c>
    </row>
    <row r="645" spans="14:14" hidden="1" x14ac:dyDescent="0.25">
      <c r="N645" s="16" t="str">
        <f>TEXT(F645,"mm-yyyy")</f>
        <v>01-1900</v>
      </c>
    </row>
    <row r="646" spans="14:14" hidden="1" x14ac:dyDescent="0.25">
      <c r="N646" s="16" t="str">
        <f>TEXT(F646,"mm-yyyy")</f>
        <v>01-1900</v>
      </c>
    </row>
    <row r="647" spans="14:14" hidden="1" x14ac:dyDescent="0.25">
      <c r="N647" s="16" t="str">
        <f>TEXT(F647,"mm-yyyy")</f>
        <v>01-1900</v>
      </c>
    </row>
    <row r="648" spans="14:14" hidden="1" x14ac:dyDescent="0.25">
      <c r="N648" s="16" t="str">
        <f>TEXT(F648,"mm-yyyy")</f>
        <v>01-1900</v>
      </c>
    </row>
    <row r="649" spans="14:14" hidden="1" x14ac:dyDescent="0.25">
      <c r="N649" s="16" t="str">
        <f>TEXT(F649,"mm-yyyy")</f>
        <v>01-1900</v>
      </c>
    </row>
    <row r="650" spans="14:14" hidden="1" x14ac:dyDescent="0.25">
      <c r="N650" s="16" t="str">
        <f>TEXT(F650,"mm-yyyy")</f>
        <v>01-1900</v>
      </c>
    </row>
    <row r="651" spans="14:14" hidden="1" x14ac:dyDescent="0.25">
      <c r="N651" s="16" t="str">
        <f>TEXT(F651,"mm-yyyy")</f>
        <v>01-1900</v>
      </c>
    </row>
    <row r="652" spans="14:14" hidden="1" x14ac:dyDescent="0.25">
      <c r="N652" s="16" t="str">
        <f>TEXT(F652,"mm-yyyy")</f>
        <v>01-1900</v>
      </c>
    </row>
    <row r="653" spans="14:14" hidden="1" x14ac:dyDescent="0.25">
      <c r="N653" s="16" t="str">
        <f>TEXT(F653,"mm-yyyy")</f>
        <v>01-1900</v>
      </c>
    </row>
    <row r="654" spans="14:14" hidden="1" x14ac:dyDescent="0.25">
      <c r="N654" s="16" t="str">
        <f>TEXT(F654,"mm-yyyy")</f>
        <v>01-1900</v>
      </c>
    </row>
    <row r="655" spans="14:14" hidden="1" x14ac:dyDescent="0.25">
      <c r="N655" s="16" t="str">
        <f>TEXT(F655,"mm-yyyy")</f>
        <v>01-1900</v>
      </c>
    </row>
    <row r="656" spans="14:14" hidden="1" x14ac:dyDescent="0.25">
      <c r="N656" s="16" t="str">
        <f>TEXT(F656,"mm-yyyy")</f>
        <v>01-1900</v>
      </c>
    </row>
    <row r="657" spans="14:14" hidden="1" x14ac:dyDescent="0.25">
      <c r="N657" s="16" t="str">
        <f>TEXT(F657,"mm-yyyy")</f>
        <v>01-1900</v>
      </c>
    </row>
    <row r="658" spans="14:14" hidden="1" x14ac:dyDescent="0.25">
      <c r="N658" s="16" t="str">
        <f>TEXT(F658,"mm-yyyy")</f>
        <v>01-1900</v>
      </c>
    </row>
    <row r="659" spans="14:14" hidden="1" x14ac:dyDescent="0.25">
      <c r="N659" s="16" t="str">
        <f>TEXT(F659,"mm-yyyy")</f>
        <v>01-1900</v>
      </c>
    </row>
    <row r="660" spans="14:14" hidden="1" x14ac:dyDescent="0.25">
      <c r="N660" s="16" t="str">
        <f>TEXT(F660,"mm-yyyy")</f>
        <v>01-1900</v>
      </c>
    </row>
    <row r="661" spans="14:14" hidden="1" x14ac:dyDescent="0.25">
      <c r="N661" s="16" t="str">
        <f>TEXT(F661,"mm-yyyy")</f>
        <v>01-1900</v>
      </c>
    </row>
    <row r="662" spans="14:14" hidden="1" x14ac:dyDescent="0.25">
      <c r="N662" s="16" t="str">
        <f>TEXT(F662,"mm-yyyy")</f>
        <v>01-1900</v>
      </c>
    </row>
    <row r="663" spans="14:14" hidden="1" x14ac:dyDescent="0.25">
      <c r="N663" s="16" t="str">
        <f>TEXT(F663,"mm-yyyy")</f>
        <v>01-1900</v>
      </c>
    </row>
    <row r="664" spans="14:14" hidden="1" x14ac:dyDescent="0.25">
      <c r="N664" s="16" t="str">
        <f>TEXT(F664,"mm-yyyy")</f>
        <v>01-1900</v>
      </c>
    </row>
    <row r="665" spans="14:14" hidden="1" x14ac:dyDescent="0.25">
      <c r="N665" s="16" t="str">
        <f>TEXT(F665,"mm-yyyy")</f>
        <v>01-1900</v>
      </c>
    </row>
    <row r="666" spans="14:14" hidden="1" x14ac:dyDescent="0.25">
      <c r="N666" s="16" t="str">
        <f>TEXT(F666,"mm-yyyy")</f>
        <v>01-1900</v>
      </c>
    </row>
    <row r="667" spans="14:14" hidden="1" x14ac:dyDescent="0.25">
      <c r="N667" s="16" t="str">
        <f>TEXT(F667,"mm-yyyy")</f>
        <v>01-1900</v>
      </c>
    </row>
    <row r="668" spans="14:14" hidden="1" x14ac:dyDescent="0.25">
      <c r="N668" s="16" t="str">
        <f>TEXT(F668,"mm-yyyy")</f>
        <v>01-1900</v>
      </c>
    </row>
    <row r="669" spans="14:14" hidden="1" x14ac:dyDescent="0.25">
      <c r="N669" s="16" t="str">
        <f>TEXT(F669,"mm-yyyy")</f>
        <v>01-1900</v>
      </c>
    </row>
    <row r="670" spans="14:14" hidden="1" x14ac:dyDescent="0.25">
      <c r="N670" s="16" t="str">
        <f>TEXT(F670,"mm-yyyy")</f>
        <v>01-1900</v>
      </c>
    </row>
    <row r="671" spans="14:14" hidden="1" x14ac:dyDescent="0.25">
      <c r="N671" s="16" t="str">
        <f>TEXT(F671,"mm-yyyy")</f>
        <v>01-1900</v>
      </c>
    </row>
    <row r="672" spans="14:14" hidden="1" x14ac:dyDescent="0.25">
      <c r="N672" s="16" t="str">
        <f>TEXT(F672,"mm-yyyy")</f>
        <v>01-1900</v>
      </c>
    </row>
    <row r="673" spans="3:14" x14ac:dyDescent="0.25">
      <c r="C673" t="str">
        <f>IF(COUNTBLANK(E673:M673) = 9,"",IF(AND(NOT(ISBLANK(E673)),COUNTBLANK(E673:M673) = 8),"3 Delete",IF(ISBLANK(E673),"2 Add",IF(JenkinsHashRange(E673:M673) = "491098999","0 Original","1 Modify"))))</f>
        <v>0 Original</v>
      </c>
      <c r="D673" s="3" t="s">
        <v>992</v>
      </c>
      <c r="E673" s="5">
        <v>18</v>
      </c>
      <c r="F673" s="11">
        <v>42018</v>
      </c>
      <c r="G673" t="s">
        <v>163</v>
      </c>
      <c r="H673" s="9">
        <v>31.95</v>
      </c>
      <c r="I673" s="7" t="s">
        <v>970</v>
      </c>
      <c r="J673" s="7">
        <v>42748.047268518516</v>
      </c>
      <c r="K673" s="3" t="s">
        <v>970</v>
      </c>
      <c r="L673" s="7">
        <v>42748.047268518516</v>
      </c>
      <c r="M673" s="3" t="s">
        <v>970</v>
      </c>
      <c r="N673" s="16" t="str">
        <f>TEXT(F673,"mm-yyyy")</f>
        <v>01-2015</v>
      </c>
    </row>
    <row r="674" spans="3:14" x14ac:dyDescent="0.25">
      <c r="C674" t="str">
        <f>IF(COUNTBLANK(E674:M674) = 9,"",IF(AND(NOT(ISBLANK(E674)),COUNTBLANK(E674:M674) = 8),"3 Delete",IF(ISBLANK(E674),"2 Add",IF(JenkinsHashRange(E674:M674) = "1840442974","0 Original","1 Modify"))))</f>
        <v>0 Original</v>
      </c>
      <c r="D674" s="3" t="s">
        <v>997</v>
      </c>
      <c r="E674" s="5">
        <v>49</v>
      </c>
      <c r="F674" s="11">
        <v>42014</v>
      </c>
      <c r="G674" t="s">
        <v>334</v>
      </c>
      <c r="H674" s="9">
        <v>39.96</v>
      </c>
      <c r="I674" s="7" t="s">
        <v>970</v>
      </c>
      <c r="J674" s="7">
        <v>42748.047268518516</v>
      </c>
      <c r="K674" s="3" t="s">
        <v>970</v>
      </c>
      <c r="L674" s="7">
        <v>42748.047268518516</v>
      </c>
      <c r="M674" s="3" t="s">
        <v>970</v>
      </c>
      <c r="N674" s="16" t="str">
        <f>TEXT(F674,"mm-yyyy")</f>
        <v>01-2015</v>
      </c>
    </row>
    <row r="675" spans="3:14" x14ac:dyDescent="0.25">
      <c r="C675" t="str">
        <f>IF(COUNTBLANK(E675:M675) = 9,"",IF(AND(NOT(ISBLANK(E675)),COUNTBLANK(E675:M675) = 8),"3 Delete",IF(ISBLANK(E675),"2 Add",IF(JenkinsHashRange(E675:M675) = "528232318","0 Original","1 Modify"))))</f>
        <v>0 Original</v>
      </c>
      <c r="D675" s="3" t="s">
        <v>998</v>
      </c>
      <c r="E675" s="5">
        <v>50</v>
      </c>
      <c r="F675" s="11">
        <v>42016</v>
      </c>
      <c r="G675" t="s">
        <v>199</v>
      </c>
      <c r="H675" s="9">
        <v>9.99</v>
      </c>
      <c r="I675" s="7" t="s">
        <v>970</v>
      </c>
      <c r="J675" s="7">
        <v>42748.047268518516</v>
      </c>
      <c r="K675" s="3" t="s">
        <v>970</v>
      </c>
      <c r="L675" s="7">
        <v>42748.047268518516</v>
      </c>
      <c r="M675" s="3" t="s">
        <v>970</v>
      </c>
      <c r="N675" s="16" t="str">
        <f>TEXT(F675,"mm-yyyy")</f>
        <v>01-2015</v>
      </c>
    </row>
    <row r="676" spans="3:14" x14ac:dyDescent="0.25">
      <c r="C676" t="str">
        <f>IF(COUNTBLANK(E676:M676) = 9,"",IF(AND(NOT(ISBLANK(E676)),COUNTBLANK(E676:M676) = 8),"3 Delete",IF(ISBLANK(E676),"2 Add",IF(JenkinsHashRange(E676:M676) = "1535667203","0 Original","1 Modify"))))</f>
        <v>0 Original</v>
      </c>
      <c r="D676" s="3" t="s">
        <v>1007</v>
      </c>
      <c r="E676" s="5">
        <v>90</v>
      </c>
      <c r="F676" s="11">
        <v>42022</v>
      </c>
      <c r="G676" t="s">
        <v>163</v>
      </c>
      <c r="H676" s="9">
        <v>29.96</v>
      </c>
      <c r="I676" s="7" t="s">
        <v>970</v>
      </c>
      <c r="J676" s="7">
        <v>42748.047268518516</v>
      </c>
      <c r="K676" s="3" t="s">
        <v>970</v>
      </c>
      <c r="L676" s="7">
        <v>42748.047268518516</v>
      </c>
      <c r="M676" s="3" t="s">
        <v>970</v>
      </c>
      <c r="N676" s="16" t="str">
        <f>TEXT(F676,"mm-yyyy")</f>
        <v>01-2015</v>
      </c>
    </row>
    <row r="677" spans="3:14" x14ac:dyDescent="0.25">
      <c r="C677" t="str">
        <f>IF(COUNTBLANK(E677:M677) = 9,"",IF(AND(NOT(ISBLANK(E677)),COUNTBLANK(E677:M677) = 8),"3 Delete",IF(ISBLANK(E677),"2 Add",IF(JenkinsHashRange(E677:M677) = "91615092","0 Original","1 Modify"))))</f>
        <v>0 Original</v>
      </c>
      <c r="D677" s="3" t="s">
        <v>1009</v>
      </c>
      <c r="E677" s="5">
        <v>99</v>
      </c>
      <c r="F677" s="11">
        <v>42019</v>
      </c>
      <c r="G677" t="s">
        <v>307</v>
      </c>
      <c r="H677" s="9">
        <v>13.98</v>
      </c>
      <c r="I677" s="7" t="s">
        <v>970</v>
      </c>
      <c r="J677" s="7">
        <v>42748.047268518516</v>
      </c>
      <c r="K677" s="3" t="s">
        <v>970</v>
      </c>
      <c r="L677" s="7">
        <v>42748.047268518516</v>
      </c>
      <c r="M677" s="3" t="s">
        <v>970</v>
      </c>
      <c r="N677" s="16" t="str">
        <f>TEXT(F677,"mm-yyyy")</f>
        <v>01-2015</v>
      </c>
    </row>
    <row r="678" spans="3:14" x14ac:dyDescent="0.25">
      <c r="C678" t="str">
        <f>IF(COUNTBLANK(E678:M678) = 9,"",IF(AND(NOT(ISBLANK(E678)),COUNTBLANK(E678:M678) = 8),"3 Delete",IF(ISBLANK(E678),"2 Add",IF(JenkinsHashRange(E678:M678) = "1567124671","0 Original","1 Modify"))))</f>
        <v>0 Original</v>
      </c>
      <c r="D678" s="3" t="s">
        <v>1011</v>
      </c>
      <c r="E678" s="5">
        <v>110</v>
      </c>
      <c r="F678" s="11">
        <v>42028</v>
      </c>
      <c r="G678" t="s">
        <v>241</v>
      </c>
      <c r="H678" s="9">
        <v>25.97</v>
      </c>
      <c r="I678" s="7" t="s">
        <v>970</v>
      </c>
      <c r="J678" s="7">
        <v>42748.047268518516</v>
      </c>
      <c r="K678" s="3" t="s">
        <v>970</v>
      </c>
      <c r="L678" s="7">
        <v>42748.047268518516</v>
      </c>
      <c r="M678" s="3" t="s">
        <v>970</v>
      </c>
      <c r="N678" s="16" t="str">
        <f>TEXT(F678,"mm-yyyy")</f>
        <v>01-2015</v>
      </c>
    </row>
    <row r="679" spans="3:14" x14ac:dyDescent="0.25">
      <c r="C679" t="str">
        <f>IF(COUNTBLANK(E679:M679) = 9,"",IF(AND(NOT(ISBLANK(E679)),COUNTBLANK(E679:M679) = 8),"3 Delete",IF(ISBLANK(E679),"2 Add",IF(JenkinsHashRange(E679:M679) = "1282801703","0 Original","1 Modify"))))</f>
        <v>0 Original</v>
      </c>
      <c r="D679" s="3" t="s">
        <v>1012</v>
      </c>
      <c r="E679" s="5">
        <v>118</v>
      </c>
      <c r="F679" s="11">
        <v>42026</v>
      </c>
      <c r="G679" t="s">
        <v>214</v>
      </c>
      <c r="H679" s="9">
        <v>17.98</v>
      </c>
      <c r="I679" s="7" t="s">
        <v>970</v>
      </c>
      <c r="J679" s="7">
        <v>42748.047268518516</v>
      </c>
      <c r="K679" s="3" t="s">
        <v>970</v>
      </c>
      <c r="L679" s="7">
        <v>42748.047268518516</v>
      </c>
      <c r="M679" s="3" t="s">
        <v>970</v>
      </c>
      <c r="N679" s="16" t="str">
        <f>TEXT(F679,"mm-yyyy")</f>
        <v>01-2015</v>
      </c>
    </row>
    <row r="680" spans="3:14" x14ac:dyDescent="0.25">
      <c r="C680" t="str">
        <f>IF(COUNTBLANK(E680:M680) = 9,"",IF(AND(NOT(ISBLANK(E680)),COUNTBLANK(E680:M680) = 8),"3 Delete",IF(ISBLANK(E680),"2 Add",IF(JenkinsHashRange(E680:M680) = "1850881970","0 Original","1 Modify"))))</f>
        <v>0 Original</v>
      </c>
      <c r="D680" s="3" t="s">
        <v>1014</v>
      </c>
      <c r="E680" s="5">
        <v>139</v>
      </c>
      <c r="F680" s="11">
        <v>42013</v>
      </c>
      <c r="G680" t="s">
        <v>343</v>
      </c>
      <c r="H680" s="9">
        <v>41.95</v>
      </c>
      <c r="I680" s="7" t="s">
        <v>970</v>
      </c>
      <c r="J680" s="7">
        <v>42748.047268518516</v>
      </c>
      <c r="K680" s="3" t="s">
        <v>970</v>
      </c>
      <c r="L680" s="7">
        <v>42748.047268518516</v>
      </c>
      <c r="M680" s="3" t="s">
        <v>970</v>
      </c>
      <c r="N680" s="16" t="str">
        <f>TEXT(F680,"mm-yyyy")</f>
        <v>01-2015</v>
      </c>
    </row>
    <row r="681" spans="3:14" x14ac:dyDescent="0.25">
      <c r="C681" t="str">
        <f>IF(COUNTBLANK(E681:M681) = 9,"",IF(AND(NOT(ISBLANK(E681)),COUNTBLANK(E681:M681) = 8),"3 Delete",IF(ISBLANK(E681),"2 Add",IF(JenkinsHashRange(E681:M681) = "282900062","0 Original","1 Modify"))))</f>
        <v>0 Original</v>
      </c>
      <c r="D681" s="3" t="s">
        <v>1015</v>
      </c>
      <c r="E681" s="5">
        <v>149</v>
      </c>
      <c r="F681" s="11">
        <v>42033</v>
      </c>
      <c r="G681" t="s">
        <v>295</v>
      </c>
      <c r="H681" s="9">
        <v>45.95</v>
      </c>
      <c r="I681" s="7" t="s">
        <v>970</v>
      </c>
      <c r="J681" s="7">
        <v>42748.047268518516</v>
      </c>
      <c r="K681" s="3" t="s">
        <v>970</v>
      </c>
      <c r="L681" s="7">
        <v>42748.047268518516</v>
      </c>
      <c r="M681" s="3" t="s">
        <v>970</v>
      </c>
      <c r="N681" s="16" t="str">
        <f>TEXT(F681,"mm-yyyy")</f>
        <v>01-2015</v>
      </c>
    </row>
    <row r="682" spans="3:14" x14ac:dyDescent="0.25">
      <c r="C682" t="str">
        <f>IF(COUNTBLANK(E682:M682) = 9,"",IF(AND(NOT(ISBLANK(E682)),COUNTBLANK(E682:M682) = 8),"3 Delete",IF(ISBLANK(E682),"2 Add",IF(JenkinsHashRange(E682:M682) = "1691257407","0 Original","1 Modify"))))</f>
        <v>0 Original</v>
      </c>
      <c r="D682" s="3" t="s">
        <v>1028</v>
      </c>
      <c r="E682" s="5">
        <v>226</v>
      </c>
      <c r="F682" s="11">
        <v>42013</v>
      </c>
      <c r="G682" t="s">
        <v>286</v>
      </c>
      <c r="H682" s="9">
        <v>19.97</v>
      </c>
      <c r="I682" s="7" t="s">
        <v>970</v>
      </c>
      <c r="J682" s="7">
        <v>42748.047268518516</v>
      </c>
      <c r="K682" s="3" t="s">
        <v>970</v>
      </c>
      <c r="L682" s="7">
        <v>42748.047268518516</v>
      </c>
      <c r="M682" s="3" t="s">
        <v>970</v>
      </c>
      <c r="N682" s="16" t="str">
        <f>TEXT(F682,"mm-yyyy")</f>
        <v>01-2015</v>
      </c>
    </row>
    <row r="683" spans="3:14" x14ac:dyDescent="0.25">
      <c r="C683" t="str">
        <f>IF(COUNTBLANK(E683:M683) = 9,"",IF(AND(NOT(ISBLANK(E683)),COUNTBLANK(E683:M683) = 8),"3 Delete",IF(ISBLANK(E683),"2 Add",IF(JenkinsHashRange(E683:M683) = "551766579","0 Original","1 Modify"))))</f>
        <v>0 Original</v>
      </c>
      <c r="D683" s="3" t="s">
        <v>1029</v>
      </c>
      <c r="E683" s="5">
        <v>234</v>
      </c>
      <c r="F683" s="11">
        <v>42034</v>
      </c>
      <c r="G683" t="s">
        <v>136</v>
      </c>
      <c r="H683" s="9">
        <v>10.98</v>
      </c>
      <c r="I683" s="7" t="s">
        <v>970</v>
      </c>
      <c r="J683" s="7">
        <v>42748.047268518516</v>
      </c>
      <c r="K683" s="3" t="s">
        <v>970</v>
      </c>
      <c r="L683" s="7">
        <v>42748.047268518516</v>
      </c>
      <c r="M683" s="3" t="s">
        <v>970</v>
      </c>
      <c r="N683" s="16" t="str">
        <f>TEXT(F683,"mm-yyyy")</f>
        <v>01-2015</v>
      </c>
    </row>
    <row r="684" spans="3:14" x14ac:dyDescent="0.25">
      <c r="C684" t="str">
        <f>IF(COUNTBLANK(E684:M684) = 9,"",IF(AND(NOT(ISBLANK(E684)),COUNTBLANK(E684:M684) = 8),"3 Delete",IF(ISBLANK(E684),"2 Add",IF(JenkinsHashRange(E684:M684) = "852809657","0 Original","1 Modify"))))</f>
        <v>0 Original</v>
      </c>
      <c r="D684" s="3" t="s">
        <v>1030</v>
      </c>
      <c r="E684" s="5">
        <v>235</v>
      </c>
      <c r="F684" s="11">
        <v>42029</v>
      </c>
      <c r="G684" t="s">
        <v>253</v>
      </c>
      <c r="H684" s="9">
        <v>73.92</v>
      </c>
      <c r="I684" s="7" t="s">
        <v>970</v>
      </c>
      <c r="J684" s="7">
        <v>42748.047268518516</v>
      </c>
      <c r="K684" s="3" t="s">
        <v>970</v>
      </c>
      <c r="L684" s="7">
        <v>42748.047268518516</v>
      </c>
      <c r="M684" s="3" t="s">
        <v>970</v>
      </c>
      <c r="N684" s="16" t="str">
        <f>TEXT(F684,"mm-yyyy")</f>
        <v>01-2015</v>
      </c>
    </row>
    <row r="685" spans="3:14" x14ac:dyDescent="0.25">
      <c r="C685" t="str">
        <f>IF(COUNTBLANK(E685:M685) = 9,"",IF(AND(NOT(ISBLANK(E685)),COUNTBLANK(E685:M685) = 8),"3 Delete",IF(ISBLANK(E685),"2 Add",IF(JenkinsHashRange(E685:M685) = "78452202","0 Original","1 Modify"))))</f>
        <v>0 Original</v>
      </c>
      <c r="D685" s="3" t="s">
        <v>1045</v>
      </c>
      <c r="E685" s="5">
        <v>293</v>
      </c>
      <c r="F685" s="11">
        <v>42032</v>
      </c>
      <c r="G685" t="s">
        <v>148</v>
      </c>
      <c r="H685" s="9">
        <v>16.97</v>
      </c>
      <c r="I685" s="7" t="s">
        <v>970</v>
      </c>
      <c r="J685" s="7">
        <v>42748.047268518516</v>
      </c>
      <c r="K685" s="3" t="s">
        <v>970</v>
      </c>
      <c r="L685" s="7">
        <v>42748.047268518516</v>
      </c>
      <c r="M685" s="3" t="s">
        <v>970</v>
      </c>
      <c r="N685" s="16" t="str">
        <f>TEXT(F685,"mm-yyyy")</f>
        <v>01-2015</v>
      </c>
    </row>
    <row r="686" spans="3:14" x14ac:dyDescent="0.25">
      <c r="C686" t="str">
        <f>IF(COUNTBLANK(E686:M686) = 9,"",IF(AND(NOT(ISBLANK(E686)),COUNTBLANK(E686:M686) = 8),"3 Delete",IF(ISBLANK(E686),"2 Add",IF(JenkinsHashRange(E686:M686) = "500730209","0 Original","1 Modify"))))</f>
        <v>0 Original</v>
      </c>
      <c r="D686" s="3" t="s">
        <v>1048</v>
      </c>
      <c r="E686" s="5">
        <v>326</v>
      </c>
      <c r="F686" s="11">
        <v>42025</v>
      </c>
      <c r="G686" t="s">
        <v>115</v>
      </c>
      <c r="H686" s="9">
        <v>6.99</v>
      </c>
      <c r="I686" s="7" t="s">
        <v>970</v>
      </c>
      <c r="J686" s="7">
        <v>42748.047268518516</v>
      </c>
      <c r="K686" s="3" t="s">
        <v>970</v>
      </c>
      <c r="L686" s="7">
        <v>42748.047268518516</v>
      </c>
      <c r="M686" s="3" t="s">
        <v>970</v>
      </c>
      <c r="N686" s="16" t="str">
        <f>TEXT(F686,"mm-yyyy")</f>
        <v>01-2015</v>
      </c>
    </row>
    <row r="687" spans="3:14" x14ac:dyDescent="0.25">
      <c r="C687" t="str">
        <f>IF(COUNTBLANK(E687:M687) = 9,"",IF(AND(NOT(ISBLANK(E687)),COUNTBLANK(E687:M687) = 8),"3 Delete",IF(ISBLANK(E687),"2 Add",IF(JenkinsHashRange(E687:M687) = "573802839","0 Original","1 Modify"))))</f>
        <v>0 Original</v>
      </c>
      <c r="D687" s="3" t="s">
        <v>1054</v>
      </c>
      <c r="E687" s="5">
        <v>348</v>
      </c>
      <c r="F687" s="11">
        <v>42029</v>
      </c>
      <c r="G687" t="s">
        <v>73</v>
      </c>
      <c r="H687" s="9">
        <v>38.96</v>
      </c>
      <c r="I687" s="7" t="s">
        <v>970</v>
      </c>
      <c r="J687" s="7">
        <v>42748.047268518516</v>
      </c>
      <c r="K687" s="3" t="s">
        <v>970</v>
      </c>
      <c r="L687" s="7">
        <v>42748.047268518516</v>
      </c>
      <c r="M687" s="3" t="s">
        <v>970</v>
      </c>
      <c r="N687" s="16" t="str">
        <f>TEXT(F687,"mm-yyyy")</f>
        <v>01-2015</v>
      </c>
    </row>
    <row r="688" spans="3:14" x14ac:dyDescent="0.25">
      <c r="C688" t="str">
        <f>IF(COUNTBLANK(E688:M688) = 9,"",IF(AND(NOT(ISBLANK(E688)),COUNTBLANK(E688:M688) = 8),"3 Delete",IF(ISBLANK(E688),"2 Add",IF(JenkinsHashRange(E688:M688) = "1525026154","0 Original","1 Modify"))))</f>
        <v>0 Original</v>
      </c>
      <c r="D688" s="3" t="s">
        <v>1066</v>
      </c>
      <c r="E688" s="5">
        <v>380</v>
      </c>
      <c r="F688" s="11">
        <v>42011</v>
      </c>
      <c r="G688" t="s">
        <v>73</v>
      </c>
      <c r="H688" s="9">
        <v>44.94</v>
      </c>
      <c r="I688" s="7" t="s">
        <v>970</v>
      </c>
      <c r="J688" s="7">
        <v>42748.047268518516</v>
      </c>
      <c r="K688" s="3" t="s">
        <v>970</v>
      </c>
      <c r="L688" s="7">
        <v>42748.047268518516</v>
      </c>
      <c r="M688" s="3" t="s">
        <v>970</v>
      </c>
      <c r="N688" s="16" t="str">
        <f>TEXT(F688,"mm-yyyy")</f>
        <v>01-2015</v>
      </c>
    </row>
    <row r="689" spans="3:14" x14ac:dyDescent="0.25">
      <c r="C689" t="str">
        <f>IF(COUNTBLANK(E689:M689) = 9,"",IF(AND(NOT(ISBLANK(E689)),COUNTBLANK(E689:M689) = 8),"3 Delete",IF(ISBLANK(E689),"2 Add",IF(JenkinsHashRange(E689:M689) = "1522174879","0 Original","1 Modify"))))</f>
        <v>0 Original</v>
      </c>
      <c r="D689" s="3" t="s">
        <v>1067</v>
      </c>
      <c r="E689" s="5">
        <v>382</v>
      </c>
      <c r="F689" s="11">
        <v>42027</v>
      </c>
      <c r="G689" t="s">
        <v>136</v>
      </c>
      <c r="H689" s="9">
        <v>25.97</v>
      </c>
      <c r="I689" s="7" t="s">
        <v>970</v>
      </c>
      <c r="J689" s="7">
        <v>42748.047268518516</v>
      </c>
      <c r="K689" s="3" t="s">
        <v>970</v>
      </c>
      <c r="L689" s="7">
        <v>42748.047268518516</v>
      </c>
      <c r="M689" s="3" t="s">
        <v>970</v>
      </c>
      <c r="N689" s="16" t="str">
        <f>TEXT(F689,"mm-yyyy")</f>
        <v>01-2015</v>
      </c>
    </row>
    <row r="690" spans="3:14" x14ac:dyDescent="0.25">
      <c r="C690" t="str">
        <f>IF(COUNTBLANK(E690:M690) = 9,"",IF(AND(NOT(ISBLANK(E690)),COUNTBLANK(E690:M690) = 8),"3 Delete",IF(ISBLANK(E690),"2 Add",IF(JenkinsHashRange(E690:M690) = "549862065","0 Original","1 Modify"))))</f>
        <v>0 Original</v>
      </c>
      <c r="D690" s="3" t="s">
        <v>1078</v>
      </c>
      <c r="E690" s="5">
        <v>413</v>
      </c>
      <c r="F690" s="11">
        <v>42029</v>
      </c>
      <c r="G690" t="s">
        <v>352</v>
      </c>
      <c r="H690" s="9">
        <v>16.98</v>
      </c>
      <c r="I690" s="7" t="s">
        <v>970</v>
      </c>
      <c r="J690" s="7">
        <v>42748.047268518516</v>
      </c>
      <c r="K690" s="3" t="s">
        <v>970</v>
      </c>
      <c r="L690" s="7">
        <v>42748.047268518516</v>
      </c>
      <c r="M690" s="3" t="s">
        <v>970</v>
      </c>
      <c r="N690" s="16" t="str">
        <f>TEXT(F690,"mm-yyyy")</f>
        <v>01-2015</v>
      </c>
    </row>
    <row r="691" spans="3:14" x14ac:dyDescent="0.25">
      <c r="C691" t="str">
        <f>IF(COUNTBLANK(E691:M691) = 9,"",IF(AND(NOT(ISBLANK(E691)),COUNTBLANK(E691:M691) = 8),"3 Delete",IF(ISBLANK(E691),"2 Add",IF(JenkinsHashRange(E691:M691) = "775880178","0 Original","1 Modify"))))</f>
        <v>0 Original</v>
      </c>
      <c r="D691" s="3" t="s">
        <v>1082</v>
      </c>
      <c r="E691" s="5">
        <v>439</v>
      </c>
      <c r="F691" s="11">
        <v>42025</v>
      </c>
      <c r="G691" t="s">
        <v>157</v>
      </c>
      <c r="H691" s="9">
        <v>30.96</v>
      </c>
      <c r="I691" s="7" t="s">
        <v>970</v>
      </c>
      <c r="J691" s="7">
        <v>42748.047268518516</v>
      </c>
      <c r="K691" s="3" t="s">
        <v>970</v>
      </c>
      <c r="L691" s="7">
        <v>42748.047268518516</v>
      </c>
      <c r="M691" s="3" t="s">
        <v>970</v>
      </c>
      <c r="N691" s="16" t="str">
        <f>TEXT(F691,"mm-yyyy")</f>
        <v>01-2015</v>
      </c>
    </row>
    <row r="692" spans="3:14" x14ac:dyDescent="0.25">
      <c r="C692" t="str">
        <f>IF(COUNTBLANK(E692:M692) = 9,"",IF(AND(NOT(ISBLANK(E692)),COUNTBLANK(E692:M692) = 8),"3 Delete",IF(ISBLANK(E692),"2 Add",IF(JenkinsHashRange(E692:M692) = "950383068","0 Original","1 Modify"))))</f>
        <v>0 Original</v>
      </c>
      <c r="D692" s="3" t="s">
        <v>1089</v>
      </c>
      <c r="E692" s="5">
        <v>474</v>
      </c>
      <c r="F692" s="11">
        <v>42029</v>
      </c>
      <c r="G692" t="s">
        <v>313</v>
      </c>
      <c r="H692" s="9">
        <v>95.88</v>
      </c>
      <c r="I692" s="7" t="s">
        <v>970</v>
      </c>
      <c r="J692" s="7">
        <v>42748.047268518516</v>
      </c>
      <c r="K692" s="3" t="s">
        <v>970</v>
      </c>
      <c r="L692" s="7">
        <v>42748.047268518516</v>
      </c>
      <c r="M692" s="3" t="s">
        <v>970</v>
      </c>
      <c r="N692" s="16" t="str">
        <f>TEXT(F692,"mm-yyyy")</f>
        <v>01-2015</v>
      </c>
    </row>
    <row r="693" spans="3:14" x14ac:dyDescent="0.25">
      <c r="C693" t="str">
        <f>IF(COUNTBLANK(E693:M693) = 9,"",IF(AND(NOT(ISBLANK(E693)),COUNTBLANK(E693:M693) = 8),"3 Delete",IF(ISBLANK(E693),"2 Add",IF(JenkinsHashRange(E693:M693) = "1786347653","0 Original","1 Modify"))))</f>
        <v>0 Original</v>
      </c>
      <c r="D693" s="3" t="s">
        <v>1093</v>
      </c>
      <c r="E693" s="5">
        <v>511</v>
      </c>
      <c r="F693" s="11">
        <v>42028</v>
      </c>
      <c r="G693" t="s">
        <v>289</v>
      </c>
      <c r="H693" s="9">
        <v>82.9</v>
      </c>
      <c r="I693" s="7" t="s">
        <v>970</v>
      </c>
      <c r="J693" s="7">
        <v>42748.047268518516</v>
      </c>
      <c r="K693" s="3" t="s">
        <v>970</v>
      </c>
      <c r="L693" s="7">
        <v>42748.047268518516</v>
      </c>
      <c r="M693" s="3" t="s">
        <v>970</v>
      </c>
      <c r="N693" s="16" t="str">
        <f>TEXT(F693,"mm-yyyy")</f>
        <v>01-2015</v>
      </c>
    </row>
    <row r="694" spans="3:14" x14ac:dyDescent="0.25">
      <c r="C694" t="str">
        <f>IF(COUNTBLANK(E694:M694) = 9,"",IF(AND(NOT(ISBLANK(E694)),COUNTBLANK(E694:M694) = 8),"3 Delete",IF(ISBLANK(E694),"2 Add",IF(JenkinsHashRange(E694:M694) = "809643046","0 Original","1 Modify"))))</f>
        <v>0 Original</v>
      </c>
      <c r="D694" s="3" t="s">
        <v>1100</v>
      </c>
      <c r="E694" s="5">
        <v>547</v>
      </c>
      <c r="F694" s="11">
        <v>42011</v>
      </c>
      <c r="G694" t="s">
        <v>229</v>
      </c>
      <c r="H694" s="9">
        <v>18.98</v>
      </c>
      <c r="I694" s="7" t="s">
        <v>970</v>
      </c>
      <c r="J694" s="7">
        <v>42748.047268518516</v>
      </c>
      <c r="K694" s="3" t="s">
        <v>970</v>
      </c>
      <c r="L694" s="7">
        <v>42748.047268518516</v>
      </c>
      <c r="M694" s="3" t="s">
        <v>970</v>
      </c>
      <c r="N694" s="16" t="str">
        <f>TEXT(F694,"mm-yyyy")</f>
        <v>01-2015</v>
      </c>
    </row>
    <row r="695" spans="3:14" x14ac:dyDescent="0.25">
      <c r="C695" t="str">
        <f>IF(COUNTBLANK(E695:M695) = 9,"",IF(AND(NOT(ISBLANK(E695)),COUNTBLANK(E695:M695) = 8),"3 Delete",IF(ISBLANK(E695),"2 Add",IF(JenkinsHashRange(E695:M695) = "909797699","0 Original","1 Modify"))))</f>
        <v>0 Original</v>
      </c>
      <c r="D695" s="3" t="s">
        <v>1109</v>
      </c>
      <c r="E695" s="5">
        <v>591</v>
      </c>
      <c r="F695" s="11">
        <v>42029</v>
      </c>
      <c r="G695" t="s">
        <v>313</v>
      </c>
      <c r="H695" s="9">
        <v>42.95</v>
      </c>
      <c r="I695" s="7" t="s">
        <v>970</v>
      </c>
      <c r="J695" s="7">
        <v>42748.047268518516</v>
      </c>
      <c r="K695" s="3" t="s">
        <v>970</v>
      </c>
      <c r="L695" s="7">
        <v>42748.047268518516</v>
      </c>
      <c r="M695" s="3" t="s">
        <v>970</v>
      </c>
      <c r="N695" s="16" t="str">
        <f>TEXT(F695,"mm-yyyy")</f>
        <v>01-2015</v>
      </c>
    </row>
    <row r="696" spans="3:14" x14ac:dyDescent="0.25">
      <c r="C696" t="str">
        <f>IF(COUNTBLANK(E696:M696) = 9,"",IF(AND(NOT(ISBLANK(E696)),COUNTBLANK(E696:M696) = 8),"3 Delete",IF(ISBLANK(E696),"2 Add",IF(JenkinsHashRange(E696:M696) = "131768999","0 Original","1 Modify"))))</f>
        <v>0 Original</v>
      </c>
      <c r="D696" s="3" t="s">
        <v>1115</v>
      </c>
      <c r="E696" s="5">
        <v>615</v>
      </c>
      <c r="F696" s="11">
        <v>42026</v>
      </c>
      <c r="G696" t="s">
        <v>100</v>
      </c>
      <c r="H696" s="9">
        <v>8.99</v>
      </c>
      <c r="I696" s="7" t="s">
        <v>970</v>
      </c>
      <c r="J696" s="7">
        <v>42748.047268518516</v>
      </c>
      <c r="K696" s="3" t="s">
        <v>970</v>
      </c>
      <c r="L696" s="7">
        <v>42748.047268518516</v>
      </c>
      <c r="M696" s="3" t="s">
        <v>970</v>
      </c>
      <c r="N696" s="16" t="str">
        <f>TEXT(F696,"mm-yyyy")</f>
        <v>01-2015</v>
      </c>
    </row>
    <row r="697" spans="3:14" x14ac:dyDescent="0.25">
      <c r="C697" t="str">
        <f>IF(COUNTBLANK(E697:M697) = 9,"",IF(AND(NOT(ISBLANK(E697)),COUNTBLANK(E697:M697) = 8),"3 Delete",IF(ISBLANK(E697),"2 Add",IF(JenkinsHashRange(E697:M697) = "514134105","0 Original","1 Modify"))))</f>
        <v>0 Original</v>
      </c>
      <c r="D697" s="3" t="s">
        <v>1120</v>
      </c>
      <c r="E697" s="5">
        <v>636</v>
      </c>
      <c r="F697" s="11">
        <v>42026</v>
      </c>
      <c r="G697" t="s">
        <v>310</v>
      </c>
      <c r="H697" s="9">
        <v>21.97</v>
      </c>
      <c r="I697" s="7" t="s">
        <v>970</v>
      </c>
      <c r="J697" s="7">
        <v>42748.047268518516</v>
      </c>
      <c r="K697" s="3" t="s">
        <v>970</v>
      </c>
      <c r="L697" s="7">
        <v>42748.047268518516</v>
      </c>
      <c r="M697" s="3" t="s">
        <v>970</v>
      </c>
      <c r="N697" s="16" t="str">
        <f>TEXT(F697,"mm-yyyy")</f>
        <v>01-2015</v>
      </c>
    </row>
    <row r="698" spans="3:14" x14ac:dyDescent="0.25">
      <c r="C698" t="str">
        <f>IF(COUNTBLANK(E698:M698) = 9,"",IF(AND(NOT(ISBLANK(E698)),COUNTBLANK(E698:M698) = 8),"3 Delete",IF(ISBLANK(E698),"2 Add",IF(JenkinsHashRange(E698:M698) = "1566910399","0 Original","1 Modify"))))</f>
        <v>0 Original</v>
      </c>
      <c r="D698" s="3" t="s">
        <v>1131</v>
      </c>
      <c r="E698" s="5">
        <v>674</v>
      </c>
      <c r="F698" s="11">
        <v>42021</v>
      </c>
      <c r="G698" t="s">
        <v>319</v>
      </c>
      <c r="H698" s="9">
        <v>4.99</v>
      </c>
      <c r="I698" s="7" t="s">
        <v>970</v>
      </c>
      <c r="J698" s="7">
        <v>42748.047268518516</v>
      </c>
      <c r="K698" s="3" t="s">
        <v>970</v>
      </c>
      <c r="L698" s="7">
        <v>42748.047268518516</v>
      </c>
      <c r="M698" s="3" t="s">
        <v>970</v>
      </c>
      <c r="N698" s="16" t="str">
        <f>TEXT(F698,"mm-yyyy")</f>
        <v>01-2015</v>
      </c>
    </row>
    <row r="699" spans="3:14" x14ac:dyDescent="0.25">
      <c r="C699" t="str">
        <f>IF(COUNTBLANK(E699:M699) = 9,"",IF(AND(NOT(ISBLANK(E699)),COUNTBLANK(E699:M699) = 8),"3 Delete",IF(ISBLANK(E699),"2 Add",IF(JenkinsHashRange(E699:M699) = "132546347","0 Original","1 Modify"))))</f>
        <v>0 Original</v>
      </c>
      <c r="D699" s="3" t="s">
        <v>1133</v>
      </c>
      <c r="E699" s="5">
        <v>686</v>
      </c>
      <c r="F699" s="11">
        <v>42019</v>
      </c>
      <c r="G699" t="s">
        <v>91</v>
      </c>
      <c r="H699" s="9">
        <v>16.98</v>
      </c>
      <c r="I699" s="7" t="s">
        <v>970</v>
      </c>
      <c r="J699" s="7">
        <v>42748.047268518516</v>
      </c>
      <c r="K699" s="3" t="s">
        <v>970</v>
      </c>
      <c r="L699" s="7">
        <v>42748.047268518516</v>
      </c>
      <c r="M699" s="3" t="s">
        <v>970</v>
      </c>
      <c r="N699" s="16" t="str">
        <f>TEXT(F699,"mm-yyyy")</f>
        <v>01-2015</v>
      </c>
    </row>
    <row r="700" spans="3:14" x14ac:dyDescent="0.25">
      <c r="C700" t="str">
        <f>IF(COUNTBLANK(E700:M700) = 9,"",IF(AND(NOT(ISBLANK(E700)),COUNTBLANK(E700:M700) = 8),"3 Delete",IF(ISBLANK(E700),"2 Add",IF(JenkinsHashRange(E700:M700) = "1094135228","0 Original","1 Modify"))))</f>
        <v>0 Original</v>
      </c>
      <c r="D700" s="3" t="s">
        <v>1138</v>
      </c>
      <c r="E700" s="5">
        <v>706</v>
      </c>
      <c r="F700" s="11">
        <v>42021</v>
      </c>
      <c r="G700" t="s">
        <v>187</v>
      </c>
      <c r="H700" s="9">
        <v>88.89</v>
      </c>
      <c r="I700" s="7" t="s">
        <v>970</v>
      </c>
      <c r="J700" s="7">
        <v>42748.047268518516</v>
      </c>
      <c r="K700" s="3" t="s">
        <v>970</v>
      </c>
      <c r="L700" s="7">
        <v>42748.047268518516</v>
      </c>
      <c r="M700" s="3" t="s">
        <v>970</v>
      </c>
      <c r="N700" s="16" t="str">
        <f>TEXT(F700,"mm-yyyy")</f>
        <v>01-2015</v>
      </c>
    </row>
    <row r="701" spans="3:14" x14ac:dyDescent="0.25">
      <c r="C701" t="str">
        <f>IF(COUNTBLANK(E701:M701) = 9,"",IF(AND(NOT(ISBLANK(E701)),COUNTBLANK(E701:M701) = 8),"3 Delete",IF(ISBLANK(E701),"2 Add",IF(JenkinsHashRange(E701:M701) = "451375830","0 Original","1 Modify"))))</f>
        <v>0 Original</v>
      </c>
      <c r="D701" s="3" t="s">
        <v>1140</v>
      </c>
      <c r="E701" s="5">
        <v>710</v>
      </c>
      <c r="F701" s="11">
        <v>42033</v>
      </c>
      <c r="G701" t="s">
        <v>169</v>
      </c>
      <c r="H701" s="9">
        <v>17.98</v>
      </c>
      <c r="I701" s="7" t="s">
        <v>970</v>
      </c>
      <c r="J701" s="7">
        <v>42748.047268518516</v>
      </c>
      <c r="K701" s="3" t="s">
        <v>970</v>
      </c>
      <c r="L701" s="7">
        <v>42748.047268518516</v>
      </c>
      <c r="M701" s="3" t="s">
        <v>970</v>
      </c>
      <c r="N701" s="16" t="str">
        <f>TEXT(F701,"mm-yyyy")</f>
        <v>01-2015</v>
      </c>
    </row>
    <row r="702" spans="3:14" x14ac:dyDescent="0.25">
      <c r="C702" t="str">
        <f>IF(COUNTBLANK(E702:M702) = 9,"",IF(AND(NOT(ISBLANK(E702)),COUNTBLANK(E702:M702) = 8),"3 Delete",IF(ISBLANK(E702),"2 Add",IF(JenkinsHashRange(E702:M702) = "1150862868","0 Original","1 Modify"))))</f>
        <v>0 Original</v>
      </c>
      <c r="D702" s="3" t="s">
        <v>1152</v>
      </c>
      <c r="E702" s="5">
        <v>756</v>
      </c>
      <c r="F702" s="11">
        <v>42011</v>
      </c>
      <c r="G702" t="s">
        <v>109</v>
      </c>
      <c r="H702" s="9">
        <v>31.96</v>
      </c>
      <c r="I702" s="7" t="s">
        <v>970</v>
      </c>
      <c r="J702" s="7">
        <v>42748.047268518516</v>
      </c>
      <c r="K702" s="3" t="s">
        <v>970</v>
      </c>
      <c r="L702" s="7">
        <v>42748.047268518516</v>
      </c>
      <c r="M702" s="3" t="s">
        <v>970</v>
      </c>
      <c r="N702" s="16" t="str">
        <f>TEXT(F702,"mm-yyyy")</f>
        <v>01-2015</v>
      </c>
    </row>
    <row r="703" spans="3:14" x14ac:dyDescent="0.25">
      <c r="C703" t="str">
        <f>IF(COUNTBLANK(E703:M703) = 9,"",IF(AND(NOT(ISBLANK(E703)),COUNTBLANK(E703:M703) = 8),"3 Delete",IF(ISBLANK(E703),"2 Add",IF(JenkinsHashRange(E703:M703) = "1493819582","0 Original","1 Modify"))))</f>
        <v>0 Original</v>
      </c>
      <c r="D703" s="3" t="s">
        <v>1156</v>
      </c>
      <c r="E703" s="5">
        <v>773</v>
      </c>
      <c r="F703" s="11">
        <v>42017</v>
      </c>
      <c r="G703" t="s">
        <v>169</v>
      </c>
      <c r="H703" s="9">
        <v>16.98</v>
      </c>
      <c r="I703" s="7" t="s">
        <v>970</v>
      </c>
      <c r="J703" s="7">
        <v>42748.047268518516</v>
      </c>
      <c r="K703" s="3" t="s">
        <v>970</v>
      </c>
      <c r="L703" s="7">
        <v>42748.047268518516</v>
      </c>
      <c r="M703" s="3" t="s">
        <v>970</v>
      </c>
      <c r="N703" s="16" t="str">
        <f>TEXT(F703,"mm-yyyy")</f>
        <v>01-2015</v>
      </c>
    </row>
    <row r="704" spans="3:14" x14ac:dyDescent="0.25">
      <c r="C704" t="str">
        <f>IF(COUNTBLANK(E704:M704) = 9,"",IF(AND(NOT(ISBLANK(E704)),COUNTBLANK(E704:M704) = 8),"3 Delete",IF(ISBLANK(E704),"2 Add",IF(JenkinsHashRange(E704:M704) = "907894246","0 Original","1 Modify"))))</f>
        <v>0 Original</v>
      </c>
      <c r="D704" s="3" t="s">
        <v>1159</v>
      </c>
      <c r="E704" s="5">
        <v>783</v>
      </c>
      <c r="F704" s="11">
        <v>42021</v>
      </c>
      <c r="G704" t="s">
        <v>208</v>
      </c>
      <c r="H704" s="9">
        <v>29.96</v>
      </c>
      <c r="I704" s="7" t="s">
        <v>970</v>
      </c>
      <c r="J704" s="7">
        <v>42748.047268518516</v>
      </c>
      <c r="K704" s="3" t="s">
        <v>970</v>
      </c>
      <c r="L704" s="7">
        <v>42748.047268518516</v>
      </c>
      <c r="M704" s="3" t="s">
        <v>970</v>
      </c>
      <c r="N704" s="16" t="str">
        <f>TEXT(F704,"mm-yyyy")</f>
        <v>01-2015</v>
      </c>
    </row>
    <row r="705" spans="3:14" x14ac:dyDescent="0.25">
      <c r="C705" t="str">
        <f>IF(COUNTBLANK(E705:M705) = 9,"",IF(AND(NOT(ISBLANK(E705)),COUNTBLANK(E705:M705) = 8),"3 Delete",IF(ISBLANK(E705),"2 Add",IF(JenkinsHashRange(E705:M705) = "659484639","0 Original","1 Modify"))))</f>
        <v>0 Original</v>
      </c>
      <c r="D705" s="3" t="s">
        <v>1160</v>
      </c>
      <c r="E705" s="5">
        <v>787</v>
      </c>
      <c r="F705" s="11">
        <v>42011</v>
      </c>
      <c r="G705" t="s">
        <v>160</v>
      </c>
      <c r="H705" s="9">
        <v>102.89</v>
      </c>
      <c r="I705" s="7" t="s">
        <v>970</v>
      </c>
      <c r="J705" s="7">
        <v>42748.047268518516</v>
      </c>
      <c r="K705" s="3" t="s">
        <v>970</v>
      </c>
      <c r="L705" s="7">
        <v>42748.047268518516</v>
      </c>
      <c r="M705" s="3" t="s">
        <v>970</v>
      </c>
      <c r="N705" s="16" t="str">
        <f>TEXT(F705,"mm-yyyy")</f>
        <v>01-2015</v>
      </c>
    </row>
    <row r="706" spans="3:14" x14ac:dyDescent="0.25">
      <c r="C706" t="str">
        <f>IF(COUNTBLANK(E706:M706) = 9,"",IF(AND(NOT(ISBLANK(E706)),COUNTBLANK(E706:M706) = 8),"3 Delete",IF(ISBLANK(E706),"2 Add",IF(JenkinsHashRange(E706:M706) = "1336203170","0 Original","1 Modify"))))</f>
        <v>0 Original</v>
      </c>
      <c r="D706" s="3" t="s">
        <v>1164</v>
      </c>
      <c r="E706" s="5">
        <v>806</v>
      </c>
      <c r="F706" s="11">
        <v>42020</v>
      </c>
      <c r="G706" t="s">
        <v>109</v>
      </c>
      <c r="H706" s="9">
        <v>92.89</v>
      </c>
      <c r="I706" s="7" t="s">
        <v>970</v>
      </c>
      <c r="J706" s="7">
        <v>42748.047268518516</v>
      </c>
      <c r="K706" s="3" t="s">
        <v>970</v>
      </c>
      <c r="L706" s="7">
        <v>42748.047268518516</v>
      </c>
      <c r="M706" s="3" t="s">
        <v>970</v>
      </c>
      <c r="N706" s="16" t="str">
        <f>TEXT(F706,"mm-yyyy")</f>
        <v>01-2015</v>
      </c>
    </row>
    <row r="707" spans="3:14" x14ac:dyDescent="0.25">
      <c r="C707" t="str">
        <f>IF(COUNTBLANK(E707:M707) = 9,"",IF(AND(NOT(ISBLANK(E707)),COUNTBLANK(E707:M707) = 8),"3 Delete",IF(ISBLANK(E707),"2 Add",IF(JenkinsHashRange(E707:M707) = "2065555623","0 Original","1 Modify"))))</f>
        <v>0 Original</v>
      </c>
      <c r="D707" s="3" t="s">
        <v>1173</v>
      </c>
      <c r="E707" s="5">
        <v>855</v>
      </c>
      <c r="F707" s="11">
        <v>42018</v>
      </c>
      <c r="G707" t="s">
        <v>118</v>
      </c>
      <c r="H707" s="9">
        <v>40.94</v>
      </c>
      <c r="I707" s="7" t="s">
        <v>970</v>
      </c>
      <c r="J707" s="7">
        <v>42748.047268518516</v>
      </c>
      <c r="K707" s="3" t="s">
        <v>970</v>
      </c>
      <c r="L707" s="7">
        <v>42748.047268518516</v>
      </c>
      <c r="M707" s="3" t="s">
        <v>970</v>
      </c>
      <c r="N707" s="16" t="str">
        <f>TEXT(F707,"mm-yyyy")</f>
        <v>01-2015</v>
      </c>
    </row>
    <row r="708" spans="3:14" x14ac:dyDescent="0.25">
      <c r="C708" t="str">
        <f>IF(COUNTBLANK(E708:M708) = 9,"",IF(AND(NOT(ISBLANK(E708)),COUNTBLANK(E708:M708) = 8),"3 Delete",IF(ISBLANK(E708),"2 Add",IF(JenkinsHashRange(E708:M708) = "1124640851","0 Original","1 Modify"))))</f>
        <v>0 Original</v>
      </c>
      <c r="D708" s="3" t="s">
        <v>1177</v>
      </c>
      <c r="E708" s="5">
        <v>866</v>
      </c>
      <c r="F708" s="11">
        <v>42023</v>
      </c>
      <c r="G708" t="s">
        <v>148</v>
      </c>
      <c r="H708" s="9">
        <v>35.950000000000003</v>
      </c>
      <c r="I708" s="7" t="s">
        <v>970</v>
      </c>
      <c r="J708" s="7">
        <v>42748.047268518516</v>
      </c>
      <c r="K708" s="3" t="s">
        <v>970</v>
      </c>
      <c r="L708" s="7">
        <v>42748.047268518516</v>
      </c>
      <c r="M708" s="3" t="s">
        <v>970</v>
      </c>
      <c r="N708" s="16" t="str">
        <f>TEXT(F708,"mm-yyyy")</f>
        <v>01-2015</v>
      </c>
    </row>
    <row r="709" spans="3:14" x14ac:dyDescent="0.25">
      <c r="C709" t="str">
        <f>IF(COUNTBLANK(E709:M709) = 9,"",IF(AND(NOT(ISBLANK(E709)),COUNTBLANK(E709:M709) = 8),"3 Delete",IF(ISBLANK(E709),"2 Add",IF(JenkinsHashRange(E709:M709) = "617670494","0 Original","1 Modify"))))</f>
        <v>0 Original</v>
      </c>
      <c r="D709" s="3" t="s">
        <v>1181</v>
      </c>
      <c r="E709" s="5">
        <v>879</v>
      </c>
      <c r="F709" s="11">
        <v>42007</v>
      </c>
      <c r="G709" t="s">
        <v>148</v>
      </c>
      <c r="H709" s="9">
        <v>21.97</v>
      </c>
      <c r="I709" s="7" t="s">
        <v>970</v>
      </c>
      <c r="J709" s="7">
        <v>42748.047268518516</v>
      </c>
      <c r="K709" s="3" t="s">
        <v>970</v>
      </c>
      <c r="L709" s="7">
        <v>42748.047268518516</v>
      </c>
      <c r="M709" s="3" t="s">
        <v>970</v>
      </c>
      <c r="N709" s="16" t="str">
        <f>TEXT(F709,"mm-yyyy")</f>
        <v>01-2015</v>
      </c>
    </row>
    <row r="710" spans="3:14" x14ac:dyDescent="0.25">
      <c r="C710" t="str">
        <f>IF(COUNTBLANK(E710:M710) = 9,"",IF(AND(NOT(ISBLANK(E710)),COUNTBLANK(E710:M710) = 8),"3 Delete",IF(ISBLANK(E710),"2 Add",IF(JenkinsHashRange(E710:M710) = "611546640","0 Original","1 Modify"))))</f>
        <v>0 Original</v>
      </c>
      <c r="D710" s="3" t="s">
        <v>1184</v>
      </c>
      <c r="E710" s="5">
        <v>888</v>
      </c>
      <c r="F710" s="11">
        <v>42010</v>
      </c>
      <c r="G710" t="s">
        <v>187</v>
      </c>
      <c r="H710" s="9">
        <v>74.900000000000006</v>
      </c>
      <c r="I710" s="7" t="s">
        <v>970</v>
      </c>
      <c r="J710" s="7">
        <v>42748.047268518516</v>
      </c>
      <c r="K710" s="3" t="s">
        <v>970</v>
      </c>
      <c r="L710" s="7">
        <v>42748.047268518516</v>
      </c>
      <c r="M710" s="3" t="s">
        <v>970</v>
      </c>
      <c r="N710" s="16" t="str">
        <f>TEXT(F710,"mm-yyyy")</f>
        <v>01-2015</v>
      </c>
    </row>
    <row r="711" spans="3:14" x14ac:dyDescent="0.25">
      <c r="C711" t="str">
        <f>IF(COUNTBLANK(E711:M711) = 9,"",IF(AND(NOT(ISBLANK(E711)),COUNTBLANK(E711:M711) = 8),"3 Delete",IF(ISBLANK(E711),"2 Add",IF(JenkinsHashRange(E711:M711) = "1382974707","0 Original","1 Modify"))))</f>
        <v>0 Original</v>
      </c>
      <c r="D711" s="3" t="s">
        <v>1186</v>
      </c>
      <c r="E711" s="5">
        <v>912</v>
      </c>
      <c r="F711" s="11">
        <v>42010</v>
      </c>
      <c r="G711" t="s">
        <v>160</v>
      </c>
      <c r="H711" s="9">
        <v>54.94</v>
      </c>
      <c r="I711" s="7" t="s">
        <v>970</v>
      </c>
      <c r="J711" s="7">
        <v>42748.047268518516</v>
      </c>
      <c r="K711" s="3" t="s">
        <v>970</v>
      </c>
      <c r="L711" s="7">
        <v>42748.047268518516</v>
      </c>
      <c r="M711" s="3" t="s">
        <v>970</v>
      </c>
      <c r="N711" s="16" t="str">
        <f>TEXT(F711,"mm-yyyy")</f>
        <v>01-2015</v>
      </c>
    </row>
    <row r="712" spans="3:14" x14ac:dyDescent="0.25">
      <c r="C712" t="str">
        <f>IF(COUNTBLANK(E712:M712) = 9,"",IF(AND(NOT(ISBLANK(E712)),COUNTBLANK(E712:M712) = 8),"3 Delete",IF(ISBLANK(E712),"2 Add",IF(JenkinsHashRange(E712:M712) = "1205247885","0 Original","1 Modify"))))</f>
        <v>0 Original</v>
      </c>
      <c r="D712" s="3" t="s">
        <v>1190</v>
      </c>
      <c r="E712" s="5">
        <v>922</v>
      </c>
      <c r="F712" s="11">
        <v>42005</v>
      </c>
      <c r="G712" t="s">
        <v>271</v>
      </c>
      <c r="H712" s="9">
        <v>27.97</v>
      </c>
      <c r="I712" s="7" t="s">
        <v>970</v>
      </c>
      <c r="J712" s="7">
        <v>42748.047268518516</v>
      </c>
      <c r="K712" s="3" t="s">
        <v>970</v>
      </c>
      <c r="L712" s="7">
        <v>42748.047268518516</v>
      </c>
      <c r="M712" s="3" t="s">
        <v>970</v>
      </c>
      <c r="N712" s="16" t="str">
        <f>TEXT(F712,"mm-yyyy")</f>
        <v>01-2015</v>
      </c>
    </row>
    <row r="713" spans="3:14" x14ac:dyDescent="0.25">
      <c r="C713" t="str">
        <f>IF(COUNTBLANK(E713:M713) = 9,"",IF(AND(NOT(ISBLANK(E713)),COUNTBLANK(E713:M713) = 8),"3 Delete",IF(ISBLANK(E713),"2 Add",IF(JenkinsHashRange(E713:M713) = "1105224328","0 Original","1 Modify"))))</f>
        <v>0 Original</v>
      </c>
      <c r="D713" s="3" t="s">
        <v>1193</v>
      </c>
      <c r="E713" s="5">
        <v>948</v>
      </c>
      <c r="F713" s="11">
        <v>42030</v>
      </c>
      <c r="G713" t="s">
        <v>76</v>
      </c>
      <c r="H713" s="9">
        <v>8.99</v>
      </c>
      <c r="I713" s="7" t="s">
        <v>970</v>
      </c>
      <c r="J713" s="7">
        <v>42748.047268518516</v>
      </c>
      <c r="K713" s="3" t="s">
        <v>970</v>
      </c>
      <c r="L713" s="7">
        <v>42748.047268518516</v>
      </c>
      <c r="M713" s="3" t="s">
        <v>970</v>
      </c>
      <c r="N713" s="16" t="str">
        <f>TEXT(F713,"mm-yyyy")</f>
        <v>01-2015</v>
      </c>
    </row>
    <row r="714" spans="3:14" x14ac:dyDescent="0.25">
      <c r="C714" t="str">
        <f>IF(COUNTBLANK(E714:M714) = 9,"",IF(AND(NOT(ISBLANK(E714)),COUNTBLANK(E714:M714) = 8),"3 Delete",IF(ISBLANK(E714),"2 Add",IF(JenkinsHashRange(E714:M714) = "1436017885","0 Original","1 Modify"))))</f>
        <v>0 Original</v>
      </c>
      <c r="D714" s="3" t="s">
        <v>1199</v>
      </c>
      <c r="E714" s="5">
        <v>992</v>
      </c>
      <c r="F714" s="11">
        <v>42006</v>
      </c>
      <c r="G714" t="s">
        <v>280</v>
      </c>
      <c r="H714" s="9">
        <v>49.94</v>
      </c>
      <c r="I714" s="7" t="s">
        <v>970</v>
      </c>
      <c r="J714" s="7">
        <v>42748.047268518516</v>
      </c>
      <c r="K714" s="3" t="s">
        <v>970</v>
      </c>
      <c r="L714" s="7">
        <v>42748.047268518516</v>
      </c>
      <c r="M714" s="3" t="s">
        <v>970</v>
      </c>
      <c r="N714" s="16" t="str">
        <f>TEXT(F714,"mm-yyyy")</f>
        <v>01-2015</v>
      </c>
    </row>
    <row r="715" spans="3:14" x14ac:dyDescent="0.25">
      <c r="C715" t="str">
        <f>IF(COUNTBLANK(E715:M715) = 9,"",IF(AND(NOT(ISBLANK(E715)),COUNTBLANK(E715:M715) = 8),"3 Delete",IF(ISBLANK(E715),"2 Add",IF(JenkinsHashRange(E715:M715) = "1737270763","0 Original","1 Modify"))))</f>
        <v>0 Original</v>
      </c>
      <c r="D715" s="3" t="s">
        <v>1200</v>
      </c>
      <c r="E715" s="5">
        <v>996</v>
      </c>
      <c r="F715" s="11">
        <v>42008</v>
      </c>
      <c r="G715" t="s">
        <v>76</v>
      </c>
      <c r="H715" s="9">
        <v>12.98</v>
      </c>
      <c r="I715" s="7" t="s">
        <v>970</v>
      </c>
      <c r="J715" s="7">
        <v>42748.047268518516</v>
      </c>
      <c r="K715" s="3" t="s">
        <v>970</v>
      </c>
      <c r="L715" s="7">
        <v>42748.047268518516</v>
      </c>
      <c r="M715" s="3" t="s">
        <v>970</v>
      </c>
      <c r="N715" s="16" t="str">
        <f>TEXT(F715,"mm-yyyy")</f>
        <v>01-2015</v>
      </c>
    </row>
    <row r="716" spans="3:14" x14ac:dyDescent="0.25">
      <c r="C716" t="str">
        <f>IF(COUNTBLANK(E716:M716) = 9,"",IF(AND(NOT(ISBLANK(E716)),COUNTBLANK(E716:M716) = 8),"3 Delete",IF(ISBLANK(E716),"2 Add",IF(JenkinsHashRange(E716:M716) = "740401649","0 Original","1 Modify"))))</f>
        <v>0 Original</v>
      </c>
      <c r="D716" s="3" t="s">
        <v>1206</v>
      </c>
      <c r="E716" s="5">
        <v>1017</v>
      </c>
      <c r="F716" s="11">
        <v>42014</v>
      </c>
      <c r="G716" t="s">
        <v>169</v>
      </c>
      <c r="H716" s="9">
        <v>67.92</v>
      </c>
      <c r="I716" s="7" t="s">
        <v>970</v>
      </c>
      <c r="J716" s="7">
        <v>42748.047268518516</v>
      </c>
      <c r="K716" s="3" t="s">
        <v>970</v>
      </c>
      <c r="L716" s="7">
        <v>42748.047268518516</v>
      </c>
      <c r="M716" s="3" t="s">
        <v>970</v>
      </c>
      <c r="N716" s="16" t="str">
        <f>TEXT(F716,"mm-yyyy")</f>
        <v>01-2015</v>
      </c>
    </row>
    <row r="717" spans="3:14" x14ac:dyDescent="0.25">
      <c r="C717" t="str">
        <f>IF(COUNTBLANK(E717:M717) = 9,"",IF(AND(NOT(ISBLANK(E717)),COUNTBLANK(E717:M717) = 8),"3 Delete",IF(ISBLANK(E717),"2 Add",IF(JenkinsHashRange(E717:M717) = "133333530","0 Original","1 Modify"))))</f>
        <v>0 Original</v>
      </c>
      <c r="D717" s="3" t="s">
        <v>1210</v>
      </c>
      <c r="E717" s="5">
        <v>1044</v>
      </c>
      <c r="F717" s="11">
        <v>42014</v>
      </c>
      <c r="G717" t="s">
        <v>160</v>
      </c>
      <c r="H717" s="9">
        <v>17.98</v>
      </c>
      <c r="I717" s="7" t="s">
        <v>970</v>
      </c>
      <c r="J717" s="7">
        <v>42748.047268518516</v>
      </c>
      <c r="K717" s="3" t="s">
        <v>970</v>
      </c>
      <c r="L717" s="7">
        <v>42748.047268518516</v>
      </c>
      <c r="M717" s="3" t="s">
        <v>970</v>
      </c>
      <c r="N717" s="16" t="str">
        <f>TEXT(F717,"mm-yyyy")</f>
        <v>01-2015</v>
      </c>
    </row>
    <row r="718" spans="3:14" x14ac:dyDescent="0.25">
      <c r="C718" t="str">
        <f>IF(COUNTBLANK(E718:M718) = 9,"",IF(AND(NOT(ISBLANK(E718)),COUNTBLANK(E718:M718) = 8),"3 Delete",IF(ISBLANK(E718),"2 Add",IF(JenkinsHashRange(E718:M718) = "383200004","0 Original","1 Modify"))))</f>
        <v>0 Original</v>
      </c>
      <c r="D718" s="3" t="s">
        <v>1211</v>
      </c>
      <c r="E718" s="5">
        <v>1046</v>
      </c>
      <c r="F718" s="11">
        <v>42031</v>
      </c>
      <c r="G718" t="s">
        <v>148</v>
      </c>
      <c r="H718" s="9">
        <v>15.98</v>
      </c>
      <c r="I718" s="7" t="s">
        <v>970</v>
      </c>
      <c r="J718" s="7">
        <v>42748.047268518516</v>
      </c>
      <c r="K718" s="3" t="s">
        <v>970</v>
      </c>
      <c r="L718" s="7">
        <v>42748.047268518516</v>
      </c>
      <c r="M718" s="3" t="s">
        <v>970</v>
      </c>
      <c r="N718" s="16" t="str">
        <f>TEXT(F718,"mm-yyyy")</f>
        <v>01-2015</v>
      </c>
    </row>
    <row r="719" spans="3:14" x14ac:dyDescent="0.25">
      <c r="C719" t="str">
        <f>IF(COUNTBLANK(E719:M719) = 9,"",IF(AND(NOT(ISBLANK(E719)),COUNTBLANK(E719:M719) = 8),"3 Delete",IF(ISBLANK(E719),"2 Add",IF(JenkinsHashRange(E719:M719) = "1444071321","0 Original","1 Modify"))))</f>
        <v>0 Original</v>
      </c>
      <c r="D719" s="3" t="s">
        <v>1213</v>
      </c>
      <c r="E719" s="5">
        <v>1050</v>
      </c>
      <c r="F719" s="11">
        <v>42030</v>
      </c>
      <c r="G719" t="s">
        <v>160</v>
      </c>
      <c r="H719" s="9">
        <v>33.96</v>
      </c>
      <c r="I719" s="7" t="s">
        <v>970</v>
      </c>
      <c r="J719" s="7">
        <v>42748.047268518516</v>
      </c>
      <c r="K719" s="3" t="s">
        <v>970</v>
      </c>
      <c r="L719" s="7">
        <v>42748.047268518516</v>
      </c>
      <c r="M719" s="3" t="s">
        <v>970</v>
      </c>
      <c r="N719" s="16" t="str">
        <f>TEXT(F719,"mm-yyyy")</f>
        <v>01-2015</v>
      </c>
    </row>
    <row r="720" spans="3:14" x14ac:dyDescent="0.25">
      <c r="C720" t="str">
        <f>IF(COUNTBLANK(E720:M720) = 9,"",IF(AND(NOT(ISBLANK(E720)),COUNTBLANK(E720:M720) = 8),"3 Delete",IF(ISBLANK(E720),"2 Add",IF(JenkinsHashRange(E720:M720) = "1915213313","0 Original","1 Modify"))))</f>
        <v>0 Original</v>
      </c>
      <c r="D720" s="3" t="s">
        <v>1215</v>
      </c>
      <c r="E720" s="5">
        <v>1053</v>
      </c>
      <c r="F720" s="11">
        <v>42011</v>
      </c>
      <c r="G720" t="s">
        <v>109</v>
      </c>
      <c r="H720" s="9">
        <v>29.97</v>
      </c>
      <c r="I720" s="7" t="s">
        <v>970</v>
      </c>
      <c r="J720" s="7">
        <v>42748.047268518516</v>
      </c>
      <c r="K720" s="3" t="s">
        <v>970</v>
      </c>
      <c r="L720" s="7">
        <v>42748.047268518516</v>
      </c>
      <c r="M720" s="3" t="s">
        <v>970</v>
      </c>
      <c r="N720" s="16" t="str">
        <f>TEXT(F720,"mm-yyyy")</f>
        <v>01-2015</v>
      </c>
    </row>
    <row r="721" spans="3:14" x14ac:dyDescent="0.25">
      <c r="C721" t="str">
        <f>IF(COUNTBLANK(E721:M721) = 9,"",IF(AND(NOT(ISBLANK(E721)),COUNTBLANK(E721:M721) = 8),"3 Delete",IF(ISBLANK(E721),"2 Add",IF(JenkinsHashRange(E721:M721) = "2066371422","0 Original","1 Modify"))))</f>
        <v>0 Original</v>
      </c>
      <c r="D721" s="3" t="s">
        <v>1220</v>
      </c>
      <c r="E721" s="5">
        <v>1069</v>
      </c>
      <c r="F721" s="11">
        <v>42027</v>
      </c>
      <c r="G721" t="s">
        <v>271</v>
      </c>
      <c r="H721" s="9">
        <v>28.96</v>
      </c>
      <c r="I721" s="7" t="s">
        <v>970</v>
      </c>
      <c r="J721" s="7">
        <v>42748.047268518516</v>
      </c>
      <c r="K721" s="3" t="s">
        <v>970</v>
      </c>
      <c r="L721" s="7">
        <v>42748.047268518516</v>
      </c>
      <c r="M721" s="3" t="s">
        <v>970</v>
      </c>
      <c r="N721" s="16" t="str">
        <f>TEXT(F721,"mm-yyyy")</f>
        <v>01-2015</v>
      </c>
    </row>
    <row r="722" spans="3:14" x14ac:dyDescent="0.25">
      <c r="C722" t="str">
        <f>IF(COUNTBLANK(E722:M722) = 9,"",IF(AND(NOT(ISBLANK(E722)),COUNTBLANK(E722:M722) = 8),"3 Delete",IF(ISBLANK(E722),"2 Add",IF(JenkinsHashRange(E722:M722) = "1186688772","0 Original","1 Modify"))))</f>
        <v>0 Original</v>
      </c>
      <c r="D722" s="3" t="s">
        <v>1221</v>
      </c>
      <c r="E722" s="5">
        <v>1072</v>
      </c>
      <c r="F722" s="11">
        <v>42006</v>
      </c>
      <c r="G722" t="s">
        <v>208</v>
      </c>
      <c r="H722" s="9">
        <v>27.97</v>
      </c>
      <c r="I722" s="7" t="s">
        <v>970</v>
      </c>
      <c r="J722" s="7">
        <v>42748.047268518516</v>
      </c>
      <c r="K722" s="3" t="s">
        <v>970</v>
      </c>
      <c r="L722" s="7">
        <v>42748.047268518516</v>
      </c>
      <c r="M722" s="3" t="s">
        <v>970</v>
      </c>
      <c r="N722" s="16" t="str">
        <f>TEXT(F722,"mm-yyyy")</f>
        <v>01-2015</v>
      </c>
    </row>
    <row r="723" spans="3:14" x14ac:dyDescent="0.25">
      <c r="C723" t="str">
        <f>IF(COUNTBLANK(E723:M723) = 9,"",IF(AND(NOT(ISBLANK(E723)),COUNTBLANK(E723:M723) = 8),"3 Delete",IF(ISBLANK(E723),"2 Add",IF(JenkinsHashRange(E723:M723) = "685822908","0 Original","1 Modify"))))</f>
        <v>0 Original</v>
      </c>
      <c r="D723" s="3" t="s">
        <v>1226</v>
      </c>
      <c r="E723" s="5">
        <v>1087</v>
      </c>
      <c r="F723" s="11">
        <v>42025</v>
      </c>
      <c r="G723" t="s">
        <v>109</v>
      </c>
      <c r="H723" s="9">
        <v>7.99</v>
      </c>
      <c r="I723" s="7" t="s">
        <v>970</v>
      </c>
      <c r="J723" s="7">
        <v>42748.047268518516</v>
      </c>
      <c r="K723" s="3" t="s">
        <v>970</v>
      </c>
      <c r="L723" s="7">
        <v>42748.047268518516</v>
      </c>
      <c r="M723" s="3" t="s">
        <v>970</v>
      </c>
      <c r="N723" s="16" t="str">
        <f>TEXT(F723,"mm-yyyy")</f>
        <v>01-2015</v>
      </c>
    </row>
    <row r="724" spans="3:14" x14ac:dyDescent="0.25">
      <c r="C724" t="str">
        <f>IF(COUNTBLANK(E724:M724) = 9,"",IF(AND(NOT(ISBLANK(E724)),COUNTBLANK(E724:M724) = 8),"3 Delete",IF(ISBLANK(E724),"2 Add",IF(JenkinsHashRange(E724:M724) = "1386772153","0 Original","1 Modify"))))</f>
        <v>0 Original</v>
      </c>
      <c r="D724" s="3" t="s">
        <v>1230</v>
      </c>
      <c r="E724" s="5">
        <v>1102</v>
      </c>
      <c r="F724" s="11">
        <v>42013</v>
      </c>
      <c r="G724" t="s">
        <v>208</v>
      </c>
      <c r="H724" s="9">
        <v>23.97</v>
      </c>
      <c r="I724" s="7" t="s">
        <v>970</v>
      </c>
      <c r="J724" s="7">
        <v>42748.047268518516</v>
      </c>
      <c r="K724" s="3" t="s">
        <v>970</v>
      </c>
      <c r="L724" s="7">
        <v>42748.047268518516</v>
      </c>
      <c r="M724" s="3" t="s">
        <v>970</v>
      </c>
      <c r="N724" s="16" t="str">
        <f>TEXT(F724,"mm-yyyy")</f>
        <v>01-2015</v>
      </c>
    </row>
    <row r="725" spans="3:14" x14ac:dyDescent="0.25">
      <c r="C725" t="str">
        <f>IF(COUNTBLANK(E725:M725) = 9,"",IF(AND(NOT(ISBLANK(E725)),COUNTBLANK(E725:M725) = 8),"3 Delete",IF(ISBLANK(E725),"2 Add",IF(JenkinsHashRange(E725:M725) = "1952705223","0 Original","1 Modify"))))</f>
        <v>0 Original</v>
      </c>
      <c r="D725" s="3" t="s">
        <v>1241</v>
      </c>
      <c r="E725" s="5">
        <v>1162</v>
      </c>
      <c r="F725" s="11">
        <v>42018</v>
      </c>
      <c r="G725" t="s">
        <v>208</v>
      </c>
      <c r="H725" s="9">
        <v>35.96</v>
      </c>
      <c r="I725" s="7" t="s">
        <v>970</v>
      </c>
      <c r="J725" s="7">
        <v>42748.047268518516</v>
      </c>
      <c r="K725" s="3" t="s">
        <v>970</v>
      </c>
      <c r="L725" s="7">
        <v>42748.047268518516</v>
      </c>
      <c r="M725" s="3" t="s">
        <v>970</v>
      </c>
      <c r="N725" s="16" t="str">
        <f>TEXT(F725,"mm-yyyy")</f>
        <v>01-2015</v>
      </c>
    </row>
    <row r="726" spans="3:14" x14ac:dyDescent="0.25">
      <c r="C726" t="str">
        <f>IF(COUNTBLANK(E726:M726) = 9,"",IF(AND(NOT(ISBLANK(E726)),COUNTBLANK(E726:M726) = 8),"3 Delete",IF(ISBLANK(E726),"2 Add",IF(JenkinsHashRange(E726:M726) = "489246140","0 Original","1 Modify"))))</f>
        <v>0 Original</v>
      </c>
      <c r="D726" s="3" t="s">
        <v>1242</v>
      </c>
      <c r="E726" s="5">
        <v>1168</v>
      </c>
      <c r="F726" s="11">
        <v>42034</v>
      </c>
      <c r="G726" t="s">
        <v>169</v>
      </c>
      <c r="H726" s="9">
        <v>49.94</v>
      </c>
      <c r="I726" s="7" t="s">
        <v>970</v>
      </c>
      <c r="J726" s="7">
        <v>42748.047268518516</v>
      </c>
      <c r="K726" s="3" t="s">
        <v>970</v>
      </c>
      <c r="L726" s="7">
        <v>42748.047268518516</v>
      </c>
      <c r="M726" s="3" t="s">
        <v>970</v>
      </c>
      <c r="N726" s="16" t="str">
        <f>TEXT(F726,"mm-yyyy")</f>
        <v>01-2015</v>
      </c>
    </row>
    <row r="727" spans="3:14" x14ac:dyDescent="0.25">
      <c r="C727" t="str">
        <f>IF(COUNTBLANK(E727:M727) = 9,"",IF(AND(NOT(ISBLANK(E727)),COUNTBLANK(E727:M727) = 8),"3 Delete",IF(ISBLANK(E727),"2 Add",IF(JenkinsHashRange(E727:M727) = "2047043053","0 Original","1 Modify"))))</f>
        <v>0 Original</v>
      </c>
      <c r="D727" s="3" t="s">
        <v>1244</v>
      </c>
      <c r="E727" s="5">
        <v>1173</v>
      </c>
      <c r="F727" s="11">
        <v>42033</v>
      </c>
      <c r="G727" t="s">
        <v>118</v>
      </c>
      <c r="H727" s="9">
        <v>71.92</v>
      </c>
      <c r="I727" s="7" t="s">
        <v>970</v>
      </c>
      <c r="J727" s="7">
        <v>42748.047268518516</v>
      </c>
      <c r="K727" s="3" t="s">
        <v>970</v>
      </c>
      <c r="L727" s="7">
        <v>42748.047268518516</v>
      </c>
      <c r="M727" s="3" t="s">
        <v>970</v>
      </c>
      <c r="N727" s="16" t="str">
        <f>TEXT(F727,"mm-yyyy")</f>
        <v>01-2015</v>
      </c>
    </row>
    <row r="728" spans="3:14" x14ac:dyDescent="0.25">
      <c r="C728" t="str">
        <f>IF(COUNTBLANK(E728:M728) = 9,"",IF(AND(NOT(ISBLANK(E728)),COUNTBLANK(E728:M728) = 8),"3 Delete",IF(ISBLANK(E728),"2 Add",IF(JenkinsHashRange(E728:M728) = "1913968695","0 Original","1 Modify"))))</f>
        <v>0 Original</v>
      </c>
      <c r="D728" s="3" t="s">
        <v>1245</v>
      </c>
      <c r="E728" s="5">
        <v>1177</v>
      </c>
      <c r="F728" s="11">
        <v>42011</v>
      </c>
      <c r="G728" t="s">
        <v>118</v>
      </c>
      <c r="H728" s="9">
        <v>27.97</v>
      </c>
      <c r="I728" s="7" t="s">
        <v>970</v>
      </c>
      <c r="J728" s="7">
        <v>42748.047268518516</v>
      </c>
      <c r="K728" s="3" t="s">
        <v>970</v>
      </c>
      <c r="L728" s="7">
        <v>42748.047268518516</v>
      </c>
      <c r="M728" s="3" t="s">
        <v>970</v>
      </c>
      <c r="N728" s="16" t="str">
        <f>TEXT(F728,"mm-yyyy")</f>
        <v>01-2015</v>
      </c>
    </row>
    <row r="729" spans="3:14" x14ac:dyDescent="0.25">
      <c r="C729" t="str">
        <f>IF(COUNTBLANK(E729:M729) = 9,"",IF(AND(NOT(ISBLANK(E729)),COUNTBLANK(E729:M729) = 8),"3 Delete",IF(ISBLANK(E729),"2 Add",IF(JenkinsHashRange(E729:M729) = "248264734","0 Original","1 Modify"))))</f>
        <v>0 Original</v>
      </c>
      <c r="D729" s="3" t="s">
        <v>993</v>
      </c>
      <c r="E729" s="5">
        <v>19</v>
      </c>
      <c r="F729" s="11">
        <v>42057</v>
      </c>
      <c r="G729" t="s">
        <v>190</v>
      </c>
      <c r="H729" s="9">
        <v>58.92</v>
      </c>
      <c r="I729" s="7" t="s">
        <v>970</v>
      </c>
      <c r="J729" s="7">
        <v>42748.047268518516</v>
      </c>
      <c r="K729" s="3" t="s">
        <v>970</v>
      </c>
      <c r="L729" s="7">
        <v>42748.047268518516</v>
      </c>
      <c r="M729" s="3" t="s">
        <v>970</v>
      </c>
      <c r="N729" s="16" t="str">
        <f>TEXT(F729,"mm-yyyy")</f>
        <v>02-2015</v>
      </c>
    </row>
    <row r="730" spans="3:14" x14ac:dyDescent="0.25">
      <c r="C730" t="str">
        <f>IF(COUNTBLANK(E730:M730) = 9,"",IF(AND(NOT(ISBLANK(E730)),COUNTBLANK(E730:M730) = 8),"3 Delete",IF(ISBLANK(E730),"2 Add",IF(JenkinsHashRange(E730:M730) = "532497046","0 Original","1 Modify"))))</f>
        <v>0 Original</v>
      </c>
      <c r="D730" s="3" t="s">
        <v>1008</v>
      </c>
      <c r="E730" s="5">
        <v>97</v>
      </c>
      <c r="F730" s="11">
        <v>42063</v>
      </c>
      <c r="G730" t="s">
        <v>352</v>
      </c>
      <c r="H730" s="9">
        <v>38.950000000000003</v>
      </c>
      <c r="I730" s="7" t="s">
        <v>970</v>
      </c>
      <c r="J730" s="7">
        <v>42748.047268518516</v>
      </c>
      <c r="K730" s="3" t="s">
        <v>970</v>
      </c>
      <c r="L730" s="7">
        <v>42748.047268518516</v>
      </c>
      <c r="M730" s="3" t="s">
        <v>970</v>
      </c>
      <c r="N730" s="16" t="str">
        <f>TEXT(F730,"mm-yyyy")</f>
        <v>02-2015</v>
      </c>
    </row>
    <row r="731" spans="3:14" x14ac:dyDescent="0.25">
      <c r="C731" t="str">
        <f>IF(COUNTBLANK(E731:M731) = 9,"",IF(AND(NOT(ISBLANK(E731)),COUNTBLANK(E731:M731) = 8),"3 Delete",IF(ISBLANK(E731),"2 Add",IF(JenkinsHashRange(E731:M731) = "2031158297","0 Original","1 Modify"))))</f>
        <v>0 Original</v>
      </c>
      <c r="D731" s="3" t="s">
        <v>1010</v>
      </c>
      <c r="E731" s="5">
        <v>102</v>
      </c>
      <c r="F731" s="11">
        <v>42053</v>
      </c>
      <c r="G731" t="s">
        <v>103</v>
      </c>
      <c r="H731" s="9">
        <v>28.97</v>
      </c>
      <c r="I731" s="7" t="s">
        <v>970</v>
      </c>
      <c r="J731" s="7">
        <v>42748.047268518516</v>
      </c>
      <c r="K731" s="3" t="s">
        <v>970</v>
      </c>
      <c r="L731" s="7">
        <v>42748.047268518516</v>
      </c>
      <c r="M731" s="3" t="s">
        <v>970</v>
      </c>
      <c r="N731" s="16" t="str">
        <f>TEXT(F731,"mm-yyyy")</f>
        <v>02-2015</v>
      </c>
    </row>
    <row r="732" spans="3:14" x14ac:dyDescent="0.25">
      <c r="C732" t="str">
        <f>IF(COUNTBLANK(E732:M732) = 9,"",IF(AND(NOT(ISBLANK(E732)),COUNTBLANK(E732:M732) = 8),"3 Delete",IF(ISBLANK(E732),"2 Add",IF(JenkinsHashRange(E732:M732) = "529493901","0 Original","1 Modify"))))</f>
        <v>0 Original</v>
      </c>
      <c r="D732" s="3" t="s">
        <v>1016</v>
      </c>
      <c r="E732" s="5">
        <v>151</v>
      </c>
      <c r="F732" s="11">
        <v>42047</v>
      </c>
      <c r="G732" t="s">
        <v>178</v>
      </c>
      <c r="H732" s="9">
        <v>21.97</v>
      </c>
      <c r="I732" s="7" t="s">
        <v>970</v>
      </c>
      <c r="J732" s="7">
        <v>42748.047268518516</v>
      </c>
      <c r="K732" s="3" t="s">
        <v>970</v>
      </c>
      <c r="L732" s="7">
        <v>42748.047268518516</v>
      </c>
      <c r="M732" s="3" t="s">
        <v>970</v>
      </c>
      <c r="N732" s="16" t="str">
        <f>TEXT(F732,"mm-yyyy")</f>
        <v>02-2015</v>
      </c>
    </row>
    <row r="733" spans="3:14" x14ac:dyDescent="0.25">
      <c r="C733" t="str">
        <f>IF(COUNTBLANK(E733:M733) = 9,"",IF(AND(NOT(ISBLANK(E733)),COUNTBLANK(E733:M733) = 8),"3 Delete",IF(ISBLANK(E733),"2 Add",IF(JenkinsHashRange(E733:M733) = "1669444521","0 Original","1 Modify"))))</f>
        <v>0 Original</v>
      </c>
      <c r="D733" s="3" t="s">
        <v>1026</v>
      </c>
      <c r="E733" s="5">
        <v>219</v>
      </c>
      <c r="F733" s="11">
        <v>42061</v>
      </c>
      <c r="G733" t="s">
        <v>289</v>
      </c>
      <c r="H733" s="9">
        <v>15.98</v>
      </c>
      <c r="I733" s="7" t="s">
        <v>970</v>
      </c>
      <c r="J733" s="7">
        <v>42748.047268518516</v>
      </c>
      <c r="K733" s="3" t="s">
        <v>970</v>
      </c>
      <c r="L733" s="7">
        <v>42748.047268518516</v>
      </c>
      <c r="M733" s="3" t="s">
        <v>970</v>
      </c>
      <c r="N733" s="16" t="str">
        <f>TEXT(F733,"mm-yyyy")</f>
        <v>02-2015</v>
      </c>
    </row>
    <row r="734" spans="3:14" x14ac:dyDescent="0.25">
      <c r="C734" t="str">
        <f>IF(COUNTBLANK(E734:M734) = 9,"",IF(AND(NOT(ISBLANK(E734)),COUNTBLANK(E734:M734) = 8),"3 Delete",IF(ISBLANK(E734),"2 Add",IF(JenkinsHashRange(E734:M734) = "1607924555","0 Original","1 Modify"))))</f>
        <v>0 Original</v>
      </c>
      <c r="D734" s="3" t="s">
        <v>1032</v>
      </c>
      <c r="E734" s="5">
        <v>245</v>
      </c>
      <c r="F734" s="11">
        <v>42042</v>
      </c>
      <c r="G734" t="s">
        <v>343</v>
      </c>
      <c r="H734" s="9">
        <v>44.94</v>
      </c>
      <c r="I734" s="7" t="s">
        <v>970</v>
      </c>
      <c r="J734" s="7">
        <v>42748.047268518516</v>
      </c>
      <c r="K734" s="3" t="s">
        <v>970</v>
      </c>
      <c r="L734" s="7">
        <v>42748.047268518516</v>
      </c>
      <c r="M734" s="3" t="s">
        <v>970</v>
      </c>
      <c r="N734" s="16" t="str">
        <f>TEXT(F734,"mm-yyyy")</f>
        <v>02-2015</v>
      </c>
    </row>
    <row r="735" spans="3:14" x14ac:dyDescent="0.25">
      <c r="C735" t="str">
        <f>IF(COUNTBLANK(E735:M735) = 9,"",IF(AND(NOT(ISBLANK(E735)),COUNTBLANK(E735:M735) = 8),"3 Delete",IF(ISBLANK(E735),"2 Add",IF(JenkinsHashRange(E735:M735) = "2007385646","0 Original","1 Modify"))))</f>
        <v>0 Original</v>
      </c>
      <c r="D735" s="3" t="s">
        <v>1040</v>
      </c>
      <c r="E735" s="5">
        <v>272</v>
      </c>
      <c r="F735" s="11">
        <v>42059</v>
      </c>
      <c r="G735" t="s">
        <v>343</v>
      </c>
      <c r="H735" s="9">
        <v>23.97</v>
      </c>
      <c r="I735" s="7" t="s">
        <v>970</v>
      </c>
      <c r="J735" s="7">
        <v>42748.047268518516</v>
      </c>
      <c r="K735" s="3" t="s">
        <v>970</v>
      </c>
      <c r="L735" s="7">
        <v>42748.047268518516</v>
      </c>
      <c r="M735" s="3" t="s">
        <v>970</v>
      </c>
      <c r="N735" s="16" t="str">
        <f>TEXT(F735,"mm-yyyy")</f>
        <v>02-2015</v>
      </c>
    </row>
    <row r="736" spans="3:14" x14ac:dyDescent="0.25">
      <c r="C736" t="str">
        <f>IF(COUNTBLANK(E736:M736) = 9,"",IF(AND(NOT(ISBLANK(E736)),COUNTBLANK(E736:M736) = 8),"3 Delete",IF(ISBLANK(E736),"2 Add",IF(JenkinsHashRange(E736:M736) = "960193256","0 Original","1 Modify"))))</f>
        <v>0 Original</v>
      </c>
      <c r="D736" s="3" t="s">
        <v>1043</v>
      </c>
      <c r="E736" s="5">
        <v>280</v>
      </c>
      <c r="F736" s="11">
        <v>42053</v>
      </c>
      <c r="G736" t="s">
        <v>139</v>
      </c>
      <c r="H736" s="9">
        <v>55.94</v>
      </c>
      <c r="I736" s="7" t="s">
        <v>970</v>
      </c>
      <c r="J736" s="7">
        <v>42748.047268518516</v>
      </c>
      <c r="K736" s="3" t="s">
        <v>970</v>
      </c>
      <c r="L736" s="7">
        <v>42748.047268518516</v>
      </c>
      <c r="M736" s="3" t="s">
        <v>970</v>
      </c>
      <c r="N736" s="16" t="str">
        <f>TEXT(F736,"mm-yyyy")</f>
        <v>02-2015</v>
      </c>
    </row>
    <row r="737" spans="3:14" x14ac:dyDescent="0.25">
      <c r="C737" t="str">
        <f>IF(COUNTBLANK(E737:M737) = 9,"",IF(AND(NOT(ISBLANK(E737)),COUNTBLANK(E737:M737) = 8),"3 Delete",IF(ISBLANK(E737),"2 Add",IF(JenkinsHashRange(E737:M737) = "32024785","0 Original","1 Modify"))))</f>
        <v>0 Original</v>
      </c>
      <c r="D737" s="3" t="s">
        <v>1052</v>
      </c>
      <c r="E737" s="5">
        <v>339</v>
      </c>
      <c r="F737" s="11">
        <v>42047</v>
      </c>
      <c r="G737" t="s">
        <v>220</v>
      </c>
      <c r="H737" s="9">
        <v>29.96</v>
      </c>
      <c r="I737" s="7" t="s">
        <v>970</v>
      </c>
      <c r="J737" s="7">
        <v>42748.047268518516</v>
      </c>
      <c r="K737" s="3" t="s">
        <v>970</v>
      </c>
      <c r="L737" s="7">
        <v>42748.047268518516</v>
      </c>
      <c r="M737" s="3" t="s">
        <v>970</v>
      </c>
      <c r="N737" s="16" t="str">
        <f>TEXT(F737,"mm-yyyy")</f>
        <v>02-2015</v>
      </c>
    </row>
    <row r="738" spans="3:14" x14ac:dyDescent="0.25">
      <c r="C738" t="str">
        <f>IF(COUNTBLANK(E738:M738) = 9,"",IF(AND(NOT(ISBLANK(E738)),COUNTBLANK(E738:M738) = 8),"3 Delete",IF(ISBLANK(E738),"2 Add",IF(JenkinsHashRange(E738:M738) = "626091544","0 Original","1 Modify"))))</f>
        <v>0 Original</v>
      </c>
      <c r="D738" s="3" t="s">
        <v>1055</v>
      </c>
      <c r="E738" s="5">
        <v>351</v>
      </c>
      <c r="F738" s="11">
        <v>42052</v>
      </c>
      <c r="G738" t="s">
        <v>217</v>
      </c>
      <c r="H738" s="9">
        <v>65.92</v>
      </c>
      <c r="I738" s="7" t="s">
        <v>970</v>
      </c>
      <c r="J738" s="7">
        <v>42748.047268518516</v>
      </c>
      <c r="K738" s="3" t="s">
        <v>970</v>
      </c>
      <c r="L738" s="7">
        <v>42748.047268518516</v>
      </c>
      <c r="M738" s="3" t="s">
        <v>970</v>
      </c>
      <c r="N738" s="16" t="str">
        <f>TEXT(F738,"mm-yyyy")</f>
        <v>02-2015</v>
      </c>
    </row>
    <row r="739" spans="3:14" x14ac:dyDescent="0.25">
      <c r="C739" t="str">
        <f>IF(COUNTBLANK(E739:M739) = 9,"",IF(AND(NOT(ISBLANK(E739)),COUNTBLANK(E739:M739) = 8),"3 Delete",IF(ISBLANK(E739),"2 Add",IF(JenkinsHashRange(E739:M739) = "1388431686","0 Original","1 Modify"))))</f>
        <v>0 Original</v>
      </c>
      <c r="D739" s="3" t="s">
        <v>1056</v>
      </c>
      <c r="E739" s="5">
        <v>355</v>
      </c>
      <c r="F739" s="11">
        <v>42037</v>
      </c>
      <c r="G739" t="s">
        <v>157</v>
      </c>
      <c r="H739" s="9">
        <v>18.97</v>
      </c>
      <c r="I739" s="7" t="s">
        <v>970</v>
      </c>
      <c r="J739" s="7">
        <v>42748.047268518516</v>
      </c>
      <c r="K739" s="3" t="s">
        <v>970</v>
      </c>
      <c r="L739" s="7">
        <v>42748.047268518516</v>
      </c>
      <c r="M739" s="3" t="s">
        <v>970</v>
      </c>
      <c r="N739" s="16" t="str">
        <f>TEXT(F739,"mm-yyyy")</f>
        <v>02-2015</v>
      </c>
    </row>
    <row r="740" spans="3:14" x14ac:dyDescent="0.25">
      <c r="C740" t="str">
        <f>IF(COUNTBLANK(E740:M740) = 9,"",IF(AND(NOT(ISBLANK(E740)),COUNTBLANK(E740:M740) = 8),"3 Delete",IF(ISBLANK(E740),"2 Add",IF(JenkinsHashRange(E740:M740) = "524295231","0 Original","1 Modify"))))</f>
        <v>0 Original</v>
      </c>
      <c r="D740" s="3" t="s">
        <v>1060</v>
      </c>
      <c r="E740" s="5">
        <v>370</v>
      </c>
      <c r="F740" s="11">
        <v>42048</v>
      </c>
      <c r="G740" t="s">
        <v>235</v>
      </c>
      <c r="H740" s="9">
        <v>47.94</v>
      </c>
      <c r="I740" s="7" t="s">
        <v>970</v>
      </c>
      <c r="J740" s="7">
        <v>42748.047268518516</v>
      </c>
      <c r="K740" s="3" t="s">
        <v>970</v>
      </c>
      <c r="L740" s="7">
        <v>42748.047268518516</v>
      </c>
      <c r="M740" s="3" t="s">
        <v>970</v>
      </c>
      <c r="N740" s="16" t="str">
        <f>TEXT(F740,"mm-yyyy")</f>
        <v>02-2015</v>
      </c>
    </row>
    <row r="741" spans="3:14" x14ac:dyDescent="0.25">
      <c r="C741" t="str">
        <f>IF(COUNTBLANK(E741:M741) = 9,"",IF(AND(NOT(ISBLANK(E741)),COUNTBLANK(E741:M741) = 8),"3 Delete",IF(ISBLANK(E741),"2 Add",IF(JenkinsHashRange(E741:M741) = "843582151","0 Original","1 Modify"))))</f>
        <v>0 Original</v>
      </c>
      <c r="D741" s="3" t="s">
        <v>1061</v>
      </c>
      <c r="E741" s="5">
        <v>372</v>
      </c>
      <c r="F741" s="11">
        <v>42044</v>
      </c>
      <c r="G741" t="s">
        <v>157</v>
      </c>
      <c r="H741" s="9">
        <v>45.94</v>
      </c>
      <c r="I741" s="7" t="s">
        <v>970</v>
      </c>
      <c r="J741" s="7">
        <v>42748.047268518516</v>
      </c>
      <c r="K741" s="3" t="s">
        <v>970</v>
      </c>
      <c r="L741" s="7">
        <v>42748.047268518516</v>
      </c>
      <c r="M741" s="3" t="s">
        <v>970</v>
      </c>
      <c r="N741" s="16" t="str">
        <f>TEXT(F741,"mm-yyyy")</f>
        <v>02-2015</v>
      </c>
    </row>
    <row r="742" spans="3:14" x14ac:dyDescent="0.25">
      <c r="C742" t="str">
        <f>IF(COUNTBLANK(E742:M742) = 9,"",IF(AND(NOT(ISBLANK(E742)),COUNTBLANK(E742:M742) = 8),"3 Delete",IF(ISBLANK(E742),"2 Add",IF(JenkinsHashRange(E742:M742) = "1314015879","0 Original","1 Modify"))))</f>
        <v>0 Original</v>
      </c>
      <c r="D742" s="3" t="s">
        <v>1069</v>
      </c>
      <c r="E742" s="5">
        <v>386</v>
      </c>
      <c r="F742" s="11">
        <v>42049</v>
      </c>
      <c r="G742" t="s">
        <v>352</v>
      </c>
      <c r="H742" s="9">
        <v>55.92</v>
      </c>
      <c r="I742" s="7" t="s">
        <v>970</v>
      </c>
      <c r="J742" s="7">
        <v>42748.047268518516</v>
      </c>
      <c r="K742" s="3" t="s">
        <v>970</v>
      </c>
      <c r="L742" s="7">
        <v>42748.047268518516</v>
      </c>
      <c r="M742" s="3" t="s">
        <v>970</v>
      </c>
      <c r="N742" s="16" t="str">
        <f>TEXT(F742,"mm-yyyy")</f>
        <v>02-2015</v>
      </c>
    </row>
    <row r="743" spans="3:14" x14ac:dyDescent="0.25">
      <c r="C743" t="str">
        <f>IF(COUNTBLANK(E743:M743) = 9,"",IF(AND(NOT(ISBLANK(E743)),COUNTBLANK(E743:M743) = 8),"3 Delete",IF(ISBLANK(E743),"2 Add",IF(JenkinsHashRange(E743:M743) = "1906032171","0 Original","1 Modify"))))</f>
        <v>0 Original</v>
      </c>
      <c r="D743" s="3" t="s">
        <v>1071</v>
      </c>
      <c r="E743" s="5">
        <v>389</v>
      </c>
      <c r="F743" s="11">
        <v>42054</v>
      </c>
      <c r="G743" t="s">
        <v>256</v>
      </c>
      <c r="H743" s="9">
        <v>24.97</v>
      </c>
      <c r="I743" s="7" t="s">
        <v>970</v>
      </c>
      <c r="J743" s="7">
        <v>42748.047268518516</v>
      </c>
      <c r="K743" s="3" t="s">
        <v>970</v>
      </c>
      <c r="L743" s="7">
        <v>42748.047268518516</v>
      </c>
      <c r="M743" s="3" t="s">
        <v>970</v>
      </c>
      <c r="N743" s="16" t="str">
        <f>TEXT(F743,"mm-yyyy")</f>
        <v>02-2015</v>
      </c>
    </row>
    <row r="744" spans="3:14" x14ac:dyDescent="0.25">
      <c r="C744" t="str">
        <f>IF(COUNTBLANK(E744:M744) = 9,"",IF(AND(NOT(ISBLANK(E744)),COUNTBLANK(E744:M744) = 8),"3 Delete",IF(ISBLANK(E744),"2 Add",IF(JenkinsHashRange(E744:M744) = "361740887","0 Original","1 Modify"))))</f>
        <v>0 Original</v>
      </c>
      <c r="D744" s="3" t="s">
        <v>1075</v>
      </c>
      <c r="E744" s="5">
        <v>408</v>
      </c>
      <c r="F744" s="11">
        <v>42052</v>
      </c>
      <c r="G744" t="s">
        <v>157</v>
      </c>
      <c r="H744" s="9">
        <v>85.89</v>
      </c>
      <c r="I744" s="7" t="s">
        <v>970</v>
      </c>
      <c r="J744" s="7">
        <v>42748.047268518516</v>
      </c>
      <c r="K744" s="3" t="s">
        <v>970</v>
      </c>
      <c r="L744" s="7">
        <v>42748.047268518516</v>
      </c>
      <c r="M744" s="3" t="s">
        <v>970</v>
      </c>
      <c r="N744" s="16" t="str">
        <f>TEXT(F744,"mm-yyyy")</f>
        <v>02-2015</v>
      </c>
    </row>
    <row r="745" spans="3:14" x14ac:dyDescent="0.25">
      <c r="C745" t="str">
        <f>IF(COUNTBLANK(E745:M745) = 9,"",IF(AND(NOT(ISBLANK(E745)),COUNTBLANK(E745:M745) = 8),"3 Delete",IF(ISBLANK(E745),"2 Add",IF(JenkinsHashRange(E745:M745) = "369454364","0 Original","1 Modify"))))</f>
        <v>0 Original</v>
      </c>
      <c r="D745" s="3" t="s">
        <v>1086</v>
      </c>
      <c r="E745" s="5">
        <v>447</v>
      </c>
      <c r="F745" s="11">
        <v>42056</v>
      </c>
      <c r="G745" t="s">
        <v>307</v>
      </c>
      <c r="H745" s="9">
        <v>85.9</v>
      </c>
      <c r="I745" s="7" t="s">
        <v>970</v>
      </c>
      <c r="J745" s="7">
        <v>42748.047268518516</v>
      </c>
      <c r="K745" s="3" t="s">
        <v>970</v>
      </c>
      <c r="L745" s="7">
        <v>42748.047268518516</v>
      </c>
      <c r="M745" s="3" t="s">
        <v>970</v>
      </c>
      <c r="N745" s="16" t="str">
        <f>TEXT(F745,"mm-yyyy")</f>
        <v>02-2015</v>
      </c>
    </row>
    <row r="746" spans="3:14" x14ac:dyDescent="0.25">
      <c r="C746" t="str">
        <f>IF(COUNTBLANK(E746:M746) = 9,"",IF(AND(NOT(ISBLANK(E746)),COUNTBLANK(E746:M746) = 8),"3 Delete",IF(ISBLANK(E746),"2 Add",IF(JenkinsHashRange(E746:M746) = "1471102825","0 Original","1 Modify"))))</f>
        <v>0 Original</v>
      </c>
      <c r="D746" s="3" t="s">
        <v>1087</v>
      </c>
      <c r="E746" s="5">
        <v>456</v>
      </c>
      <c r="F746" s="11">
        <v>42059</v>
      </c>
      <c r="G746" t="s">
        <v>343</v>
      </c>
      <c r="H746" s="9">
        <v>35.96</v>
      </c>
      <c r="I746" s="7" t="s">
        <v>970</v>
      </c>
      <c r="J746" s="7">
        <v>42748.047268518516</v>
      </c>
      <c r="K746" s="3" t="s">
        <v>970</v>
      </c>
      <c r="L746" s="7">
        <v>42748.047268518516</v>
      </c>
      <c r="M746" s="3" t="s">
        <v>970</v>
      </c>
      <c r="N746" s="16" t="str">
        <f>TEXT(F746,"mm-yyyy")</f>
        <v>02-2015</v>
      </c>
    </row>
    <row r="747" spans="3:14" x14ac:dyDescent="0.25">
      <c r="C747" t="str">
        <f>IF(COUNTBLANK(E747:M747) = 9,"",IF(AND(NOT(ISBLANK(E747)),COUNTBLANK(E747:M747) = 8),"3 Delete",IF(ISBLANK(E747),"2 Add",IF(JenkinsHashRange(E747:M747) = "1300216531","0 Original","1 Modify"))))</f>
        <v>0 Original</v>
      </c>
      <c r="D747" s="3" t="s">
        <v>1091</v>
      </c>
      <c r="E747" s="5">
        <v>483</v>
      </c>
      <c r="F747" s="11">
        <v>42049</v>
      </c>
      <c r="G747" t="s">
        <v>301</v>
      </c>
      <c r="H747" s="9">
        <v>17.98</v>
      </c>
      <c r="I747" s="7" t="s">
        <v>970</v>
      </c>
      <c r="J747" s="7">
        <v>42748.047268518516</v>
      </c>
      <c r="K747" s="3" t="s">
        <v>970</v>
      </c>
      <c r="L747" s="7">
        <v>42748.047268518516</v>
      </c>
      <c r="M747" s="3" t="s">
        <v>970</v>
      </c>
      <c r="N747" s="16" t="str">
        <f>TEXT(F747,"mm-yyyy")</f>
        <v>02-2015</v>
      </c>
    </row>
    <row r="748" spans="3:14" x14ac:dyDescent="0.25">
      <c r="C748" t="str">
        <f>IF(COUNTBLANK(E748:M748) = 9,"",IF(AND(NOT(ISBLANK(E748)),COUNTBLANK(E748:M748) = 8),"3 Delete",IF(ISBLANK(E748),"2 Add",IF(JenkinsHashRange(E748:M748) = "475851972","0 Original","1 Modify"))))</f>
        <v>0 Original</v>
      </c>
      <c r="D748" s="3" t="s">
        <v>1094</v>
      </c>
      <c r="E748" s="5">
        <v>514</v>
      </c>
      <c r="F748" s="11">
        <v>42059</v>
      </c>
      <c r="G748" t="s">
        <v>217</v>
      </c>
      <c r="H748" s="9">
        <v>48.93</v>
      </c>
      <c r="I748" s="7" t="s">
        <v>970</v>
      </c>
      <c r="J748" s="7">
        <v>42748.047268518516</v>
      </c>
      <c r="K748" s="3" t="s">
        <v>970</v>
      </c>
      <c r="L748" s="7">
        <v>42748.047268518516</v>
      </c>
      <c r="M748" s="3" t="s">
        <v>970</v>
      </c>
      <c r="N748" s="16" t="str">
        <f>TEXT(F748,"mm-yyyy")</f>
        <v>02-2015</v>
      </c>
    </row>
    <row r="749" spans="3:14" x14ac:dyDescent="0.25">
      <c r="C749" t="str">
        <f>IF(COUNTBLANK(E749:M749) = 9,"",IF(AND(NOT(ISBLANK(E749)),COUNTBLANK(E749:M749) = 8),"3 Delete",IF(ISBLANK(E749),"2 Add",IF(JenkinsHashRange(E749:M749) = "655645592","0 Original","1 Modify"))))</f>
        <v>0 Original</v>
      </c>
      <c r="D749" s="3" t="s">
        <v>1107</v>
      </c>
      <c r="E749" s="5">
        <v>582</v>
      </c>
      <c r="F749" s="11">
        <v>42038</v>
      </c>
      <c r="G749" t="s">
        <v>229</v>
      </c>
      <c r="H749" s="9">
        <v>15.98</v>
      </c>
      <c r="I749" s="7" t="s">
        <v>970</v>
      </c>
      <c r="J749" s="7">
        <v>42748.047268518516</v>
      </c>
      <c r="K749" s="3" t="s">
        <v>970</v>
      </c>
      <c r="L749" s="7">
        <v>42748.047268518516</v>
      </c>
      <c r="M749" s="3" t="s">
        <v>970</v>
      </c>
      <c r="N749" s="16" t="str">
        <f>TEXT(F749,"mm-yyyy")</f>
        <v>02-2015</v>
      </c>
    </row>
    <row r="750" spans="3:14" x14ac:dyDescent="0.25">
      <c r="C750" t="str">
        <f>IF(COUNTBLANK(E750:M750) = 9,"",IF(AND(NOT(ISBLANK(E750)),COUNTBLANK(E750:M750) = 8),"3 Delete",IF(ISBLANK(E750),"2 Add",IF(JenkinsHashRange(E750:M750) = "1393208750","0 Original","1 Modify"))))</f>
        <v>0 Original</v>
      </c>
      <c r="D750" s="3" t="s">
        <v>1118</v>
      </c>
      <c r="E750" s="5">
        <v>631</v>
      </c>
      <c r="F750" s="11">
        <v>42062</v>
      </c>
      <c r="G750" t="s">
        <v>121</v>
      </c>
      <c r="H750" s="9">
        <v>10.98</v>
      </c>
      <c r="I750" s="7" t="s">
        <v>970</v>
      </c>
      <c r="J750" s="7">
        <v>42748.047268518516</v>
      </c>
      <c r="K750" s="3" t="s">
        <v>970</v>
      </c>
      <c r="L750" s="7">
        <v>42748.047268518516</v>
      </c>
      <c r="M750" s="3" t="s">
        <v>970</v>
      </c>
      <c r="N750" s="16" t="str">
        <f>TEXT(F750,"mm-yyyy")</f>
        <v>02-2015</v>
      </c>
    </row>
    <row r="751" spans="3:14" x14ac:dyDescent="0.25">
      <c r="C751" t="str">
        <f>IF(COUNTBLANK(E751:M751) = 9,"",IF(AND(NOT(ISBLANK(E751)),COUNTBLANK(E751:M751) = 8),"3 Delete",IF(ISBLANK(E751),"2 Add",IF(JenkinsHashRange(E751:M751) = "1885376121","0 Original","1 Modify"))))</f>
        <v>0 Original</v>
      </c>
      <c r="D751" s="3" t="s">
        <v>1124</v>
      </c>
      <c r="E751" s="5">
        <v>652</v>
      </c>
      <c r="F751" s="11">
        <v>42042</v>
      </c>
      <c r="G751" t="s">
        <v>316</v>
      </c>
      <c r="H751" s="9">
        <v>16.97</v>
      </c>
      <c r="I751" s="7" t="s">
        <v>970</v>
      </c>
      <c r="J751" s="7">
        <v>42748.047268518516</v>
      </c>
      <c r="K751" s="3" t="s">
        <v>970</v>
      </c>
      <c r="L751" s="7">
        <v>42748.047268518516</v>
      </c>
      <c r="M751" s="3" t="s">
        <v>970</v>
      </c>
      <c r="N751" s="16" t="str">
        <f>TEXT(F751,"mm-yyyy")</f>
        <v>02-2015</v>
      </c>
    </row>
    <row r="752" spans="3:14" x14ac:dyDescent="0.25">
      <c r="C752" t="str">
        <f>IF(COUNTBLANK(E752:M752) = 9,"",IF(AND(NOT(ISBLANK(E752)),COUNTBLANK(E752:M752) = 8),"3 Delete",IF(ISBLANK(E752),"2 Add",IF(JenkinsHashRange(E752:M752) = "1894261428","0 Original","1 Modify"))))</f>
        <v>0 Original</v>
      </c>
      <c r="D752" s="3" t="s">
        <v>1126</v>
      </c>
      <c r="E752" s="5">
        <v>654</v>
      </c>
      <c r="F752" s="11">
        <v>42042</v>
      </c>
      <c r="G752" t="s">
        <v>289</v>
      </c>
      <c r="H752" s="9">
        <v>20.97</v>
      </c>
      <c r="I752" s="7" t="s">
        <v>970</v>
      </c>
      <c r="J752" s="7">
        <v>42748.047268518516</v>
      </c>
      <c r="K752" s="3" t="s">
        <v>970</v>
      </c>
      <c r="L752" s="7">
        <v>42748.047268518516</v>
      </c>
      <c r="M752" s="3" t="s">
        <v>970</v>
      </c>
      <c r="N752" s="16" t="str">
        <f>TEXT(F752,"mm-yyyy")</f>
        <v>02-2015</v>
      </c>
    </row>
    <row r="753" spans="3:14" x14ac:dyDescent="0.25">
      <c r="C753" t="str">
        <f>IF(COUNTBLANK(E753:M753) = 9,"",IF(AND(NOT(ISBLANK(E753)),COUNTBLANK(E753:M753) = 8),"3 Delete",IF(ISBLANK(E753),"2 Add",IF(JenkinsHashRange(E753:M753) = "1866867794","0 Original","1 Modify"))))</f>
        <v>0 Original</v>
      </c>
      <c r="D753" s="3" t="s">
        <v>1127</v>
      </c>
      <c r="E753" s="5">
        <v>660</v>
      </c>
      <c r="F753" s="11">
        <v>42044</v>
      </c>
      <c r="G753" t="s">
        <v>160</v>
      </c>
      <c r="H753" s="9">
        <v>24.97</v>
      </c>
      <c r="I753" s="7" t="s">
        <v>970</v>
      </c>
      <c r="J753" s="7">
        <v>42748.047268518516</v>
      </c>
      <c r="K753" s="3" t="s">
        <v>970</v>
      </c>
      <c r="L753" s="7">
        <v>42748.047268518516</v>
      </c>
      <c r="M753" s="3" t="s">
        <v>970</v>
      </c>
      <c r="N753" s="16" t="str">
        <f>TEXT(F753,"mm-yyyy")</f>
        <v>02-2015</v>
      </c>
    </row>
    <row r="754" spans="3:14" x14ac:dyDescent="0.25">
      <c r="C754" t="str">
        <f>IF(COUNTBLANK(E754:M754) = 9,"",IF(AND(NOT(ISBLANK(E754)),COUNTBLANK(E754:M754) = 8),"3 Delete",IF(ISBLANK(E754),"2 Add",IF(JenkinsHashRange(E754:M754) = "1552953251","0 Original","1 Modify"))))</f>
        <v>0 Original</v>
      </c>
      <c r="D754" s="3" t="s">
        <v>1128</v>
      </c>
      <c r="E754" s="5">
        <v>662</v>
      </c>
      <c r="F754" s="11">
        <v>42060</v>
      </c>
      <c r="G754" t="s">
        <v>364</v>
      </c>
      <c r="H754" s="9">
        <v>35.950000000000003</v>
      </c>
      <c r="I754" s="7" t="s">
        <v>970</v>
      </c>
      <c r="J754" s="7">
        <v>42748.047268518516</v>
      </c>
      <c r="K754" s="3" t="s">
        <v>970</v>
      </c>
      <c r="L754" s="7">
        <v>42748.047268518516</v>
      </c>
      <c r="M754" s="3" t="s">
        <v>970</v>
      </c>
      <c r="N754" s="16" t="str">
        <f>TEXT(F754,"mm-yyyy")</f>
        <v>02-2015</v>
      </c>
    </row>
    <row r="755" spans="3:14" x14ac:dyDescent="0.25">
      <c r="C755" t="str">
        <f>IF(COUNTBLANK(E755:M755) = 9,"",IF(AND(NOT(ISBLANK(E755)),COUNTBLANK(E755:M755) = 8),"3 Delete",IF(ISBLANK(E755),"2 Add",IF(JenkinsHashRange(E755:M755) = "1135085152","0 Original","1 Modify"))))</f>
        <v>0 Original</v>
      </c>
      <c r="D755" s="3" t="s">
        <v>1141</v>
      </c>
      <c r="E755" s="5">
        <v>716</v>
      </c>
      <c r="F755" s="11">
        <v>42036</v>
      </c>
      <c r="G755" t="s">
        <v>280</v>
      </c>
      <c r="H755" s="9">
        <v>26.97</v>
      </c>
      <c r="I755" s="7" t="s">
        <v>970</v>
      </c>
      <c r="J755" s="7">
        <v>42748.047268518516</v>
      </c>
      <c r="K755" s="3" t="s">
        <v>970</v>
      </c>
      <c r="L755" s="7">
        <v>42748.047268518516</v>
      </c>
      <c r="M755" s="3" t="s">
        <v>970</v>
      </c>
      <c r="N755" s="16" t="str">
        <f>TEXT(F755,"mm-yyyy")</f>
        <v>02-2015</v>
      </c>
    </row>
    <row r="756" spans="3:14" x14ac:dyDescent="0.25">
      <c r="C756" t="str">
        <f>IF(COUNTBLANK(E756:M756) = 9,"",IF(AND(NOT(ISBLANK(E756)),COUNTBLANK(E756:M756) = 8),"3 Delete",IF(ISBLANK(E756),"2 Add",IF(JenkinsHashRange(E756:M756) = "1300815593","0 Original","1 Modify"))))</f>
        <v>0 Original</v>
      </c>
      <c r="D756" s="3" t="s">
        <v>1143</v>
      </c>
      <c r="E756" s="5">
        <v>719</v>
      </c>
      <c r="F756" s="11">
        <v>42063</v>
      </c>
      <c r="G756" t="s">
        <v>76</v>
      </c>
      <c r="H756" s="9">
        <v>9.99</v>
      </c>
      <c r="I756" s="7" t="s">
        <v>970</v>
      </c>
      <c r="J756" s="7">
        <v>42748.047268518516</v>
      </c>
      <c r="K756" s="3" t="s">
        <v>970</v>
      </c>
      <c r="L756" s="7">
        <v>42748.047268518516</v>
      </c>
      <c r="M756" s="3" t="s">
        <v>970</v>
      </c>
      <c r="N756" s="16" t="str">
        <f>TEXT(F756,"mm-yyyy")</f>
        <v>02-2015</v>
      </c>
    </row>
    <row r="757" spans="3:14" x14ac:dyDescent="0.25">
      <c r="C757" t="str">
        <f>IF(COUNTBLANK(E757:M757) = 9,"",IF(AND(NOT(ISBLANK(E757)),COUNTBLANK(E757:M757) = 8),"3 Delete",IF(ISBLANK(E757),"2 Add",IF(JenkinsHashRange(E757:M757) = "1582200796","0 Original","1 Modify"))))</f>
        <v>0 Original</v>
      </c>
      <c r="D757" s="3" t="s">
        <v>1147</v>
      </c>
      <c r="E757" s="5">
        <v>731</v>
      </c>
      <c r="F757" s="11">
        <v>42062</v>
      </c>
      <c r="G757" t="s">
        <v>280</v>
      </c>
      <c r="H757" s="9">
        <v>22.97</v>
      </c>
      <c r="I757" s="7" t="s">
        <v>970</v>
      </c>
      <c r="J757" s="7">
        <v>42748.047268518516</v>
      </c>
      <c r="K757" s="3" t="s">
        <v>970</v>
      </c>
      <c r="L757" s="7">
        <v>42748.047268518516</v>
      </c>
      <c r="M757" s="3" t="s">
        <v>970</v>
      </c>
      <c r="N757" s="16" t="str">
        <f>TEXT(F757,"mm-yyyy")</f>
        <v>02-2015</v>
      </c>
    </row>
    <row r="758" spans="3:14" x14ac:dyDescent="0.25">
      <c r="C758" t="str">
        <f>IF(COUNTBLANK(E758:M758) = 9,"",IF(AND(NOT(ISBLANK(E758)),COUNTBLANK(E758:M758) = 8),"3 Delete",IF(ISBLANK(E758),"2 Add",IF(JenkinsHashRange(E758:M758) = "608515799","0 Original","1 Modify"))))</f>
        <v>0 Original</v>
      </c>
      <c r="D758" s="3" t="s">
        <v>1150</v>
      </c>
      <c r="E758" s="5">
        <v>744</v>
      </c>
      <c r="F758" s="11">
        <v>42040</v>
      </c>
      <c r="G758" t="s">
        <v>280</v>
      </c>
      <c r="H758" s="9">
        <v>35.96</v>
      </c>
      <c r="I758" s="7" t="s">
        <v>970</v>
      </c>
      <c r="J758" s="7">
        <v>42748.047268518516</v>
      </c>
      <c r="K758" s="3" t="s">
        <v>970</v>
      </c>
      <c r="L758" s="7">
        <v>42748.047268518516</v>
      </c>
      <c r="M758" s="3" t="s">
        <v>970</v>
      </c>
      <c r="N758" s="16" t="str">
        <f>TEXT(F758,"mm-yyyy")</f>
        <v>02-2015</v>
      </c>
    </row>
    <row r="759" spans="3:14" x14ac:dyDescent="0.25">
      <c r="C759" t="str">
        <f>IF(COUNTBLANK(E759:M759) = 9,"",IF(AND(NOT(ISBLANK(E759)),COUNTBLANK(E759:M759) = 8),"3 Delete",IF(ISBLANK(E759),"2 Add",IF(JenkinsHashRange(E759:M759) = "463207029","0 Original","1 Modify"))))</f>
        <v>0 Original</v>
      </c>
      <c r="D759" s="3" t="s">
        <v>1158</v>
      </c>
      <c r="E759" s="5">
        <v>780</v>
      </c>
      <c r="F759" s="11">
        <v>42051</v>
      </c>
      <c r="G759" t="s">
        <v>208</v>
      </c>
      <c r="H759" s="9">
        <v>69.92</v>
      </c>
      <c r="I759" s="7" t="s">
        <v>970</v>
      </c>
      <c r="J759" s="7">
        <v>42748.047268518516</v>
      </c>
      <c r="K759" s="3" t="s">
        <v>970</v>
      </c>
      <c r="L759" s="7">
        <v>42748.047268518516</v>
      </c>
      <c r="M759" s="3" t="s">
        <v>970</v>
      </c>
      <c r="N759" s="16" t="str">
        <f>TEXT(F759,"mm-yyyy")</f>
        <v>02-2015</v>
      </c>
    </row>
    <row r="760" spans="3:14" x14ac:dyDescent="0.25">
      <c r="C760" t="str">
        <f>IF(COUNTBLANK(E760:M760) = 9,"",IF(AND(NOT(ISBLANK(E760)),COUNTBLANK(E760:M760) = 8),"3 Delete",IF(ISBLANK(E760),"2 Add",IF(JenkinsHashRange(E760:M760) = "1477451267","0 Original","1 Modify"))))</f>
        <v>0 Original</v>
      </c>
      <c r="D760" s="3" t="s">
        <v>1165</v>
      </c>
      <c r="E760" s="5">
        <v>816</v>
      </c>
      <c r="F760" s="11">
        <v>42056</v>
      </c>
      <c r="G760" t="s">
        <v>208</v>
      </c>
      <c r="H760" s="9">
        <v>38.950000000000003</v>
      </c>
      <c r="I760" s="7" t="s">
        <v>970</v>
      </c>
      <c r="J760" s="7">
        <v>42748.047268518516</v>
      </c>
      <c r="K760" s="3" t="s">
        <v>970</v>
      </c>
      <c r="L760" s="7">
        <v>42748.047268518516</v>
      </c>
      <c r="M760" s="3" t="s">
        <v>970</v>
      </c>
      <c r="N760" s="16" t="str">
        <f>TEXT(F760,"mm-yyyy")</f>
        <v>02-2015</v>
      </c>
    </row>
    <row r="761" spans="3:14" x14ac:dyDescent="0.25">
      <c r="C761" t="str">
        <f>IF(COUNTBLANK(E761:M761) = 9,"",IF(AND(NOT(ISBLANK(E761)),COUNTBLANK(E761:M761) = 8),"3 Delete",IF(ISBLANK(E761),"2 Add",IF(JenkinsHashRange(E761:M761) = "1847364000","0 Original","1 Modify"))))</f>
        <v>0 Original</v>
      </c>
      <c r="D761" s="3" t="s">
        <v>1166</v>
      </c>
      <c r="E761" s="5">
        <v>823</v>
      </c>
      <c r="F761" s="11">
        <v>42059</v>
      </c>
      <c r="G761" t="s">
        <v>160</v>
      </c>
      <c r="H761" s="9">
        <v>17.98</v>
      </c>
      <c r="I761" s="7" t="s">
        <v>970</v>
      </c>
      <c r="J761" s="7">
        <v>42748.047268518516</v>
      </c>
      <c r="K761" s="3" t="s">
        <v>970</v>
      </c>
      <c r="L761" s="7">
        <v>42748.047268518516</v>
      </c>
      <c r="M761" s="3" t="s">
        <v>970</v>
      </c>
      <c r="N761" s="16" t="str">
        <f>TEXT(F761,"mm-yyyy")</f>
        <v>02-2015</v>
      </c>
    </row>
    <row r="762" spans="3:14" x14ac:dyDescent="0.25">
      <c r="C762" t="str">
        <f>IF(COUNTBLANK(E762:M762) = 9,"",IF(AND(NOT(ISBLANK(E762)),COUNTBLANK(E762:M762) = 8),"3 Delete",IF(ISBLANK(E762),"2 Add",IF(JenkinsHashRange(E762:M762) = "840579973","0 Original","1 Modify"))))</f>
        <v>0 Original</v>
      </c>
      <c r="D762" s="3" t="s">
        <v>1189</v>
      </c>
      <c r="E762" s="5">
        <v>920</v>
      </c>
      <c r="F762" s="11">
        <v>42037</v>
      </c>
      <c r="G762" t="s">
        <v>160</v>
      </c>
      <c r="H762" s="9">
        <v>5.99</v>
      </c>
      <c r="I762" s="7" t="s">
        <v>970</v>
      </c>
      <c r="J762" s="7">
        <v>42748.047268518516</v>
      </c>
      <c r="K762" s="3" t="s">
        <v>970</v>
      </c>
      <c r="L762" s="7">
        <v>42748.047268518516</v>
      </c>
      <c r="M762" s="3" t="s">
        <v>970</v>
      </c>
      <c r="N762" s="16" t="str">
        <f>TEXT(F762,"mm-yyyy")</f>
        <v>02-2015</v>
      </c>
    </row>
    <row r="763" spans="3:14" x14ac:dyDescent="0.25">
      <c r="C763" t="str">
        <f>IF(COUNTBLANK(E763:M763) = 9,"",IF(AND(NOT(ISBLANK(E763)),COUNTBLANK(E763:M763) = 8),"3 Delete",IF(ISBLANK(E763),"2 Add",IF(JenkinsHashRange(E763:M763) = "1735080767","0 Original","1 Modify"))))</f>
        <v>0 Original</v>
      </c>
      <c r="D763" s="3" t="s">
        <v>1192</v>
      </c>
      <c r="E763" s="5">
        <v>941</v>
      </c>
      <c r="F763" s="11">
        <v>42047</v>
      </c>
      <c r="G763" t="s">
        <v>187</v>
      </c>
      <c r="H763" s="9">
        <v>36.96</v>
      </c>
      <c r="I763" s="7" t="s">
        <v>970</v>
      </c>
      <c r="J763" s="7">
        <v>42748.047268518516</v>
      </c>
      <c r="K763" s="3" t="s">
        <v>970</v>
      </c>
      <c r="L763" s="7">
        <v>42748.047268518516</v>
      </c>
      <c r="M763" s="3" t="s">
        <v>970</v>
      </c>
      <c r="N763" s="16" t="str">
        <f>TEXT(F763,"mm-yyyy")</f>
        <v>02-2015</v>
      </c>
    </row>
    <row r="764" spans="3:14" x14ac:dyDescent="0.25">
      <c r="C764" t="str">
        <f>IF(COUNTBLANK(E764:M764) = 9,"",IF(AND(NOT(ISBLANK(E764)),COUNTBLANK(E764:M764) = 8),"3 Delete",IF(ISBLANK(E764),"2 Add",IF(JenkinsHashRange(E764:M764) = "1119560556","0 Original","1 Modify"))))</f>
        <v>0 Original</v>
      </c>
      <c r="D764" s="3" t="s">
        <v>1194</v>
      </c>
      <c r="E764" s="5">
        <v>953</v>
      </c>
      <c r="F764" s="11">
        <v>42057</v>
      </c>
      <c r="G764" t="s">
        <v>169</v>
      </c>
      <c r="H764" s="9">
        <v>29.97</v>
      </c>
      <c r="I764" s="7" t="s">
        <v>970</v>
      </c>
      <c r="J764" s="7">
        <v>42748.047268518516</v>
      </c>
      <c r="K764" s="3" t="s">
        <v>970</v>
      </c>
      <c r="L764" s="7">
        <v>42748.047268518516</v>
      </c>
      <c r="M764" s="3" t="s">
        <v>970</v>
      </c>
      <c r="N764" s="16" t="str">
        <f>TEXT(F764,"mm-yyyy")</f>
        <v>02-2015</v>
      </c>
    </row>
    <row r="765" spans="3:14" x14ac:dyDescent="0.25">
      <c r="C765" t="str">
        <f>IF(COUNTBLANK(E765:M765) = 9,"",IF(AND(NOT(ISBLANK(E765)),COUNTBLANK(E765:M765) = 8),"3 Delete",IF(ISBLANK(E765),"2 Add",IF(JenkinsHashRange(E765:M765) = "727721591","0 Original","1 Modify"))))</f>
        <v>0 Original</v>
      </c>
      <c r="D765" s="3" t="s">
        <v>1197</v>
      </c>
      <c r="E765" s="5">
        <v>971</v>
      </c>
      <c r="F765" s="11">
        <v>42061</v>
      </c>
      <c r="G765" t="s">
        <v>148</v>
      </c>
      <c r="H765" s="9">
        <v>49.93</v>
      </c>
      <c r="I765" s="7" t="s">
        <v>970</v>
      </c>
      <c r="J765" s="7">
        <v>42748.047268518516</v>
      </c>
      <c r="K765" s="3" t="s">
        <v>970</v>
      </c>
      <c r="L765" s="7">
        <v>42748.047268518516</v>
      </c>
      <c r="M765" s="3" t="s">
        <v>970</v>
      </c>
      <c r="N765" s="16" t="str">
        <f>TEXT(F765,"mm-yyyy")</f>
        <v>02-2015</v>
      </c>
    </row>
    <row r="766" spans="3:14" x14ac:dyDescent="0.25">
      <c r="C766" t="str">
        <f>IF(COUNTBLANK(E766:M766) = 9,"",IF(AND(NOT(ISBLANK(E766)),COUNTBLANK(E766:M766) = 8),"3 Delete",IF(ISBLANK(E766),"2 Add",IF(JenkinsHashRange(E766:M766) = "1852653580","0 Original","1 Modify"))))</f>
        <v>0 Original</v>
      </c>
      <c r="D766" s="3" t="s">
        <v>1198</v>
      </c>
      <c r="E766" s="5">
        <v>976</v>
      </c>
      <c r="F766" s="11">
        <v>42057</v>
      </c>
      <c r="G766" t="s">
        <v>148</v>
      </c>
      <c r="H766" s="9">
        <v>30.96</v>
      </c>
      <c r="I766" s="7" t="s">
        <v>970</v>
      </c>
      <c r="J766" s="7">
        <v>42748.047268518516</v>
      </c>
      <c r="K766" s="3" t="s">
        <v>970</v>
      </c>
      <c r="L766" s="7">
        <v>42748.047268518516</v>
      </c>
      <c r="M766" s="3" t="s">
        <v>970</v>
      </c>
      <c r="N766" s="16" t="str">
        <f>TEXT(F766,"mm-yyyy")</f>
        <v>02-2015</v>
      </c>
    </row>
    <row r="767" spans="3:14" x14ac:dyDescent="0.25">
      <c r="C767" t="str">
        <f>IF(COUNTBLANK(E767:M767) = 9,"",IF(AND(NOT(ISBLANK(E767)),COUNTBLANK(E767:M767) = 8),"3 Delete",IF(ISBLANK(E767),"2 Add",IF(JenkinsHashRange(E767:M767) = "869662208","0 Original","1 Modify"))))</f>
        <v>0 Original</v>
      </c>
      <c r="D767" s="3" t="s">
        <v>1202</v>
      </c>
      <c r="E767" s="5">
        <v>1002</v>
      </c>
      <c r="F767" s="11">
        <v>42055</v>
      </c>
      <c r="G767" t="s">
        <v>208</v>
      </c>
      <c r="H767" s="9">
        <v>49.93</v>
      </c>
      <c r="I767" s="7" t="s">
        <v>970</v>
      </c>
      <c r="J767" s="7">
        <v>42748.047268518516</v>
      </c>
      <c r="K767" s="3" t="s">
        <v>970</v>
      </c>
      <c r="L767" s="7">
        <v>42748.047268518516</v>
      </c>
      <c r="M767" s="3" t="s">
        <v>970</v>
      </c>
      <c r="N767" s="16" t="str">
        <f>TEXT(F767,"mm-yyyy")</f>
        <v>02-2015</v>
      </c>
    </row>
    <row r="768" spans="3:14" x14ac:dyDescent="0.25">
      <c r="C768" t="str">
        <f>IF(COUNTBLANK(E768:M768) = 9,"",IF(AND(NOT(ISBLANK(E768)),COUNTBLANK(E768:M768) = 8),"3 Delete",IF(ISBLANK(E768),"2 Add",IF(JenkinsHashRange(E768:M768) = "1657888331","0 Original","1 Modify"))))</f>
        <v>0 Original</v>
      </c>
      <c r="D768" s="3" t="s">
        <v>1204</v>
      </c>
      <c r="E768" s="5">
        <v>1006</v>
      </c>
      <c r="F768" s="11">
        <v>42059</v>
      </c>
      <c r="G768" t="s">
        <v>148</v>
      </c>
      <c r="H768" s="9">
        <v>47.95</v>
      </c>
      <c r="I768" s="7" t="s">
        <v>970</v>
      </c>
      <c r="J768" s="7">
        <v>42748.047268518516</v>
      </c>
      <c r="K768" s="3" t="s">
        <v>970</v>
      </c>
      <c r="L768" s="7">
        <v>42748.047268518516</v>
      </c>
      <c r="M768" s="3" t="s">
        <v>970</v>
      </c>
      <c r="N768" s="16" t="str">
        <f>TEXT(F768,"mm-yyyy")</f>
        <v>02-2015</v>
      </c>
    </row>
    <row r="769" spans="3:14" x14ac:dyDescent="0.25">
      <c r="C769" t="str">
        <f>IF(COUNTBLANK(E769:M769) = 9,"",IF(AND(NOT(ISBLANK(E769)),COUNTBLANK(E769:M769) = 8),"3 Delete",IF(ISBLANK(E769),"2 Add",IF(JenkinsHashRange(E769:M769) = "24737587","0 Original","1 Modify"))))</f>
        <v>0 Original</v>
      </c>
      <c r="D769" s="3" t="s">
        <v>1205</v>
      </c>
      <c r="E769" s="5">
        <v>1015</v>
      </c>
      <c r="F769" s="11">
        <v>42054</v>
      </c>
      <c r="G769" t="s">
        <v>280</v>
      </c>
      <c r="H769" s="9">
        <v>29.97</v>
      </c>
      <c r="I769" s="7" t="s">
        <v>970</v>
      </c>
      <c r="J769" s="7">
        <v>42748.047268518516</v>
      </c>
      <c r="K769" s="3" t="s">
        <v>970</v>
      </c>
      <c r="L769" s="7">
        <v>42748.047268518516</v>
      </c>
      <c r="M769" s="3" t="s">
        <v>970</v>
      </c>
      <c r="N769" s="16" t="str">
        <f>TEXT(F769,"mm-yyyy")</f>
        <v>02-2015</v>
      </c>
    </row>
    <row r="770" spans="3:14" x14ac:dyDescent="0.25">
      <c r="C770" t="str">
        <f>IF(COUNTBLANK(E770:M770) = 9,"",IF(AND(NOT(ISBLANK(E770)),COUNTBLANK(E770:M770) = 8),"3 Delete",IF(ISBLANK(E770),"2 Add",IF(JenkinsHashRange(E770:M770) = "1019432146","0 Original","1 Modify"))))</f>
        <v>0 Original</v>
      </c>
      <c r="D770" s="3" t="s">
        <v>1214</v>
      </c>
      <c r="E770" s="5">
        <v>1052</v>
      </c>
      <c r="F770" s="11">
        <v>42038</v>
      </c>
      <c r="G770" t="s">
        <v>208</v>
      </c>
      <c r="H770" s="9">
        <v>100.88</v>
      </c>
      <c r="I770" s="7" t="s">
        <v>970</v>
      </c>
      <c r="J770" s="7">
        <v>42748.047268518516</v>
      </c>
      <c r="K770" s="3" t="s">
        <v>970</v>
      </c>
      <c r="L770" s="7">
        <v>42748.047268518516</v>
      </c>
      <c r="M770" s="3" t="s">
        <v>970</v>
      </c>
      <c r="N770" s="16" t="str">
        <f>TEXT(F770,"mm-yyyy")</f>
        <v>02-2015</v>
      </c>
    </row>
    <row r="771" spans="3:14" x14ac:dyDescent="0.25">
      <c r="C771" t="str">
        <f>IF(COUNTBLANK(E771:M771) = 9,"",IF(AND(NOT(ISBLANK(E771)),COUNTBLANK(E771:M771) = 8),"3 Delete",IF(ISBLANK(E771),"2 Add",IF(JenkinsHashRange(E771:M771) = "744855291","0 Original","1 Modify"))))</f>
        <v>0 Original</v>
      </c>
      <c r="D771" s="3" t="s">
        <v>1216</v>
      </c>
      <c r="E771" s="5">
        <v>1060</v>
      </c>
      <c r="F771" s="11">
        <v>42063</v>
      </c>
      <c r="G771" t="s">
        <v>271</v>
      </c>
      <c r="H771" s="9">
        <v>40.950000000000003</v>
      </c>
      <c r="I771" s="7" t="s">
        <v>970</v>
      </c>
      <c r="J771" s="7">
        <v>42748.047268518516</v>
      </c>
      <c r="K771" s="3" t="s">
        <v>970</v>
      </c>
      <c r="L771" s="7">
        <v>42748.047268518516</v>
      </c>
      <c r="M771" s="3" t="s">
        <v>970</v>
      </c>
      <c r="N771" s="16" t="str">
        <f>TEXT(F771,"mm-yyyy")</f>
        <v>02-2015</v>
      </c>
    </row>
    <row r="772" spans="3:14" x14ac:dyDescent="0.25">
      <c r="C772" t="str">
        <f>IF(COUNTBLANK(E772:M772) = 9,"",IF(AND(NOT(ISBLANK(E772)),COUNTBLANK(E772:M772) = 8),"3 Delete",IF(ISBLANK(E772),"2 Add",IF(JenkinsHashRange(E772:M772) = "1026632165","0 Original","1 Modify"))))</f>
        <v>0 Original</v>
      </c>
      <c r="D772" s="3" t="s">
        <v>1217</v>
      </c>
      <c r="E772" s="5">
        <v>1062</v>
      </c>
      <c r="F772" s="11">
        <v>42045</v>
      </c>
      <c r="G772" t="s">
        <v>76</v>
      </c>
      <c r="H772" s="9">
        <v>37.96</v>
      </c>
      <c r="I772" s="7" t="s">
        <v>970</v>
      </c>
      <c r="J772" s="7">
        <v>42748.047268518516</v>
      </c>
      <c r="K772" s="3" t="s">
        <v>970</v>
      </c>
      <c r="L772" s="7">
        <v>42748.047268518516</v>
      </c>
      <c r="M772" s="3" t="s">
        <v>970</v>
      </c>
      <c r="N772" s="16" t="str">
        <f>TEXT(F772,"mm-yyyy")</f>
        <v>02-2015</v>
      </c>
    </row>
    <row r="773" spans="3:14" x14ac:dyDescent="0.25">
      <c r="C773" t="str">
        <f>IF(COUNTBLANK(E773:M773) = 9,"",IF(AND(NOT(ISBLANK(E773)),COUNTBLANK(E773:M773) = 8),"3 Delete",IF(ISBLANK(E773),"2 Add",IF(JenkinsHashRange(E773:M773) = "1828597452","0 Original","1 Modify"))))</f>
        <v>0 Original</v>
      </c>
      <c r="D773" s="3" t="s">
        <v>1219</v>
      </c>
      <c r="E773" s="5">
        <v>1067</v>
      </c>
      <c r="F773" s="11">
        <v>42060</v>
      </c>
      <c r="G773" t="s">
        <v>271</v>
      </c>
      <c r="H773" s="9">
        <v>24.97</v>
      </c>
      <c r="I773" s="7" t="s">
        <v>970</v>
      </c>
      <c r="J773" s="7">
        <v>42748.047268518516</v>
      </c>
      <c r="K773" s="3" t="s">
        <v>970</v>
      </c>
      <c r="L773" s="7">
        <v>42748.047268518516</v>
      </c>
      <c r="M773" s="3" t="s">
        <v>970</v>
      </c>
      <c r="N773" s="16" t="str">
        <f>TEXT(F773,"mm-yyyy")</f>
        <v>02-2015</v>
      </c>
    </row>
    <row r="774" spans="3:14" x14ac:dyDescent="0.25">
      <c r="C774" t="str">
        <f>IF(COUNTBLANK(E774:M774) = 9,"",IF(AND(NOT(ISBLANK(E774)),COUNTBLANK(E774:M774) = 8),"3 Delete",IF(ISBLANK(E774),"2 Add",IF(JenkinsHashRange(E774:M774) = "1238335193","0 Original","1 Modify"))))</f>
        <v>0 Original</v>
      </c>
      <c r="D774" s="3" t="s">
        <v>1222</v>
      </c>
      <c r="E774" s="5">
        <v>1075</v>
      </c>
      <c r="F774" s="11">
        <v>42049</v>
      </c>
      <c r="G774" t="s">
        <v>169</v>
      </c>
      <c r="H774" s="9">
        <v>65.92</v>
      </c>
      <c r="I774" s="7" t="s">
        <v>970</v>
      </c>
      <c r="J774" s="7">
        <v>42748.047268518516</v>
      </c>
      <c r="K774" s="3" t="s">
        <v>970</v>
      </c>
      <c r="L774" s="7">
        <v>42748.047268518516</v>
      </c>
      <c r="M774" s="3" t="s">
        <v>970</v>
      </c>
      <c r="N774" s="16" t="str">
        <f>TEXT(F774,"mm-yyyy")</f>
        <v>02-2015</v>
      </c>
    </row>
    <row r="775" spans="3:14" x14ac:dyDescent="0.25">
      <c r="C775" t="str">
        <f>IF(COUNTBLANK(E775:M775) = 9,"",IF(AND(NOT(ISBLANK(E775)),COUNTBLANK(E775:M775) = 8),"3 Delete",IF(ISBLANK(E775),"2 Add",IF(JenkinsHashRange(E775:M775) = "1949470221","0 Original","1 Modify"))))</f>
        <v>0 Original</v>
      </c>
      <c r="D775" s="3" t="s">
        <v>1224</v>
      </c>
      <c r="E775" s="5">
        <v>1080</v>
      </c>
      <c r="F775" s="11">
        <v>42058</v>
      </c>
      <c r="G775" t="s">
        <v>280</v>
      </c>
      <c r="H775" s="9">
        <v>23.97</v>
      </c>
      <c r="I775" s="7" t="s">
        <v>970</v>
      </c>
      <c r="J775" s="7">
        <v>42748.047268518516</v>
      </c>
      <c r="K775" s="3" t="s">
        <v>970</v>
      </c>
      <c r="L775" s="7">
        <v>42748.047268518516</v>
      </c>
      <c r="M775" s="3" t="s">
        <v>970</v>
      </c>
      <c r="N775" s="16" t="str">
        <f>TEXT(F775,"mm-yyyy")</f>
        <v>02-2015</v>
      </c>
    </row>
    <row r="776" spans="3:14" x14ac:dyDescent="0.25">
      <c r="C776" t="str">
        <f>IF(COUNTBLANK(E776:M776) = 9,"",IF(AND(NOT(ISBLANK(E776)),COUNTBLANK(E776:M776) = 8),"3 Delete",IF(ISBLANK(E776),"2 Add",IF(JenkinsHashRange(E776:M776) = "293564488","0 Original","1 Modify"))))</f>
        <v>0 Original</v>
      </c>
      <c r="D776" s="3" t="s">
        <v>1227</v>
      </c>
      <c r="E776" s="5">
        <v>1090</v>
      </c>
      <c r="F776" s="11">
        <v>42049</v>
      </c>
      <c r="G776" t="s">
        <v>280</v>
      </c>
      <c r="H776" s="9">
        <v>8.99</v>
      </c>
      <c r="I776" s="7" t="s">
        <v>970</v>
      </c>
      <c r="J776" s="7">
        <v>42748.047268518516</v>
      </c>
      <c r="K776" s="3" t="s">
        <v>970</v>
      </c>
      <c r="L776" s="7">
        <v>42748.047268518516</v>
      </c>
      <c r="M776" s="3" t="s">
        <v>970</v>
      </c>
      <c r="N776" s="16" t="str">
        <f>TEXT(F776,"mm-yyyy")</f>
        <v>02-2015</v>
      </c>
    </row>
    <row r="777" spans="3:14" x14ac:dyDescent="0.25">
      <c r="C777" t="str">
        <f>IF(COUNTBLANK(E777:M777) = 9,"",IF(AND(NOT(ISBLANK(E777)),COUNTBLANK(E777:M777) = 8),"3 Delete",IF(ISBLANK(E777),"2 Add",IF(JenkinsHashRange(E777:M777) = "1905321163","0 Original","1 Modify"))))</f>
        <v>0 Original</v>
      </c>
      <c r="D777" s="3" t="s">
        <v>1233</v>
      </c>
      <c r="E777" s="5">
        <v>1112</v>
      </c>
      <c r="F777" s="11">
        <v>42044</v>
      </c>
      <c r="G777" t="s">
        <v>169</v>
      </c>
      <c r="H777" s="9">
        <v>57.93</v>
      </c>
      <c r="I777" s="7" t="s">
        <v>970</v>
      </c>
      <c r="J777" s="7">
        <v>42748.047268518516</v>
      </c>
      <c r="K777" s="3" t="s">
        <v>970</v>
      </c>
      <c r="L777" s="7">
        <v>42748.047268518516</v>
      </c>
      <c r="M777" s="3" t="s">
        <v>970</v>
      </c>
      <c r="N777" s="16" t="str">
        <f>TEXT(F777,"mm-yyyy")</f>
        <v>02-2015</v>
      </c>
    </row>
    <row r="778" spans="3:14" x14ac:dyDescent="0.25">
      <c r="C778" t="str">
        <f>IF(COUNTBLANK(E778:M778) = 9,"",IF(AND(NOT(ISBLANK(E778)),COUNTBLANK(E778:M778) = 8),"3 Delete",IF(ISBLANK(E778),"2 Add",IF(JenkinsHashRange(E778:M778) = "929889069","0 Original","1 Modify"))))</f>
        <v>0 Original</v>
      </c>
      <c r="D778" s="3" t="s">
        <v>1238</v>
      </c>
      <c r="E778" s="5">
        <v>1154</v>
      </c>
      <c r="F778" s="11">
        <v>42047</v>
      </c>
      <c r="G778" t="s">
        <v>187</v>
      </c>
      <c r="H778" s="9">
        <v>61.92</v>
      </c>
      <c r="I778" s="7" t="s">
        <v>970</v>
      </c>
      <c r="J778" s="7">
        <v>42748.047268518516</v>
      </c>
      <c r="K778" s="3" t="s">
        <v>970</v>
      </c>
      <c r="L778" s="7">
        <v>42748.047268518516</v>
      </c>
      <c r="M778" s="3" t="s">
        <v>970</v>
      </c>
      <c r="N778" s="16" t="str">
        <f>TEXT(F778,"mm-yyyy")</f>
        <v>02-2015</v>
      </c>
    </row>
    <row r="779" spans="3:14" x14ac:dyDescent="0.25">
      <c r="C779" t="str">
        <f>IF(COUNTBLANK(E779:M779) = 9,"",IF(AND(NOT(ISBLANK(E779)),COUNTBLANK(E779:M779) = 8),"3 Delete",IF(ISBLANK(E779),"2 Add",IF(JenkinsHashRange(E779:M779) = "469265519","0 Original","1 Modify"))))</f>
        <v>0 Original</v>
      </c>
      <c r="D779" s="3" t="s">
        <v>1239</v>
      </c>
      <c r="E779" s="5">
        <v>1157</v>
      </c>
      <c r="F779" s="11">
        <v>42040</v>
      </c>
      <c r="G779" t="s">
        <v>187</v>
      </c>
      <c r="H779" s="9">
        <v>9.99</v>
      </c>
      <c r="I779" s="7" t="s">
        <v>970</v>
      </c>
      <c r="J779" s="7">
        <v>42748.047268518516</v>
      </c>
      <c r="K779" s="3" t="s">
        <v>970</v>
      </c>
      <c r="L779" s="7">
        <v>42748.047268518516</v>
      </c>
      <c r="M779" s="3" t="s">
        <v>970</v>
      </c>
      <c r="N779" s="16" t="str">
        <f>TEXT(F779,"mm-yyyy")</f>
        <v>02-2015</v>
      </c>
    </row>
    <row r="780" spans="3:14" x14ac:dyDescent="0.25">
      <c r="C780" t="str">
        <f>IF(COUNTBLANK(E780:M780) = 9,"",IF(AND(NOT(ISBLANK(E780)),COUNTBLANK(E780:M780) = 8),"3 Delete",IF(ISBLANK(E780),"2 Add",IF(JenkinsHashRange(E780:M780) = "347124185","0 Original","1 Modify"))))</f>
        <v>0 Original</v>
      </c>
      <c r="D780" s="3" t="s">
        <v>987</v>
      </c>
      <c r="E780" s="5">
        <v>4</v>
      </c>
      <c r="F780" s="11">
        <v>42087</v>
      </c>
      <c r="G780" t="s">
        <v>205</v>
      </c>
      <c r="H780" s="9">
        <v>15.98</v>
      </c>
      <c r="I780" s="7" t="s">
        <v>970</v>
      </c>
      <c r="J780" s="7">
        <v>42748.047268518516</v>
      </c>
      <c r="K780" s="3" t="s">
        <v>970</v>
      </c>
      <c r="L780" s="7">
        <v>42748.047268518516</v>
      </c>
      <c r="M780" s="3" t="s">
        <v>970</v>
      </c>
      <c r="N780" s="16" t="str">
        <f>TEXT(F780,"mm-yyyy")</f>
        <v>03-2015</v>
      </c>
    </row>
    <row r="781" spans="3:14" x14ac:dyDescent="0.25">
      <c r="C781" t="str">
        <f>IF(COUNTBLANK(E781:M781) = 9,"",IF(AND(NOT(ISBLANK(E781)),COUNTBLANK(E781:M781) = 8),"3 Delete",IF(ISBLANK(E781),"2 Add",IF(JenkinsHashRange(E781:M781) = "1429957083","0 Original","1 Modify"))))</f>
        <v>0 Original</v>
      </c>
      <c r="D781" s="3" t="s">
        <v>989</v>
      </c>
      <c r="E781" s="5">
        <v>8</v>
      </c>
      <c r="F781" s="11">
        <v>42071</v>
      </c>
      <c r="G781" t="s">
        <v>79</v>
      </c>
      <c r="H781" s="9">
        <v>33.950000000000003</v>
      </c>
      <c r="I781" s="7" t="s">
        <v>970</v>
      </c>
      <c r="J781" s="7">
        <v>42748.047268518516</v>
      </c>
      <c r="K781" s="3" t="s">
        <v>970</v>
      </c>
      <c r="L781" s="7">
        <v>42748.047268518516</v>
      </c>
      <c r="M781" s="3" t="s">
        <v>970</v>
      </c>
      <c r="N781" s="16" t="str">
        <f>TEXT(F781,"mm-yyyy")</f>
        <v>03-2015</v>
      </c>
    </row>
    <row r="782" spans="3:14" x14ac:dyDescent="0.25">
      <c r="C782" t="str">
        <f>IF(COUNTBLANK(E782:M782) = 9,"",IF(AND(NOT(ISBLANK(E782)),COUNTBLANK(E782:M782) = 8),"3 Delete",IF(ISBLANK(E782),"2 Add",IF(JenkinsHashRange(E782:M782) = "1704218724","0 Original","1 Modify"))))</f>
        <v>0 Original</v>
      </c>
      <c r="D782" s="3" t="s">
        <v>991</v>
      </c>
      <c r="E782" s="5">
        <v>16</v>
      </c>
      <c r="F782" s="11">
        <v>42069</v>
      </c>
      <c r="G782" t="s">
        <v>340</v>
      </c>
      <c r="H782" s="9">
        <v>42.95</v>
      </c>
      <c r="I782" s="7" t="s">
        <v>970</v>
      </c>
      <c r="J782" s="7">
        <v>42748.047268518516</v>
      </c>
      <c r="K782" s="3" t="s">
        <v>970</v>
      </c>
      <c r="L782" s="7">
        <v>42748.047268518516</v>
      </c>
      <c r="M782" s="3" t="s">
        <v>970</v>
      </c>
      <c r="N782" s="16" t="str">
        <f>TEXT(F782,"mm-yyyy")</f>
        <v>03-2015</v>
      </c>
    </row>
    <row r="783" spans="3:14" x14ac:dyDescent="0.25">
      <c r="C783" t="str">
        <f>IF(COUNTBLANK(E783:M783) = 9,"",IF(AND(NOT(ISBLANK(E783)),COUNTBLANK(E783:M783) = 8),"3 Delete",IF(ISBLANK(E783),"2 Add",IF(JenkinsHashRange(E783:M783) = "2073858364","0 Original","1 Modify"))))</f>
        <v>0 Original</v>
      </c>
      <c r="D783" s="3" t="s">
        <v>994</v>
      </c>
      <c r="E783" s="5">
        <v>34</v>
      </c>
      <c r="F783" s="11">
        <v>42071</v>
      </c>
      <c r="G783" t="s">
        <v>364</v>
      </c>
      <c r="H783" s="9">
        <v>24.97</v>
      </c>
      <c r="I783" s="7" t="s">
        <v>970</v>
      </c>
      <c r="J783" s="7">
        <v>42748.047268518516</v>
      </c>
      <c r="K783" s="3" t="s">
        <v>970</v>
      </c>
      <c r="L783" s="7">
        <v>42748.047268518516</v>
      </c>
      <c r="M783" s="3" t="s">
        <v>970</v>
      </c>
      <c r="N783" s="16" t="str">
        <f>TEXT(F783,"mm-yyyy")</f>
        <v>03-2015</v>
      </c>
    </row>
    <row r="784" spans="3:14" x14ac:dyDescent="0.25">
      <c r="C784" t="str">
        <f>IF(COUNTBLANK(E784:M784) = 9,"",IF(AND(NOT(ISBLANK(E784)),COUNTBLANK(E784:M784) = 8),"3 Delete",IF(ISBLANK(E784),"2 Add",IF(JenkinsHashRange(E784:M784) = "518330833","0 Original","1 Modify"))))</f>
        <v>0 Original</v>
      </c>
      <c r="D784" s="3" t="s">
        <v>995</v>
      </c>
      <c r="E784" s="5">
        <v>37</v>
      </c>
      <c r="F784" s="11">
        <v>42067</v>
      </c>
      <c r="G784" t="s">
        <v>256</v>
      </c>
      <c r="H784" s="9">
        <v>24.97</v>
      </c>
      <c r="I784" s="7" t="s">
        <v>970</v>
      </c>
      <c r="J784" s="7">
        <v>42748.047268518516</v>
      </c>
      <c r="K784" s="3" t="s">
        <v>970</v>
      </c>
      <c r="L784" s="7">
        <v>42748.047268518516</v>
      </c>
      <c r="M784" s="3" t="s">
        <v>970</v>
      </c>
      <c r="N784" s="16" t="str">
        <f>TEXT(F784,"mm-yyyy")</f>
        <v>03-2015</v>
      </c>
    </row>
    <row r="785" spans="3:14" x14ac:dyDescent="0.25">
      <c r="C785" t="str">
        <f>IF(COUNTBLANK(E785:M785) = 9,"",IF(AND(NOT(ISBLANK(E785)),COUNTBLANK(E785:M785) = 8),"3 Delete",IF(ISBLANK(E785),"2 Add",IF(JenkinsHashRange(E785:M785) = "667815687","0 Original","1 Modify"))))</f>
        <v>0 Original</v>
      </c>
      <c r="D785" s="3" t="s">
        <v>996</v>
      </c>
      <c r="E785" s="5">
        <v>45</v>
      </c>
      <c r="F785" s="11">
        <v>42092</v>
      </c>
      <c r="G785" t="s">
        <v>190</v>
      </c>
      <c r="H785" s="9">
        <v>17.98</v>
      </c>
      <c r="I785" s="7" t="s">
        <v>970</v>
      </c>
      <c r="J785" s="7">
        <v>42748.047268518516</v>
      </c>
      <c r="K785" s="3" t="s">
        <v>970</v>
      </c>
      <c r="L785" s="7">
        <v>42748.047268518516</v>
      </c>
      <c r="M785" s="3" t="s">
        <v>970</v>
      </c>
      <c r="N785" s="16" t="str">
        <f>TEXT(F785,"mm-yyyy")</f>
        <v>03-2015</v>
      </c>
    </row>
    <row r="786" spans="3:14" x14ac:dyDescent="0.25">
      <c r="C786" t="str">
        <f>IF(COUNTBLANK(E786:M786) = 9,"",IF(AND(NOT(ISBLANK(E786)),COUNTBLANK(E786:M786) = 8),"3 Delete",IF(ISBLANK(E786),"2 Add",IF(JenkinsHashRange(E786:M786) = "1447009612","0 Original","1 Modify"))))</f>
        <v>0 Original</v>
      </c>
      <c r="D786" s="3" t="s">
        <v>1001</v>
      </c>
      <c r="E786" s="5">
        <v>68</v>
      </c>
      <c r="F786" s="11">
        <v>42075</v>
      </c>
      <c r="G786" t="s">
        <v>145</v>
      </c>
      <c r="H786" s="9">
        <v>61.93</v>
      </c>
      <c r="I786" s="7" t="s">
        <v>970</v>
      </c>
      <c r="J786" s="7">
        <v>42748.047268518516</v>
      </c>
      <c r="K786" s="3" t="s">
        <v>970</v>
      </c>
      <c r="L786" s="7">
        <v>42748.047268518516</v>
      </c>
      <c r="M786" s="3" t="s">
        <v>970</v>
      </c>
      <c r="N786" s="16" t="str">
        <f>TEXT(F786,"mm-yyyy")</f>
        <v>03-2015</v>
      </c>
    </row>
    <row r="787" spans="3:14" x14ac:dyDescent="0.25">
      <c r="C787" t="str">
        <f>IF(COUNTBLANK(E787:M787) = 9,"",IF(AND(NOT(ISBLANK(E787)),COUNTBLANK(E787:M787) = 8),"3 Delete",IF(ISBLANK(E787),"2 Add",IF(JenkinsHashRange(E787:M787) = "822811691","0 Original","1 Modify"))))</f>
        <v>0 Original</v>
      </c>
      <c r="D787" s="3" t="s">
        <v>1005</v>
      </c>
      <c r="E787" s="5">
        <v>82</v>
      </c>
      <c r="F787" s="11">
        <v>42090</v>
      </c>
      <c r="G787" t="s">
        <v>367</v>
      </c>
      <c r="H787" s="9">
        <v>21.97</v>
      </c>
      <c r="I787" s="7" t="s">
        <v>970</v>
      </c>
      <c r="J787" s="7">
        <v>42748.047268518516</v>
      </c>
      <c r="K787" s="3" t="s">
        <v>970</v>
      </c>
      <c r="L787" s="7">
        <v>42748.047268518516</v>
      </c>
      <c r="M787" s="3" t="s">
        <v>970</v>
      </c>
      <c r="N787" s="16" t="str">
        <f>TEXT(F787,"mm-yyyy")</f>
        <v>03-2015</v>
      </c>
    </row>
    <row r="788" spans="3:14" x14ac:dyDescent="0.25">
      <c r="C788" t="str">
        <f>IF(COUNTBLANK(E788:M788) = 9,"",IF(AND(NOT(ISBLANK(E788)),COUNTBLANK(E788:M788) = 8),"3 Delete",IF(ISBLANK(E788),"2 Add",IF(JenkinsHashRange(E788:M788) = "435447179","0 Original","1 Modify"))))</f>
        <v>0 Original</v>
      </c>
      <c r="D788" s="3" t="s">
        <v>1006</v>
      </c>
      <c r="E788" s="5">
        <v>86</v>
      </c>
      <c r="F788" s="11">
        <v>42071</v>
      </c>
      <c r="G788" t="s">
        <v>217</v>
      </c>
      <c r="H788" s="9">
        <v>29.96</v>
      </c>
      <c r="I788" s="7" t="s">
        <v>970</v>
      </c>
      <c r="J788" s="7">
        <v>42748.047268518516</v>
      </c>
      <c r="K788" s="3" t="s">
        <v>970</v>
      </c>
      <c r="L788" s="7">
        <v>42748.047268518516</v>
      </c>
      <c r="M788" s="3" t="s">
        <v>970</v>
      </c>
      <c r="N788" s="16" t="str">
        <f>TEXT(F788,"mm-yyyy")</f>
        <v>03-2015</v>
      </c>
    </row>
    <row r="789" spans="3:14" x14ac:dyDescent="0.25">
      <c r="C789" t="str">
        <f>IF(COUNTBLANK(E789:M789) = 9,"",IF(AND(NOT(ISBLANK(E789)),COUNTBLANK(E789:M789) = 8),"3 Delete",IF(ISBLANK(E789),"2 Add",IF(JenkinsHashRange(E789:M789) = "1451921655","0 Original","1 Modify"))))</f>
        <v>0 Original</v>
      </c>
      <c r="D789" s="3" t="s">
        <v>1017</v>
      </c>
      <c r="E789" s="5">
        <v>164</v>
      </c>
      <c r="F789" s="11">
        <v>42071</v>
      </c>
      <c r="G789" t="s">
        <v>307</v>
      </c>
      <c r="H789" s="9">
        <v>28.97</v>
      </c>
      <c r="I789" s="7" t="s">
        <v>970</v>
      </c>
      <c r="J789" s="7">
        <v>42748.047268518516</v>
      </c>
      <c r="K789" s="3" t="s">
        <v>970</v>
      </c>
      <c r="L789" s="7">
        <v>42748.047268518516</v>
      </c>
      <c r="M789" s="3" t="s">
        <v>970</v>
      </c>
      <c r="N789" s="16" t="str">
        <f>TEXT(F789,"mm-yyyy")</f>
        <v>03-2015</v>
      </c>
    </row>
    <row r="790" spans="3:14" x14ac:dyDescent="0.25">
      <c r="C790" t="str">
        <f>IF(COUNTBLANK(E790:M790) = 9,"",IF(AND(NOT(ISBLANK(E790)),COUNTBLANK(E790:M790) = 8),"3 Delete",IF(ISBLANK(E790),"2 Add",IF(JenkinsHashRange(E790:M790) = "569765161","0 Original","1 Modify"))))</f>
        <v>0 Original</v>
      </c>
      <c r="D790" s="3" t="s">
        <v>1018</v>
      </c>
      <c r="E790" s="5">
        <v>167</v>
      </c>
      <c r="F790" s="11">
        <v>42084</v>
      </c>
      <c r="G790" t="s">
        <v>322</v>
      </c>
      <c r="H790" s="9">
        <v>48.92</v>
      </c>
      <c r="I790" s="7" t="s">
        <v>970</v>
      </c>
      <c r="J790" s="7">
        <v>42748.047268518516</v>
      </c>
      <c r="K790" s="3" t="s">
        <v>970</v>
      </c>
      <c r="L790" s="7">
        <v>42748.047268518516</v>
      </c>
      <c r="M790" s="3" t="s">
        <v>970</v>
      </c>
      <c r="N790" s="16" t="str">
        <f>TEXT(F790,"mm-yyyy")</f>
        <v>03-2015</v>
      </c>
    </row>
    <row r="791" spans="3:14" x14ac:dyDescent="0.25">
      <c r="C791" t="str">
        <f>IF(COUNTBLANK(E791:M791) = 9,"",IF(AND(NOT(ISBLANK(E791)),COUNTBLANK(E791:M791) = 8),"3 Delete",IF(ISBLANK(E791),"2 Add",IF(JenkinsHashRange(E791:M791) = "17105471","0 Original","1 Modify"))))</f>
        <v>0 Original</v>
      </c>
      <c r="D791" s="3" t="s">
        <v>1019</v>
      </c>
      <c r="E791" s="5">
        <v>170</v>
      </c>
      <c r="F791" s="11">
        <v>42094</v>
      </c>
      <c r="G791" t="s">
        <v>361</v>
      </c>
      <c r="H791" s="9">
        <v>62.92</v>
      </c>
      <c r="I791" s="7" t="s">
        <v>970</v>
      </c>
      <c r="J791" s="7">
        <v>42748.047268518516</v>
      </c>
      <c r="K791" s="3" t="s">
        <v>970</v>
      </c>
      <c r="L791" s="7">
        <v>42748.047268518516</v>
      </c>
      <c r="M791" s="3" t="s">
        <v>970</v>
      </c>
      <c r="N791" s="16" t="str">
        <f>TEXT(F791,"mm-yyyy")</f>
        <v>03-2015</v>
      </c>
    </row>
    <row r="792" spans="3:14" x14ac:dyDescent="0.25">
      <c r="C792" t="str">
        <f>IF(COUNTBLANK(E792:M792) = 9,"",IF(AND(NOT(ISBLANK(E792)),COUNTBLANK(E792:M792) = 8),"3 Delete",IF(ISBLANK(E792),"2 Add",IF(JenkinsHashRange(E792:M792) = "2104737621","0 Original","1 Modify"))))</f>
        <v>0 Original</v>
      </c>
      <c r="D792" s="3" t="s">
        <v>1020</v>
      </c>
      <c r="E792" s="5">
        <v>177</v>
      </c>
      <c r="F792" s="11">
        <v>42091</v>
      </c>
      <c r="G792" t="s">
        <v>205</v>
      </c>
      <c r="H792" s="9">
        <v>43.94</v>
      </c>
      <c r="I792" s="7" t="s">
        <v>970</v>
      </c>
      <c r="J792" s="7">
        <v>42748.047268518516</v>
      </c>
      <c r="K792" s="3" t="s">
        <v>970</v>
      </c>
      <c r="L792" s="7">
        <v>42748.047268518516</v>
      </c>
      <c r="M792" s="3" t="s">
        <v>970</v>
      </c>
      <c r="N792" s="16" t="str">
        <f>TEXT(F792,"mm-yyyy")</f>
        <v>03-2015</v>
      </c>
    </row>
    <row r="793" spans="3:14" x14ac:dyDescent="0.25">
      <c r="C793" t="str">
        <f>IF(COUNTBLANK(E793:M793) = 9,"",IF(AND(NOT(ISBLANK(E793)),COUNTBLANK(E793:M793) = 8),"3 Delete",IF(ISBLANK(E793),"2 Add",IF(JenkinsHashRange(E793:M793) = "1090491937","0 Original","1 Modify"))))</f>
        <v>0 Original</v>
      </c>
      <c r="D793" s="3" t="s">
        <v>1021</v>
      </c>
      <c r="E793" s="5">
        <v>180</v>
      </c>
      <c r="F793" s="11">
        <v>42088</v>
      </c>
      <c r="G793" t="s">
        <v>148</v>
      </c>
      <c r="H793" s="9">
        <v>14.98</v>
      </c>
      <c r="I793" s="7" t="s">
        <v>970</v>
      </c>
      <c r="J793" s="7">
        <v>42748.047268518516</v>
      </c>
      <c r="K793" s="3" t="s">
        <v>970</v>
      </c>
      <c r="L793" s="7">
        <v>42748.047268518516</v>
      </c>
      <c r="M793" s="3" t="s">
        <v>970</v>
      </c>
      <c r="N793" s="16" t="str">
        <f>TEXT(F793,"mm-yyyy")</f>
        <v>03-2015</v>
      </c>
    </row>
    <row r="794" spans="3:14" x14ac:dyDescent="0.25">
      <c r="C794" t="str">
        <f>IF(COUNTBLANK(E794:M794) = 9,"",IF(AND(NOT(ISBLANK(E794)),COUNTBLANK(E794:M794) = 8),"3 Delete",IF(ISBLANK(E794),"2 Add",IF(JenkinsHashRange(E794:M794) = "1058269256","0 Original","1 Modify"))))</f>
        <v>0 Original</v>
      </c>
      <c r="D794" s="3" t="s">
        <v>1023</v>
      </c>
      <c r="E794" s="5">
        <v>202</v>
      </c>
      <c r="F794" s="11">
        <v>42068</v>
      </c>
      <c r="G794" t="s">
        <v>307</v>
      </c>
      <c r="H794" s="9">
        <v>34.950000000000003</v>
      </c>
      <c r="I794" s="7" t="s">
        <v>970</v>
      </c>
      <c r="J794" s="7">
        <v>42748.047268518516</v>
      </c>
      <c r="K794" s="3" t="s">
        <v>970</v>
      </c>
      <c r="L794" s="7">
        <v>42748.047268518516</v>
      </c>
      <c r="M794" s="3" t="s">
        <v>970</v>
      </c>
      <c r="N794" s="16" t="str">
        <f>TEXT(F794,"mm-yyyy")</f>
        <v>03-2015</v>
      </c>
    </row>
    <row r="795" spans="3:14" x14ac:dyDescent="0.25">
      <c r="C795" t="str">
        <f>IF(COUNTBLANK(E795:M795) = 9,"",IF(AND(NOT(ISBLANK(E795)),COUNTBLANK(E795:M795) = 8),"3 Delete",IF(ISBLANK(E795),"2 Add",IF(JenkinsHashRange(E795:M795) = "1196698676","0 Original","1 Modify"))))</f>
        <v>0 Original</v>
      </c>
      <c r="D795" s="3" t="s">
        <v>1034</v>
      </c>
      <c r="E795" s="5">
        <v>253</v>
      </c>
      <c r="F795" s="11">
        <v>42075</v>
      </c>
      <c r="G795" t="s">
        <v>256</v>
      </c>
      <c r="H795" s="9">
        <v>33.96</v>
      </c>
      <c r="I795" s="7" t="s">
        <v>970</v>
      </c>
      <c r="J795" s="7">
        <v>42748.047268518516</v>
      </c>
      <c r="K795" s="3" t="s">
        <v>970</v>
      </c>
      <c r="L795" s="7">
        <v>42748.047268518516</v>
      </c>
      <c r="M795" s="3" t="s">
        <v>970</v>
      </c>
      <c r="N795" s="16" t="str">
        <f>TEXT(F795,"mm-yyyy")</f>
        <v>03-2015</v>
      </c>
    </row>
    <row r="796" spans="3:14" x14ac:dyDescent="0.25">
      <c r="C796" t="str">
        <f>IF(COUNTBLANK(E796:M796) = 9,"",IF(AND(NOT(ISBLANK(E796)),COUNTBLANK(E796:M796) = 8),"3 Delete",IF(ISBLANK(E796),"2 Add",IF(JenkinsHashRange(E796:M796) = "1475292700","0 Original","1 Modify"))))</f>
        <v>0 Original</v>
      </c>
      <c r="D796" s="3" t="s">
        <v>1035</v>
      </c>
      <c r="E796" s="5">
        <v>257</v>
      </c>
      <c r="F796" s="11">
        <v>42066</v>
      </c>
      <c r="G796" t="s">
        <v>256</v>
      </c>
      <c r="H796" s="9">
        <v>59.93</v>
      </c>
      <c r="I796" s="7" t="s">
        <v>970</v>
      </c>
      <c r="J796" s="7">
        <v>42748.047268518516</v>
      </c>
      <c r="K796" s="3" t="s">
        <v>970</v>
      </c>
      <c r="L796" s="7">
        <v>42748.047268518516</v>
      </c>
      <c r="M796" s="3" t="s">
        <v>970</v>
      </c>
      <c r="N796" s="16" t="str">
        <f>TEXT(F796,"mm-yyyy")</f>
        <v>03-2015</v>
      </c>
    </row>
    <row r="797" spans="3:14" x14ac:dyDescent="0.25">
      <c r="C797" t="str">
        <f>IF(COUNTBLANK(E797:M797) = 9,"",IF(AND(NOT(ISBLANK(E797)),COUNTBLANK(E797:M797) = 8),"3 Delete",IF(ISBLANK(E797),"2 Add",IF(JenkinsHashRange(E797:M797) = "1136300076","0 Original","1 Modify"))))</f>
        <v>0 Original</v>
      </c>
      <c r="D797" s="3" t="s">
        <v>1036</v>
      </c>
      <c r="E797" s="5">
        <v>260</v>
      </c>
      <c r="F797" s="11">
        <v>42087</v>
      </c>
      <c r="G797" t="s">
        <v>217</v>
      </c>
      <c r="H797" s="9">
        <v>32.96</v>
      </c>
      <c r="I797" s="7" t="s">
        <v>970</v>
      </c>
      <c r="J797" s="7">
        <v>42748.047268518516</v>
      </c>
      <c r="K797" s="3" t="s">
        <v>970</v>
      </c>
      <c r="L797" s="7">
        <v>42748.047268518516</v>
      </c>
      <c r="M797" s="3" t="s">
        <v>970</v>
      </c>
      <c r="N797" s="16" t="str">
        <f>TEXT(F797,"mm-yyyy")</f>
        <v>03-2015</v>
      </c>
    </row>
    <row r="798" spans="3:14" x14ac:dyDescent="0.25">
      <c r="C798" t="str">
        <f>IF(COUNTBLANK(E798:M798) = 9,"",IF(AND(NOT(ISBLANK(E798)),COUNTBLANK(E798:M798) = 8),"3 Delete",IF(ISBLANK(E798),"2 Add",IF(JenkinsHashRange(E798:M798) = "1214642278","0 Original","1 Modify"))))</f>
        <v>0 Original</v>
      </c>
      <c r="D798" s="3" t="s">
        <v>1041</v>
      </c>
      <c r="E798" s="5">
        <v>277</v>
      </c>
      <c r="F798" s="11">
        <v>42081</v>
      </c>
      <c r="G798" t="s">
        <v>220</v>
      </c>
      <c r="H798" s="9">
        <v>29.96</v>
      </c>
      <c r="I798" s="7" t="s">
        <v>970</v>
      </c>
      <c r="J798" s="7">
        <v>42748.047268518516</v>
      </c>
      <c r="K798" s="3" t="s">
        <v>970</v>
      </c>
      <c r="L798" s="7">
        <v>42748.047268518516</v>
      </c>
      <c r="M798" s="3" t="s">
        <v>970</v>
      </c>
      <c r="N798" s="16" t="str">
        <f>TEXT(F798,"mm-yyyy")</f>
        <v>03-2015</v>
      </c>
    </row>
    <row r="799" spans="3:14" x14ac:dyDescent="0.25">
      <c r="C799" t="str">
        <f>IF(COUNTBLANK(E799:M799) = 9,"",IF(AND(NOT(ISBLANK(E799)),COUNTBLANK(E799:M799) = 8),"3 Delete",IF(ISBLANK(E799),"2 Add",IF(JenkinsHashRange(E799:M799) = "460059138","0 Original","1 Modify"))))</f>
        <v>0 Original</v>
      </c>
      <c r="D799" s="3" t="s">
        <v>1049</v>
      </c>
      <c r="E799" s="5">
        <v>329</v>
      </c>
      <c r="F799" s="11">
        <v>42066</v>
      </c>
      <c r="G799" t="s">
        <v>364</v>
      </c>
      <c r="H799" s="9">
        <v>7.99</v>
      </c>
      <c r="I799" s="7" t="s">
        <v>970</v>
      </c>
      <c r="J799" s="7">
        <v>42748.047268518516</v>
      </c>
      <c r="K799" s="3" t="s">
        <v>970</v>
      </c>
      <c r="L799" s="7">
        <v>42748.047268518516</v>
      </c>
      <c r="M799" s="3" t="s">
        <v>970</v>
      </c>
      <c r="N799" s="16" t="str">
        <f>TEXT(F799,"mm-yyyy")</f>
        <v>03-2015</v>
      </c>
    </row>
    <row r="800" spans="3:14" x14ac:dyDescent="0.25">
      <c r="C800" t="str">
        <f>IF(COUNTBLANK(E800:M800) = 9,"",IF(AND(NOT(ISBLANK(E800)),COUNTBLANK(E800:M800) = 8),"3 Delete",IF(ISBLANK(E800),"2 Add",IF(JenkinsHashRange(E800:M800) = "364201796","0 Original","1 Modify"))))</f>
        <v>0 Original</v>
      </c>
      <c r="D800" s="3" t="s">
        <v>1053</v>
      </c>
      <c r="E800" s="5">
        <v>346</v>
      </c>
      <c r="F800" s="11">
        <v>42079</v>
      </c>
      <c r="G800" t="s">
        <v>130</v>
      </c>
      <c r="H800" s="9">
        <v>21.97</v>
      </c>
      <c r="I800" s="7" t="s">
        <v>970</v>
      </c>
      <c r="J800" s="7">
        <v>42748.047268518516</v>
      </c>
      <c r="K800" s="3" t="s">
        <v>970</v>
      </c>
      <c r="L800" s="7">
        <v>42748.047268518516</v>
      </c>
      <c r="M800" s="3" t="s">
        <v>970</v>
      </c>
      <c r="N800" s="16" t="str">
        <f>TEXT(F800,"mm-yyyy")</f>
        <v>03-2015</v>
      </c>
    </row>
    <row r="801" spans="3:14" x14ac:dyDescent="0.25">
      <c r="C801" t="str">
        <f>IF(COUNTBLANK(E801:M801) = 9,"",IF(AND(NOT(ISBLANK(E801)),COUNTBLANK(E801:M801) = 8),"3 Delete",IF(ISBLANK(E801),"2 Add",IF(JenkinsHashRange(E801:M801) = "1086158213","0 Original","1 Modify"))))</f>
        <v>0 Original</v>
      </c>
      <c r="D801" s="3" t="s">
        <v>1062</v>
      </c>
      <c r="E801" s="5">
        <v>373</v>
      </c>
      <c r="F801" s="11">
        <v>42075</v>
      </c>
      <c r="G801" t="s">
        <v>94</v>
      </c>
      <c r="H801" s="9">
        <v>30.96</v>
      </c>
      <c r="I801" s="7" t="s">
        <v>970</v>
      </c>
      <c r="J801" s="7">
        <v>42748.047268518516</v>
      </c>
      <c r="K801" s="3" t="s">
        <v>970</v>
      </c>
      <c r="L801" s="7">
        <v>42748.047268518516</v>
      </c>
      <c r="M801" s="3" t="s">
        <v>970</v>
      </c>
      <c r="N801" s="16" t="str">
        <f>TEXT(F801,"mm-yyyy")</f>
        <v>03-2015</v>
      </c>
    </row>
    <row r="802" spans="3:14" x14ac:dyDescent="0.25">
      <c r="C802" t="str">
        <f>IF(COUNTBLANK(E802:M802) = 9,"",IF(AND(NOT(ISBLANK(E802)),COUNTBLANK(E802:M802) = 8),"3 Delete",IF(ISBLANK(E802),"2 Add",IF(JenkinsHashRange(E802:M802) = "1496832869","0 Original","1 Modify"))))</f>
        <v>0 Original</v>
      </c>
      <c r="D802" s="3" t="s">
        <v>1068</v>
      </c>
      <c r="E802" s="5">
        <v>383</v>
      </c>
      <c r="F802" s="11">
        <v>42093</v>
      </c>
      <c r="G802" t="s">
        <v>73</v>
      </c>
      <c r="H802" s="9">
        <v>13.98</v>
      </c>
      <c r="I802" s="7" t="s">
        <v>970</v>
      </c>
      <c r="J802" s="7">
        <v>42748.047268518516</v>
      </c>
      <c r="K802" s="3" t="s">
        <v>970</v>
      </c>
      <c r="L802" s="7">
        <v>42748.047268518516</v>
      </c>
      <c r="M802" s="3" t="s">
        <v>970</v>
      </c>
      <c r="N802" s="16" t="str">
        <f>TEXT(F802,"mm-yyyy")</f>
        <v>03-2015</v>
      </c>
    </row>
    <row r="803" spans="3:14" x14ac:dyDescent="0.25">
      <c r="C803" t="str">
        <f>IF(COUNTBLANK(E803:M803) = 9,"",IF(AND(NOT(ISBLANK(E803)),COUNTBLANK(E803:M803) = 8),"3 Delete",IF(ISBLANK(E803),"2 Add",IF(JenkinsHashRange(E803:M803) = "2106986094","0 Original","1 Modify"))))</f>
        <v>0 Original</v>
      </c>
      <c r="D803" s="3" t="s">
        <v>1073</v>
      </c>
      <c r="E803" s="5">
        <v>396</v>
      </c>
      <c r="F803" s="11">
        <v>42069</v>
      </c>
      <c r="G803" t="s">
        <v>343</v>
      </c>
      <c r="H803" s="9">
        <v>18.98</v>
      </c>
      <c r="I803" s="7" t="s">
        <v>970</v>
      </c>
      <c r="J803" s="7">
        <v>42748.047268518516</v>
      </c>
      <c r="K803" s="3" t="s">
        <v>970</v>
      </c>
      <c r="L803" s="7">
        <v>42748.047268518516</v>
      </c>
      <c r="M803" s="3" t="s">
        <v>970</v>
      </c>
      <c r="N803" s="16" t="str">
        <f>TEXT(F803,"mm-yyyy")</f>
        <v>03-2015</v>
      </c>
    </row>
    <row r="804" spans="3:14" x14ac:dyDescent="0.25">
      <c r="C804" t="str">
        <f>IF(COUNTBLANK(E804:M804) = 9,"",IF(AND(NOT(ISBLANK(E804)),COUNTBLANK(E804:M804) = 8),"3 Delete",IF(ISBLANK(E804),"2 Add",IF(JenkinsHashRange(E804:M804) = "1398799735","0 Original","1 Modify"))))</f>
        <v>0 Original</v>
      </c>
      <c r="D804" s="3" t="s">
        <v>1081</v>
      </c>
      <c r="E804" s="5">
        <v>429</v>
      </c>
      <c r="F804" s="11">
        <v>42074</v>
      </c>
      <c r="G804" t="s">
        <v>289</v>
      </c>
      <c r="H804" s="9">
        <v>20.97</v>
      </c>
      <c r="I804" s="7" t="s">
        <v>970</v>
      </c>
      <c r="J804" s="7">
        <v>42748.047268518516</v>
      </c>
      <c r="K804" s="3" t="s">
        <v>970</v>
      </c>
      <c r="L804" s="7">
        <v>42748.047268518516</v>
      </c>
      <c r="M804" s="3" t="s">
        <v>970</v>
      </c>
      <c r="N804" s="16" t="str">
        <f>TEXT(F804,"mm-yyyy")</f>
        <v>03-2015</v>
      </c>
    </row>
    <row r="805" spans="3:14" x14ac:dyDescent="0.25">
      <c r="C805" t="str">
        <f>IF(COUNTBLANK(E805:M805) = 9,"",IF(AND(NOT(ISBLANK(E805)),COUNTBLANK(E805:M805) = 8),"3 Delete",IF(ISBLANK(E805),"2 Add",IF(JenkinsHashRange(E805:M805) = "1171443257","0 Original","1 Modify"))))</f>
        <v>0 Original</v>
      </c>
      <c r="D805" s="3" t="s">
        <v>1083</v>
      </c>
      <c r="E805" s="5">
        <v>440</v>
      </c>
      <c r="F805" s="11">
        <v>42072</v>
      </c>
      <c r="G805" t="s">
        <v>139</v>
      </c>
      <c r="H805" s="9">
        <v>95.88</v>
      </c>
      <c r="I805" s="7" t="s">
        <v>970</v>
      </c>
      <c r="J805" s="7">
        <v>42748.047268518516</v>
      </c>
      <c r="K805" s="3" t="s">
        <v>970</v>
      </c>
      <c r="L805" s="7">
        <v>42748.047268518516</v>
      </c>
      <c r="M805" s="3" t="s">
        <v>970</v>
      </c>
      <c r="N805" s="16" t="str">
        <f>TEXT(F805,"mm-yyyy")</f>
        <v>03-2015</v>
      </c>
    </row>
    <row r="806" spans="3:14" x14ac:dyDescent="0.25">
      <c r="C806" t="str">
        <f>IF(COUNTBLANK(E806:M806) = 9,"",IF(AND(NOT(ISBLANK(E806)),COUNTBLANK(E806:M806) = 8),"3 Delete",IF(ISBLANK(E806),"2 Add",IF(JenkinsHashRange(E806:M806) = "1791232415","0 Original","1 Modify"))))</f>
        <v>0 Original</v>
      </c>
      <c r="D806" s="3" t="s">
        <v>1084</v>
      </c>
      <c r="E806" s="5">
        <v>442</v>
      </c>
      <c r="F806" s="11">
        <v>42087</v>
      </c>
      <c r="G806" t="s">
        <v>316</v>
      </c>
      <c r="H806" s="9">
        <v>24.97</v>
      </c>
      <c r="I806" s="7" t="s">
        <v>970</v>
      </c>
      <c r="J806" s="7">
        <v>42748.047268518516</v>
      </c>
      <c r="K806" s="3" t="s">
        <v>970</v>
      </c>
      <c r="L806" s="7">
        <v>42748.047268518516</v>
      </c>
      <c r="M806" s="3" t="s">
        <v>970</v>
      </c>
      <c r="N806" s="16" t="str">
        <f>TEXT(F806,"mm-yyyy")</f>
        <v>03-2015</v>
      </c>
    </row>
    <row r="807" spans="3:14" x14ac:dyDescent="0.25">
      <c r="C807" t="str">
        <f>IF(COUNTBLANK(E807:M807) = 9,"",IF(AND(NOT(ISBLANK(E807)),COUNTBLANK(E807:M807) = 8),"3 Delete",IF(ISBLANK(E807),"2 Add",IF(JenkinsHashRange(E807:M807) = "2143042082","0 Original","1 Modify"))))</f>
        <v>0 Original</v>
      </c>
      <c r="D807" s="3" t="s">
        <v>1085</v>
      </c>
      <c r="E807" s="5">
        <v>445</v>
      </c>
      <c r="F807" s="11">
        <v>42091</v>
      </c>
      <c r="G807" t="s">
        <v>91</v>
      </c>
      <c r="H807" s="9">
        <v>51.93</v>
      </c>
      <c r="I807" s="7" t="s">
        <v>970</v>
      </c>
      <c r="J807" s="7">
        <v>42748.047268518516</v>
      </c>
      <c r="K807" s="3" t="s">
        <v>970</v>
      </c>
      <c r="L807" s="7">
        <v>42748.047268518516</v>
      </c>
      <c r="M807" s="3" t="s">
        <v>970</v>
      </c>
      <c r="N807" s="16" t="str">
        <f>TEXT(F807,"mm-yyyy")</f>
        <v>03-2015</v>
      </c>
    </row>
    <row r="808" spans="3:14" x14ac:dyDescent="0.25">
      <c r="C808" t="str">
        <f>IF(COUNTBLANK(E808:M808) = 9,"",IF(AND(NOT(ISBLANK(E808)),COUNTBLANK(E808:M808) = 8),"3 Delete",IF(ISBLANK(E808),"2 Add",IF(JenkinsHashRange(E808:M808) = "247386337","0 Original","1 Modify"))))</f>
        <v>0 Original</v>
      </c>
      <c r="D808" s="3" t="s">
        <v>1090</v>
      </c>
      <c r="E808" s="5">
        <v>481</v>
      </c>
      <c r="F808" s="11">
        <v>42083</v>
      </c>
      <c r="G808" t="s">
        <v>160</v>
      </c>
      <c r="H808" s="9">
        <v>5.99</v>
      </c>
      <c r="I808" s="7" t="s">
        <v>970</v>
      </c>
      <c r="J808" s="7">
        <v>42748.047268518516</v>
      </c>
      <c r="K808" s="3" t="s">
        <v>970</v>
      </c>
      <c r="L808" s="7">
        <v>42748.047268518516</v>
      </c>
      <c r="M808" s="3" t="s">
        <v>970</v>
      </c>
      <c r="N808" s="16" t="str">
        <f>TEXT(F808,"mm-yyyy")</f>
        <v>03-2015</v>
      </c>
    </row>
    <row r="809" spans="3:14" x14ac:dyDescent="0.25">
      <c r="C809" t="str">
        <f>IF(COUNTBLANK(E809:M809) = 9,"",IF(AND(NOT(ISBLANK(E809)),COUNTBLANK(E809:M809) = 8),"3 Delete",IF(ISBLANK(E809),"2 Add",IF(JenkinsHashRange(E809:M809) = "176893380","0 Original","1 Modify"))))</f>
        <v>0 Original</v>
      </c>
      <c r="D809" s="3" t="s">
        <v>1096</v>
      </c>
      <c r="E809" s="5">
        <v>525</v>
      </c>
      <c r="F809" s="11">
        <v>42068</v>
      </c>
      <c r="G809" t="s">
        <v>271</v>
      </c>
      <c r="H809" s="9">
        <v>46.93</v>
      </c>
      <c r="I809" s="7" t="s">
        <v>970</v>
      </c>
      <c r="J809" s="7">
        <v>42748.047268518516</v>
      </c>
      <c r="K809" s="3" t="s">
        <v>970</v>
      </c>
      <c r="L809" s="7">
        <v>42748.047268518516</v>
      </c>
      <c r="M809" s="3" t="s">
        <v>970</v>
      </c>
      <c r="N809" s="16" t="str">
        <f>TEXT(F809,"mm-yyyy")</f>
        <v>03-2015</v>
      </c>
    </row>
    <row r="810" spans="3:14" x14ac:dyDescent="0.25">
      <c r="C810" t="str">
        <f>IF(COUNTBLANK(E810:M810) = 9,"",IF(AND(NOT(ISBLANK(E810)),COUNTBLANK(E810:M810) = 8),"3 Delete",IF(ISBLANK(E810),"2 Add",IF(JenkinsHashRange(E810:M810) = "452686178","0 Original","1 Modify"))))</f>
        <v>0 Original</v>
      </c>
      <c r="D810" s="3" t="s">
        <v>1099</v>
      </c>
      <c r="E810" s="5">
        <v>538</v>
      </c>
      <c r="F810" s="11">
        <v>42085</v>
      </c>
      <c r="G810" t="s">
        <v>346</v>
      </c>
      <c r="H810" s="9">
        <v>11.98</v>
      </c>
      <c r="I810" s="7" t="s">
        <v>970</v>
      </c>
      <c r="J810" s="7">
        <v>42748.047268518516</v>
      </c>
      <c r="K810" s="3" t="s">
        <v>970</v>
      </c>
      <c r="L810" s="7">
        <v>42748.047268518516</v>
      </c>
      <c r="M810" s="3" t="s">
        <v>970</v>
      </c>
      <c r="N810" s="16" t="str">
        <f>TEXT(F810,"mm-yyyy")</f>
        <v>03-2015</v>
      </c>
    </row>
    <row r="811" spans="3:14" x14ac:dyDescent="0.25">
      <c r="C811" t="str">
        <f>IF(COUNTBLANK(E811:M811) = 9,"",IF(AND(NOT(ISBLANK(E811)),COUNTBLANK(E811:M811) = 8),"3 Delete",IF(ISBLANK(E811),"2 Add",IF(JenkinsHashRange(E811:M811) = "764803418","0 Original","1 Modify"))))</f>
        <v>0 Original</v>
      </c>
      <c r="D811" s="3" t="s">
        <v>1104</v>
      </c>
      <c r="E811" s="5">
        <v>566</v>
      </c>
      <c r="F811" s="11">
        <v>42067</v>
      </c>
      <c r="G811" t="s">
        <v>202</v>
      </c>
      <c r="H811" s="9">
        <v>4.99</v>
      </c>
      <c r="I811" s="7" t="s">
        <v>970</v>
      </c>
      <c r="J811" s="7">
        <v>42748.047268518516</v>
      </c>
      <c r="K811" s="3" t="s">
        <v>970</v>
      </c>
      <c r="L811" s="7">
        <v>42748.047268518516</v>
      </c>
      <c r="M811" s="3" t="s">
        <v>970</v>
      </c>
      <c r="N811" s="16" t="str">
        <f>TEXT(F811,"mm-yyyy")</f>
        <v>03-2015</v>
      </c>
    </row>
    <row r="812" spans="3:14" x14ac:dyDescent="0.25">
      <c r="C812" t="str">
        <f>IF(COUNTBLANK(E812:M812) = 9,"",IF(AND(NOT(ISBLANK(E812)),COUNTBLANK(E812:M812) = 8),"3 Delete",IF(ISBLANK(E812),"2 Add",IF(JenkinsHashRange(E812:M812) = "979033451","0 Original","1 Modify"))))</f>
        <v>0 Original</v>
      </c>
      <c r="D812" s="3" t="s">
        <v>1108</v>
      </c>
      <c r="E812" s="5">
        <v>587</v>
      </c>
      <c r="F812" s="11">
        <v>42083</v>
      </c>
      <c r="G812" t="s">
        <v>343</v>
      </c>
      <c r="H812" s="9">
        <v>18.98</v>
      </c>
      <c r="I812" s="7" t="s">
        <v>970</v>
      </c>
      <c r="J812" s="7">
        <v>42748.047268518516</v>
      </c>
      <c r="K812" s="3" t="s">
        <v>970</v>
      </c>
      <c r="L812" s="7">
        <v>42748.047268518516</v>
      </c>
      <c r="M812" s="3" t="s">
        <v>970</v>
      </c>
      <c r="N812" s="16" t="str">
        <f>TEXT(F812,"mm-yyyy")</f>
        <v>03-2015</v>
      </c>
    </row>
    <row r="813" spans="3:14" x14ac:dyDescent="0.25">
      <c r="C813" t="str">
        <f>IF(COUNTBLANK(E813:M813) = 9,"",IF(AND(NOT(ISBLANK(E813)),COUNTBLANK(E813:M813) = 8),"3 Delete",IF(ISBLANK(E813),"2 Add",IF(JenkinsHashRange(E813:M813) = "367942027","0 Original","1 Modify"))))</f>
        <v>0 Original</v>
      </c>
      <c r="D813" s="3" t="s">
        <v>1112</v>
      </c>
      <c r="E813" s="5">
        <v>604</v>
      </c>
      <c r="F813" s="11">
        <v>42091</v>
      </c>
      <c r="G813" t="s">
        <v>265</v>
      </c>
      <c r="H813" s="9">
        <v>38.950000000000003</v>
      </c>
      <c r="I813" s="7" t="s">
        <v>970</v>
      </c>
      <c r="J813" s="7">
        <v>42748.047268518516</v>
      </c>
      <c r="K813" s="3" t="s">
        <v>970</v>
      </c>
      <c r="L813" s="7">
        <v>42748.047268518516</v>
      </c>
      <c r="M813" s="3" t="s">
        <v>970</v>
      </c>
      <c r="N813" s="16" t="str">
        <f>TEXT(F813,"mm-yyyy")</f>
        <v>03-2015</v>
      </c>
    </row>
    <row r="814" spans="3:14" x14ac:dyDescent="0.25">
      <c r="C814" t="str">
        <f>IF(COUNTBLANK(E814:M814) = 9,"",IF(AND(NOT(ISBLANK(E814)),COUNTBLANK(E814:M814) = 8),"3 Delete",IF(ISBLANK(E814),"2 Add",IF(JenkinsHashRange(E814:M814) = "204393599","0 Original","1 Modify"))))</f>
        <v>0 Original</v>
      </c>
      <c r="D814" s="3" t="s">
        <v>1113</v>
      </c>
      <c r="E814" s="5">
        <v>609</v>
      </c>
      <c r="F814" s="11">
        <v>42079</v>
      </c>
      <c r="G814" t="s">
        <v>235</v>
      </c>
      <c r="H814" s="9">
        <v>42.94</v>
      </c>
      <c r="I814" s="7" t="s">
        <v>970</v>
      </c>
      <c r="J814" s="7">
        <v>42748.047268518516</v>
      </c>
      <c r="K814" s="3" t="s">
        <v>970</v>
      </c>
      <c r="L814" s="7">
        <v>42748.047268518516</v>
      </c>
      <c r="M814" s="3" t="s">
        <v>970</v>
      </c>
      <c r="N814" s="16" t="str">
        <f>TEXT(F814,"mm-yyyy")</f>
        <v>03-2015</v>
      </c>
    </row>
    <row r="815" spans="3:14" x14ac:dyDescent="0.25">
      <c r="C815" t="str">
        <f>IF(COUNTBLANK(E815:M815) = 9,"",IF(AND(NOT(ISBLANK(E815)),COUNTBLANK(E815:M815) = 8),"3 Delete",IF(ISBLANK(E815),"2 Add",IF(JenkinsHashRange(E815:M815) = "594774229","0 Original","1 Modify"))))</f>
        <v>0 Original</v>
      </c>
      <c r="D815" s="3" t="s">
        <v>1116</v>
      </c>
      <c r="E815" s="5">
        <v>618</v>
      </c>
      <c r="F815" s="11">
        <v>42081</v>
      </c>
      <c r="G815" t="s">
        <v>265</v>
      </c>
      <c r="H815" s="9">
        <v>56.94</v>
      </c>
      <c r="I815" s="7" t="s">
        <v>970</v>
      </c>
      <c r="J815" s="7">
        <v>42748.047268518516</v>
      </c>
      <c r="K815" s="3" t="s">
        <v>970</v>
      </c>
      <c r="L815" s="7">
        <v>42748.047268518516</v>
      </c>
      <c r="M815" s="3" t="s">
        <v>970</v>
      </c>
      <c r="N815" s="16" t="str">
        <f>TEXT(F815,"mm-yyyy")</f>
        <v>03-2015</v>
      </c>
    </row>
    <row r="816" spans="3:14" x14ac:dyDescent="0.25">
      <c r="C816" t="str">
        <f>IF(COUNTBLANK(E816:M816) = 9,"",IF(AND(NOT(ISBLANK(E816)),COUNTBLANK(E816:M816) = 8),"3 Delete",IF(ISBLANK(E816),"2 Add",IF(JenkinsHashRange(E816:M816) = "720767308","0 Original","1 Modify"))))</f>
        <v>0 Original</v>
      </c>
      <c r="D816" s="3" t="s">
        <v>1121</v>
      </c>
      <c r="E816" s="5">
        <v>641</v>
      </c>
      <c r="F816" s="11">
        <v>42079</v>
      </c>
      <c r="G816" t="s">
        <v>367</v>
      </c>
      <c r="H816" s="9">
        <v>33.96</v>
      </c>
      <c r="I816" s="7" t="s">
        <v>970</v>
      </c>
      <c r="J816" s="7">
        <v>42748.047268518516</v>
      </c>
      <c r="K816" s="3" t="s">
        <v>970</v>
      </c>
      <c r="L816" s="7">
        <v>42748.047268518516</v>
      </c>
      <c r="M816" s="3" t="s">
        <v>970</v>
      </c>
      <c r="N816" s="16" t="str">
        <f>TEXT(F816,"mm-yyyy")</f>
        <v>03-2015</v>
      </c>
    </row>
    <row r="817" spans="3:14" x14ac:dyDescent="0.25">
      <c r="C817" t="str">
        <f>IF(COUNTBLANK(E817:M817) = 9,"",IF(AND(NOT(ISBLANK(E817)),COUNTBLANK(E817:M817) = 8),"3 Delete",IF(ISBLANK(E817),"2 Add",IF(JenkinsHashRange(E817:M817) = "2125286871","0 Original","1 Modify"))))</f>
        <v>0 Original</v>
      </c>
      <c r="D817" s="3" t="s">
        <v>1123</v>
      </c>
      <c r="E817" s="5">
        <v>649</v>
      </c>
      <c r="F817" s="11">
        <v>42086</v>
      </c>
      <c r="G817" t="s">
        <v>73</v>
      </c>
      <c r="H817" s="9">
        <v>9.99</v>
      </c>
      <c r="I817" s="7" t="s">
        <v>970</v>
      </c>
      <c r="J817" s="7">
        <v>42748.047268518516</v>
      </c>
      <c r="K817" s="3" t="s">
        <v>970</v>
      </c>
      <c r="L817" s="7">
        <v>42748.047268518516</v>
      </c>
      <c r="M817" s="3" t="s">
        <v>970</v>
      </c>
      <c r="N817" s="16" t="str">
        <f>TEXT(F817,"mm-yyyy")</f>
        <v>03-2015</v>
      </c>
    </row>
    <row r="818" spans="3:14" x14ac:dyDescent="0.25">
      <c r="C818" t="str">
        <f>IF(COUNTBLANK(E818:M818) = 9,"",IF(AND(NOT(ISBLANK(E818)),COUNTBLANK(E818:M818) = 8),"3 Delete",IF(ISBLANK(E818),"2 Add",IF(JenkinsHashRange(E818:M818) = "1436761439","0 Original","1 Modify"))))</f>
        <v>0 Original</v>
      </c>
      <c r="D818" s="3" t="s">
        <v>1130</v>
      </c>
      <c r="E818" s="5">
        <v>666</v>
      </c>
      <c r="F818" s="11">
        <v>42067</v>
      </c>
      <c r="G818" t="s">
        <v>112</v>
      </c>
      <c r="H818" s="9">
        <v>45.94</v>
      </c>
      <c r="I818" s="7" t="s">
        <v>970</v>
      </c>
      <c r="J818" s="7">
        <v>42748.047268518516</v>
      </c>
      <c r="K818" s="3" t="s">
        <v>970</v>
      </c>
      <c r="L818" s="7">
        <v>42748.047268518516</v>
      </c>
      <c r="M818" s="3" t="s">
        <v>970</v>
      </c>
      <c r="N818" s="16" t="str">
        <f>TEXT(F818,"mm-yyyy")</f>
        <v>03-2015</v>
      </c>
    </row>
    <row r="819" spans="3:14" x14ac:dyDescent="0.25">
      <c r="C819" t="str">
        <f>IF(COUNTBLANK(E819:M819) = 9,"",IF(AND(NOT(ISBLANK(E819)),COUNTBLANK(E819:M819) = 8),"3 Delete",IF(ISBLANK(E819),"2 Add",IF(JenkinsHashRange(E819:M819) = "884210946","0 Original","1 Modify"))))</f>
        <v>0 Original</v>
      </c>
      <c r="D819" s="3" t="s">
        <v>1132</v>
      </c>
      <c r="E819" s="5">
        <v>680</v>
      </c>
      <c r="F819" s="11">
        <v>42088</v>
      </c>
      <c r="G819" t="s">
        <v>292</v>
      </c>
      <c r="H819" s="9">
        <v>67.900000000000006</v>
      </c>
      <c r="I819" s="7" t="s">
        <v>970</v>
      </c>
      <c r="J819" s="7">
        <v>42748.047268518516</v>
      </c>
      <c r="K819" s="3" t="s">
        <v>970</v>
      </c>
      <c r="L819" s="7">
        <v>42748.047268518516</v>
      </c>
      <c r="M819" s="3" t="s">
        <v>970</v>
      </c>
      <c r="N819" s="16" t="str">
        <f>TEXT(F819,"mm-yyyy")</f>
        <v>03-2015</v>
      </c>
    </row>
    <row r="820" spans="3:14" x14ac:dyDescent="0.25">
      <c r="C820" t="str">
        <f>IF(COUNTBLANK(E820:M820) = 9,"",IF(AND(NOT(ISBLANK(E820)),COUNTBLANK(E820:M820) = 8),"3 Delete",IF(ISBLANK(E820),"2 Add",IF(JenkinsHashRange(E820:M820) = "787244300","0 Original","1 Modify"))))</f>
        <v>0 Original</v>
      </c>
      <c r="D820" s="3" t="s">
        <v>1136</v>
      </c>
      <c r="E820" s="5">
        <v>693</v>
      </c>
      <c r="F820" s="11">
        <v>42080</v>
      </c>
      <c r="G820" t="s">
        <v>175</v>
      </c>
      <c r="H820" s="9">
        <v>24.97</v>
      </c>
      <c r="I820" s="7" t="s">
        <v>970</v>
      </c>
      <c r="J820" s="7">
        <v>42748.047268518516</v>
      </c>
      <c r="K820" s="3" t="s">
        <v>970</v>
      </c>
      <c r="L820" s="7">
        <v>42748.047268518516</v>
      </c>
      <c r="M820" s="3" t="s">
        <v>970</v>
      </c>
      <c r="N820" s="16" t="str">
        <f>TEXT(F820,"mm-yyyy")</f>
        <v>03-2015</v>
      </c>
    </row>
    <row r="821" spans="3:14" x14ac:dyDescent="0.25">
      <c r="C821" t="str">
        <f>IF(COUNTBLANK(E821:M821) = 9,"",IF(AND(NOT(ISBLANK(E821)),COUNTBLANK(E821:M821) = 8),"3 Delete",IF(ISBLANK(E821),"2 Add",IF(JenkinsHashRange(E821:M821) = "518562626","0 Original","1 Modify"))))</f>
        <v>0 Original</v>
      </c>
      <c r="D821" s="3" t="s">
        <v>1137</v>
      </c>
      <c r="E821" s="5">
        <v>698</v>
      </c>
      <c r="F821" s="11">
        <v>42065</v>
      </c>
      <c r="G821" t="s">
        <v>328</v>
      </c>
      <c r="H821" s="9">
        <v>45.95</v>
      </c>
      <c r="I821" s="7" t="s">
        <v>970</v>
      </c>
      <c r="J821" s="7">
        <v>42748.047268518516</v>
      </c>
      <c r="K821" s="3" t="s">
        <v>970</v>
      </c>
      <c r="L821" s="7">
        <v>42748.047268518516</v>
      </c>
      <c r="M821" s="3" t="s">
        <v>970</v>
      </c>
      <c r="N821" s="16" t="str">
        <f>TEXT(F821,"mm-yyyy")</f>
        <v>03-2015</v>
      </c>
    </row>
    <row r="822" spans="3:14" x14ac:dyDescent="0.25">
      <c r="C822" t="str">
        <f>IF(COUNTBLANK(E822:M822) = 9,"",IF(AND(NOT(ISBLANK(E822)),COUNTBLANK(E822:M822) = 8),"3 Delete",IF(ISBLANK(E822),"2 Add",IF(JenkinsHashRange(E822:M822) = "658542185","0 Original","1 Modify"))))</f>
        <v>0 Original</v>
      </c>
      <c r="D822" s="3" t="s">
        <v>1142</v>
      </c>
      <c r="E822" s="5">
        <v>718</v>
      </c>
      <c r="F822" s="11">
        <v>42088</v>
      </c>
      <c r="G822" t="s">
        <v>280</v>
      </c>
      <c r="H822" s="9">
        <v>57.92</v>
      </c>
      <c r="I822" s="7" t="s">
        <v>970</v>
      </c>
      <c r="J822" s="7">
        <v>42748.047268518516</v>
      </c>
      <c r="K822" s="3" t="s">
        <v>970</v>
      </c>
      <c r="L822" s="7">
        <v>42748.047268518516</v>
      </c>
      <c r="M822" s="3" t="s">
        <v>970</v>
      </c>
      <c r="N822" s="16" t="str">
        <f>TEXT(F822,"mm-yyyy")</f>
        <v>03-2015</v>
      </c>
    </row>
    <row r="823" spans="3:14" x14ac:dyDescent="0.25">
      <c r="C823" t="str">
        <f>IF(COUNTBLANK(E823:M823) = 9,"",IF(AND(NOT(ISBLANK(E823)),COUNTBLANK(E823:M823) = 8),"3 Delete",IF(ISBLANK(E823),"2 Add",IF(JenkinsHashRange(E823:M823) = "962603597","0 Original","1 Modify"))))</f>
        <v>0 Original</v>
      </c>
      <c r="D823" s="3" t="s">
        <v>1151</v>
      </c>
      <c r="E823" s="5">
        <v>753</v>
      </c>
      <c r="F823" s="11">
        <v>42067</v>
      </c>
      <c r="G823" t="s">
        <v>160</v>
      </c>
      <c r="H823" s="9">
        <v>41.95</v>
      </c>
      <c r="I823" s="7" t="s">
        <v>970</v>
      </c>
      <c r="J823" s="7">
        <v>42748.047268518516</v>
      </c>
      <c r="K823" s="3" t="s">
        <v>970</v>
      </c>
      <c r="L823" s="7">
        <v>42748.047268518516</v>
      </c>
      <c r="M823" s="3" t="s">
        <v>970</v>
      </c>
      <c r="N823" s="16" t="str">
        <f>TEXT(F823,"mm-yyyy")</f>
        <v>03-2015</v>
      </c>
    </row>
    <row r="824" spans="3:14" x14ac:dyDescent="0.25">
      <c r="C824" t="str">
        <f>IF(COUNTBLANK(E824:M824) = 9,"",IF(AND(NOT(ISBLANK(E824)),COUNTBLANK(E824:M824) = 8),"3 Delete",IF(ISBLANK(E824),"2 Add",IF(JenkinsHashRange(E824:M824) = "1638894213","0 Original","1 Modify"))))</f>
        <v>0 Original</v>
      </c>
      <c r="D824" s="3" t="s">
        <v>1154</v>
      </c>
      <c r="E824" s="5">
        <v>764</v>
      </c>
      <c r="F824" s="11">
        <v>42078</v>
      </c>
      <c r="G824" t="s">
        <v>148</v>
      </c>
      <c r="H824" s="9">
        <v>8.99</v>
      </c>
      <c r="I824" s="7" t="s">
        <v>970</v>
      </c>
      <c r="J824" s="7">
        <v>42748.047268518516</v>
      </c>
      <c r="K824" s="3" t="s">
        <v>970</v>
      </c>
      <c r="L824" s="7">
        <v>42748.047268518516</v>
      </c>
      <c r="M824" s="3" t="s">
        <v>970</v>
      </c>
      <c r="N824" s="16" t="str">
        <f>TEXT(F824,"mm-yyyy")</f>
        <v>03-2015</v>
      </c>
    </row>
    <row r="825" spans="3:14" x14ac:dyDescent="0.25">
      <c r="C825" t="str">
        <f>IF(COUNTBLANK(E825:M825) = 9,"",IF(AND(NOT(ISBLANK(E825)),COUNTBLANK(E825:M825) = 8),"3 Delete",IF(ISBLANK(E825),"2 Add",IF(JenkinsHashRange(E825:M825) = "1436858104","0 Original","1 Modify"))))</f>
        <v>0 Original</v>
      </c>
      <c r="D825" s="3" t="s">
        <v>1157</v>
      </c>
      <c r="E825" s="5">
        <v>779</v>
      </c>
      <c r="F825" s="11">
        <v>42077</v>
      </c>
      <c r="G825" t="s">
        <v>148</v>
      </c>
      <c r="H825" s="9">
        <v>69.92</v>
      </c>
      <c r="I825" s="7" t="s">
        <v>970</v>
      </c>
      <c r="J825" s="7">
        <v>42748.047268518516</v>
      </c>
      <c r="K825" s="3" t="s">
        <v>970</v>
      </c>
      <c r="L825" s="7">
        <v>42748.047268518516</v>
      </c>
      <c r="M825" s="3" t="s">
        <v>970</v>
      </c>
      <c r="N825" s="16" t="str">
        <f>TEXT(F825,"mm-yyyy")</f>
        <v>03-2015</v>
      </c>
    </row>
    <row r="826" spans="3:14" x14ac:dyDescent="0.25">
      <c r="C826" t="str">
        <f>IF(COUNTBLANK(E826:M826) = 9,"",IF(AND(NOT(ISBLANK(E826)),COUNTBLANK(E826:M826) = 8),"3 Delete",IF(ISBLANK(E826),"2 Add",IF(JenkinsHashRange(E826:M826) = "779876179","0 Original","1 Modify"))))</f>
        <v>0 Original</v>
      </c>
      <c r="D826" s="3" t="s">
        <v>1163</v>
      </c>
      <c r="E826" s="5">
        <v>795</v>
      </c>
      <c r="F826" s="11">
        <v>42066</v>
      </c>
      <c r="G826" t="s">
        <v>109</v>
      </c>
      <c r="H826" s="9">
        <v>9.99</v>
      </c>
      <c r="I826" s="7" t="s">
        <v>970</v>
      </c>
      <c r="J826" s="7">
        <v>42748.047268518516</v>
      </c>
      <c r="K826" s="3" t="s">
        <v>970</v>
      </c>
      <c r="L826" s="7">
        <v>42748.047268518516</v>
      </c>
      <c r="M826" s="3" t="s">
        <v>970</v>
      </c>
      <c r="N826" s="16" t="str">
        <f>TEXT(F826,"mm-yyyy")</f>
        <v>03-2015</v>
      </c>
    </row>
    <row r="827" spans="3:14" x14ac:dyDescent="0.25">
      <c r="C827" t="str">
        <f>IF(COUNTBLANK(E827:M827) = 9,"",IF(AND(NOT(ISBLANK(E827)),COUNTBLANK(E827:M827) = 8),"3 Delete",IF(ISBLANK(E827),"2 Add",IF(JenkinsHashRange(E827:M827) = "431164450","0 Original","1 Modify"))))</f>
        <v>0 Original</v>
      </c>
      <c r="D827" s="3" t="s">
        <v>1169</v>
      </c>
      <c r="E827" s="5">
        <v>836</v>
      </c>
      <c r="F827" s="11">
        <v>42094</v>
      </c>
      <c r="G827" t="s">
        <v>148</v>
      </c>
      <c r="H827" s="9">
        <v>42.95</v>
      </c>
      <c r="I827" s="7" t="s">
        <v>970</v>
      </c>
      <c r="J827" s="7">
        <v>42748.047268518516</v>
      </c>
      <c r="K827" s="3" t="s">
        <v>970</v>
      </c>
      <c r="L827" s="7">
        <v>42748.047268518516</v>
      </c>
      <c r="M827" s="3" t="s">
        <v>970</v>
      </c>
      <c r="N827" s="16" t="str">
        <f>TEXT(F827,"mm-yyyy")</f>
        <v>03-2015</v>
      </c>
    </row>
    <row r="828" spans="3:14" x14ac:dyDescent="0.25">
      <c r="C828" t="str">
        <f>IF(COUNTBLANK(E828:M828) = 9,"",IF(AND(NOT(ISBLANK(E828)),COUNTBLANK(E828:M828) = 8),"3 Delete",IF(ISBLANK(E828),"2 Add",IF(JenkinsHashRange(E828:M828) = "1026731822","0 Original","1 Modify"))))</f>
        <v>0 Original</v>
      </c>
      <c r="D828" s="3" t="s">
        <v>1172</v>
      </c>
      <c r="E828" s="5">
        <v>846</v>
      </c>
      <c r="F828" s="11">
        <v>42077</v>
      </c>
      <c r="G828" t="s">
        <v>187</v>
      </c>
      <c r="H828" s="9">
        <v>43.95</v>
      </c>
      <c r="I828" s="7" t="s">
        <v>970</v>
      </c>
      <c r="J828" s="7">
        <v>42748.047268518516</v>
      </c>
      <c r="K828" s="3" t="s">
        <v>970</v>
      </c>
      <c r="L828" s="7">
        <v>42748.047268518516</v>
      </c>
      <c r="M828" s="3" t="s">
        <v>970</v>
      </c>
      <c r="N828" s="16" t="str">
        <f>TEXT(F828,"mm-yyyy")</f>
        <v>03-2015</v>
      </c>
    </row>
    <row r="829" spans="3:14" x14ac:dyDescent="0.25">
      <c r="C829" t="str">
        <f>IF(COUNTBLANK(E829:M829) = 9,"",IF(AND(NOT(ISBLANK(E829)),COUNTBLANK(E829:M829) = 8),"3 Delete",IF(ISBLANK(E829),"2 Add",IF(JenkinsHashRange(E829:M829) = "1683775661","0 Original","1 Modify"))))</f>
        <v>0 Original</v>
      </c>
      <c r="D829" s="3" t="s">
        <v>1180</v>
      </c>
      <c r="E829" s="5">
        <v>878</v>
      </c>
      <c r="F829" s="11">
        <v>42073</v>
      </c>
      <c r="G829" t="s">
        <v>169</v>
      </c>
      <c r="H829" s="9">
        <v>17.98</v>
      </c>
      <c r="I829" s="7" t="s">
        <v>970</v>
      </c>
      <c r="J829" s="7">
        <v>42748.047268518516</v>
      </c>
      <c r="K829" s="3" t="s">
        <v>970</v>
      </c>
      <c r="L829" s="7">
        <v>42748.047268518516</v>
      </c>
      <c r="M829" s="3" t="s">
        <v>970</v>
      </c>
      <c r="N829" s="16" t="str">
        <f>TEXT(F829,"mm-yyyy")</f>
        <v>03-2015</v>
      </c>
    </row>
    <row r="830" spans="3:14" x14ac:dyDescent="0.25">
      <c r="C830" t="str">
        <f>IF(COUNTBLANK(E830:M830) = 9,"",IF(AND(NOT(ISBLANK(E830)),COUNTBLANK(E830:M830) = 8),"3 Delete",IF(ISBLANK(E830),"2 Add",IF(JenkinsHashRange(E830:M830) = "1962265712","0 Original","1 Modify"))))</f>
        <v>0 Original</v>
      </c>
      <c r="D830" s="3" t="s">
        <v>1183</v>
      </c>
      <c r="E830" s="5">
        <v>886</v>
      </c>
      <c r="F830" s="11">
        <v>42074</v>
      </c>
      <c r="G830" t="s">
        <v>148</v>
      </c>
      <c r="H830" s="9">
        <v>15.98</v>
      </c>
      <c r="I830" s="7" t="s">
        <v>970</v>
      </c>
      <c r="J830" s="7">
        <v>42748.047268518516</v>
      </c>
      <c r="K830" s="3" t="s">
        <v>970</v>
      </c>
      <c r="L830" s="7">
        <v>42748.047268518516</v>
      </c>
      <c r="M830" s="3" t="s">
        <v>970</v>
      </c>
      <c r="N830" s="16" t="str">
        <f>TEXT(F830,"mm-yyyy")</f>
        <v>03-2015</v>
      </c>
    </row>
    <row r="831" spans="3:14" x14ac:dyDescent="0.25">
      <c r="C831" t="str">
        <f>IF(COUNTBLANK(E831:M831) = 9,"",IF(AND(NOT(ISBLANK(E831)),COUNTBLANK(E831:M831) = 8),"3 Delete",IF(ISBLANK(E831),"2 Add",IF(JenkinsHashRange(E831:M831) = "491701437","0 Original","1 Modify"))))</f>
        <v>0 Original</v>
      </c>
      <c r="D831" s="3" t="s">
        <v>1201</v>
      </c>
      <c r="E831" s="5">
        <v>1000</v>
      </c>
      <c r="F831" s="11">
        <v>42090</v>
      </c>
      <c r="G831" t="s">
        <v>118</v>
      </c>
      <c r="H831" s="9">
        <v>61.93</v>
      </c>
      <c r="I831" s="7" t="s">
        <v>970</v>
      </c>
      <c r="J831" s="7">
        <v>42748.047268518516</v>
      </c>
      <c r="K831" s="3" t="s">
        <v>970</v>
      </c>
      <c r="L831" s="7">
        <v>42748.047268518516</v>
      </c>
      <c r="M831" s="3" t="s">
        <v>970</v>
      </c>
      <c r="N831" s="16" t="str">
        <f>TEXT(F831,"mm-yyyy")</f>
        <v>03-2015</v>
      </c>
    </row>
    <row r="832" spans="3:14" x14ac:dyDescent="0.25">
      <c r="C832" t="str">
        <f>IF(COUNTBLANK(E832:M832) = 9,"",IF(AND(NOT(ISBLANK(E832)),COUNTBLANK(E832:M832) = 8),"3 Delete",IF(ISBLANK(E832),"2 Add",IF(JenkinsHashRange(E832:M832) = "1263325229","0 Original","1 Modify"))))</f>
        <v>0 Original</v>
      </c>
      <c r="D832" s="3" t="s">
        <v>1209</v>
      </c>
      <c r="E832" s="5">
        <v>1037</v>
      </c>
      <c r="F832" s="11">
        <v>42087</v>
      </c>
      <c r="G832" t="s">
        <v>160</v>
      </c>
      <c r="H832" s="9">
        <v>31.96</v>
      </c>
      <c r="I832" s="7" t="s">
        <v>970</v>
      </c>
      <c r="J832" s="7">
        <v>42748.047268518516</v>
      </c>
      <c r="K832" s="3" t="s">
        <v>970</v>
      </c>
      <c r="L832" s="7">
        <v>42748.047268518516</v>
      </c>
      <c r="M832" s="3" t="s">
        <v>970</v>
      </c>
      <c r="N832" s="16" t="str">
        <f>TEXT(F832,"mm-yyyy")</f>
        <v>03-2015</v>
      </c>
    </row>
    <row r="833" spans="3:14" x14ac:dyDescent="0.25">
      <c r="C833" t="str">
        <f>IF(COUNTBLANK(E833:M833) = 9,"",IF(AND(NOT(ISBLANK(E833)),COUNTBLANK(E833:M833) = 8),"3 Delete",IF(ISBLANK(E833),"2 Add",IF(JenkinsHashRange(E833:M833) = "1034591362","0 Original","1 Modify"))))</f>
        <v>0 Original</v>
      </c>
      <c r="D833" s="3" t="s">
        <v>1225</v>
      </c>
      <c r="E833" s="5">
        <v>1085</v>
      </c>
      <c r="F833" s="11">
        <v>42090</v>
      </c>
      <c r="G833" t="s">
        <v>169</v>
      </c>
      <c r="H833" s="9">
        <v>52.94</v>
      </c>
      <c r="I833" s="7" t="s">
        <v>970</v>
      </c>
      <c r="J833" s="7">
        <v>42748.047268518516</v>
      </c>
      <c r="K833" s="3" t="s">
        <v>970</v>
      </c>
      <c r="L833" s="7">
        <v>42748.047268518516</v>
      </c>
      <c r="M833" s="3" t="s">
        <v>970</v>
      </c>
      <c r="N833" s="16" t="str">
        <f>TEXT(F833,"mm-yyyy")</f>
        <v>03-2015</v>
      </c>
    </row>
    <row r="834" spans="3:14" x14ac:dyDescent="0.25">
      <c r="C834" t="str">
        <f>IF(COUNTBLANK(E834:M834) = 9,"",IF(AND(NOT(ISBLANK(E834)),COUNTBLANK(E834:M834) = 8),"3 Delete",IF(ISBLANK(E834),"2 Add",IF(JenkinsHashRange(E834:M834) = "2133790693","0 Original","1 Modify"))))</f>
        <v>0 Original</v>
      </c>
      <c r="D834" s="3" t="s">
        <v>1229</v>
      </c>
      <c r="E834" s="5">
        <v>1100</v>
      </c>
      <c r="F834" s="11">
        <v>42093</v>
      </c>
      <c r="G834" t="s">
        <v>208</v>
      </c>
      <c r="H834" s="9">
        <v>65.92</v>
      </c>
      <c r="I834" s="7" t="s">
        <v>970</v>
      </c>
      <c r="J834" s="7">
        <v>42748.047268518516</v>
      </c>
      <c r="K834" s="3" t="s">
        <v>970</v>
      </c>
      <c r="L834" s="7">
        <v>42748.047268518516</v>
      </c>
      <c r="M834" s="3" t="s">
        <v>970</v>
      </c>
      <c r="N834" s="16" t="str">
        <f>TEXT(F834,"mm-yyyy")</f>
        <v>03-2015</v>
      </c>
    </row>
    <row r="835" spans="3:14" x14ac:dyDescent="0.25">
      <c r="C835" t="str">
        <f>IF(COUNTBLANK(E835:M835) = 9,"",IF(AND(NOT(ISBLANK(E835)),COUNTBLANK(E835:M835) = 8),"3 Delete",IF(ISBLANK(E835),"2 Add",IF(JenkinsHashRange(E835:M835) = "307833466","0 Original","1 Modify"))))</f>
        <v>0 Original</v>
      </c>
      <c r="D835" s="3" t="s">
        <v>1232</v>
      </c>
      <c r="E835" s="5">
        <v>1107</v>
      </c>
      <c r="F835" s="11">
        <v>42073</v>
      </c>
      <c r="G835" t="s">
        <v>148</v>
      </c>
      <c r="H835" s="9">
        <v>15.98</v>
      </c>
      <c r="I835" s="7" t="s">
        <v>970</v>
      </c>
      <c r="J835" s="7">
        <v>42748.047268518516</v>
      </c>
      <c r="K835" s="3" t="s">
        <v>970</v>
      </c>
      <c r="L835" s="7">
        <v>42748.047268518516</v>
      </c>
      <c r="M835" s="3" t="s">
        <v>970</v>
      </c>
      <c r="N835" s="16" t="str">
        <f>TEXT(F835,"mm-yyyy")</f>
        <v>03-2015</v>
      </c>
    </row>
    <row r="836" spans="3:14" x14ac:dyDescent="0.25">
      <c r="C836" t="str">
        <f>IF(COUNTBLANK(E836:M836) = 9,"",IF(AND(NOT(ISBLANK(E836)),COUNTBLANK(E836:M836) = 8),"3 Delete",IF(ISBLANK(E836),"2 Add",IF(JenkinsHashRange(E836:M836) = "1155274477","0 Original","1 Modify"))))</f>
        <v>0 Original</v>
      </c>
      <c r="D836" s="3" t="s">
        <v>1236</v>
      </c>
      <c r="E836" s="5">
        <v>1134</v>
      </c>
      <c r="F836" s="11">
        <v>42088</v>
      </c>
      <c r="G836" t="s">
        <v>76</v>
      </c>
      <c r="H836" s="9">
        <v>22.97</v>
      </c>
      <c r="I836" s="7" t="s">
        <v>970</v>
      </c>
      <c r="J836" s="7">
        <v>42748.047268518516</v>
      </c>
      <c r="K836" s="3" t="s">
        <v>970</v>
      </c>
      <c r="L836" s="7">
        <v>42748.047268518516</v>
      </c>
      <c r="M836" s="3" t="s">
        <v>970</v>
      </c>
      <c r="N836" s="16" t="str">
        <f>TEXT(F836,"mm-yyyy")</f>
        <v>03-2015</v>
      </c>
    </row>
    <row r="837" spans="3:14" x14ac:dyDescent="0.25">
      <c r="C837" t="str">
        <f>IF(COUNTBLANK(E837:M837) = 9,"",IF(AND(NOT(ISBLANK(E837)),COUNTBLANK(E837:M837) = 8),"3 Delete",IF(ISBLANK(E837),"2 Add",IF(JenkinsHashRange(E837:M837) = "1482107304","0 Original","1 Modify"))))</f>
        <v>0 Original</v>
      </c>
      <c r="D837" s="3" t="s">
        <v>1240</v>
      </c>
      <c r="E837" s="5">
        <v>1159</v>
      </c>
      <c r="F837" s="11">
        <v>42091</v>
      </c>
      <c r="G837" t="s">
        <v>208</v>
      </c>
      <c r="H837" s="9">
        <v>22.97</v>
      </c>
      <c r="I837" s="7" t="s">
        <v>970</v>
      </c>
      <c r="J837" s="7">
        <v>42748.047268518516</v>
      </c>
      <c r="K837" s="3" t="s">
        <v>970</v>
      </c>
      <c r="L837" s="7">
        <v>42748.047268518516</v>
      </c>
      <c r="M837" s="3" t="s">
        <v>970</v>
      </c>
      <c r="N837" s="16" t="str">
        <f>TEXT(F837,"mm-yyyy")</f>
        <v>03-2015</v>
      </c>
    </row>
    <row r="838" spans="3:14" x14ac:dyDescent="0.25">
      <c r="C838" t="str">
        <f>IF(COUNTBLANK(E838:M838) = 9,"",IF(AND(NOT(ISBLANK(E838)),COUNTBLANK(E838:M838) = 8),"3 Delete",IF(ISBLANK(E838),"2 Add",IF(JenkinsHashRange(E838:M838) = "1236271564","0 Original","1 Modify"))))</f>
        <v>0 Original</v>
      </c>
      <c r="D838" s="3" t="s">
        <v>1243</v>
      </c>
      <c r="E838" s="5">
        <v>1170</v>
      </c>
      <c r="F838" s="11">
        <v>42072</v>
      </c>
      <c r="G838" t="s">
        <v>208</v>
      </c>
      <c r="H838" s="9">
        <v>21.97</v>
      </c>
      <c r="I838" s="7" t="s">
        <v>970</v>
      </c>
      <c r="J838" s="7">
        <v>42748.047268518516</v>
      </c>
      <c r="K838" s="3" t="s">
        <v>970</v>
      </c>
      <c r="L838" s="7">
        <v>42748.047268518516</v>
      </c>
      <c r="M838" s="3" t="s">
        <v>970</v>
      </c>
      <c r="N838" s="16" t="str">
        <f>TEXT(F838,"mm-yyyy")</f>
        <v>03-2015</v>
      </c>
    </row>
    <row r="839" spans="3:14" x14ac:dyDescent="0.25">
      <c r="C839" t="str">
        <f>IF(COUNTBLANK(E839:M839) = 9,"",IF(AND(NOT(ISBLANK(E839)),COUNTBLANK(E839:M839) = 8),"3 Delete",IF(ISBLANK(E839),"2 Add",IF(JenkinsHashRange(E839:M839) = "2121365037","0 Original","1 Modify"))))</f>
        <v>0 Original</v>
      </c>
      <c r="D839" s="3" t="s">
        <v>988</v>
      </c>
      <c r="E839" s="5">
        <v>6</v>
      </c>
      <c r="F839" s="11">
        <v>42115</v>
      </c>
      <c r="G839" t="s">
        <v>76</v>
      </c>
      <c r="H839" s="9">
        <v>33.96</v>
      </c>
      <c r="I839" s="7" t="s">
        <v>970</v>
      </c>
      <c r="J839" s="7">
        <v>42748.047268518516</v>
      </c>
      <c r="K839" s="3" t="s">
        <v>970</v>
      </c>
      <c r="L839" s="7">
        <v>42748.047268518516</v>
      </c>
      <c r="M839" s="3" t="s">
        <v>970</v>
      </c>
      <c r="N839" s="16" t="str">
        <f>TEXT(F839,"mm-yyyy")</f>
        <v>04-2015</v>
      </c>
    </row>
    <row r="840" spans="3:14" x14ac:dyDescent="0.25">
      <c r="C840" t="str">
        <f>IF(COUNTBLANK(E840:M840) = 9,"",IF(AND(NOT(ISBLANK(E840)),COUNTBLANK(E840:M840) = 8),"3 Delete",IF(ISBLANK(E840),"2 Add",IF(JenkinsHashRange(E840:M840) = "308579037","0 Original","1 Modify"))))</f>
        <v>0 Original</v>
      </c>
      <c r="D840" s="3" t="s">
        <v>990</v>
      </c>
      <c r="E840" s="5">
        <v>11</v>
      </c>
      <c r="F840" s="11">
        <v>42124</v>
      </c>
      <c r="G840" t="s">
        <v>364</v>
      </c>
      <c r="H840" s="9">
        <v>32.950000000000003</v>
      </c>
      <c r="I840" s="7" t="s">
        <v>970</v>
      </c>
      <c r="J840" s="7">
        <v>42748.047268518516</v>
      </c>
      <c r="K840" s="3" t="s">
        <v>970</v>
      </c>
      <c r="L840" s="7">
        <v>42748.047268518516</v>
      </c>
      <c r="M840" s="3" t="s">
        <v>970</v>
      </c>
      <c r="N840" s="16" t="str">
        <f>TEXT(F840,"mm-yyyy")</f>
        <v>04-2015</v>
      </c>
    </row>
    <row r="841" spans="3:14" x14ac:dyDescent="0.25">
      <c r="C841" t="str">
        <f>IF(COUNTBLANK(E841:M841) = 9,"",IF(AND(NOT(ISBLANK(E841)),COUNTBLANK(E841:M841) = 8),"3 Delete",IF(ISBLANK(E841),"2 Add",IF(JenkinsHashRange(E841:M841) = "1912972909","0 Original","1 Modify"))))</f>
        <v>0 Original</v>
      </c>
      <c r="D841" s="3" t="s">
        <v>1000</v>
      </c>
      <c r="E841" s="5">
        <v>67</v>
      </c>
      <c r="F841" s="11">
        <v>42110</v>
      </c>
      <c r="G841" t="s">
        <v>331</v>
      </c>
      <c r="H841" s="9">
        <v>23.97</v>
      </c>
      <c r="I841" s="7" t="s">
        <v>970</v>
      </c>
      <c r="J841" s="7">
        <v>42748.047268518516</v>
      </c>
      <c r="K841" s="3" t="s">
        <v>970</v>
      </c>
      <c r="L841" s="7">
        <v>42748.047268518516</v>
      </c>
      <c r="M841" s="3" t="s">
        <v>970</v>
      </c>
      <c r="N841" s="16" t="str">
        <f>TEXT(F841,"mm-yyyy")</f>
        <v>04-2015</v>
      </c>
    </row>
    <row r="842" spans="3:14" x14ac:dyDescent="0.25">
      <c r="C842" t="str">
        <f>IF(COUNTBLANK(E842:M842) = 9,"",IF(AND(NOT(ISBLANK(E842)),COUNTBLANK(E842:M842) = 8),"3 Delete",IF(ISBLANK(E842),"2 Add",IF(JenkinsHashRange(E842:M842) = "897995623","0 Original","1 Modify"))))</f>
        <v>0 Original</v>
      </c>
      <c r="D842" s="3" t="s">
        <v>1002</v>
      </c>
      <c r="E842" s="5">
        <v>70</v>
      </c>
      <c r="F842" s="11">
        <v>42113</v>
      </c>
      <c r="G842" t="s">
        <v>319</v>
      </c>
      <c r="H842" s="9">
        <v>55.93</v>
      </c>
      <c r="I842" s="7" t="s">
        <v>970</v>
      </c>
      <c r="J842" s="7">
        <v>42748.047268518516</v>
      </c>
      <c r="K842" s="3" t="s">
        <v>970</v>
      </c>
      <c r="L842" s="7">
        <v>42748.047268518516</v>
      </c>
      <c r="M842" s="3" t="s">
        <v>970</v>
      </c>
      <c r="N842" s="16" t="str">
        <f>TEXT(F842,"mm-yyyy")</f>
        <v>04-2015</v>
      </c>
    </row>
    <row r="843" spans="3:14" x14ac:dyDescent="0.25">
      <c r="C843" t="str">
        <f>IF(COUNTBLANK(E843:M843) = 9,"",IF(AND(NOT(ISBLANK(E843)),COUNTBLANK(E843:M843) = 8),"3 Delete",IF(ISBLANK(E843),"2 Add",IF(JenkinsHashRange(E843:M843) = "535600089","0 Original","1 Modify"))))</f>
        <v>0 Original</v>
      </c>
      <c r="D843" s="3" t="s">
        <v>1003</v>
      </c>
      <c r="E843" s="5">
        <v>74</v>
      </c>
      <c r="F843" s="11">
        <v>42102</v>
      </c>
      <c r="G843" t="s">
        <v>334</v>
      </c>
      <c r="H843" s="9">
        <v>12.98</v>
      </c>
      <c r="I843" s="7" t="s">
        <v>970</v>
      </c>
      <c r="J843" s="7">
        <v>42748.047268518516</v>
      </c>
      <c r="K843" s="3" t="s">
        <v>970</v>
      </c>
      <c r="L843" s="7">
        <v>42748.047268518516</v>
      </c>
      <c r="M843" s="3" t="s">
        <v>970</v>
      </c>
      <c r="N843" s="16" t="str">
        <f>TEXT(F843,"mm-yyyy")</f>
        <v>04-2015</v>
      </c>
    </row>
    <row r="844" spans="3:14" x14ac:dyDescent="0.25">
      <c r="C844" t="str">
        <f>IF(COUNTBLANK(E844:M844) = 9,"",IF(AND(NOT(ISBLANK(E844)),COUNTBLANK(E844:M844) = 8),"3 Delete",IF(ISBLANK(E844),"2 Add",IF(JenkinsHashRange(E844:M844) = "1839136206","0 Original","1 Modify"))))</f>
        <v>0 Original</v>
      </c>
      <c r="D844" s="3" t="s">
        <v>1004</v>
      </c>
      <c r="E844" s="5">
        <v>79</v>
      </c>
      <c r="F844" s="11">
        <v>42105</v>
      </c>
      <c r="G844" t="s">
        <v>229</v>
      </c>
      <c r="H844" s="9">
        <v>28.96</v>
      </c>
      <c r="I844" s="7" t="s">
        <v>970</v>
      </c>
      <c r="J844" s="7">
        <v>42748.047268518516</v>
      </c>
      <c r="K844" s="3" t="s">
        <v>970</v>
      </c>
      <c r="L844" s="7">
        <v>42748.047268518516</v>
      </c>
      <c r="M844" s="3" t="s">
        <v>970</v>
      </c>
      <c r="N844" s="16" t="str">
        <f>TEXT(F844,"mm-yyyy")</f>
        <v>04-2015</v>
      </c>
    </row>
    <row r="845" spans="3:14" x14ac:dyDescent="0.25">
      <c r="C845" t="str">
        <f>IF(COUNTBLANK(E845:M845) = 9,"",IF(AND(NOT(ISBLANK(E845)),COUNTBLANK(E845:M845) = 8),"3 Delete",IF(ISBLANK(E845),"2 Add",IF(JenkinsHashRange(E845:M845) = "1646788866","0 Original","1 Modify"))))</f>
        <v>0 Original</v>
      </c>
      <c r="D845" s="3" t="s">
        <v>1025</v>
      </c>
      <c r="E845" s="5">
        <v>213</v>
      </c>
      <c r="F845" s="11">
        <v>42118</v>
      </c>
      <c r="G845" t="s">
        <v>343</v>
      </c>
      <c r="H845" s="9">
        <v>25.97</v>
      </c>
      <c r="I845" s="7" t="s">
        <v>970</v>
      </c>
      <c r="J845" s="7">
        <v>42748.047268518516</v>
      </c>
      <c r="K845" s="3" t="s">
        <v>970</v>
      </c>
      <c r="L845" s="7">
        <v>42748.047268518516</v>
      </c>
      <c r="M845" s="3" t="s">
        <v>970</v>
      </c>
      <c r="N845" s="16" t="str">
        <f>TEXT(F845,"mm-yyyy")</f>
        <v>04-2015</v>
      </c>
    </row>
    <row r="846" spans="3:14" x14ac:dyDescent="0.25">
      <c r="C846" t="str">
        <f>IF(COUNTBLANK(E846:M846) = 9,"",IF(AND(NOT(ISBLANK(E846)),COUNTBLANK(E846:M846) = 8),"3 Delete",IF(ISBLANK(E846),"2 Add",IF(JenkinsHashRange(E846:M846) = "1729311050","0 Original","1 Modify"))))</f>
        <v>0 Original</v>
      </c>
      <c r="D846" s="3" t="s">
        <v>1027</v>
      </c>
      <c r="E846" s="5">
        <v>220</v>
      </c>
      <c r="F846" s="11">
        <v>42095</v>
      </c>
      <c r="G846" t="s">
        <v>292</v>
      </c>
      <c r="H846" s="9">
        <v>9.98</v>
      </c>
      <c r="I846" s="7" t="s">
        <v>970</v>
      </c>
      <c r="J846" s="7">
        <v>42748.047268518516</v>
      </c>
      <c r="K846" s="3" t="s">
        <v>970</v>
      </c>
      <c r="L846" s="7">
        <v>42748.047268518516</v>
      </c>
      <c r="M846" s="3" t="s">
        <v>970</v>
      </c>
      <c r="N846" s="16" t="str">
        <f>TEXT(F846,"mm-yyyy")</f>
        <v>04-2015</v>
      </c>
    </row>
    <row r="847" spans="3:14" x14ac:dyDescent="0.25">
      <c r="C847" t="str">
        <f>IF(COUNTBLANK(E847:M847) = 9,"",IF(AND(NOT(ISBLANK(E847)),COUNTBLANK(E847:M847) = 8),"3 Delete",IF(ISBLANK(E847),"2 Add",IF(JenkinsHashRange(E847:M847) = "173846687","0 Original","1 Modify"))))</f>
        <v>0 Original</v>
      </c>
      <c r="D847" s="3" t="s">
        <v>1031</v>
      </c>
      <c r="E847" s="5">
        <v>241</v>
      </c>
      <c r="F847" s="11">
        <v>42098</v>
      </c>
      <c r="G847" t="s">
        <v>79</v>
      </c>
      <c r="H847" s="9">
        <v>24.97</v>
      </c>
      <c r="I847" s="7" t="s">
        <v>970</v>
      </c>
      <c r="J847" s="7">
        <v>42748.047268518516</v>
      </c>
      <c r="K847" s="3" t="s">
        <v>970</v>
      </c>
      <c r="L847" s="7">
        <v>42748.047268518516</v>
      </c>
      <c r="M847" s="3" t="s">
        <v>970</v>
      </c>
      <c r="N847" s="16" t="str">
        <f>TEXT(F847,"mm-yyyy")</f>
        <v>04-2015</v>
      </c>
    </row>
    <row r="848" spans="3:14" x14ac:dyDescent="0.25">
      <c r="C848" t="str">
        <f>IF(COUNTBLANK(E848:M848) = 9,"",IF(AND(NOT(ISBLANK(E848)),COUNTBLANK(E848:M848) = 8),"3 Delete",IF(ISBLANK(E848),"2 Add",IF(JenkinsHashRange(E848:M848) = "448615594","0 Original","1 Modify"))))</f>
        <v>0 Original</v>
      </c>
      <c r="D848" s="3" t="s">
        <v>1044</v>
      </c>
      <c r="E848" s="5">
        <v>281</v>
      </c>
      <c r="F848" s="11">
        <v>42103</v>
      </c>
      <c r="G848" t="s">
        <v>148</v>
      </c>
      <c r="H848" s="9">
        <v>94.89</v>
      </c>
      <c r="I848" s="7" t="s">
        <v>970</v>
      </c>
      <c r="J848" s="7">
        <v>42748.047268518516</v>
      </c>
      <c r="K848" s="3" t="s">
        <v>970</v>
      </c>
      <c r="L848" s="7">
        <v>42748.047268518516</v>
      </c>
      <c r="M848" s="3" t="s">
        <v>970</v>
      </c>
      <c r="N848" s="16" t="str">
        <f>TEXT(F848,"mm-yyyy")</f>
        <v>04-2015</v>
      </c>
    </row>
    <row r="849" spans="3:14" x14ac:dyDescent="0.25">
      <c r="C849" t="str">
        <f>IF(COUNTBLANK(E849:M849) = 9,"",IF(AND(NOT(ISBLANK(E849)),COUNTBLANK(E849:M849) = 8),"3 Delete",IF(ISBLANK(E849),"2 Add",IF(JenkinsHashRange(E849:M849) = "1612888679","0 Original","1 Modify"))))</f>
        <v>0 Original</v>
      </c>
      <c r="D849" s="3" t="s">
        <v>1047</v>
      </c>
      <c r="E849" s="5">
        <v>308</v>
      </c>
      <c r="F849" s="11">
        <v>42102</v>
      </c>
      <c r="G849" t="s">
        <v>352</v>
      </c>
      <c r="H849" s="9">
        <v>6.99</v>
      </c>
      <c r="I849" s="7" t="s">
        <v>970</v>
      </c>
      <c r="J849" s="7">
        <v>42748.047268518516</v>
      </c>
      <c r="K849" s="3" t="s">
        <v>970</v>
      </c>
      <c r="L849" s="7">
        <v>42748.047268518516</v>
      </c>
      <c r="M849" s="3" t="s">
        <v>970</v>
      </c>
      <c r="N849" s="16" t="str">
        <f>TEXT(F849,"mm-yyyy")</f>
        <v>04-2015</v>
      </c>
    </row>
    <row r="850" spans="3:14" x14ac:dyDescent="0.25">
      <c r="C850" t="str">
        <f>IF(COUNTBLANK(E850:M850) = 9,"",IF(AND(NOT(ISBLANK(E850)),COUNTBLANK(E850:M850) = 8),"3 Delete",IF(ISBLANK(E850),"2 Add",IF(JenkinsHashRange(E850:M850) = "1404420967","0 Original","1 Modify"))))</f>
        <v>0 Original</v>
      </c>
      <c r="D850" s="3" t="s">
        <v>1057</v>
      </c>
      <c r="E850" s="5">
        <v>356</v>
      </c>
      <c r="F850" s="11">
        <v>42097</v>
      </c>
      <c r="G850" t="s">
        <v>289</v>
      </c>
      <c r="H850" s="9">
        <v>54.94</v>
      </c>
      <c r="I850" s="7" t="s">
        <v>970</v>
      </c>
      <c r="J850" s="7">
        <v>42748.047268518516</v>
      </c>
      <c r="K850" s="3" t="s">
        <v>970</v>
      </c>
      <c r="L850" s="7">
        <v>42748.047268518516</v>
      </c>
      <c r="M850" s="3" t="s">
        <v>970</v>
      </c>
      <c r="N850" s="16" t="str">
        <f>TEXT(F850,"mm-yyyy")</f>
        <v>04-2015</v>
      </c>
    </row>
    <row r="851" spans="3:14" x14ac:dyDescent="0.25">
      <c r="C851" t="str">
        <f>IF(COUNTBLANK(E851:M851) = 9,"",IF(AND(NOT(ISBLANK(E851)),COUNTBLANK(E851:M851) = 8),"3 Delete",IF(ISBLANK(E851),"2 Add",IF(JenkinsHashRange(E851:M851) = "1530578471","0 Original","1 Modify"))))</f>
        <v>0 Original</v>
      </c>
      <c r="D851" s="3" t="s">
        <v>1058</v>
      </c>
      <c r="E851" s="5">
        <v>357</v>
      </c>
      <c r="F851" s="11">
        <v>42101</v>
      </c>
      <c r="G851" t="s">
        <v>121</v>
      </c>
      <c r="H851" s="9">
        <v>5.99</v>
      </c>
      <c r="I851" s="7" t="s">
        <v>970</v>
      </c>
      <c r="J851" s="7">
        <v>42748.047268518516</v>
      </c>
      <c r="K851" s="3" t="s">
        <v>970</v>
      </c>
      <c r="L851" s="7">
        <v>42748.047268518516</v>
      </c>
      <c r="M851" s="3" t="s">
        <v>970</v>
      </c>
      <c r="N851" s="16" t="str">
        <f>TEXT(F851,"mm-yyyy")</f>
        <v>04-2015</v>
      </c>
    </row>
    <row r="852" spans="3:14" x14ac:dyDescent="0.25">
      <c r="C852" t="str">
        <f>IF(COUNTBLANK(E852:M852) = 9,"",IF(AND(NOT(ISBLANK(E852)),COUNTBLANK(E852:M852) = 8),"3 Delete",IF(ISBLANK(E852),"2 Add",IF(JenkinsHashRange(E852:M852) = "1178007417","0 Original","1 Modify"))))</f>
        <v>0 Original</v>
      </c>
      <c r="D852" s="3" t="s">
        <v>1074</v>
      </c>
      <c r="E852" s="5">
        <v>399</v>
      </c>
      <c r="F852" s="11">
        <v>42114</v>
      </c>
      <c r="G852" t="s">
        <v>313</v>
      </c>
      <c r="H852" s="9">
        <v>26.97</v>
      </c>
      <c r="I852" s="7" t="s">
        <v>970</v>
      </c>
      <c r="J852" s="7">
        <v>42748.047268518516</v>
      </c>
      <c r="K852" s="3" t="s">
        <v>970</v>
      </c>
      <c r="L852" s="7">
        <v>42748.047268518516</v>
      </c>
      <c r="M852" s="3" t="s">
        <v>970</v>
      </c>
      <c r="N852" s="16" t="str">
        <f>TEXT(F852,"mm-yyyy")</f>
        <v>04-2015</v>
      </c>
    </row>
    <row r="853" spans="3:14" x14ac:dyDescent="0.25">
      <c r="C853" t="str">
        <f>IF(COUNTBLANK(E853:M853) = 9,"",IF(AND(NOT(ISBLANK(E853)),COUNTBLANK(E853:M853) = 8),"3 Delete",IF(ISBLANK(E853),"2 Add",IF(JenkinsHashRange(E853:M853) = "1192855987","0 Original","1 Modify"))))</f>
        <v>0 Original</v>
      </c>
      <c r="D853" s="3" t="s">
        <v>1079</v>
      </c>
      <c r="E853" s="5">
        <v>415</v>
      </c>
      <c r="F853" s="11">
        <v>42112</v>
      </c>
      <c r="G853" t="s">
        <v>157</v>
      </c>
      <c r="H853" s="9">
        <v>13.98</v>
      </c>
      <c r="I853" s="7" t="s">
        <v>970</v>
      </c>
      <c r="J853" s="7">
        <v>42748.047268518516</v>
      </c>
      <c r="K853" s="3" t="s">
        <v>970</v>
      </c>
      <c r="L853" s="7">
        <v>42748.047268518516</v>
      </c>
      <c r="M853" s="3" t="s">
        <v>970</v>
      </c>
      <c r="N853" s="16" t="str">
        <f>TEXT(F853,"mm-yyyy")</f>
        <v>04-2015</v>
      </c>
    </row>
    <row r="854" spans="3:14" x14ac:dyDescent="0.25">
      <c r="C854" t="str">
        <f>IF(COUNTBLANK(E854:M854) = 9,"",IF(AND(NOT(ISBLANK(E854)),COUNTBLANK(E854:M854) = 8),"3 Delete",IF(ISBLANK(E854),"2 Add",IF(JenkinsHashRange(E854:M854) = "1775917677","0 Original","1 Modify"))))</f>
        <v>0 Original</v>
      </c>
      <c r="D854" s="3" t="s">
        <v>1095</v>
      </c>
      <c r="E854" s="5">
        <v>521</v>
      </c>
      <c r="F854" s="11">
        <v>42118</v>
      </c>
      <c r="G854" t="s">
        <v>256</v>
      </c>
      <c r="H854" s="9">
        <v>23.97</v>
      </c>
      <c r="I854" s="7" t="s">
        <v>970</v>
      </c>
      <c r="J854" s="7">
        <v>42748.047268518516</v>
      </c>
      <c r="K854" s="3" t="s">
        <v>970</v>
      </c>
      <c r="L854" s="7">
        <v>42748.047268518516</v>
      </c>
      <c r="M854" s="3" t="s">
        <v>970</v>
      </c>
      <c r="N854" s="16" t="str">
        <f>TEXT(F854,"mm-yyyy")</f>
        <v>04-2015</v>
      </c>
    </row>
    <row r="855" spans="3:14" x14ac:dyDescent="0.25">
      <c r="C855" t="str">
        <f>IF(COUNTBLANK(E855:M855) = 9,"",IF(AND(NOT(ISBLANK(E855)),COUNTBLANK(E855:M855) = 8),"3 Delete",IF(ISBLANK(E855),"2 Add",IF(JenkinsHashRange(E855:M855) = "733972285","0 Original","1 Modify"))))</f>
        <v>0 Original</v>
      </c>
      <c r="D855" s="3" t="s">
        <v>1097</v>
      </c>
      <c r="E855" s="5">
        <v>530</v>
      </c>
      <c r="F855" s="11">
        <v>42104</v>
      </c>
      <c r="G855" t="s">
        <v>136</v>
      </c>
      <c r="H855" s="9">
        <v>17.98</v>
      </c>
      <c r="I855" s="7" t="s">
        <v>970</v>
      </c>
      <c r="J855" s="7">
        <v>42748.047268518516</v>
      </c>
      <c r="K855" s="3" t="s">
        <v>970</v>
      </c>
      <c r="L855" s="7">
        <v>42748.047268518516</v>
      </c>
      <c r="M855" s="3" t="s">
        <v>970</v>
      </c>
      <c r="N855" s="16" t="str">
        <f>TEXT(F855,"mm-yyyy")</f>
        <v>04-2015</v>
      </c>
    </row>
    <row r="856" spans="3:14" x14ac:dyDescent="0.25">
      <c r="C856" t="str">
        <f>IF(COUNTBLANK(E856:M856) = 9,"",IF(AND(NOT(ISBLANK(E856)),COUNTBLANK(E856:M856) = 8),"3 Delete",IF(ISBLANK(E856),"2 Add",IF(JenkinsHashRange(E856:M856) = "1307151917","0 Original","1 Modify"))))</f>
        <v>0 Original</v>
      </c>
      <c r="D856" s="3" t="s">
        <v>1103</v>
      </c>
      <c r="E856" s="5">
        <v>563</v>
      </c>
      <c r="F856" s="11">
        <v>42111</v>
      </c>
      <c r="G856" t="s">
        <v>160</v>
      </c>
      <c r="H856" s="9">
        <v>50.94</v>
      </c>
      <c r="I856" s="7" t="s">
        <v>970</v>
      </c>
      <c r="J856" s="7">
        <v>42748.047268518516</v>
      </c>
      <c r="K856" s="3" t="s">
        <v>970</v>
      </c>
      <c r="L856" s="7">
        <v>42748.047268518516</v>
      </c>
      <c r="M856" s="3" t="s">
        <v>970</v>
      </c>
      <c r="N856" s="16" t="str">
        <f>TEXT(F856,"mm-yyyy")</f>
        <v>04-2015</v>
      </c>
    </row>
    <row r="857" spans="3:14" x14ac:dyDescent="0.25">
      <c r="C857" t="str">
        <f>IF(COUNTBLANK(E857:M857) = 9,"",IF(AND(NOT(ISBLANK(E857)),COUNTBLANK(E857:M857) = 8),"3 Delete",IF(ISBLANK(E857),"2 Add",IF(JenkinsHashRange(E857:M857) = "1824856231","0 Original","1 Modify"))))</f>
        <v>0 Original</v>
      </c>
      <c r="D857" s="3" t="s">
        <v>1105</v>
      </c>
      <c r="E857" s="5">
        <v>567</v>
      </c>
      <c r="F857" s="11">
        <v>42115</v>
      </c>
      <c r="G857" t="s">
        <v>139</v>
      </c>
      <c r="H857" s="9">
        <v>58.92</v>
      </c>
      <c r="I857" s="7" t="s">
        <v>970</v>
      </c>
      <c r="J857" s="7">
        <v>42748.047268518516</v>
      </c>
      <c r="K857" s="3" t="s">
        <v>970</v>
      </c>
      <c r="L857" s="7">
        <v>42748.047268518516</v>
      </c>
      <c r="M857" s="3" t="s">
        <v>970</v>
      </c>
      <c r="N857" s="16" t="str">
        <f>TEXT(F857,"mm-yyyy")</f>
        <v>04-2015</v>
      </c>
    </row>
    <row r="858" spans="3:14" x14ac:dyDescent="0.25">
      <c r="C858" t="str">
        <f>IF(COUNTBLANK(E858:M858) = 9,"",IF(AND(NOT(ISBLANK(E858)),COUNTBLANK(E858:M858) = 8),"3 Delete",IF(ISBLANK(E858),"2 Add",IF(JenkinsHashRange(E858:M858) = "1677644797","0 Original","1 Modify"))))</f>
        <v>0 Original</v>
      </c>
      <c r="D858" s="3" t="s">
        <v>1110</v>
      </c>
      <c r="E858" s="5">
        <v>596</v>
      </c>
      <c r="F858" s="11">
        <v>42116</v>
      </c>
      <c r="G858" t="s">
        <v>115</v>
      </c>
      <c r="H858" s="9">
        <v>27.97</v>
      </c>
      <c r="I858" s="7" t="s">
        <v>970</v>
      </c>
      <c r="J858" s="7">
        <v>42748.047268518516</v>
      </c>
      <c r="K858" s="3" t="s">
        <v>970</v>
      </c>
      <c r="L858" s="7">
        <v>42748.047268518516</v>
      </c>
      <c r="M858" s="3" t="s">
        <v>970</v>
      </c>
      <c r="N858" s="16" t="str">
        <f>TEXT(F858,"mm-yyyy")</f>
        <v>04-2015</v>
      </c>
    </row>
    <row r="859" spans="3:14" x14ac:dyDescent="0.25">
      <c r="C859" t="str">
        <f>IF(COUNTBLANK(E859:M859) = 9,"",IF(AND(NOT(ISBLANK(E859)),COUNTBLANK(E859:M859) = 8),"3 Delete",IF(ISBLANK(E859),"2 Add",IF(JenkinsHashRange(E859:M859) = "1027809284","0 Original","1 Modify"))))</f>
        <v>0 Original</v>
      </c>
      <c r="D859" s="3" t="s">
        <v>1122</v>
      </c>
      <c r="E859" s="5">
        <v>648</v>
      </c>
      <c r="F859" s="11">
        <v>42100</v>
      </c>
      <c r="G859" t="s">
        <v>148</v>
      </c>
      <c r="H859" s="9">
        <v>48.94</v>
      </c>
      <c r="I859" s="7" t="s">
        <v>970</v>
      </c>
      <c r="J859" s="7">
        <v>42748.047268518516</v>
      </c>
      <c r="K859" s="3" t="s">
        <v>970</v>
      </c>
      <c r="L859" s="7">
        <v>42748.047268518516</v>
      </c>
      <c r="M859" s="3" t="s">
        <v>970</v>
      </c>
      <c r="N859" s="16" t="str">
        <f>TEXT(F859,"mm-yyyy")</f>
        <v>04-2015</v>
      </c>
    </row>
    <row r="860" spans="3:14" x14ac:dyDescent="0.25">
      <c r="C860" t="str">
        <f>IF(COUNTBLANK(E860:M860) = 9,"",IF(AND(NOT(ISBLANK(E860)),COUNTBLANK(E860:M860) = 8),"3 Delete",IF(ISBLANK(E860),"2 Add",IF(JenkinsHashRange(E860:M860) = "220046629","0 Original","1 Modify"))))</f>
        <v>0 Original</v>
      </c>
      <c r="D860" s="3" t="s">
        <v>1125</v>
      </c>
      <c r="E860" s="5">
        <v>653</v>
      </c>
      <c r="F860" s="11">
        <v>42096</v>
      </c>
      <c r="G860" t="s">
        <v>157</v>
      </c>
      <c r="H860" s="9">
        <v>32.950000000000003</v>
      </c>
      <c r="I860" s="7" t="s">
        <v>970</v>
      </c>
      <c r="J860" s="7">
        <v>42748.047268518516</v>
      </c>
      <c r="K860" s="3" t="s">
        <v>970</v>
      </c>
      <c r="L860" s="7">
        <v>42748.047268518516</v>
      </c>
      <c r="M860" s="3" t="s">
        <v>970</v>
      </c>
      <c r="N860" s="16" t="str">
        <f>TEXT(F860,"mm-yyyy")</f>
        <v>04-2015</v>
      </c>
    </row>
    <row r="861" spans="3:14" x14ac:dyDescent="0.25">
      <c r="C861" t="str">
        <f>IF(COUNTBLANK(E861:M861) = 9,"",IF(AND(NOT(ISBLANK(E861)),COUNTBLANK(E861:M861) = 8),"3 Delete",IF(ISBLANK(E861),"2 Add",IF(JenkinsHashRange(E861:M861) = "1388762969","0 Original","1 Modify"))))</f>
        <v>0 Original</v>
      </c>
      <c r="D861" s="3" t="s">
        <v>1135</v>
      </c>
      <c r="E861" s="5">
        <v>691</v>
      </c>
      <c r="F861" s="11">
        <v>42107</v>
      </c>
      <c r="G861" t="s">
        <v>286</v>
      </c>
      <c r="H861" s="9">
        <v>78.900000000000006</v>
      </c>
      <c r="I861" s="7" t="s">
        <v>970</v>
      </c>
      <c r="J861" s="7">
        <v>42748.047268518516</v>
      </c>
      <c r="K861" s="3" t="s">
        <v>970</v>
      </c>
      <c r="L861" s="7">
        <v>42748.047268518516</v>
      </c>
      <c r="M861" s="3" t="s">
        <v>970</v>
      </c>
      <c r="N861" s="16" t="str">
        <f>TEXT(F861,"mm-yyyy")</f>
        <v>04-2015</v>
      </c>
    </row>
    <row r="862" spans="3:14" x14ac:dyDescent="0.25">
      <c r="C862" t="str">
        <f>IF(COUNTBLANK(E862:M862) = 9,"",IF(AND(NOT(ISBLANK(E862)),COUNTBLANK(E862:M862) = 8),"3 Delete",IF(ISBLANK(E862),"2 Add",IF(JenkinsHashRange(E862:M862) = "760879719","0 Original","1 Modify"))))</f>
        <v>0 Original</v>
      </c>
      <c r="D862" s="3" t="s">
        <v>1139</v>
      </c>
      <c r="E862" s="5">
        <v>709</v>
      </c>
      <c r="F862" s="11">
        <v>42115</v>
      </c>
      <c r="G862" t="s">
        <v>160</v>
      </c>
      <c r="H862" s="9">
        <v>30.96</v>
      </c>
      <c r="I862" s="7" t="s">
        <v>970</v>
      </c>
      <c r="J862" s="7">
        <v>42748.047268518516</v>
      </c>
      <c r="K862" s="3" t="s">
        <v>970</v>
      </c>
      <c r="L862" s="7">
        <v>42748.047268518516</v>
      </c>
      <c r="M862" s="3" t="s">
        <v>970</v>
      </c>
      <c r="N862" s="16" t="str">
        <f>TEXT(F862,"mm-yyyy")</f>
        <v>04-2015</v>
      </c>
    </row>
    <row r="863" spans="3:14" x14ac:dyDescent="0.25">
      <c r="C863" t="str">
        <f>IF(COUNTBLANK(E863:M863) = 9,"",IF(AND(NOT(ISBLANK(E863)),COUNTBLANK(E863:M863) = 8),"3 Delete",IF(ISBLANK(E863),"2 Add",IF(JenkinsHashRange(E863:M863) = "331171656","0 Original","1 Modify"))))</f>
        <v>0 Original</v>
      </c>
      <c r="D863" s="3" t="s">
        <v>1144</v>
      </c>
      <c r="E863" s="5">
        <v>720</v>
      </c>
      <c r="F863" s="11">
        <v>42110</v>
      </c>
      <c r="G863" t="s">
        <v>271</v>
      </c>
      <c r="H863" s="9">
        <v>29.96</v>
      </c>
      <c r="I863" s="7" t="s">
        <v>970</v>
      </c>
      <c r="J863" s="7">
        <v>42748.047268518516</v>
      </c>
      <c r="K863" s="3" t="s">
        <v>970</v>
      </c>
      <c r="L863" s="7">
        <v>42748.047268518516</v>
      </c>
      <c r="M863" s="3" t="s">
        <v>970</v>
      </c>
      <c r="N863" s="16" t="str">
        <f>TEXT(F863,"mm-yyyy")</f>
        <v>04-2015</v>
      </c>
    </row>
    <row r="864" spans="3:14" x14ac:dyDescent="0.25">
      <c r="C864" t="str">
        <f>IF(COUNTBLANK(E864:M864) = 9,"",IF(AND(NOT(ISBLANK(E864)),COUNTBLANK(E864:M864) = 8),"3 Delete",IF(ISBLANK(E864),"2 Add",IF(JenkinsHashRange(E864:M864) = "353000258","0 Original","1 Modify"))))</f>
        <v>0 Original</v>
      </c>
      <c r="D864" s="3" t="s">
        <v>1148</v>
      </c>
      <c r="E864" s="5">
        <v>736</v>
      </c>
      <c r="F864" s="11">
        <v>42114</v>
      </c>
      <c r="G864" t="s">
        <v>118</v>
      </c>
      <c r="H864" s="9">
        <v>25.97</v>
      </c>
      <c r="I864" s="7" t="s">
        <v>970</v>
      </c>
      <c r="J864" s="7">
        <v>42748.047268518516</v>
      </c>
      <c r="K864" s="3" t="s">
        <v>970</v>
      </c>
      <c r="L864" s="7">
        <v>42748.047268518516</v>
      </c>
      <c r="M864" s="3" t="s">
        <v>970</v>
      </c>
      <c r="N864" s="16" t="str">
        <f>TEXT(F864,"mm-yyyy")</f>
        <v>04-2015</v>
      </c>
    </row>
    <row r="865" spans="3:14" x14ac:dyDescent="0.25">
      <c r="C865" t="str">
        <f>IF(COUNTBLANK(E865:M865) = 9,"",IF(AND(NOT(ISBLANK(E865)),COUNTBLANK(E865:M865) = 8),"3 Delete",IF(ISBLANK(E865),"2 Add",IF(JenkinsHashRange(E865:M865) = "1312643114","0 Original","1 Modify"))))</f>
        <v>0 Original</v>
      </c>
      <c r="D865" s="3" t="s">
        <v>1153</v>
      </c>
      <c r="E865" s="5">
        <v>760</v>
      </c>
      <c r="F865" s="11">
        <v>42103</v>
      </c>
      <c r="G865" t="s">
        <v>76</v>
      </c>
      <c r="H865" s="9">
        <v>29.96</v>
      </c>
      <c r="I865" s="7" t="s">
        <v>970</v>
      </c>
      <c r="J865" s="7">
        <v>42748.047268518516</v>
      </c>
      <c r="K865" s="3" t="s">
        <v>970</v>
      </c>
      <c r="L865" s="7">
        <v>42748.047268518516</v>
      </c>
      <c r="M865" s="3" t="s">
        <v>970</v>
      </c>
      <c r="N865" s="16" t="str">
        <f>TEXT(F865,"mm-yyyy")</f>
        <v>04-2015</v>
      </c>
    </row>
    <row r="866" spans="3:14" x14ac:dyDescent="0.25">
      <c r="C866" t="str">
        <f>IF(COUNTBLANK(E866:M866) = 9,"",IF(AND(NOT(ISBLANK(E866)),COUNTBLANK(E866:M866) = 8),"3 Delete",IF(ISBLANK(E866),"2 Add",IF(JenkinsHashRange(E866:M866) = "1232898663","0 Original","1 Modify"))))</f>
        <v>0 Original</v>
      </c>
      <c r="D866" s="3" t="s">
        <v>1162</v>
      </c>
      <c r="E866" s="5">
        <v>790</v>
      </c>
      <c r="F866" s="11">
        <v>42109</v>
      </c>
      <c r="G866" t="s">
        <v>109</v>
      </c>
      <c r="H866" s="9">
        <v>36.96</v>
      </c>
      <c r="I866" s="7" t="s">
        <v>970</v>
      </c>
      <c r="J866" s="7">
        <v>42748.047268518516</v>
      </c>
      <c r="K866" s="3" t="s">
        <v>970</v>
      </c>
      <c r="L866" s="7">
        <v>42748.047268518516</v>
      </c>
      <c r="M866" s="3" t="s">
        <v>970</v>
      </c>
      <c r="N866" s="16" t="str">
        <f>TEXT(F866,"mm-yyyy")</f>
        <v>04-2015</v>
      </c>
    </row>
    <row r="867" spans="3:14" x14ac:dyDescent="0.25">
      <c r="C867" t="str">
        <f>IF(COUNTBLANK(E867:M867) = 9,"",IF(AND(NOT(ISBLANK(E867)),COUNTBLANK(E867:M867) = 8),"3 Delete",IF(ISBLANK(E867),"2 Add",IF(JenkinsHashRange(E867:M867) = "1663633003","0 Original","1 Modify"))))</f>
        <v>0 Original</v>
      </c>
      <c r="D867" s="3" t="s">
        <v>1168</v>
      </c>
      <c r="E867" s="5">
        <v>835</v>
      </c>
      <c r="F867" s="11">
        <v>42108</v>
      </c>
      <c r="G867" t="s">
        <v>280</v>
      </c>
      <c r="H867" s="9">
        <v>5.99</v>
      </c>
      <c r="I867" s="7" t="s">
        <v>970</v>
      </c>
      <c r="J867" s="7">
        <v>42748.047268518516</v>
      </c>
      <c r="K867" s="3" t="s">
        <v>970</v>
      </c>
      <c r="L867" s="7">
        <v>42748.047268518516</v>
      </c>
      <c r="M867" s="3" t="s">
        <v>970</v>
      </c>
      <c r="N867" s="16" t="str">
        <f>TEXT(F867,"mm-yyyy")</f>
        <v>04-2015</v>
      </c>
    </row>
    <row r="868" spans="3:14" x14ac:dyDescent="0.25">
      <c r="C868" t="str">
        <f>IF(COUNTBLANK(E868:M868) = 9,"",IF(AND(NOT(ISBLANK(E868)),COUNTBLANK(E868:M868) = 8),"3 Delete",IF(ISBLANK(E868),"2 Add",IF(JenkinsHashRange(E868:M868) = "1001003763","0 Original","1 Modify"))))</f>
        <v>0 Original</v>
      </c>
      <c r="D868" s="3" t="s">
        <v>1170</v>
      </c>
      <c r="E868" s="5">
        <v>839</v>
      </c>
      <c r="F868" s="11">
        <v>42104</v>
      </c>
      <c r="G868" t="s">
        <v>271</v>
      </c>
      <c r="H868" s="9">
        <v>17.98</v>
      </c>
      <c r="I868" s="7" t="s">
        <v>970</v>
      </c>
      <c r="J868" s="7">
        <v>42748.047268518516</v>
      </c>
      <c r="K868" s="3" t="s">
        <v>970</v>
      </c>
      <c r="L868" s="7">
        <v>42748.047268518516</v>
      </c>
      <c r="M868" s="3" t="s">
        <v>970</v>
      </c>
      <c r="N868" s="16" t="str">
        <f>TEXT(F868,"mm-yyyy")</f>
        <v>04-2015</v>
      </c>
    </row>
    <row r="869" spans="3:14" x14ac:dyDescent="0.25">
      <c r="C869" t="str">
        <f>IF(COUNTBLANK(E869:M869) = 9,"",IF(AND(NOT(ISBLANK(E869)),COUNTBLANK(E869:M869) = 8),"3 Delete",IF(ISBLANK(E869),"2 Add",IF(JenkinsHashRange(E869:M869) = "155841100","0 Original","1 Modify"))))</f>
        <v>0 Original</v>
      </c>
      <c r="D869" s="3" t="s">
        <v>1174</v>
      </c>
      <c r="E869" s="5">
        <v>856</v>
      </c>
      <c r="F869" s="11">
        <v>42099</v>
      </c>
      <c r="G869" t="s">
        <v>280</v>
      </c>
      <c r="H869" s="9">
        <v>21.97</v>
      </c>
      <c r="I869" s="7" t="s">
        <v>970</v>
      </c>
      <c r="J869" s="7">
        <v>42748.047268518516</v>
      </c>
      <c r="K869" s="3" t="s">
        <v>970</v>
      </c>
      <c r="L869" s="7">
        <v>42748.047268518516</v>
      </c>
      <c r="M869" s="3" t="s">
        <v>970</v>
      </c>
      <c r="N869" s="16" t="str">
        <f>TEXT(F869,"mm-yyyy")</f>
        <v>04-2015</v>
      </c>
    </row>
    <row r="870" spans="3:14" x14ac:dyDescent="0.25">
      <c r="C870" t="str">
        <f>IF(COUNTBLANK(E870:M870) = 9,"",IF(AND(NOT(ISBLANK(E870)),COUNTBLANK(E870:M870) = 8),"3 Delete",IF(ISBLANK(E870),"2 Add",IF(JenkinsHashRange(E870:M870) = "2027330973","0 Original","1 Modify"))))</f>
        <v>0 Original</v>
      </c>
      <c r="D870" s="3" t="s">
        <v>1176</v>
      </c>
      <c r="E870" s="5">
        <v>864</v>
      </c>
      <c r="F870" s="11">
        <v>42119</v>
      </c>
      <c r="G870" t="s">
        <v>118</v>
      </c>
      <c r="H870" s="9">
        <v>41.95</v>
      </c>
      <c r="I870" s="7" t="s">
        <v>970</v>
      </c>
      <c r="J870" s="7">
        <v>42748.047268518516</v>
      </c>
      <c r="K870" s="3" t="s">
        <v>970</v>
      </c>
      <c r="L870" s="7">
        <v>42748.047268518516</v>
      </c>
      <c r="M870" s="3" t="s">
        <v>970</v>
      </c>
      <c r="N870" s="16" t="str">
        <f>TEXT(F870,"mm-yyyy")</f>
        <v>04-2015</v>
      </c>
    </row>
    <row r="871" spans="3:14" x14ac:dyDescent="0.25">
      <c r="C871" t="str">
        <f>IF(COUNTBLANK(E871:M871) = 9,"",IF(AND(NOT(ISBLANK(E871)),COUNTBLANK(E871:M871) = 8),"3 Delete",IF(ISBLANK(E871),"2 Add",IF(JenkinsHashRange(E871:M871) = "1134415431","0 Original","1 Modify"))))</f>
        <v>0 Original</v>
      </c>
      <c r="D871" s="3" t="s">
        <v>1182</v>
      </c>
      <c r="E871" s="5">
        <v>884</v>
      </c>
      <c r="F871" s="11">
        <v>42115</v>
      </c>
      <c r="G871" t="s">
        <v>169</v>
      </c>
      <c r="H871" s="9">
        <v>20.97</v>
      </c>
      <c r="I871" s="7" t="s">
        <v>970</v>
      </c>
      <c r="J871" s="7">
        <v>42748.047268518516</v>
      </c>
      <c r="K871" s="3" t="s">
        <v>970</v>
      </c>
      <c r="L871" s="7">
        <v>42748.047268518516</v>
      </c>
      <c r="M871" s="3" t="s">
        <v>970</v>
      </c>
      <c r="N871" s="16" t="str">
        <f>TEXT(F871,"mm-yyyy")</f>
        <v>04-2015</v>
      </c>
    </row>
    <row r="872" spans="3:14" x14ac:dyDescent="0.25">
      <c r="C872" t="str">
        <f>IF(COUNTBLANK(E872:M872) = 9,"",IF(AND(NOT(ISBLANK(E872)),COUNTBLANK(E872:M872) = 8),"3 Delete",IF(ISBLANK(E872),"2 Add",IF(JenkinsHashRange(E872:M872) = "1658546824","0 Original","1 Modify"))))</f>
        <v>0 Original</v>
      </c>
      <c r="D872" s="3" t="s">
        <v>1196</v>
      </c>
      <c r="E872" s="5">
        <v>970</v>
      </c>
      <c r="F872" s="11">
        <v>42109</v>
      </c>
      <c r="G872" t="s">
        <v>160</v>
      </c>
      <c r="H872" s="9">
        <v>27.97</v>
      </c>
      <c r="I872" s="7" t="s">
        <v>970</v>
      </c>
      <c r="J872" s="7">
        <v>42748.047268518516</v>
      </c>
      <c r="K872" s="3" t="s">
        <v>970</v>
      </c>
      <c r="L872" s="7">
        <v>42748.047268518516</v>
      </c>
      <c r="M872" s="3" t="s">
        <v>970</v>
      </c>
      <c r="N872" s="16" t="str">
        <f>TEXT(F872,"mm-yyyy")</f>
        <v>04-2015</v>
      </c>
    </row>
    <row r="873" spans="3:14" x14ac:dyDescent="0.25">
      <c r="C873" t="str">
        <f>IF(COUNTBLANK(E873:M873) = 9,"",IF(AND(NOT(ISBLANK(E873)),COUNTBLANK(E873:M873) = 8),"3 Delete",IF(ISBLANK(E873),"2 Add",IF(JenkinsHashRange(E873:M873) = "551478004","0 Original","1 Modify"))))</f>
        <v>0 Original</v>
      </c>
      <c r="D873" s="3" t="s">
        <v>1203</v>
      </c>
      <c r="E873" s="5">
        <v>1003</v>
      </c>
      <c r="F873" s="11">
        <v>42108</v>
      </c>
      <c r="G873" t="s">
        <v>280</v>
      </c>
      <c r="H873" s="9">
        <v>16.98</v>
      </c>
      <c r="I873" s="7" t="s">
        <v>970</v>
      </c>
      <c r="J873" s="7">
        <v>42748.047268518516</v>
      </c>
      <c r="K873" s="3" t="s">
        <v>970</v>
      </c>
      <c r="L873" s="7">
        <v>42748.047268518516</v>
      </c>
      <c r="M873" s="3" t="s">
        <v>970</v>
      </c>
      <c r="N873" s="16" t="str">
        <f>TEXT(F873,"mm-yyyy")</f>
        <v>04-2015</v>
      </c>
    </row>
    <row r="874" spans="3:14" x14ac:dyDescent="0.25">
      <c r="C874" t="str">
        <f>IF(COUNTBLANK(E874:M874) = 9,"",IF(AND(NOT(ISBLANK(E874)),COUNTBLANK(E874:M874) = 8),"3 Delete",IF(ISBLANK(E874),"2 Add",IF(JenkinsHashRange(E874:M874) = "2135334909","0 Original","1 Modify"))))</f>
        <v>0 Original</v>
      </c>
      <c r="D874" s="3" t="s">
        <v>1207</v>
      </c>
      <c r="E874" s="5">
        <v>1034</v>
      </c>
      <c r="F874" s="11">
        <v>42113</v>
      </c>
      <c r="G874" t="s">
        <v>169</v>
      </c>
      <c r="H874" s="9">
        <v>11.98</v>
      </c>
      <c r="I874" s="7" t="s">
        <v>970</v>
      </c>
      <c r="J874" s="7">
        <v>42748.047268518516</v>
      </c>
      <c r="K874" s="3" t="s">
        <v>970</v>
      </c>
      <c r="L874" s="7">
        <v>42748.047268518516</v>
      </c>
      <c r="M874" s="3" t="s">
        <v>970</v>
      </c>
      <c r="N874" s="16" t="str">
        <f>TEXT(F874,"mm-yyyy")</f>
        <v>04-2015</v>
      </c>
    </row>
    <row r="875" spans="3:14" x14ac:dyDescent="0.25">
      <c r="C875" t="str">
        <f>IF(COUNTBLANK(E875:M875) = 9,"",IF(AND(NOT(ISBLANK(E875)),COUNTBLANK(E875:M875) = 8),"3 Delete",IF(ISBLANK(E875),"2 Add",IF(JenkinsHashRange(E875:M875) = "1544815436","0 Original","1 Modify"))))</f>
        <v>0 Original</v>
      </c>
      <c r="D875" s="3" t="s">
        <v>1223</v>
      </c>
      <c r="E875" s="5">
        <v>1078</v>
      </c>
      <c r="F875" s="11">
        <v>42114</v>
      </c>
      <c r="G875" t="s">
        <v>280</v>
      </c>
      <c r="H875" s="9">
        <v>17.98</v>
      </c>
      <c r="I875" s="7" t="s">
        <v>970</v>
      </c>
      <c r="J875" s="7">
        <v>42748.047268518516</v>
      </c>
      <c r="K875" s="3" t="s">
        <v>970</v>
      </c>
      <c r="L875" s="7">
        <v>42748.047268518516</v>
      </c>
      <c r="M875" s="3" t="s">
        <v>970</v>
      </c>
      <c r="N875" s="16" t="str">
        <f>TEXT(F875,"mm-yyyy")</f>
        <v>04-2015</v>
      </c>
    </row>
    <row r="876" spans="3:14" x14ac:dyDescent="0.25">
      <c r="C876" t="str">
        <f>IF(COUNTBLANK(E876:M876) = 9,"",IF(AND(NOT(ISBLANK(E876)),COUNTBLANK(E876:M876) = 8),"3 Delete",IF(ISBLANK(E876),"2 Add",IF(JenkinsHashRange(E876:M876) = "158453437","0 Original","1 Modify"))))</f>
        <v>0 Original</v>
      </c>
      <c r="D876" s="3" t="s">
        <v>1228</v>
      </c>
      <c r="E876" s="5">
        <v>1099</v>
      </c>
      <c r="F876" s="11">
        <v>42121</v>
      </c>
      <c r="G876" t="s">
        <v>76</v>
      </c>
      <c r="H876" s="9">
        <v>87.9</v>
      </c>
      <c r="I876" s="7" t="s">
        <v>970</v>
      </c>
      <c r="J876" s="7">
        <v>42748.047268518516</v>
      </c>
      <c r="K876" s="3" t="s">
        <v>970</v>
      </c>
      <c r="L876" s="7">
        <v>42748.047268518516</v>
      </c>
      <c r="M876" s="3" t="s">
        <v>970</v>
      </c>
      <c r="N876" s="16" t="str">
        <f>TEXT(F876,"mm-yyyy")</f>
        <v>04-2015</v>
      </c>
    </row>
    <row r="877" spans="3:14" x14ac:dyDescent="0.25">
      <c r="C877" t="str">
        <f>IF(COUNTBLANK(E877:M877) = 9,"",IF(AND(NOT(ISBLANK(E877)),COUNTBLANK(E877:M877) = 8),"3 Delete",IF(ISBLANK(E877),"2 Add",IF(JenkinsHashRange(E877:M877) = "1756149792","0 Original","1 Modify"))))</f>
        <v>0 Original</v>
      </c>
      <c r="D877" s="3" t="s">
        <v>1234</v>
      </c>
      <c r="E877" s="5">
        <v>1117</v>
      </c>
      <c r="F877" s="11">
        <v>42095</v>
      </c>
      <c r="G877" t="s">
        <v>118</v>
      </c>
      <c r="H877" s="9">
        <v>14.98</v>
      </c>
      <c r="I877" s="7" t="s">
        <v>970</v>
      </c>
      <c r="J877" s="7">
        <v>42748.047268518516</v>
      </c>
      <c r="K877" s="3" t="s">
        <v>970</v>
      </c>
      <c r="L877" s="7">
        <v>42748.047268518516</v>
      </c>
      <c r="M877" s="3" t="s">
        <v>970</v>
      </c>
      <c r="N877" s="16" t="str">
        <f>TEXT(F877,"mm-yyyy")</f>
        <v>04-2015</v>
      </c>
    </row>
    <row r="878" spans="3:14" x14ac:dyDescent="0.25">
      <c r="C878" t="str">
        <f>IF(COUNTBLANK(E878:M878) = 9,"",IF(AND(NOT(ISBLANK(E878)),COUNTBLANK(E878:M878) = 8),"3 Delete",IF(ISBLANK(E878),"2 Add",IF(JenkinsHashRange(E878:M878) = "932475420","0 Original","1 Modify"))))</f>
        <v>0 Original</v>
      </c>
      <c r="D878" s="3" t="s">
        <v>1247</v>
      </c>
      <c r="E878" s="5">
        <v>1191</v>
      </c>
      <c r="F878" s="11">
        <v>42111</v>
      </c>
      <c r="G878" t="s">
        <v>169</v>
      </c>
      <c r="H878" s="9">
        <v>94.88</v>
      </c>
      <c r="I878" s="7" t="s">
        <v>970</v>
      </c>
      <c r="J878" s="7">
        <v>42748.047268518516</v>
      </c>
      <c r="K878" s="3" t="s">
        <v>970</v>
      </c>
      <c r="L878" s="7">
        <v>42748.047268518516</v>
      </c>
      <c r="M878" s="3" t="s">
        <v>970</v>
      </c>
      <c r="N878" s="16" t="str">
        <f>TEXT(F878,"mm-yyyy")</f>
        <v>04-2015</v>
      </c>
    </row>
    <row r="879" spans="3:14" x14ac:dyDescent="0.25">
      <c r="C879" t="str">
        <f>IF(COUNTBLANK(E879:M879) = 9,"",IF(AND(NOT(ISBLANK(E879)),COUNTBLANK(E879:M879) = 8),"3 Delete",IF(ISBLANK(E879),"2 Add",IF(JenkinsHashRange(E879:M879) = "1699410881","0 Original","1 Modify"))))</f>
        <v>0 Original</v>
      </c>
      <c r="D879" s="3" t="s">
        <v>999</v>
      </c>
      <c r="E879" s="5">
        <v>54</v>
      </c>
      <c r="F879" s="11">
        <v>42150</v>
      </c>
      <c r="G879" t="s">
        <v>217</v>
      </c>
      <c r="H879" s="9">
        <v>44.94</v>
      </c>
      <c r="I879" s="7" t="s">
        <v>970</v>
      </c>
      <c r="J879" s="7">
        <v>42748.047268518516</v>
      </c>
      <c r="K879" s="3" t="s">
        <v>970</v>
      </c>
      <c r="L879" s="7">
        <v>42748.047268518516</v>
      </c>
      <c r="M879" s="3" t="s">
        <v>970</v>
      </c>
      <c r="N879" s="16" t="str">
        <f>TEXT(F879,"mm-yyyy")</f>
        <v>05-2015</v>
      </c>
    </row>
    <row r="880" spans="3:14" x14ac:dyDescent="0.25">
      <c r="C880" t="str">
        <f>IF(COUNTBLANK(E880:M880) = 9,"",IF(AND(NOT(ISBLANK(E880)),COUNTBLANK(E880:M880) = 8),"3 Delete",IF(ISBLANK(E880),"2 Add",IF(JenkinsHashRange(E880:M880) = "1226689005","0 Original","1 Modify"))))</f>
        <v>0 Original</v>
      </c>
      <c r="D880" s="3" t="s">
        <v>1013</v>
      </c>
      <c r="E880" s="5">
        <v>120</v>
      </c>
      <c r="F880" s="11">
        <v>42144</v>
      </c>
      <c r="G880" t="s">
        <v>352</v>
      </c>
      <c r="H880" s="9">
        <v>23.97</v>
      </c>
      <c r="I880" s="7" t="s">
        <v>970</v>
      </c>
      <c r="J880" s="7">
        <v>42748.047268518516</v>
      </c>
      <c r="K880" s="3" t="s">
        <v>970</v>
      </c>
      <c r="L880" s="7">
        <v>42748.047268518516</v>
      </c>
      <c r="M880" s="3" t="s">
        <v>970</v>
      </c>
      <c r="N880" s="16" t="str">
        <f>TEXT(F880,"mm-yyyy")</f>
        <v>05-2015</v>
      </c>
    </row>
    <row r="881" spans="3:14" x14ac:dyDescent="0.25">
      <c r="C881" t="str">
        <f>IF(COUNTBLANK(E881:M881) = 9,"",IF(AND(NOT(ISBLANK(E881)),COUNTBLANK(E881:M881) = 8),"3 Delete",IF(ISBLANK(E881),"2 Add",IF(JenkinsHashRange(E881:M881) = "1749781130","0 Original","1 Modify"))))</f>
        <v>0 Original</v>
      </c>
      <c r="D881" s="3" t="s">
        <v>1022</v>
      </c>
      <c r="E881" s="5">
        <v>189</v>
      </c>
      <c r="F881" s="11">
        <v>42136</v>
      </c>
      <c r="G881" t="s">
        <v>328</v>
      </c>
      <c r="H881" s="9">
        <v>29.96</v>
      </c>
      <c r="I881" s="7" t="s">
        <v>970</v>
      </c>
      <c r="J881" s="7">
        <v>42748.047268518516</v>
      </c>
      <c r="K881" s="3" t="s">
        <v>970</v>
      </c>
      <c r="L881" s="7">
        <v>42748.047268518516</v>
      </c>
      <c r="M881" s="3" t="s">
        <v>970</v>
      </c>
      <c r="N881" s="16" t="str">
        <f>TEXT(F881,"mm-yyyy")</f>
        <v>05-2015</v>
      </c>
    </row>
    <row r="882" spans="3:14" x14ac:dyDescent="0.25">
      <c r="C882" t="str">
        <f>IF(COUNTBLANK(E882:M882) = 9,"",IF(AND(NOT(ISBLANK(E882)),COUNTBLANK(E882:M882) = 8),"3 Delete",IF(ISBLANK(E882),"2 Add",IF(JenkinsHashRange(E882:M882) = "1278004879","0 Original","1 Modify"))))</f>
        <v>0 Original</v>
      </c>
      <c r="D882" s="3" t="s">
        <v>1024</v>
      </c>
      <c r="E882" s="5">
        <v>204</v>
      </c>
      <c r="F882" s="11">
        <v>42148</v>
      </c>
      <c r="G882" t="s">
        <v>328</v>
      </c>
      <c r="H882" s="9">
        <v>44.95</v>
      </c>
      <c r="I882" s="7" t="s">
        <v>970</v>
      </c>
      <c r="J882" s="7">
        <v>42748.047268518516</v>
      </c>
      <c r="K882" s="3" t="s">
        <v>970</v>
      </c>
      <c r="L882" s="7">
        <v>42748.047268518516</v>
      </c>
      <c r="M882" s="3" t="s">
        <v>970</v>
      </c>
      <c r="N882" s="16" t="str">
        <f>TEXT(F882,"mm-yyyy")</f>
        <v>05-2015</v>
      </c>
    </row>
    <row r="883" spans="3:14" x14ac:dyDescent="0.25">
      <c r="C883" t="str">
        <f>IF(COUNTBLANK(E883:M883) = 9,"",IF(AND(NOT(ISBLANK(E883)),COUNTBLANK(E883:M883) = 8),"3 Delete",IF(ISBLANK(E883),"2 Add",IF(JenkinsHashRange(E883:M883) = "186343970","0 Original","1 Modify"))))</f>
        <v>0 Original</v>
      </c>
      <c r="D883" s="3" t="s">
        <v>1033</v>
      </c>
      <c r="E883" s="5">
        <v>250</v>
      </c>
      <c r="F883" s="11">
        <v>42149</v>
      </c>
      <c r="G883" t="s">
        <v>253</v>
      </c>
      <c r="H883" s="9">
        <v>47.95</v>
      </c>
      <c r="I883" s="7" t="s">
        <v>970</v>
      </c>
      <c r="J883" s="7">
        <v>42748.047268518516</v>
      </c>
      <c r="K883" s="3" t="s">
        <v>970</v>
      </c>
      <c r="L883" s="7">
        <v>42748.047268518516</v>
      </c>
      <c r="M883" s="3" t="s">
        <v>970</v>
      </c>
      <c r="N883" s="16" t="str">
        <f>TEXT(F883,"mm-yyyy")</f>
        <v>05-2015</v>
      </c>
    </row>
    <row r="884" spans="3:14" x14ac:dyDescent="0.25">
      <c r="C884" t="str">
        <f>IF(COUNTBLANK(E884:M884) = 9,"",IF(AND(NOT(ISBLANK(E884)),COUNTBLANK(E884:M884) = 8),"3 Delete",IF(ISBLANK(E884),"2 Add",IF(JenkinsHashRange(E884:M884) = "1004303537","0 Original","1 Modify"))))</f>
        <v>0 Original</v>
      </c>
      <c r="D884" s="3" t="s">
        <v>1037</v>
      </c>
      <c r="E884" s="5">
        <v>262</v>
      </c>
      <c r="F884" s="11">
        <v>42138</v>
      </c>
      <c r="G884" t="s">
        <v>304</v>
      </c>
      <c r="H884" s="9">
        <v>19.97</v>
      </c>
      <c r="I884" s="7" t="s">
        <v>970</v>
      </c>
      <c r="J884" s="7">
        <v>42748.047268518516</v>
      </c>
      <c r="K884" s="3" t="s">
        <v>970</v>
      </c>
      <c r="L884" s="7">
        <v>42748.047268518516</v>
      </c>
      <c r="M884" s="3" t="s">
        <v>970</v>
      </c>
      <c r="N884" s="16" t="str">
        <f>TEXT(F884,"mm-yyyy")</f>
        <v>05-2015</v>
      </c>
    </row>
    <row r="885" spans="3:14" x14ac:dyDescent="0.25">
      <c r="C885" t="str">
        <f>IF(COUNTBLANK(E885:M885) = 9,"",IF(AND(NOT(ISBLANK(E885)),COUNTBLANK(E885:M885) = 8),"3 Delete",IF(ISBLANK(E885),"2 Add",IF(JenkinsHashRange(E885:M885) = "2119658556","0 Original","1 Modify"))))</f>
        <v>0 Original</v>
      </c>
      <c r="D885" s="3" t="s">
        <v>1038</v>
      </c>
      <c r="E885" s="5">
        <v>263</v>
      </c>
      <c r="F885" s="11">
        <v>42142</v>
      </c>
      <c r="G885" t="s">
        <v>328</v>
      </c>
      <c r="H885" s="9">
        <v>61.93</v>
      </c>
      <c r="I885" s="7" t="s">
        <v>970</v>
      </c>
      <c r="J885" s="7">
        <v>42748.047268518516</v>
      </c>
      <c r="K885" s="3" t="s">
        <v>970</v>
      </c>
      <c r="L885" s="7">
        <v>42748.047268518516</v>
      </c>
      <c r="M885" s="3" t="s">
        <v>970</v>
      </c>
      <c r="N885" s="16" t="str">
        <f>TEXT(F885,"mm-yyyy")</f>
        <v>05-2015</v>
      </c>
    </row>
    <row r="886" spans="3:14" x14ac:dyDescent="0.25">
      <c r="C886" t="str">
        <f>IF(COUNTBLANK(E886:M886) = 9,"",IF(AND(NOT(ISBLANK(E886)),COUNTBLANK(E886:M886) = 8),"3 Delete",IF(ISBLANK(E886),"2 Add",IF(JenkinsHashRange(E886:M886) = "2014247592","0 Original","1 Modify"))))</f>
        <v>0 Original</v>
      </c>
      <c r="D886" s="3" t="s">
        <v>1039</v>
      </c>
      <c r="E886" s="5">
        <v>266</v>
      </c>
      <c r="F886" s="11">
        <v>42148</v>
      </c>
      <c r="G886" t="s">
        <v>367</v>
      </c>
      <c r="H886" s="9">
        <v>25.97</v>
      </c>
      <c r="I886" s="7" t="s">
        <v>970</v>
      </c>
      <c r="J886" s="7">
        <v>42748.047268518516</v>
      </c>
      <c r="K886" s="3" t="s">
        <v>970</v>
      </c>
      <c r="L886" s="7">
        <v>42748.047268518516</v>
      </c>
      <c r="M886" s="3" t="s">
        <v>970</v>
      </c>
      <c r="N886" s="16" t="str">
        <f>TEXT(F886,"mm-yyyy")</f>
        <v>05-2015</v>
      </c>
    </row>
    <row r="887" spans="3:14" x14ac:dyDescent="0.25">
      <c r="C887" t="str">
        <f>IF(COUNTBLANK(E887:M887) = 9,"",IF(AND(NOT(ISBLANK(E887)),COUNTBLANK(E887:M887) = 8),"3 Delete",IF(ISBLANK(E887),"2 Add",IF(JenkinsHashRange(E887:M887) = "1271081444","0 Original","1 Modify"))))</f>
        <v>0 Original</v>
      </c>
      <c r="D887" s="3" t="s">
        <v>1042</v>
      </c>
      <c r="E887" s="5">
        <v>279</v>
      </c>
      <c r="F887" s="11">
        <v>42154</v>
      </c>
      <c r="G887" t="s">
        <v>271</v>
      </c>
      <c r="H887" s="9">
        <v>7.99</v>
      </c>
      <c r="I887" s="7" t="s">
        <v>970</v>
      </c>
      <c r="J887" s="7">
        <v>42748.047268518516</v>
      </c>
      <c r="K887" s="3" t="s">
        <v>970</v>
      </c>
      <c r="L887" s="7">
        <v>42748.047268518516</v>
      </c>
      <c r="M887" s="3" t="s">
        <v>970</v>
      </c>
      <c r="N887" s="16" t="str">
        <f>TEXT(F887,"mm-yyyy")</f>
        <v>05-2015</v>
      </c>
    </row>
    <row r="888" spans="3:14" x14ac:dyDescent="0.25">
      <c r="C888" t="str">
        <f>IF(COUNTBLANK(E888:M888) = 9,"",IF(AND(NOT(ISBLANK(E888)),COUNTBLANK(E888:M888) = 8),"3 Delete",IF(ISBLANK(E888),"2 Add",IF(JenkinsHashRange(E888:M888) = "1573702891","0 Original","1 Modify"))))</f>
        <v>0 Original</v>
      </c>
      <c r="D888" s="3" t="s">
        <v>1046</v>
      </c>
      <c r="E888" s="5">
        <v>297</v>
      </c>
      <c r="F888" s="11">
        <v>42142</v>
      </c>
      <c r="G888" t="s">
        <v>292</v>
      </c>
      <c r="H888" s="9">
        <v>37.950000000000003</v>
      </c>
      <c r="I888" s="7" t="s">
        <v>970</v>
      </c>
      <c r="J888" s="7">
        <v>42748.047268518516</v>
      </c>
      <c r="K888" s="3" t="s">
        <v>970</v>
      </c>
      <c r="L888" s="7">
        <v>42748.047268518516</v>
      </c>
      <c r="M888" s="3" t="s">
        <v>970</v>
      </c>
      <c r="N888" s="16" t="str">
        <f>TEXT(F888,"mm-yyyy")</f>
        <v>05-2015</v>
      </c>
    </row>
    <row r="889" spans="3:14" x14ac:dyDescent="0.25">
      <c r="C889" t="str">
        <f>IF(COUNTBLANK(E889:M889) = 9,"",IF(AND(NOT(ISBLANK(E889)),COUNTBLANK(E889:M889) = 8),"3 Delete",IF(ISBLANK(E889),"2 Add",IF(JenkinsHashRange(E889:M889) = "2014055259","0 Original","1 Modify"))))</f>
        <v>0 Original</v>
      </c>
      <c r="D889" s="3" t="s">
        <v>1050</v>
      </c>
      <c r="E889" s="5">
        <v>333</v>
      </c>
      <c r="F889" s="11">
        <v>42139</v>
      </c>
      <c r="G889" t="s">
        <v>256</v>
      </c>
      <c r="H889" s="9">
        <v>45.92</v>
      </c>
      <c r="I889" s="7" t="s">
        <v>970</v>
      </c>
      <c r="J889" s="7">
        <v>42748.047268518516</v>
      </c>
      <c r="K889" s="3" t="s">
        <v>970</v>
      </c>
      <c r="L889" s="7">
        <v>42748.047268518516</v>
      </c>
      <c r="M889" s="3" t="s">
        <v>970</v>
      </c>
      <c r="N889" s="16" t="str">
        <f>TEXT(F889,"mm-yyyy")</f>
        <v>05-2015</v>
      </c>
    </row>
    <row r="890" spans="3:14" x14ac:dyDescent="0.25">
      <c r="C890" t="str">
        <f>IF(COUNTBLANK(E890:M890) = 9,"",IF(AND(NOT(ISBLANK(E890)),COUNTBLANK(E890:M890) = 8),"3 Delete",IF(ISBLANK(E890),"2 Add",IF(JenkinsHashRange(E890:M890) = "520758769","0 Original","1 Modify"))))</f>
        <v>0 Original</v>
      </c>
      <c r="D890" s="3" t="s">
        <v>1051</v>
      </c>
      <c r="E890" s="5">
        <v>337</v>
      </c>
      <c r="F890" s="11">
        <v>42152</v>
      </c>
      <c r="G890" t="s">
        <v>220</v>
      </c>
      <c r="H890" s="9">
        <v>34.94</v>
      </c>
      <c r="I890" s="7" t="s">
        <v>970</v>
      </c>
      <c r="J890" s="7">
        <v>42748.047268518516</v>
      </c>
      <c r="K890" s="3" t="s">
        <v>970</v>
      </c>
      <c r="L890" s="7">
        <v>42748.047268518516</v>
      </c>
      <c r="M890" s="3" t="s">
        <v>970</v>
      </c>
      <c r="N890" s="16" t="str">
        <f>TEXT(F890,"mm-yyyy")</f>
        <v>05-2015</v>
      </c>
    </row>
    <row r="891" spans="3:14" x14ac:dyDescent="0.25">
      <c r="C891" t="str">
        <f>IF(COUNTBLANK(E891:M891) = 9,"",IF(AND(NOT(ISBLANK(E891)),COUNTBLANK(E891:M891) = 8),"3 Delete",IF(ISBLANK(E891),"2 Add",IF(JenkinsHashRange(E891:M891) = "256148749","0 Original","1 Modify"))))</f>
        <v>0 Original</v>
      </c>
      <c r="D891" s="3" t="s">
        <v>1059</v>
      </c>
      <c r="E891" s="5">
        <v>362</v>
      </c>
      <c r="F891" s="11">
        <v>42128</v>
      </c>
      <c r="G891" t="s">
        <v>346</v>
      </c>
      <c r="H891" s="9">
        <v>30.96</v>
      </c>
      <c r="I891" s="7" t="s">
        <v>970</v>
      </c>
      <c r="J891" s="7">
        <v>42748.047268518516</v>
      </c>
      <c r="K891" s="3" t="s">
        <v>970</v>
      </c>
      <c r="L891" s="7">
        <v>42748.047268518516</v>
      </c>
      <c r="M891" s="3" t="s">
        <v>970</v>
      </c>
      <c r="N891" s="16" t="str">
        <f>TEXT(F891,"mm-yyyy")</f>
        <v>05-2015</v>
      </c>
    </row>
    <row r="892" spans="3:14" x14ac:dyDescent="0.25">
      <c r="C892" t="str">
        <f>IF(COUNTBLANK(E892:M892) = 9,"",IF(AND(NOT(ISBLANK(E892)),COUNTBLANK(E892:M892) = 8),"3 Delete",IF(ISBLANK(E892),"2 Add",IF(JenkinsHashRange(E892:M892) = "645528469","0 Original","1 Modify"))))</f>
        <v>0 Original</v>
      </c>
      <c r="D892" s="3" t="s">
        <v>1063</v>
      </c>
      <c r="E892" s="5">
        <v>376</v>
      </c>
      <c r="F892" s="11">
        <v>42125</v>
      </c>
      <c r="G892" t="s">
        <v>91</v>
      </c>
      <c r="H892" s="9">
        <v>31.96</v>
      </c>
      <c r="I892" s="7" t="s">
        <v>970</v>
      </c>
      <c r="J892" s="7">
        <v>42748.047268518516</v>
      </c>
      <c r="K892" s="3" t="s">
        <v>970</v>
      </c>
      <c r="L892" s="7">
        <v>42748.047268518516</v>
      </c>
      <c r="M892" s="3" t="s">
        <v>970</v>
      </c>
      <c r="N892" s="16" t="str">
        <f>TEXT(F892,"mm-yyyy")</f>
        <v>05-2015</v>
      </c>
    </row>
    <row r="893" spans="3:14" x14ac:dyDescent="0.25">
      <c r="C893" t="str">
        <f>IF(COUNTBLANK(E893:M893) = 9,"",IF(AND(NOT(ISBLANK(E893)),COUNTBLANK(E893:M893) = 8),"3 Delete",IF(ISBLANK(E893),"2 Add",IF(JenkinsHashRange(E893:M893) = "2100024820","0 Original","1 Modify"))))</f>
        <v>0 Original</v>
      </c>
      <c r="D893" s="3" t="s">
        <v>1064</v>
      </c>
      <c r="E893" s="5">
        <v>377</v>
      </c>
      <c r="F893" s="11">
        <v>42135</v>
      </c>
      <c r="G893" t="s">
        <v>100</v>
      </c>
      <c r="H893" s="9">
        <v>18.97</v>
      </c>
      <c r="I893" s="7" t="s">
        <v>970</v>
      </c>
      <c r="J893" s="7">
        <v>42748.047268518516</v>
      </c>
      <c r="K893" s="3" t="s">
        <v>970</v>
      </c>
      <c r="L893" s="7">
        <v>42748.047268518516</v>
      </c>
      <c r="M893" s="3" t="s">
        <v>970</v>
      </c>
      <c r="N893" s="16" t="str">
        <f>TEXT(F893,"mm-yyyy")</f>
        <v>05-2015</v>
      </c>
    </row>
    <row r="894" spans="3:14" x14ac:dyDescent="0.25">
      <c r="C894" t="str">
        <f>IF(COUNTBLANK(E894:M894) = 9,"",IF(AND(NOT(ISBLANK(E894)),COUNTBLANK(E894:M894) = 8),"3 Delete",IF(ISBLANK(E894),"2 Add",IF(JenkinsHashRange(E894:M894) = "693649163","0 Original","1 Modify"))))</f>
        <v>0 Original</v>
      </c>
      <c r="D894" s="3" t="s">
        <v>1065</v>
      </c>
      <c r="E894" s="5">
        <v>379</v>
      </c>
      <c r="F894" s="11">
        <v>42146</v>
      </c>
      <c r="G894" t="s">
        <v>229</v>
      </c>
      <c r="H894" s="9">
        <v>20.97</v>
      </c>
      <c r="I894" s="7" t="s">
        <v>970</v>
      </c>
      <c r="J894" s="7">
        <v>42748.047268518516</v>
      </c>
      <c r="K894" s="3" t="s">
        <v>970</v>
      </c>
      <c r="L894" s="7">
        <v>42748.047268518516</v>
      </c>
      <c r="M894" s="3" t="s">
        <v>970</v>
      </c>
      <c r="N894" s="16" t="str">
        <f>TEXT(F894,"mm-yyyy")</f>
        <v>05-2015</v>
      </c>
    </row>
    <row r="895" spans="3:14" x14ac:dyDescent="0.25">
      <c r="C895" t="str">
        <f>IF(COUNTBLANK(E895:M895) = 9,"",IF(AND(NOT(ISBLANK(E895)),COUNTBLANK(E895:M895) = 8),"3 Delete",IF(ISBLANK(E895),"2 Add",IF(JenkinsHashRange(E895:M895) = "2147313506","0 Original","1 Modify"))))</f>
        <v>0 Original</v>
      </c>
      <c r="D895" s="3" t="s">
        <v>1070</v>
      </c>
      <c r="E895" s="5">
        <v>388</v>
      </c>
      <c r="F895" s="11">
        <v>42147</v>
      </c>
      <c r="G895" t="s">
        <v>163</v>
      </c>
      <c r="H895" s="9">
        <v>59.92</v>
      </c>
      <c r="I895" s="7" t="s">
        <v>970</v>
      </c>
      <c r="J895" s="7">
        <v>42748.047268518516</v>
      </c>
      <c r="K895" s="3" t="s">
        <v>970</v>
      </c>
      <c r="L895" s="7">
        <v>42748.047268518516</v>
      </c>
      <c r="M895" s="3" t="s">
        <v>970</v>
      </c>
      <c r="N895" s="16" t="str">
        <f>TEXT(F895,"mm-yyyy")</f>
        <v>05-2015</v>
      </c>
    </row>
    <row r="896" spans="3:14" x14ac:dyDescent="0.25">
      <c r="C896" t="str">
        <f>IF(COUNTBLANK(E896:M896) = 9,"",IF(AND(NOT(ISBLANK(E896)),COUNTBLANK(E896:M896) = 8),"3 Delete",IF(ISBLANK(E896),"2 Add",IF(JenkinsHashRange(E896:M896) = "1152887826","0 Original","1 Modify"))))</f>
        <v>0 Original</v>
      </c>
      <c r="D896" s="3" t="s">
        <v>1072</v>
      </c>
      <c r="E896" s="5">
        <v>394</v>
      </c>
      <c r="F896" s="11">
        <v>42146</v>
      </c>
      <c r="G896" t="s">
        <v>139</v>
      </c>
      <c r="H896" s="9">
        <v>20.97</v>
      </c>
      <c r="I896" s="7" t="s">
        <v>970</v>
      </c>
      <c r="J896" s="7">
        <v>42748.047268518516</v>
      </c>
      <c r="K896" s="3" t="s">
        <v>970</v>
      </c>
      <c r="L896" s="7">
        <v>42748.047268518516</v>
      </c>
      <c r="M896" s="3" t="s">
        <v>970</v>
      </c>
      <c r="N896" s="16" t="str">
        <f>TEXT(F896,"mm-yyyy")</f>
        <v>05-2015</v>
      </c>
    </row>
    <row r="897" spans="3:14" x14ac:dyDescent="0.25">
      <c r="C897" t="str">
        <f>IF(COUNTBLANK(E897:M897) = 9,"",IF(AND(NOT(ISBLANK(E897)),COUNTBLANK(E897:M897) = 8),"3 Delete",IF(ISBLANK(E897),"2 Add",IF(JenkinsHashRange(E897:M897) = "1289220306","0 Original","1 Modify"))))</f>
        <v>0 Original</v>
      </c>
      <c r="D897" s="3" t="s">
        <v>1076</v>
      </c>
      <c r="E897" s="5">
        <v>409</v>
      </c>
      <c r="F897" s="11">
        <v>42140</v>
      </c>
      <c r="G897" t="s">
        <v>319</v>
      </c>
      <c r="H897" s="9">
        <v>18.98</v>
      </c>
      <c r="I897" s="7" t="s">
        <v>970</v>
      </c>
      <c r="J897" s="7">
        <v>42748.047268518516</v>
      </c>
      <c r="K897" s="3" t="s">
        <v>970</v>
      </c>
      <c r="L897" s="7">
        <v>42748.047268518516</v>
      </c>
      <c r="M897" s="3" t="s">
        <v>970</v>
      </c>
      <c r="N897" s="16" t="str">
        <f>TEXT(F897,"mm-yyyy")</f>
        <v>05-2015</v>
      </c>
    </row>
    <row r="898" spans="3:14" x14ac:dyDescent="0.25">
      <c r="C898" t="str">
        <f>IF(COUNTBLANK(E898:M898) = 9,"",IF(AND(NOT(ISBLANK(E898)),COUNTBLANK(E898:M898) = 8),"3 Delete",IF(ISBLANK(E898),"2 Add",IF(JenkinsHashRange(E898:M898) = "1355179300","0 Original","1 Modify"))))</f>
        <v>0 Original</v>
      </c>
      <c r="D898" s="3" t="s">
        <v>1077</v>
      </c>
      <c r="E898" s="5">
        <v>412</v>
      </c>
      <c r="F898" s="11">
        <v>42136</v>
      </c>
      <c r="G898" t="s">
        <v>235</v>
      </c>
      <c r="H898" s="9">
        <v>34.96</v>
      </c>
      <c r="I898" s="7" t="s">
        <v>970</v>
      </c>
      <c r="J898" s="7">
        <v>42748.047268518516</v>
      </c>
      <c r="K898" s="3" t="s">
        <v>970</v>
      </c>
      <c r="L898" s="7">
        <v>42748.047268518516</v>
      </c>
      <c r="M898" s="3" t="s">
        <v>970</v>
      </c>
      <c r="N898" s="16" t="str">
        <f>TEXT(F898,"mm-yyyy")</f>
        <v>05-2015</v>
      </c>
    </row>
    <row r="899" spans="3:14" x14ac:dyDescent="0.25">
      <c r="C899" t="str">
        <f>IF(COUNTBLANK(E899:M899) = 9,"",IF(AND(NOT(ISBLANK(E899)),COUNTBLANK(E899:M899) = 8),"3 Delete",IF(ISBLANK(E899),"2 Add",IF(JenkinsHashRange(E899:M899) = "495396060","0 Original","1 Modify"))))</f>
        <v>0 Original</v>
      </c>
      <c r="D899" s="3" t="s">
        <v>1080</v>
      </c>
      <c r="E899" s="5">
        <v>426</v>
      </c>
      <c r="F899" s="11">
        <v>42129</v>
      </c>
      <c r="G899" t="s">
        <v>88</v>
      </c>
      <c r="H899" s="9">
        <v>45.95</v>
      </c>
      <c r="I899" s="7" t="s">
        <v>970</v>
      </c>
      <c r="J899" s="7">
        <v>42748.047268518516</v>
      </c>
      <c r="K899" s="3" t="s">
        <v>970</v>
      </c>
      <c r="L899" s="7">
        <v>42748.047268518516</v>
      </c>
      <c r="M899" s="3" t="s">
        <v>970</v>
      </c>
      <c r="N899" s="16" t="str">
        <f>TEXT(F899,"mm-yyyy")</f>
        <v>05-2015</v>
      </c>
    </row>
    <row r="900" spans="3:14" x14ac:dyDescent="0.25">
      <c r="C900" t="str">
        <f>IF(COUNTBLANK(E900:M900) = 9,"",IF(AND(NOT(ISBLANK(E900)),COUNTBLANK(E900:M900) = 8),"3 Delete",IF(ISBLANK(E900),"2 Add",IF(JenkinsHashRange(E900:M900) = "862057551","0 Original","1 Modify"))))</f>
        <v>0 Original</v>
      </c>
      <c r="D900" s="3" t="s">
        <v>1088</v>
      </c>
      <c r="E900" s="5">
        <v>460</v>
      </c>
      <c r="F900" s="11">
        <v>42132</v>
      </c>
      <c r="G900" t="s">
        <v>262</v>
      </c>
      <c r="H900" s="9">
        <v>8.99</v>
      </c>
      <c r="I900" s="7" t="s">
        <v>970</v>
      </c>
      <c r="J900" s="7">
        <v>42748.047268518516</v>
      </c>
      <c r="K900" s="3" t="s">
        <v>970</v>
      </c>
      <c r="L900" s="7">
        <v>42748.047268518516</v>
      </c>
      <c r="M900" s="3" t="s">
        <v>970</v>
      </c>
      <c r="N900" s="16" t="str">
        <f>TEXT(F900,"mm-yyyy")</f>
        <v>05-2015</v>
      </c>
    </row>
    <row r="901" spans="3:14" x14ac:dyDescent="0.25">
      <c r="C901" t="str">
        <f>IF(COUNTBLANK(E901:M901) = 9,"",IF(AND(NOT(ISBLANK(E901)),COUNTBLANK(E901:M901) = 8),"3 Delete",IF(ISBLANK(E901),"2 Add",IF(JenkinsHashRange(E901:M901) = "694921449","0 Original","1 Modify"))))</f>
        <v>0 Original</v>
      </c>
      <c r="D901" s="3" t="s">
        <v>1098</v>
      </c>
      <c r="E901" s="5">
        <v>535</v>
      </c>
      <c r="F901" s="11">
        <v>42142</v>
      </c>
      <c r="G901" t="s">
        <v>328</v>
      </c>
      <c r="H901" s="9">
        <v>34.96</v>
      </c>
      <c r="I901" s="7" t="s">
        <v>970</v>
      </c>
      <c r="J901" s="7">
        <v>42748.047268518516</v>
      </c>
      <c r="K901" s="3" t="s">
        <v>970</v>
      </c>
      <c r="L901" s="7">
        <v>42748.047268518516</v>
      </c>
      <c r="M901" s="3" t="s">
        <v>970</v>
      </c>
      <c r="N901" s="16" t="str">
        <f>TEXT(F901,"mm-yyyy")</f>
        <v>05-2015</v>
      </c>
    </row>
    <row r="902" spans="3:14" x14ac:dyDescent="0.25">
      <c r="C902" t="str">
        <f>IF(COUNTBLANK(E902:M902) = 9,"",IF(AND(NOT(ISBLANK(E902)),COUNTBLANK(E902:M902) = 8),"3 Delete",IF(ISBLANK(E902),"2 Add",IF(JenkinsHashRange(E902:M902) = "2111141434","0 Original","1 Modify"))))</f>
        <v>0 Original</v>
      </c>
      <c r="D902" s="3" t="s">
        <v>1101</v>
      </c>
      <c r="E902" s="5">
        <v>549</v>
      </c>
      <c r="F902" s="11">
        <v>42149</v>
      </c>
      <c r="G902" t="s">
        <v>136</v>
      </c>
      <c r="H902" s="9">
        <v>55.93</v>
      </c>
      <c r="I902" s="7" t="s">
        <v>970</v>
      </c>
      <c r="J902" s="7">
        <v>42748.047268518516</v>
      </c>
      <c r="K902" s="3" t="s">
        <v>970</v>
      </c>
      <c r="L902" s="7">
        <v>42748.047268518516</v>
      </c>
      <c r="M902" s="3" t="s">
        <v>970</v>
      </c>
      <c r="N902" s="16" t="str">
        <f>TEXT(F902,"mm-yyyy")</f>
        <v>05-2015</v>
      </c>
    </row>
    <row r="903" spans="3:14" x14ac:dyDescent="0.25">
      <c r="C903" t="str">
        <f>IF(COUNTBLANK(E903:M903) = 9,"",IF(AND(NOT(ISBLANK(E903)),COUNTBLANK(E903:M903) = 8),"3 Delete",IF(ISBLANK(E903),"2 Add",IF(JenkinsHashRange(E903:M903) = "984252951","0 Original","1 Modify"))))</f>
        <v>0 Original</v>
      </c>
      <c r="D903" s="3" t="s">
        <v>1102</v>
      </c>
      <c r="E903" s="5">
        <v>559</v>
      </c>
      <c r="F903" s="11">
        <v>42141</v>
      </c>
      <c r="G903" t="s">
        <v>112</v>
      </c>
      <c r="H903" s="9">
        <v>5.99</v>
      </c>
      <c r="I903" s="7" t="s">
        <v>970</v>
      </c>
      <c r="J903" s="7">
        <v>42748.047268518516</v>
      </c>
      <c r="K903" s="3" t="s">
        <v>970</v>
      </c>
      <c r="L903" s="7">
        <v>42748.047268518516</v>
      </c>
      <c r="M903" s="3" t="s">
        <v>970</v>
      </c>
      <c r="N903" s="16" t="str">
        <f>TEXT(F903,"mm-yyyy")</f>
        <v>05-2015</v>
      </c>
    </row>
    <row r="904" spans="3:14" x14ac:dyDescent="0.25">
      <c r="C904" t="str">
        <f>IF(COUNTBLANK(E904:M904) = 9,"",IF(AND(NOT(ISBLANK(E904)),COUNTBLANK(E904:M904) = 8),"3 Delete",IF(ISBLANK(E904),"2 Add",IF(JenkinsHashRange(E904:M904) = "1149718426","0 Original","1 Modify"))))</f>
        <v>0 Original</v>
      </c>
      <c r="D904" s="3" t="s">
        <v>1106</v>
      </c>
      <c r="E904" s="5">
        <v>579</v>
      </c>
      <c r="F904" s="11">
        <v>42140</v>
      </c>
      <c r="G904" t="s">
        <v>307</v>
      </c>
      <c r="H904" s="9">
        <v>7.99</v>
      </c>
      <c r="I904" s="7" t="s">
        <v>970</v>
      </c>
      <c r="J904" s="7">
        <v>42748.047268518516</v>
      </c>
      <c r="K904" s="3" t="s">
        <v>970</v>
      </c>
      <c r="L904" s="7">
        <v>42748.047268518516</v>
      </c>
      <c r="M904" s="3" t="s">
        <v>970</v>
      </c>
      <c r="N904" s="16" t="str">
        <f>TEXT(F904,"mm-yyyy")</f>
        <v>05-2015</v>
      </c>
    </row>
    <row r="905" spans="3:14" x14ac:dyDescent="0.25">
      <c r="C905" t="str">
        <f>IF(COUNTBLANK(E905:M905) = 9,"",IF(AND(NOT(ISBLANK(E905)),COUNTBLANK(E905:M905) = 8),"3 Delete",IF(ISBLANK(E905),"2 Add",IF(JenkinsHashRange(E905:M905) = "761726856","0 Original","1 Modify"))))</f>
        <v>0 Original</v>
      </c>
      <c r="D905" s="3" t="s">
        <v>1111</v>
      </c>
      <c r="E905" s="5">
        <v>598</v>
      </c>
      <c r="F905" s="11">
        <v>42149</v>
      </c>
      <c r="G905" t="s">
        <v>130</v>
      </c>
      <c r="H905" s="9">
        <v>19.97</v>
      </c>
      <c r="I905" s="7" t="s">
        <v>970</v>
      </c>
      <c r="J905" s="7">
        <v>42748.047268518516</v>
      </c>
      <c r="K905" s="3" t="s">
        <v>970</v>
      </c>
      <c r="L905" s="7">
        <v>42748.047268518516</v>
      </c>
      <c r="M905" s="3" t="s">
        <v>970</v>
      </c>
      <c r="N905" s="16" t="str">
        <f>TEXT(F905,"mm-yyyy")</f>
        <v>05-2015</v>
      </c>
    </row>
    <row r="906" spans="3:14" x14ac:dyDescent="0.25">
      <c r="C906" t="str">
        <f>IF(COUNTBLANK(E906:M906) = 9,"",IF(AND(NOT(ISBLANK(E906)),COUNTBLANK(E906:M906) = 8),"3 Delete",IF(ISBLANK(E906),"2 Add",IF(JenkinsHashRange(E906:M906) = "1659874344","0 Original","1 Modify"))))</f>
        <v>0 Original</v>
      </c>
      <c r="D906" s="3" t="s">
        <v>1114</v>
      </c>
      <c r="E906" s="5">
        <v>610</v>
      </c>
      <c r="F906" s="11">
        <v>42151</v>
      </c>
      <c r="G906" t="s">
        <v>94</v>
      </c>
      <c r="H906" s="9">
        <v>13.98</v>
      </c>
      <c r="I906" s="7" t="s">
        <v>970</v>
      </c>
      <c r="J906" s="7">
        <v>42748.047268518516</v>
      </c>
      <c r="K906" s="3" t="s">
        <v>970</v>
      </c>
      <c r="L906" s="7">
        <v>42748.047268518516</v>
      </c>
      <c r="M906" s="3" t="s">
        <v>970</v>
      </c>
      <c r="N906" s="16" t="str">
        <f>TEXT(F906,"mm-yyyy")</f>
        <v>05-2015</v>
      </c>
    </row>
    <row r="907" spans="3:14" x14ac:dyDescent="0.25">
      <c r="C907" t="str">
        <f>IF(COUNTBLANK(E907:M907) = 9,"",IF(AND(NOT(ISBLANK(E907)),COUNTBLANK(E907:M907) = 8),"3 Delete",IF(ISBLANK(E907),"2 Add",IF(JenkinsHashRange(E907:M907) = "1724077893","0 Original","1 Modify"))))</f>
        <v>0 Original</v>
      </c>
      <c r="D907" s="3" t="s">
        <v>1117</v>
      </c>
      <c r="E907" s="5">
        <v>625</v>
      </c>
      <c r="F907" s="11">
        <v>42133</v>
      </c>
      <c r="G907" t="s">
        <v>265</v>
      </c>
      <c r="H907" s="9">
        <v>37.950000000000003</v>
      </c>
      <c r="I907" s="7" t="s">
        <v>970</v>
      </c>
      <c r="J907" s="7">
        <v>42748.047268518516</v>
      </c>
      <c r="K907" s="3" t="s">
        <v>970</v>
      </c>
      <c r="L907" s="7">
        <v>42748.047268518516</v>
      </c>
      <c r="M907" s="3" t="s">
        <v>970</v>
      </c>
      <c r="N907" s="16" t="str">
        <f>TEXT(F907,"mm-yyyy")</f>
        <v>05-2015</v>
      </c>
    </row>
    <row r="908" spans="3:14" x14ac:dyDescent="0.25">
      <c r="C908" t="str">
        <f>IF(COUNTBLANK(E908:M908) = 9,"",IF(AND(NOT(ISBLANK(E908)),COUNTBLANK(E908:M908) = 8),"3 Delete",IF(ISBLANK(E908),"2 Add",IF(JenkinsHashRange(E908:M908) = "1950554135","0 Original","1 Modify"))))</f>
        <v>0 Original</v>
      </c>
      <c r="D908" s="3" t="s">
        <v>1119</v>
      </c>
      <c r="E908" s="5">
        <v>634</v>
      </c>
      <c r="F908" s="11">
        <v>42137</v>
      </c>
      <c r="G908" t="s">
        <v>271</v>
      </c>
      <c r="H908" s="9">
        <v>14.97</v>
      </c>
      <c r="I908" s="7" t="s">
        <v>970</v>
      </c>
      <c r="J908" s="7">
        <v>42748.047268518516</v>
      </c>
      <c r="K908" s="3" t="s">
        <v>970</v>
      </c>
      <c r="L908" s="7">
        <v>42748.047268518516</v>
      </c>
      <c r="M908" s="3" t="s">
        <v>970</v>
      </c>
      <c r="N908" s="16" t="str">
        <f>TEXT(F908,"mm-yyyy")</f>
        <v>05-2015</v>
      </c>
    </row>
    <row r="909" spans="3:14" x14ac:dyDescent="0.25">
      <c r="C909" t="str">
        <f>IF(COUNTBLANK(E909:M909) = 9,"",IF(AND(NOT(ISBLANK(E909)),COUNTBLANK(E909:M909) = 8),"3 Delete",IF(ISBLANK(E909),"2 Add",IF(JenkinsHashRange(E909:M909) = "693148146","0 Original","1 Modify"))))</f>
        <v>0 Original</v>
      </c>
      <c r="D909" s="3" t="s">
        <v>1129</v>
      </c>
      <c r="E909" s="5">
        <v>665</v>
      </c>
      <c r="F909" s="11">
        <v>42148</v>
      </c>
      <c r="G909" t="s">
        <v>328</v>
      </c>
      <c r="H909" s="9">
        <v>25.96</v>
      </c>
      <c r="I909" s="7" t="s">
        <v>970</v>
      </c>
      <c r="J909" s="7">
        <v>42748.047268518516</v>
      </c>
      <c r="K909" s="3" t="s">
        <v>970</v>
      </c>
      <c r="L909" s="7">
        <v>42748.047268518516</v>
      </c>
      <c r="M909" s="3" t="s">
        <v>970</v>
      </c>
      <c r="N909" s="16" t="str">
        <f>TEXT(F909,"mm-yyyy")</f>
        <v>05-2015</v>
      </c>
    </row>
    <row r="910" spans="3:14" x14ac:dyDescent="0.25">
      <c r="C910" t="str">
        <f>IF(COUNTBLANK(E910:M910) = 9,"",IF(AND(NOT(ISBLANK(E910)),COUNTBLANK(E910:M910) = 8),"3 Delete",IF(ISBLANK(E910),"2 Add",IF(JenkinsHashRange(E910:M910) = "91120159","0 Original","1 Modify"))))</f>
        <v>0 Original</v>
      </c>
      <c r="D910" s="3" t="s">
        <v>1134</v>
      </c>
      <c r="E910" s="5">
        <v>687</v>
      </c>
      <c r="F910" s="11">
        <v>42125</v>
      </c>
      <c r="G910" t="s">
        <v>292</v>
      </c>
      <c r="H910" s="9">
        <v>13.98</v>
      </c>
      <c r="I910" s="7" t="s">
        <v>970</v>
      </c>
      <c r="J910" s="7">
        <v>42748.047268518516</v>
      </c>
      <c r="K910" s="3" t="s">
        <v>970</v>
      </c>
      <c r="L910" s="7">
        <v>42748.047268518516</v>
      </c>
      <c r="M910" s="3" t="s">
        <v>970</v>
      </c>
      <c r="N910" s="16" t="str">
        <f>TEXT(F910,"mm-yyyy")</f>
        <v>05-2015</v>
      </c>
    </row>
    <row r="911" spans="3:14" x14ac:dyDescent="0.25">
      <c r="C911" t="str">
        <f>IF(COUNTBLANK(E911:M911) = 9,"",IF(AND(NOT(ISBLANK(E911)),COUNTBLANK(E911:M911) = 8),"3 Delete",IF(ISBLANK(E911),"2 Add",IF(JenkinsHashRange(E911:M911) = "1940264160","0 Original","1 Modify"))))</f>
        <v>0 Original</v>
      </c>
      <c r="D911" s="3" t="s">
        <v>1145</v>
      </c>
      <c r="E911" s="5">
        <v>724</v>
      </c>
      <c r="F911" s="11">
        <v>42133</v>
      </c>
      <c r="G911" t="s">
        <v>118</v>
      </c>
      <c r="H911" s="9">
        <v>7.99</v>
      </c>
      <c r="I911" s="7" t="s">
        <v>970</v>
      </c>
      <c r="J911" s="7">
        <v>42748.047268518516</v>
      </c>
      <c r="K911" s="3" t="s">
        <v>970</v>
      </c>
      <c r="L911" s="7">
        <v>42748.047268518516</v>
      </c>
      <c r="M911" s="3" t="s">
        <v>970</v>
      </c>
      <c r="N911" s="16" t="str">
        <f>TEXT(F911,"mm-yyyy")</f>
        <v>05-2015</v>
      </c>
    </row>
    <row r="912" spans="3:14" x14ac:dyDescent="0.25">
      <c r="C912" t="str">
        <f>IF(COUNTBLANK(E912:M912) = 9,"",IF(AND(NOT(ISBLANK(E912)),COUNTBLANK(E912:M912) = 8),"3 Delete",IF(ISBLANK(E912),"2 Add",IF(JenkinsHashRange(E912:M912) = "27803654","0 Original","1 Modify"))))</f>
        <v>0 Original</v>
      </c>
      <c r="D912" s="3" t="s">
        <v>1146</v>
      </c>
      <c r="E912" s="5">
        <v>725</v>
      </c>
      <c r="F912" s="11">
        <v>42130</v>
      </c>
      <c r="G912" t="s">
        <v>118</v>
      </c>
      <c r="H912" s="9">
        <v>35.950000000000003</v>
      </c>
      <c r="I912" s="7" t="s">
        <v>970</v>
      </c>
      <c r="J912" s="7">
        <v>42748.047268518516</v>
      </c>
      <c r="K912" s="3" t="s">
        <v>970</v>
      </c>
      <c r="L912" s="7">
        <v>42748.047268518516</v>
      </c>
      <c r="M912" s="3" t="s">
        <v>970</v>
      </c>
      <c r="N912" s="16" t="str">
        <f>TEXT(F912,"mm-yyyy")</f>
        <v>05-2015</v>
      </c>
    </row>
    <row r="913" spans="3:14" x14ac:dyDescent="0.25">
      <c r="C913" t="str">
        <f>IF(COUNTBLANK(E913:M913) = 9,"",IF(AND(NOT(ISBLANK(E913)),COUNTBLANK(E913:M913) = 8),"3 Delete",IF(ISBLANK(E913),"2 Add",IF(JenkinsHashRange(E913:M913) = "1678507927","0 Original","1 Modify"))))</f>
        <v>0 Original</v>
      </c>
      <c r="D913" s="3" t="s">
        <v>1149</v>
      </c>
      <c r="E913" s="5">
        <v>739</v>
      </c>
      <c r="F913" s="11">
        <v>42144</v>
      </c>
      <c r="G913" t="s">
        <v>169</v>
      </c>
      <c r="H913" s="9">
        <v>50.93</v>
      </c>
      <c r="I913" s="7" t="s">
        <v>970</v>
      </c>
      <c r="J913" s="7">
        <v>42748.047268518516</v>
      </c>
      <c r="K913" s="3" t="s">
        <v>970</v>
      </c>
      <c r="L913" s="7">
        <v>42748.047268518516</v>
      </c>
      <c r="M913" s="3" t="s">
        <v>970</v>
      </c>
      <c r="N913" s="16" t="str">
        <f>TEXT(F913,"mm-yyyy")</f>
        <v>05-2015</v>
      </c>
    </row>
    <row r="914" spans="3:14" x14ac:dyDescent="0.25">
      <c r="C914" t="str">
        <f>IF(COUNTBLANK(E914:M914) = 9,"",IF(AND(NOT(ISBLANK(E914)),COUNTBLANK(E914:M914) = 8),"3 Delete",IF(ISBLANK(E914),"2 Add",IF(JenkinsHashRange(E914:M914) = "1904504194","0 Original","1 Modify"))))</f>
        <v>0 Original</v>
      </c>
      <c r="D914" s="3" t="s">
        <v>1155</v>
      </c>
      <c r="E914" s="5">
        <v>766</v>
      </c>
      <c r="F914" s="11">
        <v>42150</v>
      </c>
      <c r="G914" t="s">
        <v>109</v>
      </c>
      <c r="H914" s="9">
        <v>50.94</v>
      </c>
      <c r="I914" s="7" t="s">
        <v>970</v>
      </c>
      <c r="J914" s="7">
        <v>42748.047268518516</v>
      </c>
      <c r="K914" s="3" t="s">
        <v>970</v>
      </c>
      <c r="L914" s="7">
        <v>42748.047268518516</v>
      </c>
      <c r="M914" s="3" t="s">
        <v>970</v>
      </c>
      <c r="N914" s="16" t="str">
        <f>TEXT(F914,"mm-yyyy")</f>
        <v>05-2015</v>
      </c>
    </row>
    <row r="915" spans="3:14" x14ac:dyDescent="0.25">
      <c r="C915" t="str">
        <f>IF(COUNTBLANK(E915:M915) = 9,"",IF(AND(NOT(ISBLANK(E915)),COUNTBLANK(E915:M915) = 8),"3 Delete",IF(ISBLANK(E915),"2 Add",IF(JenkinsHashRange(E915:M915) = "660226479","0 Original","1 Modify"))))</f>
        <v>0 Original</v>
      </c>
      <c r="D915" s="3" t="s">
        <v>1161</v>
      </c>
      <c r="E915" s="5">
        <v>788</v>
      </c>
      <c r="F915" s="11">
        <v>42134</v>
      </c>
      <c r="G915" t="s">
        <v>208</v>
      </c>
      <c r="H915" s="9">
        <v>65.930000000000007</v>
      </c>
      <c r="I915" s="7" t="s">
        <v>970</v>
      </c>
      <c r="J915" s="7">
        <v>42748.047268518516</v>
      </c>
      <c r="K915" s="3" t="s">
        <v>970</v>
      </c>
      <c r="L915" s="7">
        <v>42748.047268518516</v>
      </c>
      <c r="M915" s="3" t="s">
        <v>970</v>
      </c>
      <c r="N915" s="16" t="str">
        <f>TEXT(F915,"mm-yyyy")</f>
        <v>05-2015</v>
      </c>
    </row>
    <row r="916" spans="3:14" x14ac:dyDescent="0.25">
      <c r="C916" t="str">
        <f>IF(COUNTBLANK(E916:M916) = 9,"",IF(AND(NOT(ISBLANK(E916)),COUNTBLANK(E916:M916) = 8),"3 Delete",IF(ISBLANK(E916),"2 Add",IF(JenkinsHashRange(E916:M916) = "547893808","0 Original","1 Modify"))))</f>
        <v>0 Original</v>
      </c>
      <c r="D916" s="3" t="s">
        <v>1167</v>
      </c>
      <c r="E916" s="5">
        <v>832</v>
      </c>
      <c r="F916" s="11">
        <v>42138</v>
      </c>
      <c r="G916" t="s">
        <v>187</v>
      </c>
      <c r="H916" s="9">
        <v>42.95</v>
      </c>
      <c r="I916" s="7" t="s">
        <v>970</v>
      </c>
      <c r="J916" s="7">
        <v>42748.047268518516</v>
      </c>
      <c r="K916" s="3" t="s">
        <v>970</v>
      </c>
      <c r="L916" s="7">
        <v>42748.047268518516</v>
      </c>
      <c r="M916" s="3" t="s">
        <v>970</v>
      </c>
      <c r="N916" s="16" t="str">
        <f>TEXT(F916,"mm-yyyy")</f>
        <v>05-2015</v>
      </c>
    </row>
    <row r="917" spans="3:14" x14ac:dyDescent="0.25">
      <c r="C917" t="str">
        <f>IF(COUNTBLANK(E917:M917) = 9,"",IF(AND(NOT(ISBLANK(E917)),COUNTBLANK(E917:M917) = 8),"3 Delete",IF(ISBLANK(E917),"2 Add",IF(JenkinsHashRange(E917:M917) = "1248952641","0 Original","1 Modify"))))</f>
        <v>0 Original</v>
      </c>
      <c r="D917" s="3" t="s">
        <v>1171</v>
      </c>
      <c r="E917" s="5">
        <v>843</v>
      </c>
      <c r="F917" s="11">
        <v>42134</v>
      </c>
      <c r="G917" t="s">
        <v>109</v>
      </c>
      <c r="H917" s="9">
        <v>17.98</v>
      </c>
      <c r="I917" s="7" t="s">
        <v>970</v>
      </c>
      <c r="J917" s="7">
        <v>42748.047268518516</v>
      </c>
      <c r="K917" s="3" t="s">
        <v>970</v>
      </c>
      <c r="L917" s="7">
        <v>42748.047268518516</v>
      </c>
      <c r="M917" s="3" t="s">
        <v>970</v>
      </c>
      <c r="N917" s="16" t="str">
        <f>TEXT(F917,"mm-yyyy")</f>
        <v>05-2015</v>
      </c>
    </row>
    <row r="918" spans="3:14" x14ac:dyDescent="0.25">
      <c r="C918" t="str">
        <f>IF(COUNTBLANK(E918:M918) = 9,"",IF(AND(NOT(ISBLANK(E918)),COUNTBLANK(E918:M918) = 8),"3 Delete",IF(ISBLANK(E918),"2 Add",IF(JenkinsHashRange(E918:M918) = "374936992","0 Original","1 Modify"))))</f>
        <v>0 Original</v>
      </c>
      <c r="D918" s="3" t="s">
        <v>1175</v>
      </c>
      <c r="E918" s="5">
        <v>862</v>
      </c>
      <c r="F918" s="11">
        <v>42129</v>
      </c>
      <c r="G918" t="s">
        <v>160</v>
      </c>
      <c r="H918" s="9">
        <v>84.9</v>
      </c>
      <c r="I918" s="7" t="s">
        <v>970</v>
      </c>
      <c r="J918" s="7">
        <v>42748.047268518516</v>
      </c>
      <c r="K918" s="3" t="s">
        <v>970</v>
      </c>
      <c r="L918" s="7">
        <v>42748.047268518516</v>
      </c>
      <c r="M918" s="3" t="s">
        <v>970</v>
      </c>
      <c r="N918" s="16" t="str">
        <f>TEXT(F918,"mm-yyyy")</f>
        <v>05-2015</v>
      </c>
    </row>
    <row r="919" spans="3:14" x14ac:dyDescent="0.25">
      <c r="C919" t="str">
        <f>IF(COUNTBLANK(E919:M919) = 9,"",IF(AND(NOT(ISBLANK(E919)),COUNTBLANK(E919:M919) = 8),"3 Delete",IF(ISBLANK(E919),"2 Add",IF(JenkinsHashRange(E919:M919) = "932395860","0 Original","1 Modify"))))</f>
        <v>0 Original</v>
      </c>
      <c r="D919" s="3" t="s">
        <v>1178</v>
      </c>
      <c r="E919" s="5">
        <v>872</v>
      </c>
      <c r="F919" s="11">
        <v>42138</v>
      </c>
      <c r="G919" t="s">
        <v>169</v>
      </c>
      <c r="H919" s="9">
        <v>19.98</v>
      </c>
      <c r="I919" s="7" t="s">
        <v>970</v>
      </c>
      <c r="J919" s="7">
        <v>42748.047268518516</v>
      </c>
      <c r="K919" s="3" t="s">
        <v>970</v>
      </c>
      <c r="L919" s="7">
        <v>42748.047268518516</v>
      </c>
      <c r="M919" s="3" t="s">
        <v>970</v>
      </c>
      <c r="N919" s="16" t="str">
        <f>TEXT(F919,"mm-yyyy")</f>
        <v>05-2015</v>
      </c>
    </row>
    <row r="920" spans="3:14" x14ac:dyDescent="0.25">
      <c r="C920" t="str">
        <f>IF(COUNTBLANK(E920:M920) = 9,"",IF(AND(NOT(ISBLANK(E920)),COUNTBLANK(E920:M920) = 8),"3 Delete",IF(ISBLANK(E920),"2 Add",IF(JenkinsHashRange(E920:M920) = "2091560121","0 Original","1 Modify"))))</f>
        <v>0 Original</v>
      </c>
      <c r="D920" s="3" t="s">
        <v>1179</v>
      </c>
      <c r="E920" s="5">
        <v>873</v>
      </c>
      <c r="F920" s="11">
        <v>42145</v>
      </c>
      <c r="G920" t="s">
        <v>148</v>
      </c>
      <c r="H920" s="9">
        <v>20.97</v>
      </c>
      <c r="I920" s="7" t="s">
        <v>970</v>
      </c>
      <c r="J920" s="7">
        <v>42748.047268518516</v>
      </c>
      <c r="K920" s="3" t="s">
        <v>970</v>
      </c>
      <c r="L920" s="7">
        <v>42748.047268518516</v>
      </c>
      <c r="M920" s="3" t="s">
        <v>970</v>
      </c>
      <c r="N920" s="16" t="str">
        <f>TEXT(F920,"mm-yyyy")</f>
        <v>05-2015</v>
      </c>
    </row>
    <row r="921" spans="3:14" x14ac:dyDescent="0.25">
      <c r="C921" t="str">
        <f>IF(COUNTBLANK(E921:M921) = 9,"",IF(AND(NOT(ISBLANK(E921)),COUNTBLANK(E921:M921) = 8),"3 Delete",IF(ISBLANK(E921),"2 Add",IF(JenkinsHashRange(E921:M921) = "615440043","0 Original","1 Modify"))))</f>
        <v>0 Original</v>
      </c>
      <c r="D921" s="3" t="s">
        <v>1185</v>
      </c>
      <c r="E921" s="5">
        <v>904</v>
      </c>
      <c r="F921" s="11">
        <v>42132</v>
      </c>
      <c r="G921" t="s">
        <v>109</v>
      </c>
      <c r="H921" s="9">
        <v>34.950000000000003</v>
      </c>
      <c r="I921" s="7" t="s">
        <v>970</v>
      </c>
      <c r="J921" s="7">
        <v>42748.047268518516</v>
      </c>
      <c r="K921" s="3" t="s">
        <v>970</v>
      </c>
      <c r="L921" s="7">
        <v>42748.047268518516</v>
      </c>
      <c r="M921" s="3" t="s">
        <v>970</v>
      </c>
      <c r="N921" s="16" t="str">
        <f>TEXT(F921,"mm-yyyy")</f>
        <v>05-2015</v>
      </c>
    </row>
    <row r="922" spans="3:14" x14ac:dyDescent="0.25">
      <c r="C922" t="str">
        <f>IF(COUNTBLANK(E922:M922) = 9,"",IF(AND(NOT(ISBLANK(E922)),COUNTBLANK(E922:M922) = 8),"3 Delete",IF(ISBLANK(E922),"2 Add",IF(JenkinsHashRange(E922:M922) = "818680609","0 Original","1 Modify"))))</f>
        <v>0 Original</v>
      </c>
      <c r="D922" s="3" t="s">
        <v>1187</v>
      </c>
      <c r="E922" s="5">
        <v>916</v>
      </c>
      <c r="F922" s="11">
        <v>42151</v>
      </c>
      <c r="G922" t="s">
        <v>169</v>
      </c>
      <c r="H922" s="9">
        <v>14.98</v>
      </c>
      <c r="I922" s="7" t="s">
        <v>970</v>
      </c>
      <c r="J922" s="7">
        <v>42748.047268518516</v>
      </c>
      <c r="K922" s="3" t="s">
        <v>970</v>
      </c>
      <c r="L922" s="7">
        <v>42748.047268518516</v>
      </c>
      <c r="M922" s="3" t="s">
        <v>970</v>
      </c>
      <c r="N922" s="16" t="str">
        <f>TEXT(F922,"mm-yyyy")</f>
        <v>05-2015</v>
      </c>
    </row>
    <row r="923" spans="3:14" x14ac:dyDescent="0.25">
      <c r="C923" t="str">
        <f>IF(COUNTBLANK(E923:M923) = 9,"",IF(AND(NOT(ISBLANK(E923)),COUNTBLANK(E923:M923) = 8),"3 Delete",IF(ISBLANK(E923),"2 Add",IF(JenkinsHashRange(E923:M923) = "1493235521","0 Original","1 Modify"))))</f>
        <v>0 Original</v>
      </c>
      <c r="D923" s="3" t="s">
        <v>1188</v>
      </c>
      <c r="E923" s="5">
        <v>919</v>
      </c>
      <c r="F923" s="11">
        <v>42146</v>
      </c>
      <c r="G923" t="s">
        <v>148</v>
      </c>
      <c r="H923" s="9">
        <v>59.93</v>
      </c>
      <c r="I923" s="7" t="s">
        <v>970</v>
      </c>
      <c r="J923" s="7">
        <v>42748.047268518516</v>
      </c>
      <c r="K923" s="3" t="s">
        <v>970</v>
      </c>
      <c r="L923" s="7">
        <v>42748.047268518516</v>
      </c>
      <c r="M923" s="3" t="s">
        <v>970</v>
      </c>
      <c r="N923" s="16" t="str">
        <f>TEXT(F923,"mm-yyyy")</f>
        <v>05-2015</v>
      </c>
    </row>
    <row r="924" spans="3:14" x14ac:dyDescent="0.25">
      <c r="C924" t="str">
        <f>IF(COUNTBLANK(E924:M924) = 9,"",IF(AND(NOT(ISBLANK(E924)),COUNTBLANK(E924:M924) = 8),"3 Delete",IF(ISBLANK(E924),"2 Add",IF(JenkinsHashRange(E924:M924) = "581650851","0 Original","1 Modify"))))</f>
        <v>0 Original</v>
      </c>
      <c r="D924" s="3" t="s">
        <v>1191</v>
      </c>
      <c r="E924" s="5">
        <v>937</v>
      </c>
      <c r="F924" s="11">
        <v>42144</v>
      </c>
      <c r="G924" t="s">
        <v>187</v>
      </c>
      <c r="H924" s="9">
        <v>26.97</v>
      </c>
      <c r="I924" s="7" t="s">
        <v>970</v>
      </c>
      <c r="J924" s="7">
        <v>42748.047268518516</v>
      </c>
      <c r="K924" s="3" t="s">
        <v>970</v>
      </c>
      <c r="L924" s="7">
        <v>42748.047268518516</v>
      </c>
      <c r="M924" s="3" t="s">
        <v>970</v>
      </c>
      <c r="N924" s="16" t="str">
        <f>TEXT(F924,"mm-yyyy")</f>
        <v>05-2015</v>
      </c>
    </row>
    <row r="925" spans="3:14" x14ac:dyDescent="0.25">
      <c r="C925" t="str">
        <f>IF(COUNTBLANK(E925:M925) = 9,"",IF(AND(NOT(ISBLANK(E925)),COUNTBLANK(E925:M925) = 8),"3 Delete",IF(ISBLANK(E925),"2 Add",IF(JenkinsHashRange(E925:M925) = "1238160341","0 Original","1 Modify"))))</f>
        <v>0 Original</v>
      </c>
      <c r="D925" s="3" t="s">
        <v>1195</v>
      </c>
      <c r="E925" s="5">
        <v>967</v>
      </c>
      <c r="F925" s="11">
        <v>42153</v>
      </c>
      <c r="G925" t="s">
        <v>280</v>
      </c>
      <c r="H925" s="9">
        <v>11.98</v>
      </c>
      <c r="I925" s="7" t="s">
        <v>970</v>
      </c>
      <c r="J925" s="7">
        <v>42748.047268518516</v>
      </c>
      <c r="K925" s="3" t="s">
        <v>970</v>
      </c>
      <c r="L925" s="7">
        <v>42748.047268518516</v>
      </c>
      <c r="M925" s="3" t="s">
        <v>970</v>
      </c>
      <c r="N925" s="16" t="str">
        <f>TEXT(F925,"mm-yyyy")</f>
        <v>05-2015</v>
      </c>
    </row>
    <row r="926" spans="3:14" x14ac:dyDescent="0.25">
      <c r="C926" t="str">
        <f>IF(COUNTBLANK(E926:M926) = 9,"",IF(AND(NOT(ISBLANK(E926)),COUNTBLANK(E926:M926) = 8),"3 Delete",IF(ISBLANK(E926),"2 Add",IF(JenkinsHashRange(E926:M926) = "555504762","0 Original","1 Modify"))))</f>
        <v>0 Original</v>
      </c>
      <c r="D926" s="3" t="s">
        <v>1208</v>
      </c>
      <c r="E926" s="5">
        <v>1035</v>
      </c>
      <c r="F926" s="11">
        <v>42147</v>
      </c>
      <c r="G926" t="s">
        <v>160</v>
      </c>
      <c r="H926" s="9">
        <v>34.950000000000003</v>
      </c>
      <c r="I926" s="7" t="s">
        <v>970</v>
      </c>
      <c r="J926" s="7">
        <v>42748.047268518516</v>
      </c>
      <c r="K926" s="3" t="s">
        <v>970</v>
      </c>
      <c r="L926" s="7">
        <v>42748.047268518516</v>
      </c>
      <c r="M926" s="3" t="s">
        <v>970</v>
      </c>
      <c r="N926" s="16" t="str">
        <f>TEXT(F926,"mm-yyyy")</f>
        <v>05-2015</v>
      </c>
    </row>
    <row r="927" spans="3:14" x14ac:dyDescent="0.25">
      <c r="C927" t="str">
        <f>IF(COUNTBLANK(E927:M927) = 9,"",IF(AND(NOT(ISBLANK(E927)),COUNTBLANK(E927:M927) = 8),"3 Delete",IF(ISBLANK(E927),"2 Add",IF(JenkinsHashRange(E927:M927) = "1075952004","0 Original","1 Modify"))))</f>
        <v>0 Original</v>
      </c>
      <c r="D927" s="3" t="s">
        <v>1212</v>
      </c>
      <c r="E927" s="5">
        <v>1048</v>
      </c>
      <c r="F927" s="11">
        <v>42127</v>
      </c>
      <c r="G927" t="s">
        <v>208</v>
      </c>
      <c r="H927" s="9">
        <v>25.97</v>
      </c>
      <c r="I927" s="7" t="s">
        <v>970</v>
      </c>
      <c r="J927" s="7">
        <v>42748.047268518516</v>
      </c>
      <c r="K927" s="3" t="s">
        <v>970</v>
      </c>
      <c r="L927" s="7">
        <v>42748.047268518516</v>
      </c>
      <c r="M927" s="3" t="s">
        <v>970</v>
      </c>
      <c r="N927" s="16" t="str">
        <f>TEXT(F927,"mm-yyyy")</f>
        <v>05-2015</v>
      </c>
    </row>
    <row r="928" spans="3:14" x14ac:dyDescent="0.25">
      <c r="C928" t="str">
        <f>IF(COUNTBLANK(E928:M928) = 9,"",IF(AND(NOT(ISBLANK(E928)),COUNTBLANK(E928:M928) = 8),"3 Delete",IF(ISBLANK(E928),"2 Add",IF(JenkinsHashRange(E928:M928) = "158388259","0 Original","1 Modify"))))</f>
        <v>0 Original</v>
      </c>
      <c r="D928" s="3" t="s">
        <v>1218</v>
      </c>
      <c r="E928" s="5">
        <v>1063</v>
      </c>
      <c r="F928" s="11">
        <v>42141</v>
      </c>
      <c r="G928" t="s">
        <v>208</v>
      </c>
      <c r="H928" s="9">
        <v>29.96</v>
      </c>
      <c r="I928" s="7" t="s">
        <v>970</v>
      </c>
      <c r="J928" s="7">
        <v>42748.047268518516</v>
      </c>
      <c r="K928" s="3" t="s">
        <v>970</v>
      </c>
      <c r="L928" s="7">
        <v>42748.047268518516</v>
      </c>
      <c r="M928" s="3" t="s">
        <v>970</v>
      </c>
      <c r="N928" s="16" t="str">
        <f>TEXT(F928,"mm-yyyy")</f>
        <v>05-2015</v>
      </c>
    </row>
    <row r="929" spans="3:14" x14ac:dyDescent="0.25">
      <c r="C929" t="str">
        <f>IF(COUNTBLANK(E929:M929) = 9,"",IF(AND(NOT(ISBLANK(E929)),COUNTBLANK(E929:M929) = 8),"3 Delete",IF(ISBLANK(E929),"2 Add",IF(JenkinsHashRange(E929:M929) = "807376574","0 Original","1 Modify"))))</f>
        <v>0 Original</v>
      </c>
      <c r="D929" s="3" t="s">
        <v>1231</v>
      </c>
      <c r="E929" s="5">
        <v>1103</v>
      </c>
      <c r="F929" s="11">
        <v>42140</v>
      </c>
      <c r="G929" t="s">
        <v>148</v>
      </c>
      <c r="H929" s="9">
        <v>71.92</v>
      </c>
      <c r="I929" s="7" t="s">
        <v>970</v>
      </c>
      <c r="J929" s="7">
        <v>42748.047268518516</v>
      </c>
      <c r="K929" s="3" t="s">
        <v>970</v>
      </c>
      <c r="L929" s="7">
        <v>42748.047268518516</v>
      </c>
      <c r="M929" s="3" t="s">
        <v>970</v>
      </c>
      <c r="N929" s="16" t="str">
        <f>TEXT(F929,"mm-yyyy")</f>
        <v>05-2015</v>
      </c>
    </row>
    <row r="930" spans="3:14" x14ac:dyDescent="0.25">
      <c r="C930" t="str">
        <f>IF(COUNTBLANK(E930:M930) = 9,"",IF(AND(NOT(ISBLANK(E930)),COUNTBLANK(E930:M930) = 8),"3 Delete",IF(ISBLANK(E930),"2 Add",IF(JenkinsHashRange(E930:M930) = "1891546322","0 Original","1 Modify"))))</f>
        <v>0 Original</v>
      </c>
      <c r="D930" s="3" t="s">
        <v>1235</v>
      </c>
      <c r="E930" s="5">
        <v>1118</v>
      </c>
      <c r="F930" s="11">
        <v>42139</v>
      </c>
      <c r="G930" t="s">
        <v>76</v>
      </c>
      <c r="H930" s="9">
        <v>15.98</v>
      </c>
      <c r="I930" s="7" t="s">
        <v>970</v>
      </c>
      <c r="J930" s="7">
        <v>42748.047268518516</v>
      </c>
      <c r="K930" s="3" t="s">
        <v>970</v>
      </c>
      <c r="L930" s="7">
        <v>42748.047268518516</v>
      </c>
      <c r="M930" s="3" t="s">
        <v>970</v>
      </c>
      <c r="N930" s="16" t="str">
        <f>TEXT(F930,"mm-yyyy")</f>
        <v>05-2015</v>
      </c>
    </row>
    <row r="931" spans="3:14" x14ac:dyDescent="0.25">
      <c r="C931" t="str">
        <f>IF(COUNTBLANK(E931:M931) = 9,"",IF(AND(NOT(ISBLANK(E931)),COUNTBLANK(E931:M931) = 8),"3 Delete",IF(ISBLANK(E931),"2 Add",IF(JenkinsHashRange(E931:M931) = "683083228","0 Original","1 Modify"))))</f>
        <v>0 Original</v>
      </c>
      <c r="D931" s="3" t="s">
        <v>1237</v>
      </c>
      <c r="E931" s="5">
        <v>1148</v>
      </c>
      <c r="F931" s="11">
        <v>42136</v>
      </c>
      <c r="G931" t="s">
        <v>187</v>
      </c>
      <c r="H931" s="9">
        <v>23.97</v>
      </c>
      <c r="I931" s="7" t="s">
        <v>970</v>
      </c>
      <c r="J931" s="7">
        <v>42748.047268518516</v>
      </c>
      <c r="K931" s="3" t="s">
        <v>970</v>
      </c>
      <c r="L931" s="7">
        <v>42748.047268518516</v>
      </c>
      <c r="M931" s="3" t="s">
        <v>970</v>
      </c>
      <c r="N931" s="16" t="str">
        <f>TEXT(F931,"mm-yyyy")</f>
        <v>05-2015</v>
      </c>
    </row>
    <row r="932" spans="3:14" x14ac:dyDescent="0.25">
      <c r="C932" t="str">
        <f>IF(COUNTBLANK(E932:M932) = 9,"",IF(AND(NOT(ISBLANK(E932)),COUNTBLANK(E932:M932) = 8),"3 Delete",IF(ISBLANK(E932),"2 Add",IF(JenkinsHashRange(E932:M932) = "1920691865","0 Original","1 Modify"))))</f>
        <v>0 Original</v>
      </c>
      <c r="D932" s="3" t="s">
        <v>1246</v>
      </c>
      <c r="E932" s="5">
        <v>1180</v>
      </c>
      <c r="F932" s="11">
        <v>42144</v>
      </c>
      <c r="G932" t="s">
        <v>280</v>
      </c>
      <c r="H932" s="9">
        <v>14.98</v>
      </c>
      <c r="I932" s="7" t="s">
        <v>970</v>
      </c>
      <c r="J932" s="7">
        <v>42748.047268518516</v>
      </c>
      <c r="K932" s="3" t="s">
        <v>970</v>
      </c>
      <c r="L932" s="7">
        <v>42748.047268518516</v>
      </c>
      <c r="M932" s="3" t="s">
        <v>970</v>
      </c>
      <c r="N932" s="16" t="str">
        <f>TEXT(F932,"mm-yyyy")</f>
        <v>05-2015</v>
      </c>
    </row>
    <row r="933" spans="3:14" x14ac:dyDescent="0.25">
      <c r="C933" t="str">
        <f>IF(COUNTBLANK(E933:M933) = 9,"",IF(AND(NOT(ISBLANK(E933)),COUNTBLANK(E933:M933) = 8),"3 Delete",IF(ISBLANK(E933),"2 Add",IF(JenkinsHashRange(E933:M933) = "638307332","0 Original","1 Modify"))))</f>
        <v>0 Original</v>
      </c>
      <c r="D933" s="3" t="s">
        <v>1092</v>
      </c>
      <c r="E933" s="5">
        <v>486</v>
      </c>
      <c r="F933" s="11">
        <v>42156</v>
      </c>
      <c r="G933" t="s">
        <v>175</v>
      </c>
      <c r="H933" s="9">
        <v>33.96</v>
      </c>
      <c r="I933" s="7" t="s">
        <v>970</v>
      </c>
      <c r="J933" s="7">
        <v>42748.047268518516</v>
      </c>
      <c r="K933" s="3" t="s">
        <v>970</v>
      </c>
      <c r="L933" s="7">
        <v>42748.047268518516</v>
      </c>
      <c r="M933" s="3" t="s">
        <v>970</v>
      </c>
      <c r="N933" s="16" t="str">
        <f>TEXT(F933,"mm-yyyy")</f>
        <v>06-2015</v>
      </c>
    </row>
  </sheetData>
  <autoFilter ref="C1:N933">
    <filterColumn colId="11">
      <filters>
        <filter val="01-2015"/>
        <filter val="02-2015"/>
        <filter val="03-2015"/>
        <filter val="04-2015"/>
        <filter val="05-2015"/>
        <filter val="06-2015"/>
      </filters>
    </filterColumn>
    <sortState ref="C2:N933">
      <sortCondition ref="N1"/>
    </sortState>
  </autoFilter>
  <conditionalFormatting sqref="C2">
    <cfRule type="cellIs" dxfId="3356" priority="1" stopIfTrue="1" operator="equal">
      <formula>"1 Modify"</formula>
    </cfRule>
    <cfRule type="cellIs" dxfId="3355" priority="2" stopIfTrue="1" operator="equal">
      <formula>"2 Add"</formula>
    </cfRule>
    <cfRule type="cellIs" dxfId="3354" priority="3" stopIfTrue="1" operator="equal">
      <formula>"3 Delete"</formula>
    </cfRule>
  </conditionalFormatting>
  <conditionalFormatting sqref="C3">
    <cfRule type="cellIs" dxfId="3353" priority="4" stopIfTrue="1" operator="equal">
      <formula>"1 Modify"</formula>
    </cfRule>
    <cfRule type="cellIs" dxfId="3352" priority="5" stopIfTrue="1" operator="equal">
      <formula>"2 Add"</formula>
    </cfRule>
    <cfRule type="cellIs" dxfId="3351" priority="6" stopIfTrue="1" operator="equal">
      <formula>"3 Delete"</formula>
    </cfRule>
  </conditionalFormatting>
  <conditionalFormatting sqref="C4">
    <cfRule type="cellIs" dxfId="3350" priority="7" stopIfTrue="1" operator="equal">
      <formula>"1 Modify"</formula>
    </cfRule>
    <cfRule type="cellIs" dxfId="3349" priority="8" stopIfTrue="1" operator="equal">
      <formula>"2 Add"</formula>
    </cfRule>
    <cfRule type="cellIs" dxfId="3348" priority="9" stopIfTrue="1" operator="equal">
      <formula>"3 Delete"</formula>
    </cfRule>
  </conditionalFormatting>
  <conditionalFormatting sqref="C5">
    <cfRule type="cellIs" dxfId="3347" priority="10" stopIfTrue="1" operator="equal">
      <formula>"1 Modify"</formula>
    </cfRule>
    <cfRule type="cellIs" dxfId="3346" priority="11" stopIfTrue="1" operator="equal">
      <formula>"2 Add"</formula>
    </cfRule>
    <cfRule type="cellIs" dxfId="3345" priority="12" stopIfTrue="1" operator="equal">
      <formula>"3 Delete"</formula>
    </cfRule>
  </conditionalFormatting>
  <conditionalFormatting sqref="C6">
    <cfRule type="cellIs" dxfId="3344" priority="13" stopIfTrue="1" operator="equal">
      <formula>"1 Modify"</formula>
    </cfRule>
    <cfRule type="cellIs" dxfId="3343" priority="14" stopIfTrue="1" operator="equal">
      <formula>"2 Add"</formula>
    </cfRule>
    <cfRule type="cellIs" dxfId="3342" priority="15" stopIfTrue="1" operator="equal">
      <formula>"3 Delete"</formula>
    </cfRule>
  </conditionalFormatting>
  <conditionalFormatting sqref="C7">
    <cfRule type="cellIs" dxfId="3341" priority="16" stopIfTrue="1" operator="equal">
      <formula>"1 Modify"</formula>
    </cfRule>
    <cfRule type="cellIs" dxfId="3340" priority="17" stopIfTrue="1" operator="equal">
      <formula>"2 Add"</formula>
    </cfRule>
    <cfRule type="cellIs" dxfId="3339" priority="18" stopIfTrue="1" operator="equal">
      <formula>"3 Delete"</formula>
    </cfRule>
  </conditionalFormatting>
  <conditionalFormatting sqref="C8">
    <cfRule type="cellIs" dxfId="3338" priority="19" stopIfTrue="1" operator="equal">
      <formula>"1 Modify"</formula>
    </cfRule>
    <cfRule type="cellIs" dxfId="3337" priority="20" stopIfTrue="1" operator="equal">
      <formula>"2 Add"</formula>
    </cfRule>
    <cfRule type="cellIs" dxfId="3336" priority="21" stopIfTrue="1" operator="equal">
      <formula>"3 Delete"</formula>
    </cfRule>
  </conditionalFormatting>
  <conditionalFormatting sqref="C9">
    <cfRule type="cellIs" dxfId="3335" priority="22" stopIfTrue="1" operator="equal">
      <formula>"1 Modify"</formula>
    </cfRule>
    <cfRule type="cellIs" dxfId="3334" priority="23" stopIfTrue="1" operator="equal">
      <formula>"2 Add"</formula>
    </cfRule>
    <cfRule type="cellIs" dxfId="3333" priority="24" stopIfTrue="1" operator="equal">
      <formula>"3 Delete"</formula>
    </cfRule>
  </conditionalFormatting>
  <conditionalFormatting sqref="C10">
    <cfRule type="cellIs" dxfId="3332" priority="25" stopIfTrue="1" operator="equal">
      <formula>"1 Modify"</formula>
    </cfRule>
    <cfRule type="cellIs" dxfId="3331" priority="26" stopIfTrue="1" operator="equal">
      <formula>"2 Add"</formula>
    </cfRule>
    <cfRule type="cellIs" dxfId="3330" priority="27" stopIfTrue="1" operator="equal">
      <formula>"3 Delete"</formula>
    </cfRule>
  </conditionalFormatting>
  <conditionalFormatting sqref="C11">
    <cfRule type="cellIs" dxfId="3329" priority="28" stopIfTrue="1" operator="equal">
      <formula>"1 Modify"</formula>
    </cfRule>
    <cfRule type="cellIs" dxfId="3328" priority="29" stopIfTrue="1" operator="equal">
      <formula>"2 Add"</formula>
    </cfRule>
    <cfRule type="cellIs" dxfId="3327" priority="30" stopIfTrue="1" operator="equal">
      <formula>"3 Delete"</formula>
    </cfRule>
  </conditionalFormatting>
  <conditionalFormatting sqref="C12">
    <cfRule type="cellIs" dxfId="3326" priority="31" stopIfTrue="1" operator="equal">
      <formula>"1 Modify"</formula>
    </cfRule>
    <cfRule type="cellIs" dxfId="3325" priority="32" stopIfTrue="1" operator="equal">
      <formula>"2 Add"</formula>
    </cfRule>
    <cfRule type="cellIs" dxfId="3324" priority="33" stopIfTrue="1" operator="equal">
      <formula>"3 Delete"</formula>
    </cfRule>
  </conditionalFormatting>
  <conditionalFormatting sqref="C13">
    <cfRule type="cellIs" dxfId="3323" priority="34" stopIfTrue="1" operator="equal">
      <formula>"1 Modify"</formula>
    </cfRule>
    <cfRule type="cellIs" dxfId="3322" priority="35" stopIfTrue="1" operator="equal">
      <formula>"2 Add"</formula>
    </cfRule>
    <cfRule type="cellIs" dxfId="3321" priority="36" stopIfTrue="1" operator="equal">
      <formula>"3 Delete"</formula>
    </cfRule>
  </conditionalFormatting>
  <conditionalFormatting sqref="C14">
    <cfRule type="cellIs" dxfId="3320" priority="37" stopIfTrue="1" operator="equal">
      <formula>"1 Modify"</formula>
    </cfRule>
    <cfRule type="cellIs" dxfId="3319" priority="38" stopIfTrue="1" operator="equal">
      <formula>"2 Add"</formula>
    </cfRule>
    <cfRule type="cellIs" dxfId="3318" priority="39" stopIfTrue="1" operator="equal">
      <formula>"3 Delete"</formula>
    </cfRule>
  </conditionalFormatting>
  <conditionalFormatting sqref="C15">
    <cfRule type="cellIs" dxfId="3317" priority="40" stopIfTrue="1" operator="equal">
      <formula>"1 Modify"</formula>
    </cfRule>
    <cfRule type="cellIs" dxfId="3316" priority="41" stopIfTrue="1" operator="equal">
      <formula>"2 Add"</formula>
    </cfRule>
    <cfRule type="cellIs" dxfId="3315" priority="42" stopIfTrue="1" operator="equal">
      <formula>"3 Delete"</formula>
    </cfRule>
  </conditionalFormatting>
  <conditionalFormatting sqref="C16">
    <cfRule type="cellIs" dxfId="3314" priority="43" stopIfTrue="1" operator="equal">
      <formula>"1 Modify"</formula>
    </cfRule>
    <cfRule type="cellIs" dxfId="3313" priority="44" stopIfTrue="1" operator="equal">
      <formula>"2 Add"</formula>
    </cfRule>
    <cfRule type="cellIs" dxfId="3312" priority="45" stopIfTrue="1" operator="equal">
      <formula>"3 Delete"</formula>
    </cfRule>
  </conditionalFormatting>
  <conditionalFormatting sqref="C17">
    <cfRule type="cellIs" dxfId="3311" priority="46" stopIfTrue="1" operator="equal">
      <formula>"1 Modify"</formula>
    </cfRule>
    <cfRule type="cellIs" dxfId="3310" priority="47" stopIfTrue="1" operator="equal">
      <formula>"2 Add"</formula>
    </cfRule>
    <cfRule type="cellIs" dxfId="3309" priority="48" stopIfTrue="1" operator="equal">
      <formula>"3 Delete"</formula>
    </cfRule>
  </conditionalFormatting>
  <conditionalFormatting sqref="C18">
    <cfRule type="cellIs" dxfId="3308" priority="49" stopIfTrue="1" operator="equal">
      <formula>"1 Modify"</formula>
    </cfRule>
    <cfRule type="cellIs" dxfId="3307" priority="50" stopIfTrue="1" operator="equal">
      <formula>"2 Add"</formula>
    </cfRule>
    <cfRule type="cellIs" dxfId="3306" priority="51" stopIfTrue="1" operator="equal">
      <formula>"3 Delete"</formula>
    </cfRule>
  </conditionalFormatting>
  <conditionalFormatting sqref="C19">
    <cfRule type="cellIs" dxfId="3305" priority="52" stopIfTrue="1" operator="equal">
      <formula>"1 Modify"</formula>
    </cfRule>
    <cfRule type="cellIs" dxfId="3304" priority="53" stopIfTrue="1" operator="equal">
      <formula>"2 Add"</formula>
    </cfRule>
    <cfRule type="cellIs" dxfId="3303" priority="54" stopIfTrue="1" operator="equal">
      <formula>"3 Delete"</formula>
    </cfRule>
  </conditionalFormatting>
  <conditionalFormatting sqref="C20">
    <cfRule type="cellIs" dxfId="3302" priority="55" stopIfTrue="1" operator="equal">
      <formula>"1 Modify"</formula>
    </cfRule>
    <cfRule type="cellIs" dxfId="3301" priority="56" stopIfTrue="1" operator="equal">
      <formula>"2 Add"</formula>
    </cfRule>
    <cfRule type="cellIs" dxfId="3300" priority="57" stopIfTrue="1" operator="equal">
      <formula>"3 Delete"</formula>
    </cfRule>
  </conditionalFormatting>
  <conditionalFormatting sqref="C21">
    <cfRule type="cellIs" dxfId="3299" priority="58" stopIfTrue="1" operator="equal">
      <formula>"1 Modify"</formula>
    </cfRule>
    <cfRule type="cellIs" dxfId="3298" priority="59" stopIfTrue="1" operator="equal">
      <formula>"2 Add"</formula>
    </cfRule>
    <cfRule type="cellIs" dxfId="3297" priority="60" stopIfTrue="1" operator="equal">
      <formula>"3 Delete"</formula>
    </cfRule>
  </conditionalFormatting>
  <conditionalFormatting sqref="C22">
    <cfRule type="cellIs" dxfId="3296" priority="61" stopIfTrue="1" operator="equal">
      <formula>"1 Modify"</formula>
    </cfRule>
  </conditionalFormatting>
  <conditionalFormatting sqref="C22">
    <cfRule type="cellIs" dxfId="3295" priority="62" stopIfTrue="1" operator="equal">
      <formula>"2 Add"</formula>
    </cfRule>
  </conditionalFormatting>
  <conditionalFormatting sqref="C22">
    <cfRule type="cellIs" dxfId="3294" priority="63" stopIfTrue="1" operator="equal">
      <formula>"3 Delete"</formula>
    </cfRule>
  </conditionalFormatting>
  <conditionalFormatting sqref="C23">
    <cfRule type="cellIs" dxfId="3293" priority="64" stopIfTrue="1" operator="equal">
      <formula>"1 Modify"</formula>
    </cfRule>
  </conditionalFormatting>
  <conditionalFormatting sqref="C23">
    <cfRule type="cellIs" dxfId="3292" priority="65" stopIfTrue="1" operator="equal">
      <formula>"2 Add"</formula>
    </cfRule>
  </conditionalFormatting>
  <conditionalFormatting sqref="C23">
    <cfRule type="cellIs" dxfId="3291" priority="66" stopIfTrue="1" operator="equal">
      <formula>"3 Delete"</formula>
    </cfRule>
  </conditionalFormatting>
  <conditionalFormatting sqref="C24">
    <cfRule type="cellIs" dxfId="3290" priority="67" stopIfTrue="1" operator="equal">
      <formula>"1 Modify"</formula>
    </cfRule>
  </conditionalFormatting>
  <conditionalFormatting sqref="C24">
    <cfRule type="cellIs" dxfId="3289" priority="68" stopIfTrue="1" operator="equal">
      <formula>"2 Add"</formula>
    </cfRule>
  </conditionalFormatting>
  <conditionalFormatting sqref="C24">
    <cfRule type="cellIs" dxfId="3288" priority="69" stopIfTrue="1" operator="equal">
      <formula>"3 Delete"</formula>
    </cfRule>
  </conditionalFormatting>
  <conditionalFormatting sqref="C25">
    <cfRule type="cellIs" dxfId="3287" priority="70" stopIfTrue="1" operator="equal">
      <formula>"1 Modify"</formula>
    </cfRule>
  </conditionalFormatting>
  <conditionalFormatting sqref="C25">
    <cfRule type="cellIs" dxfId="3286" priority="71" stopIfTrue="1" operator="equal">
      <formula>"2 Add"</formula>
    </cfRule>
  </conditionalFormatting>
  <conditionalFormatting sqref="C25">
    <cfRule type="cellIs" dxfId="3285" priority="72" stopIfTrue="1" operator="equal">
      <formula>"3 Delete"</formula>
    </cfRule>
  </conditionalFormatting>
  <conditionalFormatting sqref="C26">
    <cfRule type="cellIs" dxfId="3284" priority="73" stopIfTrue="1" operator="equal">
      <formula>"1 Modify"</formula>
    </cfRule>
  </conditionalFormatting>
  <conditionalFormatting sqref="C26">
    <cfRule type="cellIs" dxfId="3283" priority="74" stopIfTrue="1" operator="equal">
      <formula>"2 Add"</formula>
    </cfRule>
  </conditionalFormatting>
  <conditionalFormatting sqref="C26">
    <cfRule type="cellIs" dxfId="3282" priority="75" stopIfTrue="1" operator="equal">
      <formula>"3 Delete"</formula>
    </cfRule>
  </conditionalFormatting>
  <conditionalFormatting sqref="C27">
    <cfRule type="cellIs" dxfId="3281" priority="76" stopIfTrue="1" operator="equal">
      <formula>"1 Modify"</formula>
    </cfRule>
  </conditionalFormatting>
  <conditionalFormatting sqref="C27">
    <cfRule type="cellIs" dxfId="3280" priority="77" stopIfTrue="1" operator="equal">
      <formula>"2 Add"</formula>
    </cfRule>
  </conditionalFormatting>
  <conditionalFormatting sqref="C27">
    <cfRule type="cellIs" dxfId="3279" priority="78" stopIfTrue="1" operator="equal">
      <formula>"3 Delete"</formula>
    </cfRule>
  </conditionalFormatting>
  <conditionalFormatting sqref="C28">
    <cfRule type="cellIs" dxfId="3278" priority="79" stopIfTrue="1" operator="equal">
      <formula>"1 Modify"</formula>
    </cfRule>
  </conditionalFormatting>
  <conditionalFormatting sqref="C28">
    <cfRule type="cellIs" dxfId="3277" priority="80" stopIfTrue="1" operator="equal">
      <formula>"2 Add"</formula>
    </cfRule>
  </conditionalFormatting>
  <conditionalFormatting sqref="C28">
    <cfRule type="cellIs" dxfId="3276" priority="81" stopIfTrue="1" operator="equal">
      <formula>"3 Delete"</formula>
    </cfRule>
  </conditionalFormatting>
  <conditionalFormatting sqref="C29">
    <cfRule type="cellIs" dxfId="3275" priority="82" stopIfTrue="1" operator="equal">
      <formula>"1 Modify"</formula>
    </cfRule>
  </conditionalFormatting>
  <conditionalFormatting sqref="C29">
    <cfRule type="cellIs" dxfId="3274" priority="83" stopIfTrue="1" operator="equal">
      <formula>"2 Add"</formula>
    </cfRule>
  </conditionalFormatting>
  <conditionalFormatting sqref="C29">
    <cfRule type="cellIs" dxfId="3273" priority="84" stopIfTrue="1" operator="equal">
      <formula>"3 Delete"</formula>
    </cfRule>
  </conditionalFormatting>
  <conditionalFormatting sqref="C30">
    <cfRule type="cellIs" dxfId="3272" priority="85" stopIfTrue="1" operator="equal">
      <formula>"1 Modify"</formula>
    </cfRule>
  </conditionalFormatting>
  <conditionalFormatting sqref="C30">
    <cfRule type="cellIs" dxfId="3271" priority="86" stopIfTrue="1" operator="equal">
      <formula>"2 Add"</formula>
    </cfRule>
  </conditionalFormatting>
  <conditionalFormatting sqref="C30">
    <cfRule type="cellIs" dxfId="3270" priority="87" stopIfTrue="1" operator="equal">
      <formula>"3 Delete"</formula>
    </cfRule>
  </conditionalFormatting>
  <conditionalFormatting sqref="C31">
    <cfRule type="cellIs" dxfId="3269" priority="88" stopIfTrue="1" operator="equal">
      <formula>"1 Modify"</formula>
    </cfRule>
  </conditionalFormatting>
  <conditionalFormatting sqref="C31">
    <cfRule type="cellIs" dxfId="3268" priority="89" stopIfTrue="1" operator="equal">
      <formula>"2 Add"</formula>
    </cfRule>
  </conditionalFormatting>
  <conditionalFormatting sqref="C31">
    <cfRule type="cellIs" dxfId="3267" priority="90" stopIfTrue="1" operator="equal">
      <formula>"3 Delete"</formula>
    </cfRule>
  </conditionalFormatting>
  <conditionalFormatting sqref="C32">
    <cfRule type="cellIs" dxfId="3266" priority="91" stopIfTrue="1" operator="equal">
      <formula>"1 Modify"</formula>
    </cfRule>
  </conditionalFormatting>
  <conditionalFormatting sqref="C32">
    <cfRule type="cellIs" dxfId="3265" priority="92" stopIfTrue="1" operator="equal">
      <formula>"2 Add"</formula>
    </cfRule>
  </conditionalFormatting>
  <conditionalFormatting sqref="C32">
    <cfRule type="cellIs" dxfId="3264" priority="93" stopIfTrue="1" operator="equal">
      <formula>"3 Delete"</formula>
    </cfRule>
  </conditionalFormatting>
  <conditionalFormatting sqref="C33">
    <cfRule type="cellIs" dxfId="3263" priority="94" stopIfTrue="1" operator="equal">
      <formula>"1 Modify"</formula>
    </cfRule>
  </conditionalFormatting>
  <conditionalFormatting sqref="C33">
    <cfRule type="cellIs" dxfId="3262" priority="95" stopIfTrue="1" operator="equal">
      <formula>"2 Add"</formula>
    </cfRule>
  </conditionalFormatting>
  <conditionalFormatting sqref="C33">
    <cfRule type="cellIs" dxfId="3261" priority="96" stopIfTrue="1" operator="equal">
      <formula>"3 Delete"</formula>
    </cfRule>
  </conditionalFormatting>
  <conditionalFormatting sqref="C34">
    <cfRule type="cellIs" dxfId="3260" priority="97" stopIfTrue="1" operator="equal">
      <formula>"1 Modify"</formula>
    </cfRule>
  </conditionalFormatting>
  <conditionalFormatting sqref="C34">
    <cfRule type="cellIs" dxfId="3259" priority="98" stopIfTrue="1" operator="equal">
      <formula>"2 Add"</formula>
    </cfRule>
  </conditionalFormatting>
  <conditionalFormatting sqref="C34">
    <cfRule type="cellIs" dxfId="3258" priority="99" stopIfTrue="1" operator="equal">
      <formula>"3 Delete"</formula>
    </cfRule>
  </conditionalFormatting>
  <conditionalFormatting sqref="C35">
    <cfRule type="cellIs" dxfId="3257" priority="100" stopIfTrue="1" operator="equal">
      <formula>"1 Modify"</formula>
    </cfRule>
  </conditionalFormatting>
  <conditionalFormatting sqref="C35">
    <cfRule type="cellIs" dxfId="3256" priority="101" stopIfTrue="1" operator="equal">
      <formula>"2 Add"</formula>
    </cfRule>
  </conditionalFormatting>
  <conditionalFormatting sqref="C35">
    <cfRule type="cellIs" dxfId="3255" priority="102" stopIfTrue="1" operator="equal">
      <formula>"3 Delete"</formula>
    </cfRule>
  </conditionalFormatting>
  <conditionalFormatting sqref="C36">
    <cfRule type="cellIs" dxfId="3254" priority="103" stopIfTrue="1" operator="equal">
      <formula>"1 Modify"</formula>
    </cfRule>
  </conditionalFormatting>
  <conditionalFormatting sqref="C36">
    <cfRule type="cellIs" dxfId="3253" priority="104" stopIfTrue="1" operator="equal">
      <formula>"2 Add"</formula>
    </cfRule>
  </conditionalFormatting>
  <conditionalFormatting sqref="C36">
    <cfRule type="cellIs" dxfId="3252" priority="105" stopIfTrue="1" operator="equal">
      <formula>"3 Delete"</formula>
    </cfRule>
  </conditionalFormatting>
  <conditionalFormatting sqref="C37">
    <cfRule type="cellIs" dxfId="3251" priority="106" stopIfTrue="1" operator="equal">
      <formula>"1 Modify"</formula>
    </cfRule>
  </conditionalFormatting>
  <conditionalFormatting sqref="C37">
    <cfRule type="cellIs" dxfId="3250" priority="107" stopIfTrue="1" operator="equal">
      <formula>"2 Add"</formula>
    </cfRule>
  </conditionalFormatting>
  <conditionalFormatting sqref="C37">
    <cfRule type="cellIs" dxfId="3249" priority="108" stopIfTrue="1" operator="equal">
      <formula>"3 Delete"</formula>
    </cfRule>
  </conditionalFormatting>
  <conditionalFormatting sqref="C38">
    <cfRule type="cellIs" dxfId="3248" priority="109" stopIfTrue="1" operator="equal">
      <formula>"1 Modify"</formula>
    </cfRule>
  </conditionalFormatting>
  <conditionalFormatting sqref="C38">
    <cfRule type="cellIs" dxfId="3247" priority="110" stopIfTrue="1" operator="equal">
      <formula>"2 Add"</formula>
    </cfRule>
  </conditionalFormatting>
  <conditionalFormatting sqref="C38">
    <cfRule type="cellIs" dxfId="3246" priority="111" stopIfTrue="1" operator="equal">
      <formula>"3 Delete"</formula>
    </cfRule>
  </conditionalFormatting>
  <conditionalFormatting sqref="C39">
    <cfRule type="cellIs" dxfId="3245" priority="112" stopIfTrue="1" operator="equal">
      <formula>"1 Modify"</formula>
    </cfRule>
  </conditionalFormatting>
  <conditionalFormatting sqref="C39">
    <cfRule type="cellIs" dxfId="3244" priority="113" stopIfTrue="1" operator="equal">
      <formula>"2 Add"</formula>
    </cfRule>
  </conditionalFormatting>
  <conditionalFormatting sqref="C39">
    <cfRule type="cellIs" dxfId="3243" priority="114" stopIfTrue="1" operator="equal">
      <formula>"3 Delete"</formula>
    </cfRule>
  </conditionalFormatting>
  <conditionalFormatting sqref="C40">
    <cfRule type="cellIs" dxfId="3242" priority="115" stopIfTrue="1" operator="equal">
      <formula>"1 Modify"</formula>
    </cfRule>
  </conditionalFormatting>
  <conditionalFormatting sqref="C40">
    <cfRule type="cellIs" dxfId="3241" priority="116" stopIfTrue="1" operator="equal">
      <formula>"2 Add"</formula>
    </cfRule>
  </conditionalFormatting>
  <conditionalFormatting sqref="C40">
    <cfRule type="cellIs" dxfId="3240" priority="117" stopIfTrue="1" operator="equal">
      <formula>"3 Delete"</formula>
    </cfRule>
  </conditionalFormatting>
  <conditionalFormatting sqref="C41">
    <cfRule type="cellIs" dxfId="3239" priority="118" stopIfTrue="1" operator="equal">
      <formula>"1 Modify"</formula>
    </cfRule>
  </conditionalFormatting>
  <conditionalFormatting sqref="C41">
    <cfRule type="cellIs" dxfId="3238" priority="119" stopIfTrue="1" operator="equal">
      <formula>"2 Add"</formula>
    </cfRule>
  </conditionalFormatting>
  <conditionalFormatting sqref="C41">
    <cfRule type="cellIs" dxfId="3237" priority="120" stopIfTrue="1" operator="equal">
      <formula>"3 Delete"</formula>
    </cfRule>
  </conditionalFormatting>
  <conditionalFormatting sqref="C42">
    <cfRule type="cellIs" dxfId="3236" priority="121" stopIfTrue="1" operator="equal">
      <formula>"1 Modify"</formula>
    </cfRule>
  </conditionalFormatting>
  <conditionalFormatting sqref="C42">
    <cfRule type="cellIs" dxfId="3235" priority="122" stopIfTrue="1" operator="equal">
      <formula>"2 Add"</formula>
    </cfRule>
  </conditionalFormatting>
  <conditionalFormatting sqref="C42">
    <cfRule type="cellIs" dxfId="3234" priority="123" stopIfTrue="1" operator="equal">
      <formula>"3 Delete"</formula>
    </cfRule>
  </conditionalFormatting>
  <conditionalFormatting sqref="C43">
    <cfRule type="cellIs" dxfId="3233" priority="124" stopIfTrue="1" operator="equal">
      <formula>"1 Modify"</formula>
    </cfRule>
  </conditionalFormatting>
  <conditionalFormatting sqref="C43">
    <cfRule type="cellIs" dxfId="3232" priority="125" stopIfTrue="1" operator="equal">
      <formula>"2 Add"</formula>
    </cfRule>
  </conditionalFormatting>
  <conditionalFormatting sqref="C43">
    <cfRule type="cellIs" dxfId="3231" priority="126" stopIfTrue="1" operator="equal">
      <formula>"3 Delete"</formula>
    </cfRule>
  </conditionalFormatting>
  <conditionalFormatting sqref="C44">
    <cfRule type="cellIs" dxfId="3230" priority="127" stopIfTrue="1" operator="equal">
      <formula>"1 Modify"</formula>
    </cfRule>
  </conditionalFormatting>
  <conditionalFormatting sqref="C44">
    <cfRule type="cellIs" dxfId="3229" priority="128" stopIfTrue="1" operator="equal">
      <formula>"2 Add"</formula>
    </cfRule>
  </conditionalFormatting>
  <conditionalFormatting sqref="C44">
    <cfRule type="cellIs" dxfId="3228" priority="129" stopIfTrue="1" operator="equal">
      <formula>"3 Delete"</formula>
    </cfRule>
  </conditionalFormatting>
  <conditionalFormatting sqref="C45">
    <cfRule type="cellIs" dxfId="3227" priority="130" stopIfTrue="1" operator="equal">
      <formula>"1 Modify"</formula>
    </cfRule>
  </conditionalFormatting>
  <conditionalFormatting sqref="C45">
    <cfRule type="cellIs" dxfId="3226" priority="131" stopIfTrue="1" operator="equal">
      <formula>"2 Add"</formula>
    </cfRule>
  </conditionalFormatting>
  <conditionalFormatting sqref="C45">
    <cfRule type="cellIs" dxfId="3225" priority="132" stopIfTrue="1" operator="equal">
      <formula>"3 Delete"</formula>
    </cfRule>
  </conditionalFormatting>
  <conditionalFormatting sqref="C46">
    <cfRule type="cellIs" dxfId="3224" priority="133" stopIfTrue="1" operator="equal">
      <formula>"1 Modify"</formula>
    </cfRule>
  </conditionalFormatting>
  <conditionalFormatting sqref="C46">
    <cfRule type="cellIs" dxfId="3223" priority="134" stopIfTrue="1" operator="equal">
      <formula>"2 Add"</formula>
    </cfRule>
  </conditionalFormatting>
  <conditionalFormatting sqref="C46">
    <cfRule type="cellIs" dxfId="3222" priority="135" stopIfTrue="1" operator="equal">
      <formula>"3 Delete"</formula>
    </cfRule>
  </conditionalFormatting>
  <conditionalFormatting sqref="C47">
    <cfRule type="cellIs" dxfId="3221" priority="136" stopIfTrue="1" operator="equal">
      <formula>"1 Modify"</formula>
    </cfRule>
  </conditionalFormatting>
  <conditionalFormatting sqref="C47">
    <cfRule type="cellIs" dxfId="3220" priority="137" stopIfTrue="1" operator="equal">
      <formula>"2 Add"</formula>
    </cfRule>
  </conditionalFormatting>
  <conditionalFormatting sqref="C47">
    <cfRule type="cellIs" dxfId="3219" priority="138" stopIfTrue="1" operator="equal">
      <formula>"3 Delete"</formula>
    </cfRule>
  </conditionalFormatting>
  <conditionalFormatting sqref="C48">
    <cfRule type="cellIs" dxfId="3218" priority="139" stopIfTrue="1" operator="equal">
      <formula>"1 Modify"</formula>
    </cfRule>
  </conditionalFormatting>
  <conditionalFormatting sqref="C48">
    <cfRule type="cellIs" dxfId="3217" priority="140" stopIfTrue="1" operator="equal">
      <formula>"2 Add"</formula>
    </cfRule>
  </conditionalFormatting>
  <conditionalFormatting sqref="C48">
    <cfRule type="cellIs" dxfId="3216" priority="141" stopIfTrue="1" operator="equal">
      <formula>"3 Delete"</formula>
    </cfRule>
  </conditionalFormatting>
  <conditionalFormatting sqref="C49">
    <cfRule type="cellIs" dxfId="3215" priority="142" stopIfTrue="1" operator="equal">
      <formula>"1 Modify"</formula>
    </cfRule>
  </conditionalFormatting>
  <conditionalFormatting sqref="C49">
    <cfRule type="cellIs" dxfId="3214" priority="143" stopIfTrue="1" operator="equal">
      <formula>"2 Add"</formula>
    </cfRule>
  </conditionalFormatting>
  <conditionalFormatting sqref="C49">
    <cfRule type="cellIs" dxfId="3213" priority="144" stopIfTrue="1" operator="equal">
      <formula>"3 Delete"</formula>
    </cfRule>
  </conditionalFormatting>
  <conditionalFormatting sqref="C50">
    <cfRule type="cellIs" dxfId="3212" priority="145" stopIfTrue="1" operator="equal">
      <formula>"1 Modify"</formula>
    </cfRule>
  </conditionalFormatting>
  <conditionalFormatting sqref="C50">
    <cfRule type="cellIs" dxfId="3211" priority="146" stopIfTrue="1" operator="equal">
      <formula>"2 Add"</formula>
    </cfRule>
  </conditionalFormatting>
  <conditionalFormatting sqref="C50">
    <cfRule type="cellIs" dxfId="3210" priority="147" stopIfTrue="1" operator="equal">
      <formula>"3 Delete"</formula>
    </cfRule>
  </conditionalFormatting>
  <conditionalFormatting sqref="C51">
    <cfRule type="cellIs" dxfId="3209" priority="148" stopIfTrue="1" operator="equal">
      <formula>"1 Modify"</formula>
    </cfRule>
  </conditionalFormatting>
  <conditionalFormatting sqref="C51">
    <cfRule type="cellIs" dxfId="3208" priority="149" stopIfTrue="1" operator="equal">
      <formula>"2 Add"</formula>
    </cfRule>
  </conditionalFormatting>
  <conditionalFormatting sqref="C51">
    <cfRule type="cellIs" dxfId="3207" priority="150" stopIfTrue="1" operator="equal">
      <formula>"3 Delete"</formula>
    </cfRule>
  </conditionalFormatting>
  <conditionalFormatting sqref="C52">
    <cfRule type="cellIs" dxfId="3206" priority="151" stopIfTrue="1" operator="equal">
      <formula>"1 Modify"</formula>
    </cfRule>
  </conditionalFormatting>
  <conditionalFormatting sqref="C52">
    <cfRule type="cellIs" dxfId="3205" priority="152" stopIfTrue="1" operator="equal">
      <formula>"2 Add"</formula>
    </cfRule>
  </conditionalFormatting>
  <conditionalFormatting sqref="C52">
    <cfRule type="cellIs" dxfId="3204" priority="153" stopIfTrue="1" operator="equal">
      <formula>"3 Delete"</formula>
    </cfRule>
  </conditionalFormatting>
  <conditionalFormatting sqref="C53">
    <cfRule type="cellIs" dxfId="3203" priority="154" stopIfTrue="1" operator="equal">
      <formula>"1 Modify"</formula>
    </cfRule>
  </conditionalFormatting>
  <conditionalFormatting sqref="C53">
    <cfRule type="cellIs" dxfId="3202" priority="155" stopIfTrue="1" operator="equal">
      <formula>"2 Add"</formula>
    </cfRule>
  </conditionalFormatting>
  <conditionalFormatting sqref="C53">
    <cfRule type="cellIs" dxfId="3201" priority="156" stopIfTrue="1" operator="equal">
      <formula>"3 Delete"</formula>
    </cfRule>
  </conditionalFormatting>
  <conditionalFormatting sqref="C54">
    <cfRule type="cellIs" dxfId="3200" priority="157" stopIfTrue="1" operator="equal">
      <formula>"1 Modify"</formula>
    </cfRule>
  </conditionalFormatting>
  <conditionalFormatting sqref="C54">
    <cfRule type="cellIs" dxfId="3199" priority="158" stopIfTrue="1" operator="equal">
      <formula>"2 Add"</formula>
    </cfRule>
  </conditionalFormatting>
  <conditionalFormatting sqref="C54">
    <cfRule type="cellIs" dxfId="3198" priority="159" stopIfTrue="1" operator="equal">
      <formula>"3 Delete"</formula>
    </cfRule>
  </conditionalFormatting>
  <conditionalFormatting sqref="C55">
    <cfRule type="cellIs" dxfId="3197" priority="160" stopIfTrue="1" operator="equal">
      <formula>"1 Modify"</formula>
    </cfRule>
  </conditionalFormatting>
  <conditionalFormatting sqref="C55">
    <cfRule type="cellIs" dxfId="3196" priority="161" stopIfTrue="1" operator="equal">
      <formula>"2 Add"</formula>
    </cfRule>
  </conditionalFormatting>
  <conditionalFormatting sqref="C55">
    <cfRule type="cellIs" dxfId="3195" priority="162" stopIfTrue="1" operator="equal">
      <formula>"3 Delete"</formula>
    </cfRule>
  </conditionalFormatting>
  <conditionalFormatting sqref="C56">
    <cfRule type="cellIs" dxfId="3194" priority="163" stopIfTrue="1" operator="equal">
      <formula>"1 Modify"</formula>
    </cfRule>
  </conditionalFormatting>
  <conditionalFormatting sqref="C56">
    <cfRule type="cellIs" dxfId="3193" priority="164" stopIfTrue="1" operator="equal">
      <formula>"2 Add"</formula>
    </cfRule>
  </conditionalFormatting>
  <conditionalFormatting sqref="C56">
    <cfRule type="cellIs" dxfId="3192" priority="165" stopIfTrue="1" operator="equal">
      <formula>"3 Delete"</formula>
    </cfRule>
  </conditionalFormatting>
  <conditionalFormatting sqref="C57">
    <cfRule type="cellIs" dxfId="3191" priority="166" stopIfTrue="1" operator="equal">
      <formula>"1 Modify"</formula>
    </cfRule>
  </conditionalFormatting>
  <conditionalFormatting sqref="C57">
    <cfRule type="cellIs" dxfId="3190" priority="167" stopIfTrue="1" operator="equal">
      <formula>"2 Add"</formula>
    </cfRule>
  </conditionalFormatting>
  <conditionalFormatting sqref="C57">
    <cfRule type="cellIs" dxfId="3189" priority="168" stopIfTrue="1" operator="equal">
      <formula>"3 Delete"</formula>
    </cfRule>
  </conditionalFormatting>
  <conditionalFormatting sqref="C58">
    <cfRule type="cellIs" dxfId="3188" priority="169" stopIfTrue="1" operator="equal">
      <formula>"1 Modify"</formula>
    </cfRule>
  </conditionalFormatting>
  <conditionalFormatting sqref="C58">
    <cfRule type="cellIs" dxfId="3187" priority="170" stopIfTrue="1" operator="equal">
      <formula>"2 Add"</formula>
    </cfRule>
  </conditionalFormatting>
  <conditionalFormatting sqref="C58">
    <cfRule type="cellIs" dxfId="3186" priority="171" stopIfTrue="1" operator="equal">
      <formula>"3 Delete"</formula>
    </cfRule>
  </conditionalFormatting>
  <conditionalFormatting sqref="C59">
    <cfRule type="cellIs" dxfId="3185" priority="172" stopIfTrue="1" operator="equal">
      <formula>"1 Modify"</formula>
    </cfRule>
  </conditionalFormatting>
  <conditionalFormatting sqref="C59">
    <cfRule type="cellIs" dxfId="3184" priority="173" stopIfTrue="1" operator="equal">
      <formula>"2 Add"</formula>
    </cfRule>
  </conditionalFormatting>
  <conditionalFormatting sqref="C59">
    <cfRule type="cellIs" dxfId="3183" priority="174" stopIfTrue="1" operator="equal">
      <formula>"3 Delete"</formula>
    </cfRule>
  </conditionalFormatting>
  <conditionalFormatting sqref="C60">
    <cfRule type="cellIs" dxfId="3182" priority="175" stopIfTrue="1" operator="equal">
      <formula>"1 Modify"</formula>
    </cfRule>
  </conditionalFormatting>
  <conditionalFormatting sqref="C60">
    <cfRule type="cellIs" dxfId="3181" priority="176" stopIfTrue="1" operator="equal">
      <formula>"2 Add"</formula>
    </cfRule>
  </conditionalFormatting>
  <conditionalFormatting sqref="C60">
    <cfRule type="cellIs" dxfId="3180" priority="177" stopIfTrue="1" operator="equal">
      <formula>"3 Delete"</formula>
    </cfRule>
  </conditionalFormatting>
  <conditionalFormatting sqref="C61">
    <cfRule type="cellIs" dxfId="3179" priority="178" stopIfTrue="1" operator="equal">
      <formula>"1 Modify"</formula>
    </cfRule>
  </conditionalFormatting>
  <conditionalFormatting sqref="C61">
    <cfRule type="cellIs" dxfId="3178" priority="179" stopIfTrue="1" operator="equal">
      <formula>"2 Add"</formula>
    </cfRule>
  </conditionalFormatting>
  <conditionalFormatting sqref="C61">
    <cfRule type="cellIs" dxfId="3177" priority="180" stopIfTrue="1" operator="equal">
      <formula>"3 Delete"</formula>
    </cfRule>
  </conditionalFormatting>
  <conditionalFormatting sqref="C62">
    <cfRule type="cellIs" dxfId="3176" priority="181" stopIfTrue="1" operator="equal">
      <formula>"1 Modify"</formula>
    </cfRule>
  </conditionalFormatting>
  <conditionalFormatting sqref="C62">
    <cfRule type="cellIs" dxfId="3175" priority="182" stopIfTrue="1" operator="equal">
      <formula>"2 Add"</formula>
    </cfRule>
  </conditionalFormatting>
  <conditionalFormatting sqref="C62">
    <cfRule type="cellIs" dxfId="3174" priority="183" stopIfTrue="1" operator="equal">
      <formula>"3 Delete"</formula>
    </cfRule>
  </conditionalFormatting>
  <conditionalFormatting sqref="C63">
    <cfRule type="cellIs" dxfId="3173" priority="184" stopIfTrue="1" operator="equal">
      <formula>"1 Modify"</formula>
    </cfRule>
  </conditionalFormatting>
  <conditionalFormatting sqref="C63">
    <cfRule type="cellIs" dxfId="3172" priority="185" stopIfTrue="1" operator="equal">
      <formula>"2 Add"</formula>
    </cfRule>
  </conditionalFormatting>
  <conditionalFormatting sqref="C63">
    <cfRule type="cellIs" dxfId="3171" priority="186" stopIfTrue="1" operator="equal">
      <formula>"3 Delete"</formula>
    </cfRule>
  </conditionalFormatting>
  <conditionalFormatting sqref="C64">
    <cfRule type="cellIs" dxfId="3170" priority="187" stopIfTrue="1" operator="equal">
      <formula>"1 Modify"</formula>
    </cfRule>
  </conditionalFormatting>
  <conditionalFormatting sqref="C64">
    <cfRule type="cellIs" dxfId="3169" priority="188" stopIfTrue="1" operator="equal">
      <formula>"2 Add"</formula>
    </cfRule>
  </conditionalFormatting>
  <conditionalFormatting sqref="C64">
    <cfRule type="cellIs" dxfId="3168" priority="189" stopIfTrue="1" operator="equal">
      <formula>"3 Delete"</formula>
    </cfRule>
  </conditionalFormatting>
  <conditionalFormatting sqref="C65">
    <cfRule type="cellIs" dxfId="3167" priority="190" stopIfTrue="1" operator="equal">
      <formula>"1 Modify"</formula>
    </cfRule>
  </conditionalFormatting>
  <conditionalFormatting sqref="C65">
    <cfRule type="cellIs" dxfId="3166" priority="191" stopIfTrue="1" operator="equal">
      <formula>"2 Add"</formula>
    </cfRule>
  </conditionalFormatting>
  <conditionalFormatting sqref="C65">
    <cfRule type="cellIs" dxfId="3165" priority="192" stopIfTrue="1" operator="equal">
      <formula>"3 Delete"</formula>
    </cfRule>
  </conditionalFormatting>
  <conditionalFormatting sqref="C66">
    <cfRule type="cellIs" dxfId="3164" priority="193" stopIfTrue="1" operator="equal">
      <formula>"1 Modify"</formula>
    </cfRule>
  </conditionalFormatting>
  <conditionalFormatting sqref="C66">
    <cfRule type="cellIs" dxfId="3163" priority="194" stopIfTrue="1" operator="equal">
      <formula>"2 Add"</formula>
    </cfRule>
  </conditionalFormatting>
  <conditionalFormatting sqref="C66">
    <cfRule type="cellIs" dxfId="3162" priority="195" stopIfTrue="1" operator="equal">
      <formula>"3 Delete"</formula>
    </cfRule>
  </conditionalFormatting>
  <conditionalFormatting sqref="C67">
    <cfRule type="cellIs" dxfId="3161" priority="196" stopIfTrue="1" operator="equal">
      <formula>"1 Modify"</formula>
    </cfRule>
  </conditionalFormatting>
  <conditionalFormatting sqref="C67">
    <cfRule type="cellIs" dxfId="3160" priority="197" stopIfTrue="1" operator="equal">
      <formula>"2 Add"</formula>
    </cfRule>
  </conditionalFormatting>
  <conditionalFormatting sqref="C67">
    <cfRule type="cellIs" dxfId="3159" priority="198" stopIfTrue="1" operator="equal">
      <formula>"3 Delete"</formula>
    </cfRule>
  </conditionalFormatting>
  <conditionalFormatting sqref="C68">
    <cfRule type="cellIs" dxfId="3158" priority="199" stopIfTrue="1" operator="equal">
      <formula>"1 Modify"</formula>
    </cfRule>
  </conditionalFormatting>
  <conditionalFormatting sqref="C68">
    <cfRule type="cellIs" dxfId="3157" priority="200" stopIfTrue="1" operator="equal">
      <formula>"2 Add"</formula>
    </cfRule>
  </conditionalFormatting>
  <conditionalFormatting sqref="C68">
    <cfRule type="cellIs" dxfId="3156" priority="201" stopIfTrue="1" operator="equal">
      <formula>"3 Delete"</formula>
    </cfRule>
  </conditionalFormatting>
  <conditionalFormatting sqref="C69">
    <cfRule type="cellIs" dxfId="3155" priority="202" stopIfTrue="1" operator="equal">
      <formula>"1 Modify"</formula>
    </cfRule>
  </conditionalFormatting>
  <conditionalFormatting sqref="C69">
    <cfRule type="cellIs" dxfId="3154" priority="203" stopIfTrue="1" operator="equal">
      <formula>"2 Add"</formula>
    </cfRule>
  </conditionalFormatting>
  <conditionalFormatting sqref="C69">
    <cfRule type="cellIs" dxfId="3153" priority="204" stopIfTrue="1" operator="equal">
      <formula>"3 Delete"</formula>
    </cfRule>
  </conditionalFormatting>
  <conditionalFormatting sqref="C70">
    <cfRule type="cellIs" dxfId="3152" priority="205" stopIfTrue="1" operator="equal">
      <formula>"1 Modify"</formula>
    </cfRule>
  </conditionalFormatting>
  <conditionalFormatting sqref="C70">
    <cfRule type="cellIs" dxfId="3151" priority="206" stopIfTrue="1" operator="equal">
      <formula>"2 Add"</formula>
    </cfRule>
  </conditionalFormatting>
  <conditionalFormatting sqref="C70">
    <cfRule type="cellIs" dxfId="3150" priority="207" stopIfTrue="1" operator="equal">
      <formula>"3 Delete"</formula>
    </cfRule>
  </conditionalFormatting>
  <conditionalFormatting sqref="C71">
    <cfRule type="cellIs" dxfId="3149" priority="208" stopIfTrue="1" operator="equal">
      <formula>"1 Modify"</formula>
    </cfRule>
  </conditionalFormatting>
  <conditionalFormatting sqref="C71">
    <cfRule type="cellIs" dxfId="3148" priority="209" stopIfTrue="1" operator="equal">
      <formula>"2 Add"</formula>
    </cfRule>
  </conditionalFormatting>
  <conditionalFormatting sqref="C71">
    <cfRule type="cellIs" dxfId="3147" priority="210" stopIfTrue="1" operator="equal">
      <formula>"3 Delete"</formula>
    </cfRule>
  </conditionalFormatting>
  <conditionalFormatting sqref="C72">
    <cfRule type="cellIs" dxfId="3146" priority="211" stopIfTrue="1" operator="equal">
      <formula>"1 Modify"</formula>
    </cfRule>
  </conditionalFormatting>
  <conditionalFormatting sqref="C72">
    <cfRule type="cellIs" dxfId="3145" priority="212" stopIfTrue="1" operator="equal">
      <formula>"2 Add"</formula>
    </cfRule>
  </conditionalFormatting>
  <conditionalFormatting sqref="C72">
    <cfRule type="cellIs" dxfId="3144" priority="213" stopIfTrue="1" operator="equal">
      <formula>"3 Delete"</formula>
    </cfRule>
  </conditionalFormatting>
  <conditionalFormatting sqref="C73">
    <cfRule type="cellIs" dxfId="3143" priority="214" stopIfTrue="1" operator="equal">
      <formula>"1 Modify"</formula>
    </cfRule>
  </conditionalFormatting>
  <conditionalFormatting sqref="C73">
    <cfRule type="cellIs" dxfId="3142" priority="215" stopIfTrue="1" operator="equal">
      <formula>"2 Add"</formula>
    </cfRule>
  </conditionalFormatting>
  <conditionalFormatting sqref="C73">
    <cfRule type="cellIs" dxfId="3141" priority="216" stopIfTrue="1" operator="equal">
      <formula>"3 Delete"</formula>
    </cfRule>
  </conditionalFormatting>
  <conditionalFormatting sqref="C74">
    <cfRule type="cellIs" dxfId="3140" priority="217" stopIfTrue="1" operator="equal">
      <formula>"1 Modify"</formula>
    </cfRule>
  </conditionalFormatting>
  <conditionalFormatting sqref="C74">
    <cfRule type="cellIs" dxfId="3139" priority="218" stopIfTrue="1" operator="equal">
      <formula>"2 Add"</formula>
    </cfRule>
  </conditionalFormatting>
  <conditionalFormatting sqref="C74">
    <cfRule type="cellIs" dxfId="3138" priority="219" stopIfTrue="1" operator="equal">
      <formula>"3 Delete"</formula>
    </cfRule>
  </conditionalFormatting>
  <conditionalFormatting sqref="C75">
    <cfRule type="cellIs" dxfId="3137" priority="220" stopIfTrue="1" operator="equal">
      <formula>"1 Modify"</formula>
    </cfRule>
  </conditionalFormatting>
  <conditionalFormatting sqref="C75">
    <cfRule type="cellIs" dxfId="3136" priority="221" stopIfTrue="1" operator="equal">
      <formula>"2 Add"</formula>
    </cfRule>
  </conditionalFormatting>
  <conditionalFormatting sqref="C75">
    <cfRule type="cellIs" dxfId="3135" priority="222" stopIfTrue="1" operator="equal">
      <formula>"3 Delete"</formula>
    </cfRule>
  </conditionalFormatting>
  <conditionalFormatting sqref="C76">
    <cfRule type="cellIs" dxfId="3134" priority="223" stopIfTrue="1" operator="equal">
      <formula>"1 Modify"</formula>
    </cfRule>
  </conditionalFormatting>
  <conditionalFormatting sqref="C76">
    <cfRule type="cellIs" dxfId="3133" priority="224" stopIfTrue="1" operator="equal">
      <formula>"2 Add"</formula>
    </cfRule>
  </conditionalFormatting>
  <conditionalFormatting sqref="C76">
    <cfRule type="cellIs" dxfId="3132" priority="225" stopIfTrue="1" operator="equal">
      <formula>"3 Delete"</formula>
    </cfRule>
  </conditionalFormatting>
  <conditionalFormatting sqref="C77">
    <cfRule type="cellIs" dxfId="3131" priority="226" stopIfTrue="1" operator="equal">
      <formula>"1 Modify"</formula>
    </cfRule>
  </conditionalFormatting>
  <conditionalFormatting sqref="C77">
    <cfRule type="cellIs" dxfId="3130" priority="227" stopIfTrue="1" operator="equal">
      <formula>"2 Add"</formula>
    </cfRule>
  </conditionalFormatting>
  <conditionalFormatting sqref="C77">
    <cfRule type="cellIs" dxfId="3129" priority="228" stopIfTrue="1" operator="equal">
      <formula>"3 Delete"</formula>
    </cfRule>
  </conditionalFormatting>
  <conditionalFormatting sqref="C78">
    <cfRule type="cellIs" dxfId="3128" priority="229" stopIfTrue="1" operator="equal">
      <formula>"1 Modify"</formula>
    </cfRule>
  </conditionalFormatting>
  <conditionalFormatting sqref="C78">
    <cfRule type="cellIs" dxfId="3127" priority="230" stopIfTrue="1" operator="equal">
      <formula>"2 Add"</formula>
    </cfRule>
  </conditionalFormatting>
  <conditionalFormatting sqref="C78">
    <cfRule type="cellIs" dxfId="3126" priority="231" stopIfTrue="1" operator="equal">
      <formula>"3 Delete"</formula>
    </cfRule>
  </conditionalFormatting>
  <conditionalFormatting sqref="C79">
    <cfRule type="cellIs" dxfId="3125" priority="232" stopIfTrue="1" operator="equal">
      <formula>"1 Modify"</formula>
    </cfRule>
  </conditionalFormatting>
  <conditionalFormatting sqref="C79">
    <cfRule type="cellIs" dxfId="3124" priority="233" stopIfTrue="1" operator="equal">
      <formula>"2 Add"</formula>
    </cfRule>
  </conditionalFormatting>
  <conditionalFormatting sqref="C79">
    <cfRule type="cellIs" dxfId="3123" priority="234" stopIfTrue="1" operator="equal">
      <formula>"3 Delete"</formula>
    </cfRule>
  </conditionalFormatting>
  <conditionalFormatting sqref="C80">
    <cfRule type="cellIs" dxfId="3122" priority="235" stopIfTrue="1" operator="equal">
      <formula>"1 Modify"</formula>
    </cfRule>
  </conditionalFormatting>
  <conditionalFormatting sqref="C80">
    <cfRule type="cellIs" dxfId="3121" priority="236" stopIfTrue="1" operator="equal">
      <formula>"2 Add"</formula>
    </cfRule>
  </conditionalFormatting>
  <conditionalFormatting sqref="C80">
    <cfRule type="cellIs" dxfId="3120" priority="237" stopIfTrue="1" operator="equal">
      <formula>"3 Delete"</formula>
    </cfRule>
  </conditionalFormatting>
  <conditionalFormatting sqref="C81">
    <cfRule type="cellIs" dxfId="3119" priority="238" stopIfTrue="1" operator="equal">
      <formula>"1 Modify"</formula>
    </cfRule>
  </conditionalFormatting>
  <conditionalFormatting sqref="C81">
    <cfRule type="cellIs" dxfId="3118" priority="239" stopIfTrue="1" operator="equal">
      <formula>"2 Add"</formula>
    </cfRule>
  </conditionalFormatting>
  <conditionalFormatting sqref="C81">
    <cfRule type="cellIs" dxfId="3117" priority="240" stopIfTrue="1" operator="equal">
      <formula>"3 Delete"</formula>
    </cfRule>
  </conditionalFormatting>
  <conditionalFormatting sqref="C82">
    <cfRule type="cellIs" dxfId="3116" priority="241" stopIfTrue="1" operator="equal">
      <formula>"1 Modify"</formula>
    </cfRule>
  </conditionalFormatting>
  <conditionalFormatting sqref="C82">
    <cfRule type="cellIs" dxfId="3115" priority="242" stopIfTrue="1" operator="equal">
      <formula>"2 Add"</formula>
    </cfRule>
  </conditionalFormatting>
  <conditionalFormatting sqref="C82">
    <cfRule type="cellIs" dxfId="3114" priority="243" stopIfTrue="1" operator="equal">
      <formula>"3 Delete"</formula>
    </cfRule>
  </conditionalFormatting>
  <conditionalFormatting sqref="C83">
    <cfRule type="cellIs" dxfId="3113" priority="244" stopIfTrue="1" operator="equal">
      <formula>"1 Modify"</formula>
    </cfRule>
  </conditionalFormatting>
  <conditionalFormatting sqref="C83">
    <cfRule type="cellIs" dxfId="3112" priority="245" stopIfTrue="1" operator="equal">
      <formula>"2 Add"</formula>
    </cfRule>
  </conditionalFormatting>
  <conditionalFormatting sqref="C83">
    <cfRule type="cellIs" dxfId="3111" priority="246" stopIfTrue="1" operator="equal">
      <formula>"3 Delete"</formula>
    </cfRule>
  </conditionalFormatting>
  <conditionalFormatting sqref="C84">
    <cfRule type="cellIs" dxfId="3110" priority="247" stopIfTrue="1" operator="equal">
      <formula>"1 Modify"</formula>
    </cfRule>
  </conditionalFormatting>
  <conditionalFormatting sqref="C84">
    <cfRule type="cellIs" dxfId="3109" priority="248" stopIfTrue="1" operator="equal">
      <formula>"2 Add"</formula>
    </cfRule>
  </conditionalFormatting>
  <conditionalFormatting sqref="C84">
    <cfRule type="cellIs" dxfId="3108" priority="249" stopIfTrue="1" operator="equal">
      <formula>"3 Delete"</formula>
    </cfRule>
  </conditionalFormatting>
  <conditionalFormatting sqref="C85">
    <cfRule type="cellIs" dxfId="3107" priority="250" stopIfTrue="1" operator="equal">
      <formula>"1 Modify"</formula>
    </cfRule>
  </conditionalFormatting>
  <conditionalFormatting sqref="C85">
    <cfRule type="cellIs" dxfId="3106" priority="251" stopIfTrue="1" operator="equal">
      <formula>"2 Add"</formula>
    </cfRule>
  </conditionalFormatting>
  <conditionalFormatting sqref="C85">
    <cfRule type="cellIs" dxfId="3105" priority="252" stopIfTrue="1" operator="equal">
      <formula>"3 Delete"</formula>
    </cfRule>
  </conditionalFormatting>
  <conditionalFormatting sqref="C86">
    <cfRule type="cellIs" dxfId="3104" priority="253" stopIfTrue="1" operator="equal">
      <formula>"1 Modify"</formula>
    </cfRule>
  </conditionalFormatting>
  <conditionalFormatting sqref="C86">
    <cfRule type="cellIs" dxfId="3103" priority="254" stopIfTrue="1" operator="equal">
      <formula>"2 Add"</formula>
    </cfRule>
  </conditionalFormatting>
  <conditionalFormatting sqref="C86">
    <cfRule type="cellIs" dxfId="3102" priority="255" stopIfTrue="1" operator="equal">
      <formula>"3 Delete"</formula>
    </cfRule>
  </conditionalFormatting>
  <conditionalFormatting sqref="C87">
    <cfRule type="cellIs" dxfId="3101" priority="256" stopIfTrue="1" operator="equal">
      <formula>"1 Modify"</formula>
    </cfRule>
  </conditionalFormatting>
  <conditionalFormatting sqref="C87">
    <cfRule type="cellIs" dxfId="3100" priority="257" stopIfTrue="1" operator="equal">
      <formula>"2 Add"</formula>
    </cfRule>
  </conditionalFormatting>
  <conditionalFormatting sqref="C87">
    <cfRule type="cellIs" dxfId="3099" priority="258" stopIfTrue="1" operator="equal">
      <formula>"3 Delete"</formula>
    </cfRule>
  </conditionalFormatting>
  <conditionalFormatting sqref="C88">
    <cfRule type="cellIs" dxfId="3098" priority="259" stopIfTrue="1" operator="equal">
      <formula>"1 Modify"</formula>
    </cfRule>
  </conditionalFormatting>
  <conditionalFormatting sqref="C88">
    <cfRule type="cellIs" dxfId="3097" priority="260" stopIfTrue="1" operator="equal">
      <formula>"2 Add"</formula>
    </cfRule>
  </conditionalFormatting>
  <conditionalFormatting sqref="C88">
    <cfRule type="cellIs" dxfId="3096" priority="261" stopIfTrue="1" operator="equal">
      <formula>"3 Delete"</formula>
    </cfRule>
  </conditionalFormatting>
  <conditionalFormatting sqref="C89">
    <cfRule type="cellIs" dxfId="3095" priority="262" stopIfTrue="1" operator="equal">
      <formula>"1 Modify"</formula>
    </cfRule>
  </conditionalFormatting>
  <conditionalFormatting sqref="C89">
    <cfRule type="cellIs" dxfId="3094" priority="263" stopIfTrue="1" operator="equal">
      <formula>"2 Add"</formula>
    </cfRule>
  </conditionalFormatting>
  <conditionalFormatting sqref="C89">
    <cfRule type="cellIs" dxfId="3093" priority="264" stopIfTrue="1" operator="equal">
      <formula>"3 Delete"</formula>
    </cfRule>
  </conditionalFormatting>
  <conditionalFormatting sqref="C90">
    <cfRule type="cellIs" dxfId="3092" priority="265" stopIfTrue="1" operator="equal">
      <formula>"1 Modify"</formula>
    </cfRule>
  </conditionalFormatting>
  <conditionalFormatting sqref="C90">
    <cfRule type="cellIs" dxfId="3091" priority="266" stopIfTrue="1" operator="equal">
      <formula>"2 Add"</formula>
    </cfRule>
  </conditionalFormatting>
  <conditionalFormatting sqref="C90">
    <cfRule type="cellIs" dxfId="3090" priority="267" stopIfTrue="1" operator="equal">
      <formula>"3 Delete"</formula>
    </cfRule>
  </conditionalFormatting>
  <conditionalFormatting sqref="C91">
    <cfRule type="cellIs" dxfId="3089" priority="268" stopIfTrue="1" operator="equal">
      <formula>"1 Modify"</formula>
    </cfRule>
  </conditionalFormatting>
  <conditionalFormatting sqref="C91">
    <cfRule type="cellIs" dxfId="3088" priority="269" stopIfTrue="1" operator="equal">
      <formula>"2 Add"</formula>
    </cfRule>
  </conditionalFormatting>
  <conditionalFormatting sqref="C91">
    <cfRule type="cellIs" dxfId="3087" priority="270" stopIfTrue="1" operator="equal">
      <formula>"3 Delete"</formula>
    </cfRule>
  </conditionalFormatting>
  <conditionalFormatting sqref="C92">
    <cfRule type="cellIs" dxfId="3086" priority="271" stopIfTrue="1" operator="equal">
      <formula>"1 Modify"</formula>
    </cfRule>
  </conditionalFormatting>
  <conditionalFormatting sqref="C92">
    <cfRule type="cellIs" dxfId="3085" priority="272" stopIfTrue="1" operator="equal">
      <formula>"2 Add"</formula>
    </cfRule>
  </conditionalFormatting>
  <conditionalFormatting sqref="C92">
    <cfRule type="cellIs" dxfId="3084" priority="273" stopIfTrue="1" operator="equal">
      <formula>"3 Delete"</formula>
    </cfRule>
  </conditionalFormatting>
  <conditionalFormatting sqref="C93">
    <cfRule type="cellIs" dxfId="3083" priority="274" stopIfTrue="1" operator="equal">
      <formula>"1 Modify"</formula>
    </cfRule>
  </conditionalFormatting>
  <conditionalFormatting sqref="C93">
    <cfRule type="cellIs" dxfId="3082" priority="275" stopIfTrue="1" operator="equal">
      <formula>"2 Add"</formula>
    </cfRule>
  </conditionalFormatting>
  <conditionalFormatting sqref="C93">
    <cfRule type="cellIs" dxfId="3081" priority="276" stopIfTrue="1" operator="equal">
      <formula>"3 Delete"</formula>
    </cfRule>
  </conditionalFormatting>
  <conditionalFormatting sqref="C94">
    <cfRule type="cellIs" dxfId="3080" priority="277" stopIfTrue="1" operator="equal">
      <formula>"1 Modify"</formula>
    </cfRule>
  </conditionalFormatting>
  <conditionalFormatting sqref="C94">
    <cfRule type="cellIs" dxfId="3079" priority="278" stopIfTrue="1" operator="equal">
      <formula>"2 Add"</formula>
    </cfRule>
  </conditionalFormatting>
  <conditionalFormatting sqref="C94">
    <cfRule type="cellIs" dxfId="3078" priority="279" stopIfTrue="1" operator="equal">
      <formula>"3 Delete"</formula>
    </cfRule>
  </conditionalFormatting>
  <conditionalFormatting sqref="C95">
    <cfRule type="cellIs" dxfId="3077" priority="280" stopIfTrue="1" operator="equal">
      <formula>"1 Modify"</formula>
    </cfRule>
  </conditionalFormatting>
  <conditionalFormatting sqref="C95">
    <cfRule type="cellIs" dxfId="3076" priority="281" stopIfTrue="1" operator="equal">
      <formula>"2 Add"</formula>
    </cfRule>
  </conditionalFormatting>
  <conditionalFormatting sqref="C95">
    <cfRule type="cellIs" dxfId="3075" priority="282" stopIfTrue="1" operator="equal">
      <formula>"3 Delete"</formula>
    </cfRule>
  </conditionalFormatting>
  <conditionalFormatting sqref="C96">
    <cfRule type="cellIs" dxfId="3074" priority="283" stopIfTrue="1" operator="equal">
      <formula>"1 Modify"</formula>
    </cfRule>
  </conditionalFormatting>
  <conditionalFormatting sqref="C96">
    <cfRule type="cellIs" dxfId="3073" priority="284" stopIfTrue="1" operator="equal">
      <formula>"2 Add"</formula>
    </cfRule>
  </conditionalFormatting>
  <conditionalFormatting sqref="C96">
    <cfRule type="cellIs" dxfId="3072" priority="285" stopIfTrue="1" operator="equal">
      <formula>"3 Delete"</formula>
    </cfRule>
  </conditionalFormatting>
  <conditionalFormatting sqref="C97">
    <cfRule type="cellIs" dxfId="3071" priority="286" stopIfTrue="1" operator="equal">
      <formula>"1 Modify"</formula>
    </cfRule>
  </conditionalFormatting>
  <conditionalFormatting sqref="C97">
    <cfRule type="cellIs" dxfId="3070" priority="287" stopIfTrue="1" operator="equal">
      <formula>"2 Add"</formula>
    </cfRule>
  </conditionalFormatting>
  <conditionalFormatting sqref="C97">
    <cfRule type="cellIs" dxfId="3069" priority="288" stopIfTrue="1" operator="equal">
      <formula>"3 Delete"</formula>
    </cfRule>
  </conditionalFormatting>
  <conditionalFormatting sqref="C98">
    <cfRule type="cellIs" dxfId="3068" priority="289" stopIfTrue="1" operator="equal">
      <formula>"1 Modify"</formula>
    </cfRule>
  </conditionalFormatting>
  <conditionalFormatting sqref="C98">
    <cfRule type="cellIs" dxfId="3067" priority="290" stopIfTrue="1" operator="equal">
      <formula>"2 Add"</formula>
    </cfRule>
  </conditionalFormatting>
  <conditionalFormatting sqref="C98">
    <cfRule type="cellIs" dxfId="3066" priority="291" stopIfTrue="1" operator="equal">
      <formula>"3 Delete"</formula>
    </cfRule>
  </conditionalFormatting>
  <conditionalFormatting sqref="C99">
    <cfRule type="cellIs" dxfId="3065" priority="292" stopIfTrue="1" operator="equal">
      <formula>"1 Modify"</formula>
    </cfRule>
  </conditionalFormatting>
  <conditionalFormatting sqref="C99">
    <cfRule type="cellIs" dxfId="3064" priority="293" stopIfTrue="1" operator="equal">
      <formula>"2 Add"</formula>
    </cfRule>
  </conditionalFormatting>
  <conditionalFormatting sqref="C99">
    <cfRule type="cellIs" dxfId="3063" priority="294" stopIfTrue="1" operator="equal">
      <formula>"3 Delete"</formula>
    </cfRule>
  </conditionalFormatting>
  <conditionalFormatting sqref="C100">
    <cfRule type="cellIs" dxfId="3062" priority="295" stopIfTrue="1" operator="equal">
      <formula>"1 Modify"</formula>
    </cfRule>
  </conditionalFormatting>
  <conditionalFormatting sqref="C100">
    <cfRule type="cellIs" dxfId="3061" priority="296" stopIfTrue="1" operator="equal">
      <formula>"2 Add"</formula>
    </cfRule>
  </conditionalFormatting>
  <conditionalFormatting sqref="C100">
    <cfRule type="cellIs" dxfId="3060" priority="297" stopIfTrue="1" operator="equal">
      <formula>"3 Delete"</formula>
    </cfRule>
  </conditionalFormatting>
  <conditionalFormatting sqref="C101">
    <cfRule type="cellIs" dxfId="3059" priority="298" stopIfTrue="1" operator="equal">
      <formula>"1 Modify"</formula>
    </cfRule>
  </conditionalFormatting>
  <conditionalFormatting sqref="C101">
    <cfRule type="cellIs" dxfId="3058" priority="299" stopIfTrue="1" operator="equal">
      <formula>"2 Add"</formula>
    </cfRule>
  </conditionalFormatting>
  <conditionalFormatting sqref="C101">
    <cfRule type="cellIs" dxfId="3057" priority="300" stopIfTrue="1" operator="equal">
      <formula>"3 Delete"</formula>
    </cfRule>
  </conditionalFormatting>
  <conditionalFormatting sqref="C102">
    <cfRule type="cellIs" dxfId="3056" priority="301" stopIfTrue="1" operator="equal">
      <formula>"1 Modify"</formula>
    </cfRule>
  </conditionalFormatting>
  <conditionalFormatting sqref="C102">
    <cfRule type="cellIs" dxfId="3055" priority="302" stopIfTrue="1" operator="equal">
      <formula>"2 Add"</formula>
    </cfRule>
  </conditionalFormatting>
  <conditionalFormatting sqref="C102">
    <cfRule type="cellIs" dxfId="3054" priority="303" stopIfTrue="1" operator="equal">
      <formula>"3 Delete"</formula>
    </cfRule>
  </conditionalFormatting>
  <conditionalFormatting sqref="C103">
    <cfRule type="cellIs" dxfId="3053" priority="304" stopIfTrue="1" operator="equal">
      <formula>"1 Modify"</formula>
    </cfRule>
  </conditionalFormatting>
  <conditionalFormatting sqref="C103">
    <cfRule type="cellIs" dxfId="3052" priority="305" stopIfTrue="1" operator="equal">
      <formula>"2 Add"</formula>
    </cfRule>
  </conditionalFormatting>
  <conditionalFormatting sqref="C103">
    <cfRule type="cellIs" dxfId="3051" priority="306" stopIfTrue="1" operator="equal">
      <formula>"3 Delete"</formula>
    </cfRule>
  </conditionalFormatting>
  <conditionalFormatting sqref="C104">
    <cfRule type="cellIs" dxfId="3050" priority="307" stopIfTrue="1" operator="equal">
      <formula>"1 Modify"</formula>
    </cfRule>
  </conditionalFormatting>
  <conditionalFormatting sqref="C104">
    <cfRule type="cellIs" dxfId="3049" priority="308" stopIfTrue="1" operator="equal">
      <formula>"2 Add"</formula>
    </cfRule>
  </conditionalFormatting>
  <conditionalFormatting sqref="C104">
    <cfRule type="cellIs" dxfId="3048" priority="309" stopIfTrue="1" operator="equal">
      <formula>"3 Delete"</formula>
    </cfRule>
  </conditionalFormatting>
  <conditionalFormatting sqref="C105">
    <cfRule type="cellIs" dxfId="3047" priority="310" stopIfTrue="1" operator="equal">
      <formula>"1 Modify"</formula>
    </cfRule>
  </conditionalFormatting>
  <conditionalFormatting sqref="C105">
    <cfRule type="cellIs" dxfId="3046" priority="311" stopIfTrue="1" operator="equal">
      <formula>"2 Add"</formula>
    </cfRule>
  </conditionalFormatting>
  <conditionalFormatting sqref="C105">
    <cfRule type="cellIs" dxfId="3045" priority="312" stopIfTrue="1" operator="equal">
      <formula>"3 Delete"</formula>
    </cfRule>
  </conditionalFormatting>
  <conditionalFormatting sqref="C106">
    <cfRule type="cellIs" dxfId="3044" priority="313" stopIfTrue="1" operator="equal">
      <formula>"1 Modify"</formula>
    </cfRule>
  </conditionalFormatting>
  <conditionalFormatting sqref="C106">
    <cfRule type="cellIs" dxfId="3043" priority="314" stopIfTrue="1" operator="equal">
      <formula>"2 Add"</formula>
    </cfRule>
  </conditionalFormatting>
  <conditionalFormatting sqref="C106">
    <cfRule type="cellIs" dxfId="3042" priority="315" stopIfTrue="1" operator="equal">
      <formula>"3 Delete"</formula>
    </cfRule>
  </conditionalFormatting>
  <conditionalFormatting sqref="C107">
    <cfRule type="cellIs" dxfId="3041" priority="316" stopIfTrue="1" operator="equal">
      <formula>"1 Modify"</formula>
    </cfRule>
  </conditionalFormatting>
  <conditionalFormatting sqref="C107">
    <cfRule type="cellIs" dxfId="3040" priority="317" stopIfTrue="1" operator="equal">
      <formula>"2 Add"</formula>
    </cfRule>
  </conditionalFormatting>
  <conditionalFormatting sqref="C107">
    <cfRule type="cellIs" dxfId="3039" priority="318" stopIfTrue="1" operator="equal">
      <formula>"3 Delete"</formula>
    </cfRule>
  </conditionalFormatting>
  <conditionalFormatting sqref="C108">
    <cfRule type="cellIs" dxfId="3038" priority="319" stopIfTrue="1" operator="equal">
      <formula>"1 Modify"</formula>
    </cfRule>
  </conditionalFormatting>
  <conditionalFormatting sqref="C108">
    <cfRule type="cellIs" dxfId="3037" priority="320" stopIfTrue="1" operator="equal">
      <formula>"2 Add"</formula>
    </cfRule>
  </conditionalFormatting>
  <conditionalFormatting sqref="C108">
    <cfRule type="cellIs" dxfId="3036" priority="321" stopIfTrue="1" operator="equal">
      <formula>"3 Delete"</formula>
    </cfRule>
  </conditionalFormatting>
  <conditionalFormatting sqref="C109">
    <cfRule type="cellIs" dxfId="3035" priority="322" stopIfTrue="1" operator="equal">
      <formula>"1 Modify"</formula>
    </cfRule>
  </conditionalFormatting>
  <conditionalFormatting sqref="C109">
    <cfRule type="cellIs" dxfId="3034" priority="323" stopIfTrue="1" operator="equal">
      <formula>"2 Add"</formula>
    </cfRule>
  </conditionalFormatting>
  <conditionalFormatting sqref="C109">
    <cfRule type="cellIs" dxfId="3033" priority="324" stopIfTrue="1" operator="equal">
      <formula>"3 Delete"</formula>
    </cfRule>
  </conditionalFormatting>
  <conditionalFormatting sqref="C110">
    <cfRule type="cellIs" dxfId="3032" priority="325" stopIfTrue="1" operator="equal">
      <formula>"1 Modify"</formula>
    </cfRule>
  </conditionalFormatting>
  <conditionalFormatting sqref="C110">
    <cfRule type="cellIs" dxfId="3031" priority="326" stopIfTrue="1" operator="equal">
      <formula>"2 Add"</formula>
    </cfRule>
  </conditionalFormatting>
  <conditionalFormatting sqref="C110">
    <cfRule type="cellIs" dxfId="3030" priority="327" stopIfTrue="1" operator="equal">
      <formula>"3 Delete"</formula>
    </cfRule>
  </conditionalFormatting>
  <conditionalFormatting sqref="C111">
    <cfRule type="cellIs" dxfId="3029" priority="328" stopIfTrue="1" operator="equal">
      <formula>"1 Modify"</formula>
    </cfRule>
  </conditionalFormatting>
  <conditionalFormatting sqref="C111">
    <cfRule type="cellIs" dxfId="3028" priority="329" stopIfTrue="1" operator="equal">
      <formula>"2 Add"</formula>
    </cfRule>
  </conditionalFormatting>
  <conditionalFormatting sqref="C111">
    <cfRule type="cellIs" dxfId="3027" priority="330" stopIfTrue="1" operator="equal">
      <formula>"3 Delete"</formula>
    </cfRule>
  </conditionalFormatting>
  <conditionalFormatting sqref="C112">
    <cfRule type="cellIs" dxfId="3026" priority="331" stopIfTrue="1" operator="equal">
      <formula>"1 Modify"</formula>
    </cfRule>
  </conditionalFormatting>
  <conditionalFormatting sqref="C112">
    <cfRule type="cellIs" dxfId="3025" priority="332" stopIfTrue="1" operator="equal">
      <formula>"2 Add"</formula>
    </cfRule>
  </conditionalFormatting>
  <conditionalFormatting sqref="C112">
    <cfRule type="cellIs" dxfId="3024" priority="333" stopIfTrue="1" operator="equal">
      <formula>"3 Delete"</formula>
    </cfRule>
  </conditionalFormatting>
  <conditionalFormatting sqref="C113">
    <cfRule type="cellIs" dxfId="3023" priority="334" stopIfTrue="1" operator="equal">
      <formula>"1 Modify"</formula>
    </cfRule>
  </conditionalFormatting>
  <conditionalFormatting sqref="C113">
    <cfRule type="cellIs" dxfId="3022" priority="335" stopIfTrue="1" operator="equal">
      <formula>"2 Add"</formula>
    </cfRule>
  </conditionalFormatting>
  <conditionalFormatting sqref="C113">
    <cfRule type="cellIs" dxfId="3021" priority="336" stopIfTrue="1" operator="equal">
      <formula>"3 Delete"</formula>
    </cfRule>
  </conditionalFormatting>
  <conditionalFormatting sqref="C114">
    <cfRule type="cellIs" dxfId="3020" priority="337" stopIfTrue="1" operator="equal">
      <formula>"1 Modify"</formula>
    </cfRule>
  </conditionalFormatting>
  <conditionalFormatting sqref="C114">
    <cfRule type="cellIs" dxfId="3019" priority="338" stopIfTrue="1" operator="equal">
      <formula>"2 Add"</formula>
    </cfRule>
  </conditionalFormatting>
  <conditionalFormatting sqref="C114">
    <cfRule type="cellIs" dxfId="3018" priority="339" stopIfTrue="1" operator="equal">
      <formula>"3 Delete"</formula>
    </cfRule>
  </conditionalFormatting>
  <conditionalFormatting sqref="C115">
    <cfRule type="cellIs" dxfId="3017" priority="340" stopIfTrue="1" operator="equal">
      <formula>"1 Modify"</formula>
    </cfRule>
  </conditionalFormatting>
  <conditionalFormatting sqref="C115">
    <cfRule type="cellIs" dxfId="3016" priority="341" stopIfTrue="1" operator="equal">
      <formula>"2 Add"</formula>
    </cfRule>
  </conditionalFormatting>
  <conditionalFormatting sqref="C115">
    <cfRule type="cellIs" dxfId="3015" priority="342" stopIfTrue="1" operator="equal">
      <formula>"3 Delete"</formula>
    </cfRule>
  </conditionalFormatting>
  <conditionalFormatting sqref="C116">
    <cfRule type="cellIs" dxfId="3014" priority="343" stopIfTrue="1" operator="equal">
      <formula>"1 Modify"</formula>
    </cfRule>
  </conditionalFormatting>
  <conditionalFormatting sqref="C116">
    <cfRule type="cellIs" dxfId="3013" priority="344" stopIfTrue="1" operator="equal">
      <formula>"2 Add"</formula>
    </cfRule>
  </conditionalFormatting>
  <conditionalFormatting sqref="C116">
    <cfRule type="cellIs" dxfId="3012" priority="345" stopIfTrue="1" operator="equal">
      <formula>"3 Delete"</formula>
    </cfRule>
  </conditionalFormatting>
  <conditionalFormatting sqref="C117">
    <cfRule type="cellIs" dxfId="3011" priority="346" stopIfTrue="1" operator="equal">
      <formula>"1 Modify"</formula>
    </cfRule>
  </conditionalFormatting>
  <conditionalFormatting sqref="C117">
    <cfRule type="cellIs" dxfId="3010" priority="347" stopIfTrue="1" operator="equal">
      <formula>"2 Add"</formula>
    </cfRule>
  </conditionalFormatting>
  <conditionalFormatting sqref="C117">
    <cfRule type="cellIs" dxfId="3009" priority="348" stopIfTrue="1" operator="equal">
      <formula>"3 Delete"</formula>
    </cfRule>
  </conditionalFormatting>
  <conditionalFormatting sqref="C118">
    <cfRule type="cellIs" dxfId="3008" priority="349" stopIfTrue="1" operator="equal">
      <formula>"1 Modify"</formula>
    </cfRule>
  </conditionalFormatting>
  <conditionalFormatting sqref="C118">
    <cfRule type="cellIs" dxfId="3007" priority="350" stopIfTrue="1" operator="equal">
      <formula>"2 Add"</formula>
    </cfRule>
  </conditionalFormatting>
  <conditionalFormatting sqref="C118">
    <cfRule type="cellIs" dxfId="3006" priority="351" stopIfTrue="1" operator="equal">
      <formula>"3 Delete"</formula>
    </cfRule>
  </conditionalFormatting>
  <conditionalFormatting sqref="C119">
    <cfRule type="cellIs" dxfId="3005" priority="352" stopIfTrue="1" operator="equal">
      <formula>"1 Modify"</formula>
    </cfRule>
  </conditionalFormatting>
  <conditionalFormatting sqref="C119">
    <cfRule type="cellIs" dxfId="3004" priority="353" stopIfTrue="1" operator="equal">
      <formula>"2 Add"</formula>
    </cfRule>
  </conditionalFormatting>
  <conditionalFormatting sqref="C119">
    <cfRule type="cellIs" dxfId="3003" priority="354" stopIfTrue="1" operator="equal">
      <formula>"3 Delete"</formula>
    </cfRule>
  </conditionalFormatting>
  <conditionalFormatting sqref="C120">
    <cfRule type="cellIs" dxfId="3002" priority="355" stopIfTrue="1" operator="equal">
      <formula>"1 Modify"</formula>
    </cfRule>
  </conditionalFormatting>
  <conditionalFormatting sqref="C120">
    <cfRule type="cellIs" dxfId="3001" priority="356" stopIfTrue="1" operator="equal">
      <formula>"2 Add"</formula>
    </cfRule>
  </conditionalFormatting>
  <conditionalFormatting sqref="C120">
    <cfRule type="cellIs" dxfId="3000" priority="357" stopIfTrue="1" operator="equal">
      <formula>"3 Delete"</formula>
    </cfRule>
  </conditionalFormatting>
  <conditionalFormatting sqref="C121">
    <cfRule type="cellIs" dxfId="2999" priority="358" stopIfTrue="1" operator="equal">
      <formula>"1 Modify"</formula>
    </cfRule>
  </conditionalFormatting>
  <conditionalFormatting sqref="C121">
    <cfRule type="cellIs" dxfId="2998" priority="359" stopIfTrue="1" operator="equal">
      <formula>"2 Add"</formula>
    </cfRule>
  </conditionalFormatting>
  <conditionalFormatting sqref="C121">
    <cfRule type="cellIs" dxfId="2997" priority="360" stopIfTrue="1" operator="equal">
      <formula>"3 Delete"</formula>
    </cfRule>
  </conditionalFormatting>
  <conditionalFormatting sqref="C122">
    <cfRule type="cellIs" dxfId="2996" priority="361" stopIfTrue="1" operator="equal">
      <formula>"1 Modify"</formula>
    </cfRule>
  </conditionalFormatting>
  <conditionalFormatting sqref="C122">
    <cfRule type="cellIs" dxfId="2995" priority="362" stopIfTrue="1" operator="equal">
      <formula>"2 Add"</formula>
    </cfRule>
  </conditionalFormatting>
  <conditionalFormatting sqref="C122">
    <cfRule type="cellIs" dxfId="2994" priority="363" stopIfTrue="1" operator="equal">
      <formula>"3 Delete"</formula>
    </cfRule>
  </conditionalFormatting>
  <conditionalFormatting sqref="C123">
    <cfRule type="cellIs" dxfId="2993" priority="364" stopIfTrue="1" operator="equal">
      <formula>"1 Modify"</formula>
    </cfRule>
  </conditionalFormatting>
  <conditionalFormatting sqref="C123">
    <cfRule type="cellIs" dxfId="2992" priority="365" stopIfTrue="1" operator="equal">
      <formula>"2 Add"</formula>
    </cfRule>
  </conditionalFormatting>
  <conditionalFormatting sqref="C123">
    <cfRule type="cellIs" dxfId="2991" priority="366" stopIfTrue="1" operator="equal">
      <formula>"3 Delete"</formula>
    </cfRule>
  </conditionalFormatting>
  <conditionalFormatting sqref="C124">
    <cfRule type="cellIs" dxfId="2990" priority="367" stopIfTrue="1" operator="equal">
      <formula>"1 Modify"</formula>
    </cfRule>
  </conditionalFormatting>
  <conditionalFormatting sqref="C124">
    <cfRule type="cellIs" dxfId="2989" priority="368" stopIfTrue="1" operator="equal">
      <formula>"2 Add"</formula>
    </cfRule>
  </conditionalFormatting>
  <conditionalFormatting sqref="C124">
    <cfRule type="cellIs" dxfId="2988" priority="369" stopIfTrue="1" operator="equal">
      <formula>"3 Delete"</formula>
    </cfRule>
  </conditionalFormatting>
  <conditionalFormatting sqref="C125">
    <cfRule type="cellIs" dxfId="2987" priority="370" stopIfTrue="1" operator="equal">
      <formula>"1 Modify"</formula>
    </cfRule>
  </conditionalFormatting>
  <conditionalFormatting sqref="C125">
    <cfRule type="cellIs" dxfId="2986" priority="371" stopIfTrue="1" operator="equal">
      <formula>"2 Add"</formula>
    </cfRule>
  </conditionalFormatting>
  <conditionalFormatting sqref="C125">
    <cfRule type="cellIs" dxfId="2985" priority="372" stopIfTrue="1" operator="equal">
      <formula>"3 Delete"</formula>
    </cfRule>
  </conditionalFormatting>
  <conditionalFormatting sqref="C126">
    <cfRule type="cellIs" dxfId="2984" priority="373" stopIfTrue="1" operator="equal">
      <formula>"1 Modify"</formula>
    </cfRule>
  </conditionalFormatting>
  <conditionalFormatting sqref="C126">
    <cfRule type="cellIs" dxfId="2983" priority="374" stopIfTrue="1" operator="equal">
      <formula>"2 Add"</formula>
    </cfRule>
  </conditionalFormatting>
  <conditionalFormatting sqref="C126">
    <cfRule type="cellIs" dxfId="2982" priority="375" stopIfTrue="1" operator="equal">
      <formula>"3 Delete"</formula>
    </cfRule>
  </conditionalFormatting>
  <conditionalFormatting sqref="C127">
    <cfRule type="cellIs" dxfId="2981" priority="376" stopIfTrue="1" operator="equal">
      <formula>"1 Modify"</formula>
    </cfRule>
  </conditionalFormatting>
  <conditionalFormatting sqref="C127">
    <cfRule type="cellIs" dxfId="2980" priority="377" stopIfTrue="1" operator="equal">
      <formula>"2 Add"</formula>
    </cfRule>
  </conditionalFormatting>
  <conditionalFormatting sqref="C127">
    <cfRule type="cellIs" dxfId="2979" priority="378" stopIfTrue="1" operator="equal">
      <formula>"3 Delete"</formula>
    </cfRule>
  </conditionalFormatting>
  <conditionalFormatting sqref="C128">
    <cfRule type="cellIs" dxfId="2978" priority="379" stopIfTrue="1" operator="equal">
      <formula>"1 Modify"</formula>
    </cfRule>
  </conditionalFormatting>
  <conditionalFormatting sqref="C128">
    <cfRule type="cellIs" dxfId="2977" priority="380" stopIfTrue="1" operator="equal">
      <formula>"2 Add"</formula>
    </cfRule>
  </conditionalFormatting>
  <conditionalFormatting sqref="C128">
    <cfRule type="cellIs" dxfId="2976" priority="381" stopIfTrue="1" operator="equal">
      <formula>"3 Delete"</formula>
    </cfRule>
  </conditionalFormatting>
  <conditionalFormatting sqref="C129">
    <cfRule type="cellIs" dxfId="2975" priority="382" stopIfTrue="1" operator="equal">
      <formula>"1 Modify"</formula>
    </cfRule>
  </conditionalFormatting>
  <conditionalFormatting sqref="C129">
    <cfRule type="cellIs" dxfId="2974" priority="383" stopIfTrue="1" operator="equal">
      <formula>"2 Add"</formula>
    </cfRule>
  </conditionalFormatting>
  <conditionalFormatting sqref="C129">
    <cfRule type="cellIs" dxfId="2973" priority="384" stopIfTrue="1" operator="equal">
      <formula>"3 Delete"</formula>
    </cfRule>
  </conditionalFormatting>
  <conditionalFormatting sqref="C130">
    <cfRule type="cellIs" dxfId="2972" priority="385" stopIfTrue="1" operator="equal">
      <formula>"1 Modify"</formula>
    </cfRule>
  </conditionalFormatting>
  <conditionalFormatting sqref="C130">
    <cfRule type="cellIs" dxfId="2971" priority="386" stopIfTrue="1" operator="equal">
      <formula>"2 Add"</formula>
    </cfRule>
  </conditionalFormatting>
  <conditionalFormatting sqref="C130">
    <cfRule type="cellIs" dxfId="2970" priority="387" stopIfTrue="1" operator="equal">
      <formula>"3 Delete"</formula>
    </cfRule>
  </conditionalFormatting>
  <conditionalFormatting sqref="C131">
    <cfRule type="cellIs" dxfId="2969" priority="388" stopIfTrue="1" operator="equal">
      <formula>"1 Modify"</formula>
    </cfRule>
  </conditionalFormatting>
  <conditionalFormatting sqref="C131">
    <cfRule type="cellIs" dxfId="2968" priority="389" stopIfTrue="1" operator="equal">
      <formula>"2 Add"</formula>
    </cfRule>
  </conditionalFormatting>
  <conditionalFormatting sqref="C131">
    <cfRule type="cellIs" dxfId="2967" priority="390" stopIfTrue="1" operator="equal">
      <formula>"3 Delete"</formula>
    </cfRule>
  </conditionalFormatting>
  <conditionalFormatting sqref="C132">
    <cfRule type="cellIs" dxfId="2966" priority="391" stopIfTrue="1" operator="equal">
      <formula>"1 Modify"</formula>
    </cfRule>
  </conditionalFormatting>
  <conditionalFormatting sqref="C132">
    <cfRule type="cellIs" dxfId="2965" priority="392" stopIfTrue="1" operator="equal">
      <formula>"2 Add"</formula>
    </cfRule>
  </conditionalFormatting>
  <conditionalFormatting sqref="C132">
    <cfRule type="cellIs" dxfId="2964" priority="393" stopIfTrue="1" operator="equal">
      <formula>"3 Delete"</formula>
    </cfRule>
  </conditionalFormatting>
  <conditionalFormatting sqref="C133">
    <cfRule type="cellIs" dxfId="2963" priority="394" stopIfTrue="1" operator="equal">
      <formula>"1 Modify"</formula>
    </cfRule>
  </conditionalFormatting>
  <conditionalFormatting sqref="C133">
    <cfRule type="cellIs" dxfId="2962" priority="395" stopIfTrue="1" operator="equal">
      <formula>"2 Add"</formula>
    </cfRule>
  </conditionalFormatting>
  <conditionalFormatting sqref="C133">
    <cfRule type="cellIs" dxfId="2961" priority="396" stopIfTrue="1" operator="equal">
      <formula>"3 Delete"</formula>
    </cfRule>
  </conditionalFormatting>
  <conditionalFormatting sqref="C134">
    <cfRule type="cellIs" dxfId="2960" priority="397" stopIfTrue="1" operator="equal">
      <formula>"1 Modify"</formula>
    </cfRule>
  </conditionalFormatting>
  <conditionalFormatting sqref="C134">
    <cfRule type="cellIs" dxfId="2959" priority="398" stopIfTrue="1" operator="equal">
      <formula>"2 Add"</formula>
    </cfRule>
  </conditionalFormatting>
  <conditionalFormatting sqref="C134">
    <cfRule type="cellIs" dxfId="2958" priority="399" stopIfTrue="1" operator="equal">
      <formula>"3 Delete"</formula>
    </cfRule>
  </conditionalFormatting>
  <conditionalFormatting sqref="C135">
    <cfRule type="cellIs" dxfId="2957" priority="400" stopIfTrue="1" operator="equal">
      <formula>"1 Modify"</formula>
    </cfRule>
  </conditionalFormatting>
  <conditionalFormatting sqref="C135">
    <cfRule type="cellIs" dxfId="2956" priority="401" stopIfTrue="1" operator="equal">
      <formula>"2 Add"</formula>
    </cfRule>
  </conditionalFormatting>
  <conditionalFormatting sqref="C135">
    <cfRule type="cellIs" dxfId="2955" priority="402" stopIfTrue="1" operator="equal">
      <formula>"3 Delete"</formula>
    </cfRule>
  </conditionalFormatting>
  <conditionalFormatting sqref="C136">
    <cfRule type="cellIs" dxfId="2954" priority="403" stopIfTrue="1" operator="equal">
      <formula>"1 Modify"</formula>
    </cfRule>
  </conditionalFormatting>
  <conditionalFormatting sqref="C136">
    <cfRule type="cellIs" dxfId="2953" priority="404" stopIfTrue="1" operator="equal">
      <formula>"2 Add"</formula>
    </cfRule>
  </conditionalFormatting>
  <conditionalFormatting sqref="C136">
    <cfRule type="cellIs" dxfId="2952" priority="405" stopIfTrue="1" operator="equal">
      <formula>"3 Delete"</formula>
    </cfRule>
  </conditionalFormatting>
  <conditionalFormatting sqref="C137">
    <cfRule type="cellIs" dxfId="2951" priority="406" stopIfTrue="1" operator="equal">
      <formula>"1 Modify"</formula>
    </cfRule>
  </conditionalFormatting>
  <conditionalFormatting sqref="C137">
    <cfRule type="cellIs" dxfId="2950" priority="407" stopIfTrue="1" operator="equal">
      <formula>"2 Add"</formula>
    </cfRule>
  </conditionalFormatting>
  <conditionalFormatting sqref="C137">
    <cfRule type="cellIs" dxfId="2949" priority="408" stopIfTrue="1" operator="equal">
      <formula>"3 Delete"</formula>
    </cfRule>
  </conditionalFormatting>
  <conditionalFormatting sqref="C138">
    <cfRule type="cellIs" dxfId="2948" priority="409" stopIfTrue="1" operator="equal">
      <formula>"1 Modify"</formula>
    </cfRule>
  </conditionalFormatting>
  <conditionalFormatting sqref="C138">
    <cfRule type="cellIs" dxfId="2947" priority="410" stopIfTrue="1" operator="equal">
      <formula>"2 Add"</formula>
    </cfRule>
  </conditionalFormatting>
  <conditionalFormatting sqref="C138">
    <cfRule type="cellIs" dxfId="2946" priority="411" stopIfTrue="1" operator="equal">
      <formula>"3 Delete"</formula>
    </cfRule>
  </conditionalFormatting>
  <conditionalFormatting sqref="C139">
    <cfRule type="cellIs" dxfId="2945" priority="412" stopIfTrue="1" operator="equal">
      <formula>"1 Modify"</formula>
    </cfRule>
  </conditionalFormatting>
  <conditionalFormatting sqref="C139">
    <cfRule type="cellIs" dxfId="2944" priority="413" stopIfTrue="1" operator="equal">
      <formula>"2 Add"</formula>
    </cfRule>
  </conditionalFormatting>
  <conditionalFormatting sqref="C139">
    <cfRule type="cellIs" dxfId="2943" priority="414" stopIfTrue="1" operator="equal">
      <formula>"3 Delete"</formula>
    </cfRule>
  </conditionalFormatting>
  <conditionalFormatting sqref="C140">
    <cfRule type="cellIs" dxfId="2942" priority="415" stopIfTrue="1" operator="equal">
      <formula>"1 Modify"</formula>
    </cfRule>
  </conditionalFormatting>
  <conditionalFormatting sqref="C140">
    <cfRule type="cellIs" dxfId="2941" priority="416" stopIfTrue="1" operator="equal">
      <formula>"2 Add"</formula>
    </cfRule>
  </conditionalFormatting>
  <conditionalFormatting sqref="C140">
    <cfRule type="cellIs" dxfId="2940" priority="417" stopIfTrue="1" operator="equal">
      <formula>"3 Delete"</formula>
    </cfRule>
  </conditionalFormatting>
  <conditionalFormatting sqref="C141">
    <cfRule type="cellIs" dxfId="2939" priority="418" stopIfTrue="1" operator="equal">
      <formula>"1 Modify"</formula>
    </cfRule>
  </conditionalFormatting>
  <conditionalFormatting sqref="C141">
    <cfRule type="cellIs" dxfId="2938" priority="419" stopIfTrue="1" operator="equal">
      <formula>"2 Add"</formula>
    </cfRule>
  </conditionalFormatting>
  <conditionalFormatting sqref="C141">
    <cfRule type="cellIs" dxfId="2937" priority="420" stopIfTrue="1" operator="equal">
      <formula>"3 Delete"</formula>
    </cfRule>
  </conditionalFormatting>
  <conditionalFormatting sqref="C142">
    <cfRule type="cellIs" dxfId="2936" priority="421" stopIfTrue="1" operator="equal">
      <formula>"1 Modify"</formula>
    </cfRule>
  </conditionalFormatting>
  <conditionalFormatting sqref="C142">
    <cfRule type="cellIs" dxfId="2935" priority="422" stopIfTrue="1" operator="equal">
      <formula>"2 Add"</formula>
    </cfRule>
  </conditionalFormatting>
  <conditionalFormatting sqref="C142">
    <cfRule type="cellIs" dxfId="2934" priority="423" stopIfTrue="1" operator="equal">
      <formula>"3 Delete"</formula>
    </cfRule>
  </conditionalFormatting>
  <conditionalFormatting sqref="C143">
    <cfRule type="cellIs" dxfId="2933" priority="424" stopIfTrue="1" operator="equal">
      <formula>"1 Modify"</formula>
    </cfRule>
  </conditionalFormatting>
  <conditionalFormatting sqref="C143">
    <cfRule type="cellIs" dxfId="2932" priority="425" stopIfTrue="1" operator="equal">
      <formula>"2 Add"</formula>
    </cfRule>
  </conditionalFormatting>
  <conditionalFormatting sqref="C143">
    <cfRule type="cellIs" dxfId="2931" priority="426" stopIfTrue="1" operator="equal">
      <formula>"3 Delete"</formula>
    </cfRule>
  </conditionalFormatting>
  <conditionalFormatting sqref="C144">
    <cfRule type="cellIs" dxfId="2930" priority="427" stopIfTrue="1" operator="equal">
      <formula>"1 Modify"</formula>
    </cfRule>
  </conditionalFormatting>
  <conditionalFormatting sqref="C144">
    <cfRule type="cellIs" dxfId="2929" priority="428" stopIfTrue="1" operator="equal">
      <formula>"2 Add"</formula>
    </cfRule>
  </conditionalFormatting>
  <conditionalFormatting sqref="C144">
    <cfRule type="cellIs" dxfId="2928" priority="429" stopIfTrue="1" operator="equal">
      <formula>"3 Delete"</formula>
    </cfRule>
  </conditionalFormatting>
  <conditionalFormatting sqref="C145">
    <cfRule type="cellIs" dxfId="2927" priority="430" stopIfTrue="1" operator="equal">
      <formula>"1 Modify"</formula>
    </cfRule>
  </conditionalFormatting>
  <conditionalFormatting sqref="C145">
    <cfRule type="cellIs" dxfId="2926" priority="431" stopIfTrue="1" operator="equal">
      <formula>"2 Add"</formula>
    </cfRule>
  </conditionalFormatting>
  <conditionalFormatting sqref="C145">
    <cfRule type="cellIs" dxfId="2925" priority="432" stopIfTrue="1" operator="equal">
      <formula>"3 Delete"</formula>
    </cfRule>
  </conditionalFormatting>
  <conditionalFormatting sqref="C146">
    <cfRule type="cellIs" dxfId="2924" priority="433" stopIfTrue="1" operator="equal">
      <formula>"1 Modify"</formula>
    </cfRule>
  </conditionalFormatting>
  <conditionalFormatting sqref="C146">
    <cfRule type="cellIs" dxfId="2923" priority="434" stopIfTrue="1" operator="equal">
      <formula>"2 Add"</formula>
    </cfRule>
  </conditionalFormatting>
  <conditionalFormatting sqref="C146">
    <cfRule type="cellIs" dxfId="2922" priority="435" stopIfTrue="1" operator="equal">
      <formula>"3 Delete"</formula>
    </cfRule>
  </conditionalFormatting>
  <conditionalFormatting sqref="C147">
    <cfRule type="cellIs" dxfId="2921" priority="436" stopIfTrue="1" operator="equal">
      <formula>"1 Modify"</formula>
    </cfRule>
  </conditionalFormatting>
  <conditionalFormatting sqref="C147">
    <cfRule type="cellIs" dxfId="2920" priority="437" stopIfTrue="1" operator="equal">
      <formula>"2 Add"</formula>
    </cfRule>
  </conditionalFormatting>
  <conditionalFormatting sqref="C147">
    <cfRule type="cellIs" dxfId="2919" priority="438" stopIfTrue="1" operator="equal">
      <formula>"3 Delete"</formula>
    </cfRule>
  </conditionalFormatting>
  <conditionalFormatting sqref="C148">
    <cfRule type="cellIs" dxfId="2918" priority="439" stopIfTrue="1" operator="equal">
      <formula>"1 Modify"</formula>
    </cfRule>
  </conditionalFormatting>
  <conditionalFormatting sqref="C148">
    <cfRule type="cellIs" dxfId="2917" priority="440" stopIfTrue="1" operator="equal">
      <formula>"2 Add"</formula>
    </cfRule>
  </conditionalFormatting>
  <conditionalFormatting sqref="C148">
    <cfRule type="cellIs" dxfId="2916" priority="441" stopIfTrue="1" operator="equal">
      <formula>"3 Delete"</formula>
    </cfRule>
  </conditionalFormatting>
  <conditionalFormatting sqref="C149">
    <cfRule type="cellIs" dxfId="2915" priority="442" stopIfTrue="1" operator="equal">
      <formula>"1 Modify"</formula>
    </cfRule>
  </conditionalFormatting>
  <conditionalFormatting sqref="C149">
    <cfRule type="cellIs" dxfId="2914" priority="443" stopIfTrue="1" operator="equal">
      <formula>"2 Add"</formula>
    </cfRule>
  </conditionalFormatting>
  <conditionalFormatting sqref="C149">
    <cfRule type="cellIs" dxfId="2913" priority="444" stopIfTrue="1" operator="equal">
      <formula>"3 Delete"</formula>
    </cfRule>
  </conditionalFormatting>
  <conditionalFormatting sqref="C150">
    <cfRule type="cellIs" dxfId="2912" priority="445" stopIfTrue="1" operator="equal">
      <formula>"1 Modify"</formula>
    </cfRule>
  </conditionalFormatting>
  <conditionalFormatting sqref="C150">
    <cfRule type="cellIs" dxfId="2911" priority="446" stopIfTrue="1" operator="equal">
      <formula>"2 Add"</formula>
    </cfRule>
  </conditionalFormatting>
  <conditionalFormatting sqref="C150">
    <cfRule type="cellIs" dxfId="2910" priority="447" stopIfTrue="1" operator="equal">
      <formula>"3 Delete"</formula>
    </cfRule>
  </conditionalFormatting>
  <conditionalFormatting sqref="C151">
    <cfRule type="cellIs" dxfId="2909" priority="448" stopIfTrue="1" operator="equal">
      <formula>"1 Modify"</formula>
    </cfRule>
  </conditionalFormatting>
  <conditionalFormatting sqref="C151">
    <cfRule type="cellIs" dxfId="2908" priority="449" stopIfTrue="1" operator="equal">
      <formula>"2 Add"</formula>
    </cfRule>
  </conditionalFormatting>
  <conditionalFormatting sqref="C151">
    <cfRule type="cellIs" dxfId="2907" priority="450" stopIfTrue="1" operator="equal">
      <formula>"3 Delete"</formula>
    </cfRule>
  </conditionalFormatting>
  <conditionalFormatting sqref="C152">
    <cfRule type="cellIs" dxfId="2906" priority="451" stopIfTrue="1" operator="equal">
      <formula>"1 Modify"</formula>
    </cfRule>
  </conditionalFormatting>
  <conditionalFormatting sqref="C152">
    <cfRule type="cellIs" dxfId="2905" priority="452" stopIfTrue="1" operator="equal">
      <formula>"2 Add"</formula>
    </cfRule>
  </conditionalFormatting>
  <conditionalFormatting sqref="C152">
    <cfRule type="cellIs" dxfId="2904" priority="453" stopIfTrue="1" operator="equal">
      <formula>"3 Delete"</formula>
    </cfRule>
  </conditionalFormatting>
  <conditionalFormatting sqref="C153">
    <cfRule type="cellIs" dxfId="2903" priority="454" stopIfTrue="1" operator="equal">
      <formula>"1 Modify"</formula>
    </cfRule>
  </conditionalFormatting>
  <conditionalFormatting sqref="C153">
    <cfRule type="cellIs" dxfId="2902" priority="455" stopIfTrue="1" operator="equal">
      <formula>"2 Add"</formula>
    </cfRule>
  </conditionalFormatting>
  <conditionalFormatting sqref="C153">
    <cfRule type="cellIs" dxfId="2901" priority="456" stopIfTrue="1" operator="equal">
      <formula>"3 Delete"</formula>
    </cfRule>
  </conditionalFormatting>
  <conditionalFormatting sqref="C154">
    <cfRule type="cellIs" dxfId="2900" priority="457" stopIfTrue="1" operator="equal">
      <formula>"1 Modify"</formula>
    </cfRule>
  </conditionalFormatting>
  <conditionalFormatting sqref="C154">
    <cfRule type="cellIs" dxfId="2899" priority="458" stopIfTrue="1" operator="equal">
      <formula>"2 Add"</formula>
    </cfRule>
  </conditionalFormatting>
  <conditionalFormatting sqref="C154">
    <cfRule type="cellIs" dxfId="2898" priority="459" stopIfTrue="1" operator="equal">
      <formula>"3 Delete"</formula>
    </cfRule>
  </conditionalFormatting>
  <conditionalFormatting sqref="C155">
    <cfRule type="cellIs" dxfId="2897" priority="460" stopIfTrue="1" operator="equal">
      <formula>"1 Modify"</formula>
    </cfRule>
  </conditionalFormatting>
  <conditionalFormatting sqref="C155">
    <cfRule type="cellIs" dxfId="2896" priority="461" stopIfTrue="1" operator="equal">
      <formula>"2 Add"</formula>
    </cfRule>
  </conditionalFormatting>
  <conditionalFormatting sqref="C155">
    <cfRule type="cellIs" dxfId="2895" priority="462" stopIfTrue="1" operator="equal">
      <formula>"3 Delete"</formula>
    </cfRule>
  </conditionalFormatting>
  <conditionalFormatting sqref="C156">
    <cfRule type="cellIs" dxfId="2894" priority="463" stopIfTrue="1" operator="equal">
      <formula>"1 Modify"</formula>
    </cfRule>
  </conditionalFormatting>
  <conditionalFormatting sqref="C156">
    <cfRule type="cellIs" dxfId="2893" priority="464" stopIfTrue="1" operator="equal">
      <formula>"2 Add"</formula>
    </cfRule>
  </conditionalFormatting>
  <conditionalFormatting sqref="C156">
    <cfRule type="cellIs" dxfId="2892" priority="465" stopIfTrue="1" operator="equal">
      <formula>"3 Delete"</formula>
    </cfRule>
  </conditionalFormatting>
  <conditionalFormatting sqref="C157">
    <cfRule type="cellIs" dxfId="2891" priority="466" stopIfTrue="1" operator="equal">
      <formula>"1 Modify"</formula>
    </cfRule>
  </conditionalFormatting>
  <conditionalFormatting sqref="C157">
    <cfRule type="cellIs" dxfId="2890" priority="467" stopIfTrue="1" operator="equal">
      <formula>"2 Add"</formula>
    </cfRule>
  </conditionalFormatting>
  <conditionalFormatting sqref="C157">
    <cfRule type="cellIs" dxfId="2889" priority="468" stopIfTrue="1" operator="equal">
      <formula>"3 Delete"</formula>
    </cfRule>
  </conditionalFormatting>
  <conditionalFormatting sqref="C158">
    <cfRule type="cellIs" dxfId="2888" priority="469" stopIfTrue="1" operator="equal">
      <formula>"1 Modify"</formula>
    </cfRule>
  </conditionalFormatting>
  <conditionalFormatting sqref="C158">
    <cfRule type="cellIs" dxfId="2887" priority="470" stopIfTrue="1" operator="equal">
      <formula>"2 Add"</formula>
    </cfRule>
  </conditionalFormatting>
  <conditionalFormatting sqref="C158">
    <cfRule type="cellIs" dxfId="2886" priority="471" stopIfTrue="1" operator="equal">
      <formula>"3 Delete"</formula>
    </cfRule>
  </conditionalFormatting>
  <conditionalFormatting sqref="C159">
    <cfRule type="cellIs" dxfId="2885" priority="472" stopIfTrue="1" operator="equal">
      <formula>"1 Modify"</formula>
    </cfRule>
  </conditionalFormatting>
  <conditionalFormatting sqref="C159">
    <cfRule type="cellIs" dxfId="2884" priority="473" stopIfTrue="1" operator="equal">
      <formula>"2 Add"</formula>
    </cfRule>
  </conditionalFormatting>
  <conditionalFormatting sqref="C159">
    <cfRule type="cellIs" dxfId="2883" priority="474" stopIfTrue="1" operator="equal">
      <formula>"3 Delete"</formula>
    </cfRule>
  </conditionalFormatting>
  <conditionalFormatting sqref="C160">
    <cfRule type="cellIs" dxfId="2882" priority="475" stopIfTrue="1" operator="equal">
      <formula>"1 Modify"</formula>
    </cfRule>
  </conditionalFormatting>
  <conditionalFormatting sqref="C160">
    <cfRule type="cellIs" dxfId="2881" priority="476" stopIfTrue="1" operator="equal">
      <formula>"2 Add"</formula>
    </cfRule>
  </conditionalFormatting>
  <conditionalFormatting sqref="C160">
    <cfRule type="cellIs" dxfId="2880" priority="477" stopIfTrue="1" operator="equal">
      <formula>"3 Delete"</formula>
    </cfRule>
  </conditionalFormatting>
  <conditionalFormatting sqref="C161">
    <cfRule type="cellIs" dxfId="2879" priority="478" stopIfTrue="1" operator="equal">
      <formula>"1 Modify"</formula>
    </cfRule>
  </conditionalFormatting>
  <conditionalFormatting sqref="C161">
    <cfRule type="cellIs" dxfId="2878" priority="479" stopIfTrue="1" operator="equal">
      <formula>"2 Add"</formula>
    </cfRule>
  </conditionalFormatting>
  <conditionalFormatting sqref="C161">
    <cfRule type="cellIs" dxfId="2877" priority="480" stopIfTrue="1" operator="equal">
      <formula>"3 Delete"</formula>
    </cfRule>
  </conditionalFormatting>
  <conditionalFormatting sqref="C162">
    <cfRule type="cellIs" dxfId="2876" priority="481" stopIfTrue="1" operator="equal">
      <formula>"1 Modify"</formula>
    </cfRule>
  </conditionalFormatting>
  <conditionalFormatting sqref="C162">
    <cfRule type="cellIs" dxfId="2875" priority="482" stopIfTrue="1" operator="equal">
      <formula>"2 Add"</formula>
    </cfRule>
  </conditionalFormatting>
  <conditionalFormatting sqref="C162">
    <cfRule type="cellIs" dxfId="2874" priority="483" stopIfTrue="1" operator="equal">
      <formula>"3 Delete"</formula>
    </cfRule>
  </conditionalFormatting>
  <conditionalFormatting sqref="C163">
    <cfRule type="cellIs" dxfId="2873" priority="484" stopIfTrue="1" operator="equal">
      <formula>"1 Modify"</formula>
    </cfRule>
  </conditionalFormatting>
  <conditionalFormatting sqref="C163">
    <cfRule type="cellIs" dxfId="2872" priority="485" stopIfTrue="1" operator="equal">
      <formula>"2 Add"</formula>
    </cfRule>
  </conditionalFormatting>
  <conditionalFormatting sqref="C163">
    <cfRule type="cellIs" dxfId="2871" priority="486" stopIfTrue="1" operator="equal">
      <formula>"3 Delete"</formula>
    </cfRule>
  </conditionalFormatting>
  <conditionalFormatting sqref="C164">
    <cfRule type="cellIs" dxfId="2870" priority="487" stopIfTrue="1" operator="equal">
      <formula>"1 Modify"</formula>
    </cfRule>
  </conditionalFormatting>
  <conditionalFormatting sqref="C164">
    <cfRule type="cellIs" dxfId="2869" priority="488" stopIfTrue="1" operator="equal">
      <formula>"2 Add"</formula>
    </cfRule>
  </conditionalFormatting>
  <conditionalFormatting sqref="C164">
    <cfRule type="cellIs" dxfId="2868" priority="489" stopIfTrue="1" operator="equal">
      <formula>"3 Delete"</formula>
    </cfRule>
  </conditionalFormatting>
  <conditionalFormatting sqref="C165">
    <cfRule type="cellIs" dxfId="2867" priority="490" stopIfTrue="1" operator="equal">
      <formula>"1 Modify"</formula>
    </cfRule>
  </conditionalFormatting>
  <conditionalFormatting sqref="C165">
    <cfRule type="cellIs" dxfId="2866" priority="491" stopIfTrue="1" operator="equal">
      <formula>"2 Add"</formula>
    </cfRule>
  </conditionalFormatting>
  <conditionalFormatting sqref="C165">
    <cfRule type="cellIs" dxfId="2865" priority="492" stopIfTrue="1" operator="equal">
      <formula>"3 Delete"</formula>
    </cfRule>
  </conditionalFormatting>
  <conditionalFormatting sqref="C166">
    <cfRule type="cellIs" dxfId="2864" priority="493" stopIfTrue="1" operator="equal">
      <formula>"1 Modify"</formula>
    </cfRule>
  </conditionalFormatting>
  <conditionalFormatting sqref="C166">
    <cfRule type="cellIs" dxfId="2863" priority="494" stopIfTrue="1" operator="equal">
      <formula>"2 Add"</formula>
    </cfRule>
  </conditionalFormatting>
  <conditionalFormatting sqref="C166">
    <cfRule type="cellIs" dxfId="2862" priority="495" stopIfTrue="1" operator="equal">
      <formula>"3 Delete"</formula>
    </cfRule>
  </conditionalFormatting>
  <conditionalFormatting sqref="C167">
    <cfRule type="cellIs" dxfId="2861" priority="496" stopIfTrue="1" operator="equal">
      <formula>"1 Modify"</formula>
    </cfRule>
  </conditionalFormatting>
  <conditionalFormatting sqref="C167">
    <cfRule type="cellIs" dxfId="2860" priority="497" stopIfTrue="1" operator="equal">
      <formula>"2 Add"</formula>
    </cfRule>
  </conditionalFormatting>
  <conditionalFormatting sqref="C167">
    <cfRule type="cellIs" dxfId="2859" priority="498" stopIfTrue="1" operator="equal">
      <formula>"3 Delete"</formula>
    </cfRule>
  </conditionalFormatting>
  <conditionalFormatting sqref="C168">
    <cfRule type="cellIs" dxfId="2858" priority="499" stopIfTrue="1" operator="equal">
      <formula>"1 Modify"</formula>
    </cfRule>
  </conditionalFormatting>
  <conditionalFormatting sqref="C168">
    <cfRule type="cellIs" dxfId="2857" priority="500" stopIfTrue="1" operator="equal">
      <formula>"2 Add"</formula>
    </cfRule>
  </conditionalFormatting>
  <conditionalFormatting sqref="C168">
    <cfRule type="cellIs" dxfId="2856" priority="501" stopIfTrue="1" operator="equal">
      <formula>"3 Delete"</formula>
    </cfRule>
  </conditionalFormatting>
  <conditionalFormatting sqref="C169">
    <cfRule type="cellIs" dxfId="2855" priority="502" stopIfTrue="1" operator="equal">
      <formula>"1 Modify"</formula>
    </cfRule>
  </conditionalFormatting>
  <conditionalFormatting sqref="C169">
    <cfRule type="cellIs" dxfId="2854" priority="503" stopIfTrue="1" operator="equal">
      <formula>"2 Add"</formula>
    </cfRule>
  </conditionalFormatting>
  <conditionalFormatting sqref="C169">
    <cfRule type="cellIs" dxfId="2853" priority="504" stopIfTrue="1" operator="equal">
      <formula>"3 Delete"</formula>
    </cfRule>
  </conditionalFormatting>
  <conditionalFormatting sqref="C170">
    <cfRule type="cellIs" dxfId="2852" priority="505" stopIfTrue="1" operator="equal">
      <formula>"1 Modify"</formula>
    </cfRule>
  </conditionalFormatting>
  <conditionalFormatting sqref="C170">
    <cfRule type="cellIs" dxfId="2851" priority="506" stopIfTrue="1" operator="equal">
      <formula>"2 Add"</formula>
    </cfRule>
  </conditionalFormatting>
  <conditionalFormatting sqref="C170">
    <cfRule type="cellIs" dxfId="2850" priority="507" stopIfTrue="1" operator="equal">
      <formula>"3 Delete"</formula>
    </cfRule>
  </conditionalFormatting>
  <conditionalFormatting sqref="C171">
    <cfRule type="cellIs" dxfId="2849" priority="508" stopIfTrue="1" operator="equal">
      <formula>"1 Modify"</formula>
    </cfRule>
  </conditionalFormatting>
  <conditionalFormatting sqref="C171">
    <cfRule type="cellIs" dxfId="2848" priority="509" stopIfTrue="1" operator="equal">
      <formula>"2 Add"</formula>
    </cfRule>
  </conditionalFormatting>
  <conditionalFormatting sqref="C171">
    <cfRule type="cellIs" dxfId="2847" priority="510" stopIfTrue="1" operator="equal">
      <formula>"3 Delete"</formula>
    </cfRule>
  </conditionalFormatting>
  <conditionalFormatting sqref="C172">
    <cfRule type="cellIs" dxfId="2846" priority="511" stopIfTrue="1" operator="equal">
      <formula>"1 Modify"</formula>
    </cfRule>
  </conditionalFormatting>
  <conditionalFormatting sqref="C172">
    <cfRule type="cellIs" dxfId="2845" priority="512" stopIfTrue="1" operator="equal">
      <formula>"2 Add"</formula>
    </cfRule>
  </conditionalFormatting>
  <conditionalFormatting sqref="C172">
    <cfRule type="cellIs" dxfId="2844" priority="513" stopIfTrue="1" operator="equal">
      <formula>"3 Delete"</formula>
    </cfRule>
  </conditionalFormatting>
  <conditionalFormatting sqref="C173">
    <cfRule type="cellIs" dxfId="2843" priority="514" stopIfTrue="1" operator="equal">
      <formula>"1 Modify"</formula>
    </cfRule>
  </conditionalFormatting>
  <conditionalFormatting sqref="C173">
    <cfRule type="cellIs" dxfId="2842" priority="515" stopIfTrue="1" operator="equal">
      <formula>"2 Add"</formula>
    </cfRule>
  </conditionalFormatting>
  <conditionalFormatting sqref="C173">
    <cfRule type="cellIs" dxfId="2841" priority="516" stopIfTrue="1" operator="equal">
      <formula>"3 Delete"</formula>
    </cfRule>
  </conditionalFormatting>
  <conditionalFormatting sqref="C174">
    <cfRule type="cellIs" dxfId="2840" priority="517" stopIfTrue="1" operator="equal">
      <formula>"1 Modify"</formula>
    </cfRule>
  </conditionalFormatting>
  <conditionalFormatting sqref="C174">
    <cfRule type="cellIs" dxfId="2839" priority="518" stopIfTrue="1" operator="equal">
      <formula>"2 Add"</formula>
    </cfRule>
  </conditionalFormatting>
  <conditionalFormatting sqref="C174">
    <cfRule type="cellIs" dxfId="2838" priority="519" stopIfTrue="1" operator="equal">
      <formula>"3 Delete"</formula>
    </cfRule>
  </conditionalFormatting>
  <conditionalFormatting sqref="C175">
    <cfRule type="cellIs" dxfId="2837" priority="520" stopIfTrue="1" operator="equal">
      <formula>"1 Modify"</formula>
    </cfRule>
  </conditionalFormatting>
  <conditionalFormatting sqref="C175">
    <cfRule type="cellIs" dxfId="2836" priority="521" stopIfTrue="1" operator="equal">
      <formula>"2 Add"</formula>
    </cfRule>
  </conditionalFormatting>
  <conditionalFormatting sqref="C175">
    <cfRule type="cellIs" dxfId="2835" priority="522" stopIfTrue="1" operator="equal">
      <formula>"3 Delete"</formula>
    </cfRule>
  </conditionalFormatting>
  <conditionalFormatting sqref="C176">
    <cfRule type="cellIs" dxfId="2834" priority="523" stopIfTrue="1" operator="equal">
      <formula>"1 Modify"</formula>
    </cfRule>
  </conditionalFormatting>
  <conditionalFormatting sqref="C176">
    <cfRule type="cellIs" dxfId="2833" priority="524" stopIfTrue="1" operator="equal">
      <formula>"2 Add"</formula>
    </cfRule>
  </conditionalFormatting>
  <conditionalFormatting sqref="C176">
    <cfRule type="cellIs" dxfId="2832" priority="525" stopIfTrue="1" operator="equal">
      <formula>"3 Delete"</formula>
    </cfRule>
  </conditionalFormatting>
  <conditionalFormatting sqref="C177">
    <cfRule type="cellIs" dxfId="2831" priority="526" stopIfTrue="1" operator="equal">
      <formula>"1 Modify"</formula>
    </cfRule>
  </conditionalFormatting>
  <conditionalFormatting sqref="C177">
    <cfRule type="cellIs" dxfId="2830" priority="527" stopIfTrue="1" operator="equal">
      <formula>"2 Add"</formula>
    </cfRule>
  </conditionalFormatting>
  <conditionalFormatting sqref="C177">
    <cfRule type="cellIs" dxfId="2829" priority="528" stopIfTrue="1" operator="equal">
      <formula>"3 Delete"</formula>
    </cfRule>
  </conditionalFormatting>
  <conditionalFormatting sqref="C178">
    <cfRule type="cellIs" dxfId="2828" priority="529" stopIfTrue="1" operator="equal">
      <formula>"1 Modify"</formula>
    </cfRule>
  </conditionalFormatting>
  <conditionalFormatting sqref="C178">
    <cfRule type="cellIs" dxfId="2827" priority="530" stopIfTrue="1" operator="equal">
      <formula>"2 Add"</formula>
    </cfRule>
  </conditionalFormatting>
  <conditionalFormatting sqref="C178">
    <cfRule type="cellIs" dxfId="2826" priority="531" stopIfTrue="1" operator="equal">
      <formula>"3 Delete"</formula>
    </cfRule>
  </conditionalFormatting>
  <conditionalFormatting sqref="C179">
    <cfRule type="cellIs" dxfId="2825" priority="532" stopIfTrue="1" operator="equal">
      <formula>"1 Modify"</formula>
    </cfRule>
  </conditionalFormatting>
  <conditionalFormatting sqref="C179">
    <cfRule type="cellIs" dxfId="2824" priority="533" stopIfTrue="1" operator="equal">
      <formula>"2 Add"</formula>
    </cfRule>
  </conditionalFormatting>
  <conditionalFormatting sqref="C179">
    <cfRule type="cellIs" dxfId="2823" priority="534" stopIfTrue="1" operator="equal">
      <formula>"3 Delete"</formula>
    </cfRule>
  </conditionalFormatting>
  <conditionalFormatting sqref="C180">
    <cfRule type="cellIs" dxfId="2822" priority="535" stopIfTrue="1" operator="equal">
      <formula>"1 Modify"</formula>
    </cfRule>
  </conditionalFormatting>
  <conditionalFormatting sqref="C180">
    <cfRule type="cellIs" dxfId="2821" priority="536" stopIfTrue="1" operator="equal">
      <formula>"2 Add"</formula>
    </cfRule>
  </conditionalFormatting>
  <conditionalFormatting sqref="C180">
    <cfRule type="cellIs" dxfId="2820" priority="537" stopIfTrue="1" operator="equal">
      <formula>"3 Delete"</formula>
    </cfRule>
  </conditionalFormatting>
  <conditionalFormatting sqref="C181">
    <cfRule type="cellIs" dxfId="2819" priority="538" stopIfTrue="1" operator="equal">
      <formula>"1 Modify"</formula>
    </cfRule>
  </conditionalFormatting>
  <conditionalFormatting sqref="C181">
    <cfRule type="cellIs" dxfId="2818" priority="539" stopIfTrue="1" operator="equal">
      <formula>"2 Add"</formula>
    </cfRule>
  </conditionalFormatting>
  <conditionalFormatting sqref="C181">
    <cfRule type="cellIs" dxfId="2817" priority="540" stopIfTrue="1" operator="equal">
      <formula>"3 Delete"</formula>
    </cfRule>
  </conditionalFormatting>
  <conditionalFormatting sqref="C182">
    <cfRule type="cellIs" dxfId="2816" priority="541" stopIfTrue="1" operator="equal">
      <formula>"1 Modify"</formula>
    </cfRule>
  </conditionalFormatting>
  <conditionalFormatting sqref="C182">
    <cfRule type="cellIs" dxfId="2815" priority="542" stopIfTrue="1" operator="equal">
      <formula>"2 Add"</formula>
    </cfRule>
  </conditionalFormatting>
  <conditionalFormatting sqref="C182">
    <cfRule type="cellIs" dxfId="2814" priority="543" stopIfTrue="1" operator="equal">
      <formula>"3 Delete"</formula>
    </cfRule>
  </conditionalFormatting>
  <conditionalFormatting sqref="C183">
    <cfRule type="cellIs" dxfId="2813" priority="544" stopIfTrue="1" operator="equal">
      <formula>"1 Modify"</formula>
    </cfRule>
  </conditionalFormatting>
  <conditionalFormatting sqref="C183">
    <cfRule type="cellIs" dxfId="2812" priority="545" stopIfTrue="1" operator="equal">
      <formula>"2 Add"</formula>
    </cfRule>
  </conditionalFormatting>
  <conditionalFormatting sqref="C183">
    <cfRule type="cellIs" dxfId="2811" priority="546" stopIfTrue="1" operator="equal">
      <formula>"3 Delete"</formula>
    </cfRule>
  </conditionalFormatting>
  <conditionalFormatting sqref="C184">
    <cfRule type="cellIs" dxfId="2810" priority="547" stopIfTrue="1" operator="equal">
      <formula>"1 Modify"</formula>
    </cfRule>
  </conditionalFormatting>
  <conditionalFormatting sqref="C184">
    <cfRule type="cellIs" dxfId="2809" priority="548" stopIfTrue="1" operator="equal">
      <formula>"2 Add"</formula>
    </cfRule>
  </conditionalFormatting>
  <conditionalFormatting sqref="C184">
    <cfRule type="cellIs" dxfId="2808" priority="549" stopIfTrue="1" operator="equal">
      <formula>"3 Delete"</formula>
    </cfRule>
  </conditionalFormatting>
  <conditionalFormatting sqref="C185">
    <cfRule type="cellIs" dxfId="2807" priority="550" stopIfTrue="1" operator="equal">
      <formula>"1 Modify"</formula>
    </cfRule>
  </conditionalFormatting>
  <conditionalFormatting sqref="C185">
    <cfRule type="cellIs" dxfId="2806" priority="551" stopIfTrue="1" operator="equal">
      <formula>"2 Add"</formula>
    </cfRule>
  </conditionalFormatting>
  <conditionalFormatting sqref="C185">
    <cfRule type="cellIs" dxfId="2805" priority="552" stopIfTrue="1" operator="equal">
      <formula>"3 Delete"</formula>
    </cfRule>
  </conditionalFormatting>
  <conditionalFormatting sqref="C186">
    <cfRule type="cellIs" dxfId="2804" priority="553" stopIfTrue="1" operator="equal">
      <formula>"1 Modify"</formula>
    </cfRule>
  </conditionalFormatting>
  <conditionalFormatting sqref="C186">
    <cfRule type="cellIs" dxfId="2803" priority="554" stopIfTrue="1" operator="equal">
      <formula>"2 Add"</formula>
    </cfRule>
  </conditionalFormatting>
  <conditionalFormatting sqref="C186">
    <cfRule type="cellIs" dxfId="2802" priority="555" stopIfTrue="1" operator="equal">
      <formula>"3 Delete"</formula>
    </cfRule>
  </conditionalFormatting>
  <conditionalFormatting sqref="C187">
    <cfRule type="cellIs" dxfId="2801" priority="556" stopIfTrue="1" operator="equal">
      <formula>"1 Modify"</formula>
    </cfRule>
  </conditionalFormatting>
  <conditionalFormatting sqref="C187">
    <cfRule type="cellIs" dxfId="2800" priority="557" stopIfTrue="1" operator="equal">
      <formula>"2 Add"</formula>
    </cfRule>
  </conditionalFormatting>
  <conditionalFormatting sqref="C187">
    <cfRule type="cellIs" dxfId="2799" priority="558" stopIfTrue="1" operator="equal">
      <formula>"3 Delete"</formula>
    </cfRule>
  </conditionalFormatting>
  <conditionalFormatting sqref="C188">
    <cfRule type="cellIs" dxfId="2798" priority="559" stopIfTrue="1" operator="equal">
      <formula>"1 Modify"</formula>
    </cfRule>
  </conditionalFormatting>
  <conditionalFormatting sqref="C188">
    <cfRule type="cellIs" dxfId="2797" priority="560" stopIfTrue="1" operator="equal">
      <formula>"2 Add"</formula>
    </cfRule>
  </conditionalFormatting>
  <conditionalFormatting sqref="C188">
    <cfRule type="cellIs" dxfId="2796" priority="561" stopIfTrue="1" operator="equal">
      <formula>"3 Delete"</formula>
    </cfRule>
  </conditionalFormatting>
  <conditionalFormatting sqref="C189">
    <cfRule type="cellIs" dxfId="2795" priority="562" stopIfTrue="1" operator="equal">
      <formula>"1 Modify"</formula>
    </cfRule>
  </conditionalFormatting>
  <conditionalFormatting sqref="C189">
    <cfRule type="cellIs" dxfId="2794" priority="563" stopIfTrue="1" operator="equal">
      <formula>"2 Add"</formula>
    </cfRule>
  </conditionalFormatting>
  <conditionalFormatting sqref="C189">
    <cfRule type="cellIs" dxfId="2793" priority="564" stopIfTrue="1" operator="equal">
      <formula>"3 Delete"</formula>
    </cfRule>
  </conditionalFormatting>
  <conditionalFormatting sqref="C190">
    <cfRule type="cellIs" dxfId="2792" priority="565" stopIfTrue="1" operator="equal">
      <formula>"1 Modify"</formula>
    </cfRule>
  </conditionalFormatting>
  <conditionalFormatting sqref="C190">
    <cfRule type="cellIs" dxfId="2791" priority="566" stopIfTrue="1" operator="equal">
      <formula>"2 Add"</formula>
    </cfRule>
  </conditionalFormatting>
  <conditionalFormatting sqref="C190">
    <cfRule type="cellIs" dxfId="2790" priority="567" stopIfTrue="1" operator="equal">
      <formula>"3 Delete"</formula>
    </cfRule>
  </conditionalFormatting>
  <conditionalFormatting sqref="C191">
    <cfRule type="cellIs" dxfId="2789" priority="568" stopIfTrue="1" operator="equal">
      <formula>"1 Modify"</formula>
    </cfRule>
  </conditionalFormatting>
  <conditionalFormatting sqref="C191">
    <cfRule type="cellIs" dxfId="2788" priority="569" stopIfTrue="1" operator="equal">
      <formula>"2 Add"</formula>
    </cfRule>
  </conditionalFormatting>
  <conditionalFormatting sqref="C191">
    <cfRule type="cellIs" dxfId="2787" priority="570" stopIfTrue="1" operator="equal">
      <formula>"3 Delete"</formula>
    </cfRule>
  </conditionalFormatting>
  <conditionalFormatting sqref="C192">
    <cfRule type="cellIs" dxfId="2786" priority="571" stopIfTrue="1" operator="equal">
      <formula>"1 Modify"</formula>
    </cfRule>
  </conditionalFormatting>
  <conditionalFormatting sqref="C192">
    <cfRule type="cellIs" dxfId="2785" priority="572" stopIfTrue="1" operator="equal">
      <formula>"2 Add"</formula>
    </cfRule>
  </conditionalFormatting>
  <conditionalFormatting sqref="C192">
    <cfRule type="cellIs" dxfId="2784" priority="573" stopIfTrue="1" operator="equal">
      <formula>"3 Delete"</formula>
    </cfRule>
  </conditionalFormatting>
  <conditionalFormatting sqref="C193">
    <cfRule type="cellIs" dxfId="2783" priority="574" stopIfTrue="1" operator="equal">
      <formula>"1 Modify"</formula>
    </cfRule>
  </conditionalFormatting>
  <conditionalFormatting sqref="C193">
    <cfRule type="cellIs" dxfId="2782" priority="575" stopIfTrue="1" operator="equal">
      <formula>"2 Add"</formula>
    </cfRule>
  </conditionalFormatting>
  <conditionalFormatting sqref="C193">
    <cfRule type="cellIs" dxfId="2781" priority="576" stopIfTrue="1" operator="equal">
      <formula>"3 Delete"</formula>
    </cfRule>
  </conditionalFormatting>
  <conditionalFormatting sqref="C194">
    <cfRule type="cellIs" dxfId="2780" priority="577" stopIfTrue="1" operator="equal">
      <formula>"1 Modify"</formula>
    </cfRule>
  </conditionalFormatting>
  <conditionalFormatting sqref="C194">
    <cfRule type="cellIs" dxfId="2779" priority="578" stopIfTrue="1" operator="equal">
      <formula>"2 Add"</formula>
    </cfRule>
  </conditionalFormatting>
  <conditionalFormatting sqref="C194">
    <cfRule type="cellIs" dxfId="2778" priority="579" stopIfTrue="1" operator="equal">
      <formula>"3 Delete"</formula>
    </cfRule>
  </conditionalFormatting>
  <conditionalFormatting sqref="C195">
    <cfRule type="cellIs" dxfId="2777" priority="580" stopIfTrue="1" operator="equal">
      <formula>"1 Modify"</formula>
    </cfRule>
  </conditionalFormatting>
  <conditionalFormatting sqref="C195">
    <cfRule type="cellIs" dxfId="2776" priority="581" stopIfTrue="1" operator="equal">
      <formula>"2 Add"</formula>
    </cfRule>
  </conditionalFormatting>
  <conditionalFormatting sqref="C195">
    <cfRule type="cellIs" dxfId="2775" priority="582" stopIfTrue="1" operator="equal">
      <formula>"3 Delete"</formula>
    </cfRule>
  </conditionalFormatting>
  <conditionalFormatting sqref="C196">
    <cfRule type="cellIs" dxfId="2774" priority="583" stopIfTrue="1" operator="equal">
      <formula>"1 Modify"</formula>
    </cfRule>
  </conditionalFormatting>
  <conditionalFormatting sqref="C196">
    <cfRule type="cellIs" dxfId="2773" priority="584" stopIfTrue="1" operator="equal">
      <formula>"2 Add"</formula>
    </cfRule>
  </conditionalFormatting>
  <conditionalFormatting sqref="C196">
    <cfRule type="cellIs" dxfId="2772" priority="585" stopIfTrue="1" operator="equal">
      <formula>"3 Delete"</formula>
    </cfRule>
  </conditionalFormatting>
  <conditionalFormatting sqref="C197">
    <cfRule type="cellIs" dxfId="2771" priority="586" stopIfTrue="1" operator="equal">
      <formula>"1 Modify"</formula>
    </cfRule>
  </conditionalFormatting>
  <conditionalFormatting sqref="C197">
    <cfRule type="cellIs" dxfId="2770" priority="587" stopIfTrue="1" operator="equal">
      <formula>"2 Add"</formula>
    </cfRule>
  </conditionalFormatting>
  <conditionalFormatting sqref="C197">
    <cfRule type="cellIs" dxfId="2769" priority="588" stopIfTrue="1" operator="equal">
      <formula>"3 Delete"</formula>
    </cfRule>
  </conditionalFormatting>
  <conditionalFormatting sqref="C198">
    <cfRule type="cellIs" dxfId="2768" priority="589" stopIfTrue="1" operator="equal">
      <formula>"1 Modify"</formula>
    </cfRule>
  </conditionalFormatting>
  <conditionalFormatting sqref="C198">
    <cfRule type="cellIs" dxfId="2767" priority="590" stopIfTrue="1" operator="equal">
      <formula>"2 Add"</formula>
    </cfRule>
  </conditionalFormatting>
  <conditionalFormatting sqref="C198">
    <cfRule type="cellIs" dxfId="2766" priority="591" stopIfTrue="1" operator="equal">
      <formula>"3 Delete"</formula>
    </cfRule>
  </conditionalFormatting>
  <conditionalFormatting sqref="C199">
    <cfRule type="cellIs" dxfId="2765" priority="592" stopIfTrue="1" operator="equal">
      <formula>"1 Modify"</formula>
    </cfRule>
  </conditionalFormatting>
  <conditionalFormatting sqref="C199">
    <cfRule type="cellIs" dxfId="2764" priority="593" stopIfTrue="1" operator="equal">
      <formula>"2 Add"</formula>
    </cfRule>
  </conditionalFormatting>
  <conditionalFormatting sqref="C199">
    <cfRule type="cellIs" dxfId="2763" priority="594" stopIfTrue="1" operator="equal">
      <formula>"3 Delete"</formula>
    </cfRule>
  </conditionalFormatting>
  <conditionalFormatting sqref="C200">
    <cfRule type="cellIs" dxfId="2762" priority="595" stopIfTrue="1" operator="equal">
      <formula>"1 Modify"</formula>
    </cfRule>
  </conditionalFormatting>
  <conditionalFormatting sqref="C200">
    <cfRule type="cellIs" dxfId="2761" priority="596" stopIfTrue="1" operator="equal">
      <formula>"2 Add"</formula>
    </cfRule>
  </conditionalFormatting>
  <conditionalFormatting sqref="C200">
    <cfRule type="cellIs" dxfId="2760" priority="597" stopIfTrue="1" operator="equal">
      <formula>"3 Delete"</formula>
    </cfRule>
  </conditionalFormatting>
  <conditionalFormatting sqref="C201">
    <cfRule type="cellIs" dxfId="2759" priority="598" stopIfTrue="1" operator="equal">
      <formula>"1 Modify"</formula>
    </cfRule>
  </conditionalFormatting>
  <conditionalFormatting sqref="C201">
    <cfRule type="cellIs" dxfId="2758" priority="599" stopIfTrue="1" operator="equal">
      <formula>"2 Add"</formula>
    </cfRule>
  </conditionalFormatting>
  <conditionalFormatting sqref="C201">
    <cfRule type="cellIs" dxfId="2757" priority="600" stopIfTrue="1" operator="equal">
      <formula>"3 Delete"</formula>
    </cfRule>
  </conditionalFormatting>
  <conditionalFormatting sqref="C202">
    <cfRule type="cellIs" dxfId="2756" priority="601" stopIfTrue="1" operator="equal">
      <formula>"1 Modify"</formula>
    </cfRule>
  </conditionalFormatting>
  <conditionalFormatting sqref="C202">
    <cfRule type="cellIs" dxfId="2755" priority="602" stopIfTrue="1" operator="equal">
      <formula>"2 Add"</formula>
    </cfRule>
  </conditionalFormatting>
  <conditionalFormatting sqref="C202">
    <cfRule type="cellIs" dxfId="2754" priority="603" stopIfTrue="1" operator="equal">
      <formula>"3 Delete"</formula>
    </cfRule>
  </conditionalFormatting>
  <conditionalFormatting sqref="C203">
    <cfRule type="cellIs" dxfId="2753" priority="604" stopIfTrue="1" operator="equal">
      <formula>"1 Modify"</formula>
    </cfRule>
  </conditionalFormatting>
  <conditionalFormatting sqref="C203">
    <cfRule type="cellIs" dxfId="2752" priority="605" stopIfTrue="1" operator="equal">
      <formula>"2 Add"</formula>
    </cfRule>
  </conditionalFormatting>
  <conditionalFormatting sqref="C203">
    <cfRule type="cellIs" dxfId="2751" priority="606" stopIfTrue="1" operator="equal">
      <formula>"3 Delete"</formula>
    </cfRule>
  </conditionalFormatting>
  <conditionalFormatting sqref="C204">
    <cfRule type="cellIs" dxfId="2750" priority="607" stopIfTrue="1" operator="equal">
      <formula>"1 Modify"</formula>
    </cfRule>
  </conditionalFormatting>
  <conditionalFormatting sqref="C204">
    <cfRule type="cellIs" dxfId="2749" priority="608" stopIfTrue="1" operator="equal">
      <formula>"2 Add"</formula>
    </cfRule>
  </conditionalFormatting>
  <conditionalFormatting sqref="C204">
    <cfRule type="cellIs" dxfId="2748" priority="609" stopIfTrue="1" operator="equal">
      <formula>"3 Delete"</formula>
    </cfRule>
  </conditionalFormatting>
  <conditionalFormatting sqref="C205">
    <cfRule type="cellIs" dxfId="2747" priority="610" stopIfTrue="1" operator="equal">
      <formula>"1 Modify"</formula>
    </cfRule>
  </conditionalFormatting>
  <conditionalFormatting sqref="C205">
    <cfRule type="cellIs" dxfId="2746" priority="611" stopIfTrue="1" operator="equal">
      <formula>"2 Add"</formula>
    </cfRule>
  </conditionalFormatting>
  <conditionalFormatting sqref="C205">
    <cfRule type="cellIs" dxfId="2745" priority="612" stopIfTrue="1" operator="equal">
      <formula>"3 Delete"</formula>
    </cfRule>
  </conditionalFormatting>
  <conditionalFormatting sqref="C206">
    <cfRule type="cellIs" dxfId="2744" priority="613" stopIfTrue="1" operator="equal">
      <formula>"1 Modify"</formula>
    </cfRule>
  </conditionalFormatting>
  <conditionalFormatting sqref="C206">
    <cfRule type="cellIs" dxfId="2743" priority="614" stopIfTrue="1" operator="equal">
      <formula>"2 Add"</formula>
    </cfRule>
  </conditionalFormatting>
  <conditionalFormatting sqref="C206">
    <cfRule type="cellIs" dxfId="2742" priority="615" stopIfTrue="1" operator="equal">
      <formula>"3 Delete"</formula>
    </cfRule>
  </conditionalFormatting>
  <conditionalFormatting sqref="C207">
    <cfRule type="cellIs" dxfId="2741" priority="616" stopIfTrue="1" operator="equal">
      <formula>"1 Modify"</formula>
    </cfRule>
  </conditionalFormatting>
  <conditionalFormatting sqref="C207">
    <cfRule type="cellIs" dxfId="2740" priority="617" stopIfTrue="1" operator="equal">
      <formula>"2 Add"</formula>
    </cfRule>
  </conditionalFormatting>
  <conditionalFormatting sqref="C207">
    <cfRule type="cellIs" dxfId="2739" priority="618" stopIfTrue="1" operator="equal">
      <formula>"3 Delete"</formula>
    </cfRule>
  </conditionalFormatting>
  <conditionalFormatting sqref="C208">
    <cfRule type="cellIs" dxfId="2738" priority="619" stopIfTrue="1" operator="equal">
      <formula>"1 Modify"</formula>
    </cfRule>
  </conditionalFormatting>
  <conditionalFormatting sqref="C208">
    <cfRule type="cellIs" dxfId="2737" priority="620" stopIfTrue="1" operator="equal">
      <formula>"2 Add"</formula>
    </cfRule>
  </conditionalFormatting>
  <conditionalFormatting sqref="C208">
    <cfRule type="cellIs" dxfId="2736" priority="621" stopIfTrue="1" operator="equal">
      <formula>"3 Delete"</formula>
    </cfRule>
  </conditionalFormatting>
  <conditionalFormatting sqref="C209">
    <cfRule type="cellIs" dxfId="2735" priority="622" stopIfTrue="1" operator="equal">
      <formula>"1 Modify"</formula>
    </cfRule>
  </conditionalFormatting>
  <conditionalFormatting sqref="C209">
    <cfRule type="cellIs" dxfId="2734" priority="623" stopIfTrue="1" operator="equal">
      <formula>"2 Add"</formula>
    </cfRule>
  </conditionalFormatting>
  <conditionalFormatting sqref="C209">
    <cfRule type="cellIs" dxfId="2733" priority="624" stopIfTrue="1" operator="equal">
      <formula>"3 Delete"</formula>
    </cfRule>
  </conditionalFormatting>
  <conditionalFormatting sqref="C210">
    <cfRule type="cellIs" dxfId="2732" priority="625" stopIfTrue="1" operator="equal">
      <formula>"1 Modify"</formula>
    </cfRule>
  </conditionalFormatting>
  <conditionalFormatting sqref="C210">
    <cfRule type="cellIs" dxfId="2731" priority="626" stopIfTrue="1" operator="equal">
      <formula>"2 Add"</formula>
    </cfRule>
  </conditionalFormatting>
  <conditionalFormatting sqref="C210">
    <cfRule type="cellIs" dxfId="2730" priority="627" stopIfTrue="1" operator="equal">
      <formula>"3 Delete"</formula>
    </cfRule>
  </conditionalFormatting>
  <conditionalFormatting sqref="C211">
    <cfRule type="cellIs" dxfId="2729" priority="628" stopIfTrue="1" operator="equal">
      <formula>"1 Modify"</formula>
    </cfRule>
  </conditionalFormatting>
  <conditionalFormatting sqref="C211">
    <cfRule type="cellIs" dxfId="2728" priority="629" stopIfTrue="1" operator="equal">
      <formula>"2 Add"</formula>
    </cfRule>
  </conditionalFormatting>
  <conditionalFormatting sqref="C211">
    <cfRule type="cellIs" dxfId="2727" priority="630" stopIfTrue="1" operator="equal">
      <formula>"3 Delete"</formula>
    </cfRule>
  </conditionalFormatting>
  <conditionalFormatting sqref="C212">
    <cfRule type="cellIs" dxfId="2726" priority="631" stopIfTrue="1" operator="equal">
      <formula>"1 Modify"</formula>
    </cfRule>
  </conditionalFormatting>
  <conditionalFormatting sqref="C212">
    <cfRule type="cellIs" dxfId="2725" priority="632" stopIfTrue="1" operator="equal">
      <formula>"2 Add"</formula>
    </cfRule>
  </conditionalFormatting>
  <conditionalFormatting sqref="C212">
    <cfRule type="cellIs" dxfId="2724" priority="633" stopIfTrue="1" operator="equal">
      <formula>"3 Delete"</formula>
    </cfRule>
  </conditionalFormatting>
  <conditionalFormatting sqref="C213">
    <cfRule type="cellIs" dxfId="2723" priority="634" stopIfTrue="1" operator="equal">
      <formula>"1 Modify"</formula>
    </cfRule>
  </conditionalFormatting>
  <conditionalFormatting sqref="C213">
    <cfRule type="cellIs" dxfId="2722" priority="635" stopIfTrue="1" operator="equal">
      <formula>"2 Add"</formula>
    </cfRule>
  </conditionalFormatting>
  <conditionalFormatting sqref="C213">
    <cfRule type="cellIs" dxfId="2721" priority="636" stopIfTrue="1" operator="equal">
      <formula>"3 Delete"</formula>
    </cfRule>
  </conditionalFormatting>
  <conditionalFormatting sqref="C214">
    <cfRule type="cellIs" dxfId="2720" priority="637" stopIfTrue="1" operator="equal">
      <formula>"1 Modify"</formula>
    </cfRule>
  </conditionalFormatting>
  <conditionalFormatting sqref="C214">
    <cfRule type="cellIs" dxfId="2719" priority="638" stopIfTrue="1" operator="equal">
      <formula>"2 Add"</formula>
    </cfRule>
  </conditionalFormatting>
  <conditionalFormatting sqref="C214">
    <cfRule type="cellIs" dxfId="2718" priority="639" stopIfTrue="1" operator="equal">
      <formula>"3 Delete"</formula>
    </cfRule>
  </conditionalFormatting>
  <conditionalFormatting sqref="C215">
    <cfRule type="cellIs" dxfId="2717" priority="640" stopIfTrue="1" operator="equal">
      <formula>"1 Modify"</formula>
    </cfRule>
  </conditionalFormatting>
  <conditionalFormatting sqref="C215">
    <cfRule type="cellIs" dxfId="2716" priority="641" stopIfTrue="1" operator="equal">
      <formula>"2 Add"</formula>
    </cfRule>
  </conditionalFormatting>
  <conditionalFormatting sqref="C215">
    <cfRule type="cellIs" dxfId="2715" priority="642" stopIfTrue="1" operator="equal">
      <formula>"3 Delete"</formula>
    </cfRule>
  </conditionalFormatting>
  <conditionalFormatting sqref="C216">
    <cfRule type="cellIs" dxfId="2714" priority="643" stopIfTrue="1" operator="equal">
      <formula>"1 Modify"</formula>
    </cfRule>
  </conditionalFormatting>
  <conditionalFormatting sqref="C216">
    <cfRule type="cellIs" dxfId="2713" priority="644" stopIfTrue="1" operator="equal">
      <formula>"2 Add"</formula>
    </cfRule>
  </conditionalFormatting>
  <conditionalFormatting sqref="C216">
    <cfRule type="cellIs" dxfId="2712" priority="645" stopIfTrue="1" operator="equal">
      <formula>"3 Delete"</formula>
    </cfRule>
  </conditionalFormatting>
  <conditionalFormatting sqref="C217">
    <cfRule type="cellIs" dxfId="2711" priority="646" stopIfTrue="1" operator="equal">
      <formula>"1 Modify"</formula>
    </cfRule>
  </conditionalFormatting>
  <conditionalFormatting sqref="C217">
    <cfRule type="cellIs" dxfId="2710" priority="647" stopIfTrue="1" operator="equal">
      <formula>"2 Add"</formula>
    </cfRule>
  </conditionalFormatting>
  <conditionalFormatting sqref="C217">
    <cfRule type="cellIs" dxfId="2709" priority="648" stopIfTrue="1" operator="equal">
      <formula>"3 Delete"</formula>
    </cfRule>
  </conditionalFormatting>
  <conditionalFormatting sqref="C218">
    <cfRule type="cellIs" dxfId="2708" priority="649" stopIfTrue="1" operator="equal">
      <formula>"1 Modify"</formula>
    </cfRule>
  </conditionalFormatting>
  <conditionalFormatting sqref="C218">
    <cfRule type="cellIs" dxfId="2707" priority="650" stopIfTrue="1" operator="equal">
      <formula>"2 Add"</formula>
    </cfRule>
  </conditionalFormatting>
  <conditionalFormatting sqref="C218">
    <cfRule type="cellIs" dxfId="2706" priority="651" stopIfTrue="1" operator="equal">
      <formula>"3 Delete"</formula>
    </cfRule>
  </conditionalFormatting>
  <conditionalFormatting sqref="C219">
    <cfRule type="cellIs" dxfId="2705" priority="652" stopIfTrue="1" operator="equal">
      <formula>"1 Modify"</formula>
    </cfRule>
  </conditionalFormatting>
  <conditionalFormatting sqref="C219">
    <cfRule type="cellIs" dxfId="2704" priority="653" stopIfTrue="1" operator="equal">
      <formula>"2 Add"</formula>
    </cfRule>
  </conditionalFormatting>
  <conditionalFormatting sqref="C219">
    <cfRule type="cellIs" dxfId="2703" priority="654" stopIfTrue="1" operator="equal">
      <formula>"3 Delete"</formula>
    </cfRule>
  </conditionalFormatting>
  <conditionalFormatting sqref="C220">
    <cfRule type="cellIs" dxfId="2702" priority="655" stopIfTrue="1" operator="equal">
      <formula>"1 Modify"</formula>
    </cfRule>
  </conditionalFormatting>
  <conditionalFormatting sqref="C220">
    <cfRule type="cellIs" dxfId="2701" priority="656" stopIfTrue="1" operator="equal">
      <formula>"2 Add"</formula>
    </cfRule>
  </conditionalFormatting>
  <conditionalFormatting sqref="C220">
    <cfRule type="cellIs" dxfId="2700" priority="657" stopIfTrue="1" operator="equal">
      <formula>"3 Delete"</formula>
    </cfRule>
  </conditionalFormatting>
  <conditionalFormatting sqref="C221">
    <cfRule type="cellIs" dxfId="2699" priority="658" stopIfTrue="1" operator="equal">
      <formula>"1 Modify"</formula>
    </cfRule>
  </conditionalFormatting>
  <conditionalFormatting sqref="C221">
    <cfRule type="cellIs" dxfId="2698" priority="659" stopIfTrue="1" operator="equal">
      <formula>"2 Add"</formula>
    </cfRule>
  </conditionalFormatting>
  <conditionalFormatting sqref="C221">
    <cfRule type="cellIs" dxfId="2697" priority="660" stopIfTrue="1" operator="equal">
      <formula>"3 Delete"</formula>
    </cfRule>
  </conditionalFormatting>
  <conditionalFormatting sqref="C222">
    <cfRule type="cellIs" dxfId="2696" priority="661" stopIfTrue="1" operator="equal">
      <formula>"1 Modify"</formula>
    </cfRule>
  </conditionalFormatting>
  <conditionalFormatting sqref="C222">
    <cfRule type="cellIs" dxfId="2695" priority="662" stopIfTrue="1" operator="equal">
      <formula>"2 Add"</formula>
    </cfRule>
  </conditionalFormatting>
  <conditionalFormatting sqref="C222">
    <cfRule type="cellIs" dxfId="2694" priority="663" stopIfTrue="1" operator="equal">
      <formula>"3 Delete"</formula>
    </cfRule>
  </conditionalFormatting>
  <conditionalFormatting sqref="C223">
    <cfRule type="cellIs" dxfId="2693" priority="664" stopIfTrue="1" operator="equal">
      <formula>"1 Modify"</formula>
    </cfRule>
  </conditionalFormatting>
  <conditionalFormatting sqref="C223">
    <cfRule type="cellIs" dxfId="2692" priority="665" stopIfTrue="1" operator="equal">
      <formula>"2 Add"</formula>
    </cfRule>
  </conditionalFormatting>
  <conditionalFormatting sqref="C223">
    <cfRule type="cellIs" dxfId="2691" priority="666" stopIfTrue="1" operator="equal">
      <formula>"3 Delete"</formula>
    </cfRule>
  </conditionalFormatting>
  <conditionalFormatting sqref="C224">
    <cfRule type="cellIs" dxfId="2690" priority="667" stopIfTrue="1" operator="equal">
      <formula>"1 Modify"</formula>
    </cfRule>
  </conditionalFormatting>
  <conditionalFormatting sqref="C224">
    <cfRule type="cellIs" dxfId="2689" priority="668" stopIfTrue="1" operator="equal">
      <formula>"2 Add"</formula>
    </cfRule>
  </conditionalFormatting>
  <conditionalFormatting sqref="C224">
    <cfRule type="cellIs" dxfId="2688" priority="669" stopIfTrue="1" operator="equal">
      <formula>"3 Delete"</formula>
    </cfRule>
  </conditionalFormatting>
  <conditionalFormatting sqref="C225">
    <cfRule type="cellIs" dxfId="2687" priority="670" stopIfTrue="1" operator="equal">
      <formula>"1 Modify"</formula>
    </cfRule>
  </conditionalFormatting>
  <conditionalFormatting sqref="C225">
    <cfRule type="cellIs" dxfId="2686" priority="671" stopIfTrue="1" operator="equal">
      <formula>"2 Add"</formula>
    </cfRule>
  </conditionalFormatting>
  <conditionalFormatting sqref="C225">
    <cfRule type="cellIs" dxfId="2685" priority="672" stopIfTrue="1" operator="equal">
      <formula>"3 Delete"</formula>
    </cfRule>
  </conditionalFormatting>
  <conditionalFormatting sqref="C226">
    <cfRule type="cellIs" dxfId="2684" priority="673" stopIfTrue="1" operator="equal">
      <formula>"1 Modify"</formula>
    </cfRule>
  </conditionalFormatting>
  <conditionalFormatting sqref="C226">
    <cfRule type="cellIs" dxfId="2683" priority="674" stopIfTrue="1" operator="equal">
      <formula>"2 Add"</formula>
    </cfRule>
  </conditionalFormatting>
  <conditionalFormatting sqref="C226">
    <cfRule type="cellIs" dxfId="2682" priority="675" stopIfTrue="1" operator="equal">
      <formula>"3 Delete"</formula>
    </cfRule>
  </conditionalFormatting>
  <conditionalFormatting sqref="C227">
    <cfRule type="cellIs" dxfId="2681" priority="676" stopIfTrue="1" operator="equal">
      <formula>"1 Modify"</formula>
    </cfRule>
  </conditionalFormatting>
  <conditionalFormatting sqref="C227">
    <cfRule type="cellIs" dxfId="2680" priority="677" stopIfTrue="1" operator="equal">
      <formula>"2 Add"</formula>
    </cfRule>
  </conditionalFormatting>
  <conditionalFormatting sqref="C227">
    <cfRule type="cellIs" dxfId="2679" priority="678" stopIfTrue="1" operator="equal">
      <formula>"3 Delete"</formula>
    </cfRule>
  </conditionalFormatting>
  <conditionalFormatting sqref="C228">
    <cfRule type="cellIs" dxfId="2678" priority="679" stopIfTrue="1" operator="equal">
      <formula>"1 Modify"</formula>
    </cfRule>
  </conditionalFormatting>
  <conditionalFormatting sqref="C228">
    <cfRule type="cellIs" dxfId="2677" priority="680" stopIfTrue="1" operator="equal">
      <formula>"2 Add"</formula>
    </cfRule>
  </conditionalFormatting>
  <conditionalFormatting sqref="C228">
    <cfRule type="cellIs" dxfId="2676" priority="681" stopIfTrue="1" operator="equal">
      <formula>"3 Delete"</formula>
    </cfRule>
  </conditionalFormatting>
  <conditionalFormatting sqref="C229">
    <cfRule type="cellIs" dxfId="2675" priority="682" stopIfTrue="1" operator="equal">
      <formula>"1 Modify"</formula>
    </cfRule>
  </conditionalFormatting>
  <conditionalFormatting sqref="C229">
    <cfRule type="cellIs" dxfId="2674" priority="683" stopIfTrue="1" operator="equal">
      <formula>"2 Add"</formula>
    </cfRule>
  </conditionalFormatting>
  <conditionalFormatting sqref="C229">
    <cfRule type="cellIs" dxfId="2673" priority="684" stopIfTrue="1" operator="equal">
      <formula>"3 Delete"</formula>
    </cfRule>
  </conditionalFormatting>
  <conditionalFormatting sqref="C230">
    <cfRule type="cellIs" dxfId="2672" priority="685" stopIfTrue="1" operator="equal">
      <formula>"1 Modify"</formula>
    </cfRule>
  </conditionalFormatting>
  <conditionalFormatting sqref="C230">
    <cfRule type="cellIs" dxfId="2671" priority="686" stopIfTrue="1" operator="equal">
      <formula>"2 Add"</formula>
    </cfRule>
  </conditionalFormatting>
  <conditionalFormatting sqref="C230">
    <cfRule type="cellIs" dxfId="2670" priority="687" stopIfTrue="1" operator="equal">
      <formula>"3 Delete"</formula>
    </cfRule>
  </conditionalFormatting>
  <conditionalFormatting sqref="C231">
    <cfRule type="cellIs" dxfId="2669" priority="688" stopIfTrue="1" operator="equal">
      <formula>"1 Modify"</formula>
    </cfRule>
  </conditionalFormatting>
  <conditionalFormatting sqref="C231">
    <cfRule type="cellIs" dxfId="2668" priority="689" stopIfTrue="1" operator="equal">
      <formula>"2 Add"</formula>
    </cfRule>
  </conditionalFormatting>
  <conditionalFormatting sqref="C231">
    <cfRule type="cellIs" dxfId="2667" priority="690" stopIfTrue="1" operator="equal">
      <formula>"3 Delete"</formula>
    </cfRule>
  </conditionalFormatting>
  <conditionalFormatting sqref="C232">
    <cfRule type="cellIs" dxfId="2666" priority="691" stopIfTrue="1" operator="equal">
      <formula>"1 Modify"</formula>
    </cfRule>
  </conditionalFormatting>
  <conditionalFormatting sqref="C232">
    <cfRule type="cellIs" dxfId="2665" priority="692" stopIfTrue="1" operator="equal">
      <formula>"2 Add"</formula>
    </cfRule>
  </conditionalFormatting>
  <conditionalFormatting sqref="C232">
    <cfRule type="cellIs" dxfId="2664" priority="693" stopIfTrue="1" operator="equal">
      <formula>"3 Delete"</formula>
    </cfRule>
  </conditionalFormatting>
  <conditionalFormatting sqref="C233">
    <cfRule type="cellIs" dxfId="2663" priority="694" stopIfTrue="1" operator="equal">
      <formula>"1 Modify"</formula>
    </cfRule>
  </conditionalFormatting>
  <conditionalFormatting sqref="C233">
    <cfRule type="cellIs" dxfId="2662" priority="695" stopIfTrue="1" operator="equal">
      <formula>"2 Add"</formula>
    </cfRule>
  </conditionalFormatting>
  <conditionalFormatting sqref="C233">
    <cfRule type="cellIs" dxfId="2661" priority="696" stopIfTrue="1" operator="equal">
      <formula>"3 Delete"</formula>
    </cfRule>
  </conditionalFormatting>
  <conditionalFormatting sqref="C234">
    <cfRule type="cellIs" dxfId="2660" priority="697" stopIfTrue="1" operator="equal">
      <formula>"1 Modify"</formula>
    </cfRule>
  </conditionalFormatting>
  <conditionalFormatting sqref="C234">
    <cfRule type="cellIs" dxfId="2659" priority="698" stopIfTrue="1" operator="equal">
      <formula>"2 Add"</formula>
    </cfRule>
  </conditionalFormatting>
  <conditionalFormatting sqref="C234">
    <cfRule type="cellIs" dxfId="2658" priority="699" stopIfTrue="1" operator="equal">
      <formula>"3 Delete"</formula>
    </cfRule>
  </conditionalFormatting>
  <conditionalFormatting sqref="C235">
    <cfRule type="cellIs" dxfId="2657" priority="700" stopIfTrue="1" operator="equal">
      <formula>"1 Modify"</formula>
    </cfRule>
  </conditionalFormatting>
  <conditionalFormatting sqref="C235">
    <cfRule type="cellIs" dxfId="2656" priority="701" stopIfTrue="1" operator="equal">
      <formula>"2 Add"</formula>
    </cfRule>
  </conditionalFormatting>
  <conditionalFormatting sqref="C235">
    <cfRule type="cellIs" dxfId="2655" priority="702" stopIfTrue="1" operator="equal">
      <formula>"3 Delete"</formula>
    </cfRule>
  </conditionalFormatting>
  <conditionalFormatting sqref="C236">
    <cfRule type="cellIs" dxfId="2654" priority="703" stopIfTrue="1" operator="equal">
      <formula>"1 Modify"</formula>
    </cfRule>
  </conditionalFormatting>
  <conditionalFormatting sqref="C236">
    <cfRule type="cellIs" dxfId="2653" priority="704" stopIfTrue="1" operator="equal">
      <formula>"2 Add"</formula>
    </cfRule>
  </conditionalFormatting>
  <conditionalFormatting sqref="C236">
    <cfRule type="cellIs" dxfId="2652" priority="705" stopIfTrue="1" operator="equal">
      <formula>"3 Delete"</formula>
    </cfRule>
  </conditionalFormatting>
  <conditionalFormatting sqref="C237">
    <cfRule type="cellIs" dxfId="2651" priority="706" stopIfTrue="1" operator="equal">
      <formula>"1 Modify"</formula>
    </cfRule>
  </conditionalFormatting>
  <conditionalFormatting sqref="C237">
    <cfRule type="cellIs" dxfId="2650" priority="707" stopIfTrue="1" operator="equal">
      <formula>"2 Add"</formula>
    </cfRule>
  </conditionalFormatting>
  <conditionalFormatting sqref="C237">
    <cfRule type="cellIs" dxfId="2649" priority="708" stopIfTrue="1" operator="equal">
      <formula>"3 Delete"</formula>
    </cfRule>
  </conditionalFormatting>
  <conditionalFormatting sqref="C238">
    <cfRule type="cellIs" dxfId="2648" priority="709" stopIfTrue="1" operator="equal">
      <formula>"1 Modify"</formula>
    </cfRule>
  </conditionalFormatting>
  <conditionalFormatting sqref="C238">
    <cfRule type="cellIs" dxfId="2647" priority="710" stopIfTrue="1" operator="equal">
      <formula>"2 Add"</formula>
    </cfRule>
  </conditionalFormatting>
  <conditionalFormatting sqref="C238">
    <cfRule type="cellIs" dxfId="2646" priority="711" stopIfTrue="1" operator="equal">
      <formula>"3 Delete"</formula>
    </cfRule>
  </conditionalFormatting>
  <conditionalFormatting sqref="C239">
    <cfRule type="cellIs" dxfId="2645" priority="712" stopIfTrue="1" operator="equal">
      <formula>"1 Modify"</formula>
    </cfRule>
  </conditionalFormatting>
  <conditionalFormatting sqref="C239">
    <cfRule type="cellIs" dxfId="2644" priority="713" stopIfTrue="1" operator="equal">
      <formula>"2 Add"</formula>
    </cfRule>
  </conditionalFormatting>
  <conditionalFormatting sqref="C239">
    <cfRule type="cellIs" dxfId="2643" priority="714" stopIfTrue="1" operator="equal">
      <formula>"3 Delete"</formula>
    </cfRule>
  </conditionalFormatting>
  <conditionalFormatting sqref="C240">
    <cfRule type="cellIs" dxfId="2642" priority="715" stopIfTrue="1" operator="equal">
      <formula>"1 Modify"</formula>
    </cfRule>
  </conditionalFormatting>
  <conditionalFormatting sqref="C240">
    <cfRule type="cellIs" dxfId="2641" priority="716" stopIfTrue="1" operator="equal">
      <formula>"2 Add"</formula>
    </cfRule>
  </conditionalFormatting>
  <conditionalFormatting sqref="C240">
    <cfRule type="cellIs" dxfId="2640" priority="717" stopIfTrue="1" operator="equal">
      <formula>"3 Delete"</formula>
    </cfRule>
  </conditionalFormatting>
  <conditionalFormatting sqref="C241">
    <cfRule type="cellIs" dxfId="2639" priority="718" stopIfTrue="1" operator="equal">
      <formula>"1 Modify"</formula>
    </cfRule>
  </conditionalFormatting>
  <conditionalFormatting sqref="C241">
    <cfRule type="cellIs" dxfId="2638" priority="719" stopIfTrue="1" operator="equal">
      <formula>"2 Add"</formula>
    </cfRule>
  </conditionalFormatting>
  <conditionalFormatting sqref="C241">
    <cfRule type="cellIs" dxfId="2637" priority="720" stopIfTrue="1" operator="equal">
      <formula>"3 Delete"</formula>
    </cfRule>
  </conditionalFormatting>
  <conditionalFormatting sqref="C242">
    <cfRule type="cellIs" dxfId="2636" priority="721" stopIfTrue="1" operator="equal">
      <formula>"1 Modify"</formula>
    </cfRule>
  </conditionalFormatting>
  <conditionalFormatting sqref="C242">
    <cfRule type="cellIs" dxfId="2635" priority="722" stopIfTrue="1" operator="equal">
      <formula>"2 Add"</formula>
    </cfRule>
  </conditionalFormatting>
  <conditionalFormatting sqref="C242">
    <cfRule type="cellIs" dxfId="2634" priority="723" stopIfTrue="1" operator="equal">
      <formula>"3 Delete"</formula>
    </cfRule>
  </conditionalFormatting>
  <conditionalFormatting sqref="C243">
    <cfRule type="cellIs" dxfId="2633" priority="724" stopIfTrue="1" operator="equal">
      <formula>"1 Modify"</formula>
    </cfRule>
  </conditionalFormatting>
  <conditionalFormatting sqref="C243">
    <cfRule type="cellIs" dxfId="2632" priority="725" stopIfTrue="1" operator="equal">
      <formula>"2 Add"</formula>
    </cfRule>
  </conditionalFormatting>
  <conditionalFormatting sqref="C243">
    <cfRule type="cellIs" dxfId="2631" priority="726" stopIfTrue="1" operator="equal">
      <formula>"3 Delete"</formula>
    </cfRule>
  </conditionalFormatting>
  <conditionalFormatting sqref="C244">
    <cfRule type="cellIs" dxfId="2630" priority="727" stopIfTrue="1" operator="equal">
      <formula>"1 Modify"</formula>
    </cfRule>
  </conditionalFormatting>
  <conditionalFormatting sqref="C244">
    <cfRule type="cellIs" dxfId="2629" priority="728" stopIfTrue="1" operator="equal">
      <formula>"2 Add"</formula>
    </cfRule>
  </conditionalFormatting>
  <conditionalFormatting sqref="C244">
    <cfRule type="cellIs" dxfId="2628" priority="729" stopIfTrue="1" operator="equal">
      <formula>"3 Delete"</formula>
    </cfRule>
  </conditionalFormatting>
  <conditionalFormatting sqref="C245">
    <cfRule type="cellIs" dxfId="2627" priority="730" stopIfTrue="1" operator="equal">
      <formula>"1 Modify"</formula>
    </cfRule>
  </conditionalFormatting>
  <conditionalFormatting sqref="C245">
    <cfRule type="cellIs" dxfId="2626" priority="731" stopIfTrue="1" operator="equal">
      <formula>"2 Add"</formula>
    </cfRule>
  </conditionalFormatting>
  <conditionalFormatting sqref="C245">
    <cfRule type="cellIs" dxfId="2625" priority="732" stopIfTrue="1" operator="equal">
      <formula>"3 Delete"</formula>
    </cfRule>
  </conditionalFormatting>
  <conditionalFormatting sqref="C246">
    <cfRule type="cellIs" dxfId="2624" priority="733" stopIfTrue="1" operator="equal">
      <formula>"1 Modify"</formula>
    </cfRule>
  </conditionalFormatting>
  <conditionalFormatting sqref="C246">
    <cfRule type="cellIs" dxfId="2623" priority="734" stopIfTrue="1" operator="equal">
      <formula>"2 Add"</formula>
    </cfRule>
  </conditionalFormatting>
  <conditionalFormatting sqref="C246">
    <cfRule type="cellIs" dxfId="2622" priority="735" stopIfTrue="1" operator="equal">
      <formula>"3 Delete"</formula>
    </cfRule>
  </conditionalFormatting>
  <conditionalFormatting sqref="C247">
    <cfRule type="cellIs" dxfId="2621" priority="736" stopIfTrue="1" operator="equal">
      <formula>"1 Modify"</formula>
    </cfRule>
  </conditionalFormatting>
  <conditionalFormatting sqref="C247">
    <cfRule type="cellIs" dxfId="2620" priority="737" stopIfTrue="1" operator="equal">
      <formula>"2 Add"</formula>
    </cfRule>
  </conditionalFormatting>
  <conditionalFormatting sqref="C247">
    <cfRule type="cellIs" dxfId="2619" priority="738" stopIfTrue="1" operator="equal">
      <formula>"3 Delete"</formula>
    </cfRule>
  </conditionalFormatting>
  <conditionalFormatting sqref="C248">
    <cfRule type="cellIs" dxfId="2618" priority="739" stopIfTrue="1" operator="equal">
      <formula>"1 Modify"</formula>
    </cfRule>
  </conditionalFormatting>
  <conditionalFormatting sqref="C248">
    <cfRule type="cellIs" dxfId="2617" priority="740" stopIfTrue="1" operator="equal">
      <formula>"2 Add"</formula>
    </cfRule>
  </conditionalFormatting>
  <conditionalFormatting sqref="C248">
    <cfRule type="cellIs" dxfId="2616" priority="741" stopIfTrue="1" operator="equal">
      <formula>"3 Delete"</formula>
    </cfRule>
  </conditionalFormatting>
  <conditionalFormatting sqref="C249">
    <cfRule type="cellIs" dxfId="2615" priority="742" stopIfTrue="1" operator="equal">
      <formula>"1 Modify"</formula>
    </cfRule>
  </conditionalFormatting>
  <conditionalFormatting sqref="C249">
    <cfRule type="cellIs" dxfId="2614" priority="743" stopIfTrue="1" operator="equal">
      <formula>"2 Add"</formula>
    </cfRule>
  </conditionalFormatting>
  <conditionalFormatting sqref="C249">
    <cfRule type="cellIs" dxfId="2613" priority="744" stopIfTrue="1" operator="equal">
      <formula>"3 Delete"</formula>
    </cfRule>
  </conditionalFormatting>
  <conditionalFormatting sqref="C250">
    <cfRule type="cellIs" dxfId="2612" priority="745" stopIfTrue="1" operator="equal">
      <formula>"1 Modify"</formula>
    </cfRule>
  </conditionalFormatting>
  <conditionalFormatting sqref="C250">
    <cfRule type="cellIs" dxfId="2611" priority="746" stopIfTrue="1" operator="equal">
      <formula>"2 Add"</formula>
    </cfRule>
  </conditionalFormatting>
  <conditionalFormatting sqref="C250">
    <cfRule type="cellIs" dxfId="2610" priority="747" stopIfTrue="1" operator="equal">
      <formula>"3 Delete"</formula>
    </cfRule>
  </conditionalFormatting>
  <conditionalFormatting sqref="C251">
    <cfRule type="cellIs" dxfId="2609" priority="748" stopIfTrue="1" operator="equal">
      <formula>"1 Modify"</formula>
    </cfRule>
  </conditionalFormatting>
  <conditionalFormatting sqref="C251">
    <cfRule type="cellIs" dxfId="2608" priority="749" stopIfTrue="1" operator="equal">
      <formula>"2 Add"</formula>
    </cfRule>
  </conditionalFormatting>
  <conditionalFormatting sqref="C251">
    <cfRule type="cellIs" dxfId="2607" priority="750" stopIfTrue="1" operator="equal">
      <formula>"3 Delete"</formula>
    </cfRule>
  </conditionalFormatting>
  <conditionalFormatting sqref="C252">
    <cfRule type="cellIs" dxfId="2606" priority="751" stopIfTrue="1" operator="equal">
      <formula>"1 Modify"</formula>
    </cfRule>
  </conditionalFormatting>
  <conditionalFormatting sqref="C252">
    <cfRule type="cellIs" dxfId="2605" priority="752" stopIfTrue="1" operator="equal">
      <formula>"2 Add"</formula>
    </cfRule>
  </conditionalFormatting>
  <conditionalFormatting sqref="C252">
    <cfRule type="cellIs" dxfId="2604" priority="753" stopIfTrue="1" operator="equal">
      <formula>"3 Delete"</formula>
    </cfRule>
  </conditionalFormatting>
  <conditionalFormatting sqref="C253">
    <cfRule type="cellIs" dxfId="2603" priority="754" stopIfTrue="1" operator="equal">
      <formula>"1 Modify"</formula>
    </cfRule>
  </conditionalFormatting>
  <conditionalFormatting sqref="C253">
    <cfRule type="cellIs" dxfId="2602" priority="755" stopIfTrue="1" operator="equal">
      <formula>"2 Add"</formula>
    </cfRule>
  </conditionalFormatting>
  <conditionalFormatting sqref="C253">
    <cfRule type="cellIs" dxfId="2601" priority="756" stopIfTrue="1" operator="equal">
      <formula>"3 Delete"</formula>
    </cfRule>
  </conditionalFormatting>
  <conditionalFormatting sqref="C254">
    <cfRule type="cellIs" dxfId="2600" priority="757" stopIfTrue="1" operator="equal">
      <formula>"1 Modify"</formula>
    </cfRule>
  </conditionalFormatting>
  <conditionalFormatting sqref="C254">
    <cfRule type="cellIs" dxfId="2599" priority="758" stopIfTrue="1" operator="equal">
      <formula>"2 Add"</formula>
    </cfRule>
  </conditionalFormatting>
  <conditionalFormatting sqref="C254">
    <cfRule type="cellIs" dxfId="2598" priority="759" stopIfTrue="1" operator="equal">
      <formula>"3 Delete"</formula>
    </cfRule>
  </conditionalFormatting>
  <conditionalFormatting sqref="C255">
    <cfRule type="cellIs" dxfId="2597" priority="760" stopIfTrue="1" operator="equal">
      <formula>"1 Modify"</formula>
    </cfRule>
  </conditionalFormatting>
  <conditionalFormatting sqref="C255">
    <cfRule type="cellIs" dxfId="2596" priority="761" stopIfTrue="1" operator="equal">
      <formula>"2 Add"</formula>
    </cfRule>
  </conditionalFormatting>
  <conditionalFormatting sqref="C255">
    <cfRule type="cellIs" dxfId="2595" priority="762" stopIfTrue="1" operator="equal">
      <formula>"3 Delete"</formula>
    </cfRule>
  </conditionalFormatting>
  <conditionalFormatting sqref="C256">
    <cfRule type="cellIs" dxfId="2594" priority="763" stopIfTrue="1" operator="equal">
      <formula>"1 Modify"</formula>
    </cfRule>
  </conditionalFormatting>
  <conditionalFormatting sqref="C256">
    <cfRule type="cellIs" dxfId="2593" priority="764" stopIfTrue="1" operator="equal">
      <formula>"2 Add"</formula>
    </cfRule>
  </conditionalFormatting>
  <conditionalFormatting sqref="C256">
    <cfRule type="cellIs" dxfId="2592" priority="765" stopIfTrue="1" operator="equal">
      <formula>"3 Delete"</formula>
    </cfRule>
  </conditionalFormatting>
  <conditionalFormatting sqref="C257">
    <cfRule type="cellIs" dxfId="2591" priority="766" stopIfTrue="1" operator="equal">
      <formula>"1 Modify"</formula>
    </cfRule>
  </conditionalFormatting>
  <conditionalFormatting sqref="C257">
    <cfRule type="cellIs" dxfId="2590" priority="767" stopIfTrue="1" operator="equal">
      <formula>"2 Add"</formula>
    </cfRule>
  </conditionalFormatting>
  <conditionalFormatting sqref="C257">
    <cfRule type="cellIs" dxfId="2589" priority="768" stopIfTrue="1" operator="equal">
      <formula>"3 Delete"</formula>
    </cfRule>
  </conditionalFormatting>
  <conditionalFormatting sqref="C258">
    <cfRule type="cellIs" dxfId="2588" priority="769" stopIfTrue="1" operator="equal">
      <formula>"1 Modify"</formula>
    </cfRule>
  </conditionalFormatting>
  <conditionalFormatting sqref="C258">
    <cfRule type="cellIs" dxfId="2587" priority="770" stopIfTrue="1" operator="equal">
      <formula>"2 Add"</formula>
    </cfRule>
  </conditionalFormatting>
  <conditionalFormatting sqref="C258">
    <cfRule type="cellIs" dxfId="2586" priority="771" stopIfTrue="1" operator="equal">
      <formula>"3 Delete"</formula>
    </cfRule>
  </conditionalFormatting>
  <conditionalFormatting sqref="C259">
    <cfRule type="cellIs" dxfId="2585" priority="772" stopIfTrue="1" operator="equal">
      <formula>"1 Modify"</formula>
    </cfRule>
  </conditionalFormatting>
  <conditionalFormatting sqref="C259">
    <cfRule type="cellIs" dxfId="2584" priority="773" stopIfTrue="1" operator="equal">
      <formula>"2 Add"</formula>
    </cfRule>
  </conditionalFormatting>
  <conditionalFormatting sqref="C259">
    <cfRule type="cellIs" dxfId="2583" priority="774" stopIfTrue="1" operator="equal">
      <formula>"3 Delete"</formula>
    </cfRule>
  </conditionalFormatting>
  <conditionalFormatting sqref="C260">
    <cfRule type="cellIs" dxfId="2582" priority="775" stopIfTrue="1" operator="equal">
      <formula>"1 Modify"</formula>
    </cfRule>
  </conditionalFormatting>
  <conditionalFormatting sqref="C260">
    <cfRule type="cellIs" dxfId="2581" priority="776" stopIfTrue="1" operator="equal">
      <formula>"2 Add"</formula>
    </cfRule>
  </conditionalFormatting>
  <conditionalFormatting sqref="C260">
    <cfRule type="cellIs" dxfId="2580" priority="777" stopIfTrue="1" operator="equal">
      <formula>"3 Delete"</formula>
    </cfRule>
  </conditionalFormatting>
  <conditionalFormatting sqref="C261">
    <cfRule type="cellIs" dxfId="2579" priority="778" stopIfTrue="1" operator="equal">
      <formula>"1 Modify"</formula>
    </cfRule>
  </conditionalFormatting>
  <conditionalFormatting sqref="C261">
    <cfRule type="cellIs" dxfId="2578" priority="779" stopIfTrue="1" operator="equal">
      <formula>"2 Add"</formula>
    </cfRule>
  </conditionalFormatting>
  <conditionalFormatting sqref="C261">
    <cfRule type="cellIs" dxfId="2577" priority="780" stopIfTrue="1" operator="equal">
      <formula>"3 Delete"</formula>
    </cfRule>
  </conditionalFormatting>
  <conditionalFormatting sqref="C262">
    <cfRule type="cellIs" dxfId="2576" priority="781" stopIfTrue="1" operator="equal">
      <formula>"1 Modify"</formula>
    </cfRule>
  </conditionalFormatting>
  <conditionalFormatting sqref="C262">
    <cfRule type="cellIs" dxfId="2575" priority="782" stopIfTrue="1" operator="equal">
      <formula>"2 Add"</formula>
    </cfRule>
  </conditionalFormatting>
  <conditionalFormatting sqref="C262">
    <cfRule type="cellIs" dxfId="2574" priority="783" stopIfTrue="1" operator="equal">
      <formula>"3 Delete"</formula>
    </cfRule>
  </conditionalFormatting>
  <conditionalFormatting sqref="C263">
    <cfRule type="cellIs" dxfId="2573" priority="784" stopIfTrue="1" operator="equal">
      <formula>"1 Modify"</formula>
    </cfRule>
  </conditionalFormatting>
  <conditionalFormatting sqref="C263">
    <cfRule type="cellIs" dxfId="2572" priority="785" stopIfTrue="1" operator="equal">
      <formula>"2 Add"</formula>
    </cfRule>
  </conditionalFormatting>
  <conditionalFormatting sqref="C263">
    <cfRule type="cellIs" dxfId="2571" priority="786" stopIfTrue="1" operator="equal">
      <formula>"3 Delete"</formula>
    </cfRule>
  </conditionalFormatting>
  <dataValidations count="5">
    <dataValidation type="custom" allowBlank="1" showInputMessage="1" showErrorMessage="1" error="Column is read-only" sqref="L2:L1048576 I2:J1048576 C2:E1048576">
      <formula1>FALSE</formula1>
    </dataValidation>
    <dataValidation type="custom" allowBlank="1" showInputMessage="1" showErrorMessage="1" error="Column Headers are read-only" sqref="A1 C1:M1">
      <formula1>FALSE</formula1>
    </dataValidation>
    <dataValidation type="date" operator="greaterThan" allowBlank="1" showInputMessage="1" showErrorMessage="1" error="Value must be a Date" sqref="F2:F1048576">
      <formula1>1</formula1>
    </dataValidation>
    <dataValidation type="list" allowBlank="1" showInputMessage="1" showErrorMessage="1" error="Value is a foreign key" sqref="G2:G1048576">
      <formula1>Options__customer_id</formula1>
    </dataValidation>
    <dataValidation type="decimal" operator="greaterThan" allowBlank="1" showInputMessage="1" showErrorMessage="1" error="Value must be a Decimal Number" sqref="H2:H1048576">
      <formula1>-999999</formula1>
    </dataValidation>
  </dataValidations>
  <hyperlinks>
    <hyperlink ref="A2" tooltip="macro:ShowLoadRefreshSheet" display="Load"/>
    <hyperlink ref="A3" tooltip="macro:ShowSaveActiveSheet" display="Save"/>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P2906"/>
  <sheetViews>
    <sheetView workbookViewId="0">
      <selection activeCell="O34" sqref="O34"/>
    </sheetView>
  </sheetViews>
  <sheetFormatPr defaultRowHeight="15" x14ac:dyDescent="0.25"/>
  <cols>
    <col min="4" max="4" width="9.140625" style="3"/>
    <col min="5" max="5" width="5.5703125" style="5" customWidth="1"/>
    <col min="6" max="6" width="36.85546875" bestFit="1" customWidth="1"/>
    <col min="7" max="7" width="38.85546875" bestFit="1" customWidth="1"/>
    <col min="8" max="8" width="10" style="9" bestFit="1" customWidth="1"/>
    <col min="9" max="9" width="9.140625" style="5"/>
    <col min="10" max="11" width="0" style="7" hidden="1" customWidth="1"/>
    <col min="12" max="12" width="0" style="3" hidden="1" customWidth="1"/>
    <col min="13" max="13" width="0" style="7" hidden="1" customWidth="1"/>
    <col min="14" max="14" width="0" style="3" hidden="1" customWidth="1"/>
    <col min="15" max="16" width="9.140625" style="16"/>
  </cols>
  <sheetData>
    <row r="1" spans="1:16" x14ac:dyDescent="0.25">
      <c r="A1" s="1" t="s">
        <v>0</v>
      </c>
      <c r="C1" s="1" t="s">
        <v>59</v>
      </c>
      <c r="D1" s="4" t="s">
        <v>60</v>
      </c>
      <c r="E1" s="6" t="s">
        <v>61</v>
      </c>
      <c r="F1" s="1" t="s">
        <v>971</v>
      </c>
      <c r="G1" s="1" t="s">
        <v>972</v>
      </c>
      <c r="H1" s="10" t="s">
        <v>973</v>
      </c>
      <c r="I1" s="6" t="s">
        <v>974</v>
      </c>
      <c r="J1" s="8" t="s">
        <v>64</v>
      </c>
      <c r="K1" s="8" t="s">
        <v>65</v>
      </c>
      <c r="L1" s="4" t="s">
        <v>66</v>
      </c>
      <c r="M1" s="8" t="s">
        <v>67</v>
      </c>
      <c r="N1" s="4" t="s">
        <v>68</v>
      </c>
      <c r="O1" s="16" t="s">
        <v>985</v>
      </c>
      <c r="P1" s="16" t="s">
        <v>986</v>
      </c>
    </row>
    <row r="2" spans="1:16" x14ac:dyDescent="0.25">
      <c r="A2" s="2" t="s">
        <v>370</v>
      </c>
      <c r="C2" t="str">
        <f>IF(COUNTBLANK(E2:N2) = 10,"",IF(AND(NOT(ISBLANK(E2)),COUNTBLANK(E2:N2) = 9),"3 Delete",IF(ISBLANK(E2),"2 Add",IF(JenkinsHashRange(E2:N2) = "690386296","0 Original","1 Modify"))))</f>
        <v>0 Original</v>
      </c>
      <c r="D2" s="3" t="s">
        <v>1266</v>
      </c>
      <c r="E2" s="5">
        <v>55</v>
      </c>
      <c r="F2" t="s">
        <v>992</v>
      </c>
      <c r="G2" t="s">
        <v>938</v>
      </c>
      <c r="H2" s="9">
        <v>4.99</v>
      </c>
      <c r="I2" s="5">
        <v>1</v>
      </c>
      <c r="J2" s="7" t="s">
        <v>970</v>
      </c>
      <c r="K2" s="7">
        <v>42748.047268518516</v>
      </c>
      <c r="L2" s="3" t="s">
        <v>970</v>
      </c>
      <c r="M2" s="7">
        <v>42748.047268518516</v>
      </c>
      <c r="N2" s="3" t="s">
        <v>970</v>
      </c>
      <c r="O2" s="16" t="str">
        <f>TEXT(DATEVALUE(LEFT(F2,10)),"mm-yyyy")</f>
        <v>01-2015</v>
      </c>
      <c r="P2" s="16">
        <f>H2*I2</f>
        <v>4.99</v>
      </c>
    </row>
    <row r="3" spans="1:16" x14ac:dyDescent="0.25">
      <c r="A3" s="2" t="s">
        <v>371</v>
      </c>
      <c r="C3" t="str">
        <f>IF(COUNTBLANK(E3:N3) = 10,"",IF(AND(NOT(ISBLANK(E3)),COUNTBLANK(E3:N3) = 9),"3 Delete",IF(ISBLANK(E3),"2 Add",IF(JenkinsHashRange(E3:N3) = "1659337094","0 Original","1 Modify"))))</f>
        <v>0 Original</v>
      </c>
      <c r="D3" s="3" t="s">
        <v>1267</v>
      </c>
      <c r="E3" s="5">
        <v>56</v>
      </c>
      <c r="F3" t="s">
        <v>992</v>
      </c>
      <c r="G3" t="s">
        <v>612</v>
      </c>
      <c r="H3" s="9">
        <v>4.99</v>
      </c>
      <c r="I3" s="5">
        <v>1</v>
      </c>
      <c r="J3" s="7" t="s">
        <v>970</v>
      </c>
      <c r="K3" s="7">
        <v>42748.047268518516</v>
      </c>
      <c r="L3" s="3" t="s">
        <v>970</v>
      </c>
      <c r="M3" s="7">
        <v>42748.047268518516</v>
      </c>
      <c r="N3" s="3" t="s">
        <v>970</v>
      </c>
      <c r="O3" s="16" t="str">
        <f>TEXT(DATEVALUE(LEFT(F3,10)),"mm-yyyy")</f>
        <v>01-2015</v>
      </c>
      <c r="P3" s="16">
        <f>H3*I3</f>
        <v>4.99</v>
      </c>
    </row>
    <row r="4" spans="1:16" x14ac:dyDescent="0.25">
      <c r="C4" t="str">
        <f>IF(COUNTBLANK(E4:N4) = 10,"",IF(AND(NOT(ISBLANK(E4)),COUNTBLANK(E4:N4) = 9),"3 Delete",IF(ISBLANK(E4),"2 Add",IF(JenkinsHashRange(E4:N4) = "2080644259","0 Original","1 Modify"))))</f>
        <v>0 Original</v>
      </c>
      <c r="D4" s="3" t="s">
        <v>1268</v>
      </c>
      <c r="E4" s="5">
        <v>57</v>
      </c>
      <c r="F4" t="s">
        <v>992</v>
      </c>
      <c r="G4" t="s">
        <v>676</v>
      </c>
      <c r="H4" s="9">
        <v>6.99</v>
      </c>
      <c r="I4" s="5">
        <v>2</v>
      </c>
      <c r="J4" s="7" t="s">
        <v>970</v>
      </c>
      <c r="K4" s="7">
        <v>42748.047268518516</v>
      </c>
      <c r="L4" s="3" t="s">
        <v>970</v>
      </c>
      <c r="M4" s="7">
        <v>42748.047268518516</v>
      </c>
      <c r="N4" s="3" t="s">
        <v>970</v>
      </c>
      <c r="O4" s="16" t="str">
        <f>TEXT(DATEVALUE(LEFT(F4,10)),"mm-yyyy")</f>
        <v>01-2015</v>
      </c>
      <c r="P4" s="16">
        <f>H4*I4</f>
        <v>13.98</v>
      </c>
    </row>
    <row r="5" spans="1:16" x14ac:dyDescent="0.25">
      <c r="C5" t="str">
        <f>IF(COUNTBLANK(E5:N5) = 10,"",IF(AND(NOT(ISBLANK(E5)),COUNTBLANK(E5:N5) = 9),"3 Delete",IF(ISBLANK(E5),"2 Add",IF(JenkinsHashRange(E5:N5) = "740142659","0 Original","1 Modify"))))</f>
        <v>0 Original</v>
      </c>
      <c r="D5" s="3" t="s">
        <v>1269</v>
      </c>
      <c r="E5" s="5">
        <v>58</v>
      </c>
      <c r="F5" t="s">
        <v>992</v>
      </c>
      <c r="G5" t="s">
        <v>600</v>
      </c>
      <c r="H5" s="9">
        <v>7.99</v>
      </c>
      <c r="I5" s="5">
        <v>1</v>
      </c>
      <c r="J5" s="7" t="s">
        <v>970</v>
      </c>
      <c r="K5" s="7">
        <v>42748.047268518516</v>
      </c>
      <c r="L5" s="3" t="s">
        <v>970</v>
      </c>
      <c r="M5" s="7">
        <v>42748.047268518516</v>
      </c>
      <c r="N5" s="3" t="s">
        <v>970</v>
      </c>
      <c r="O5" s="16" t="str">
        <f>TEXT(DATEVALUE(LEFT(F5,10)),"mm-yyyy")</f>
        <v>01-2015</v>
      </c>
      <c r="P5" s="16">
        <f>H5*I5</f>
        <v>7.99</v>
      </c>
    </row>
    <row r="6" spans="1:16" x14ac:dyDescent="0.25">
      <c r="C6" t="str">
        <f>IF(COUNTBLANK(E6:N6) = 10,"",IF(AND(NOT(ISBLANK(E6)),COUNTBLANK(E6:N6) = 9),"3 Delete",IF(ISBLANK(E6),"2 Add",IF(JenkinsHashRange(E6:N6) = "984402035","0 Original","1 Modify"))))</f>
        <v>0 Original</v>
      </c>
      <c r="D6" s="3" t="s">
        <v>1281</v>
      </c>
      <c r="E6" s="5">
        <v>164</v>
      </c>
      <c r="F6" t="s">
        <v>997</v>
      </c>
      <c r="G6" t="s">
        <v>765</v>
      </c>
      <c r="H6" s="9">
        <v>9.99</v>
      </c>
      <c r="I6" s="5">
        <v>1</v>
      </c>
      <c r="J6" s="7" t="s">
        <v>970</v>
      </c>
      <c r="K6" s="7">
        <v>42748.047268518516</v>
      </c>
      <c r="L6" s="3" t="s">
        <v>970</v>
      </c>
      <c r="M6" s="7">
        <v>42748.047268518516</v>
      </c>
      <c r="N6" s="3" t="s">
        <v>970</v>
      </c>
      <c r="O6" s="16" t="str">
        <f>TEXT(DATEVALUE(LEFT(F6,10)),"mm-yyyy")</f>
        <v>01-2015</v>
      </c>
      <c r="P6" s="16">
        <f>H6*I6</f>
        <v>9.99</v>
      </c>
    </row>
    <row r="7" spans="1:16" x14ac:dyDescent="0.25">
      <c r="C7" t="str">
        <f>IF(COUNTBLANK(E7:N7) = 10,"",IF(AND(NOT(ISBLANK(E7)),COUNTBLANK(E7:N7) = 9),"3 Delete",IF(ISBLANK(E7),"2 Add",IF(JenkinsHashRange(E7:N7) = "631728330","0 Original","1 Modify"))))</f>
        <v>0 Original</v>
      </c>
      <c r="D7" s="3" t="s">
        <v>1282</v>
      </c>
      <c r="E7" s="5">
        <v>165</v>
      </c>
      <c r="F7" t="s">
        <v>997</v>
      </c>
      <c r="G7" t="s">
        <v>737</v>
      </c>
      <c r="H7" s="9">
        <v>9.99</v>
      </c>
      <c r="I7" s="5">
        <v>1</v>
      </c>
      <c r="J7" s="7" t="s">
        <v>970</v>
      </c>
      <c r="K7" s="7">
        <v>42748.047268518516</v>
      </c>
      <c r="L7" s="3" t="s">
        <v>970</v>
      </c>
      <c r="M7" s="7">
        <v>42748.047268518516</v>
      </c>
      <c r="N7" s="3" t="s">
        <v>970</v>
      </c>
      <c r="O7" s="16" t="str">
        <f>TEXT(DATEVALUE(LEFT(F7,10)),"mm-yyyy")</f>
        <v>01-2015</v>
      </c>
      <c r="P7" s="16">
        <f>H7*I7</f>
        <v>9.99</v>
      </c>
    </row>
    <row r="8" spans="1:16" x14ac:dyDescent="0.25">
      <c r="C8" t="str">
        <f>IF(COUNTBLANK(E8:N8) = 10,"",IF(AND(NOT(ISBLANK(E8)),COUNTBLANK(E8:N8) = 9),"3 Delete",IF(ISBLANK(E8),"2 Add",IF(JenkinsHashRange(E8:N8) = "281216537","0 Original","1 Modify"))))</f>
        <v>0 Original</v>
      </c>
      <c r="D8" s="3" t="s">
        <v>1283</v>
      </c>
      <c r="E8" s="5">
        <v>166</v>
      </c>
      <c r="F8" t="s">
        <v>997</v>
      </c>
      <c r="G8" t="s">
        <v>615</v>
      </c>
      <c r="H8" s="9">
        <v>9.99</v>
      </c>
      <c r="I8" s="5">
        <v>2</v>
      </c>
      <c r="J8" s="7" t="s">
        <v>970</v>
      </c>
      <c r="K8" s="7">
        <v>42748.047268518516</v>
      </c>
      <c r="L8" s="3" t="s">
        <v>970</v>
      </c>
      <c r="M8" s="7">
        <v>42748.047268518516</v>
      </c>
      <c r="N8" s="3" t="s">
        <v>970</v>
      </c>
      <c r="O8" s="16" t="str">
        <f>TEXT(DATEVALUE(LEFT(F8,10)),"mm-yyyy")</f>
        <v>01-2015</v>
      </c>
      <c r="P8" s="16">
        <f>H8*I8</f>
        <v>19.98</v>
      </c>
    </row>
    <row r="9" spans="1:16" x14ac:dyDescent="0.25">
      <c r="C9" t="str">
        <f>IF(COUNTBLANK(E9:N9) = 10,"",IF(AND(NOT(ISBLANK(E9)),COUNTBLANK(E9:N9) = 9),"3 Delete",IF(ISBLANK(E9),"2 Add",IF(JenkinsHashRange(E9:N9) = "500891223","0 Original","1 Modify"))))</f>
        <v>0 Original</v>
      </c>
      <c r="D9" s="3" t="s">
        <v>1284</v>
      </c>
      <c r="E9" s="5">
        <v>167</v>
      </c>
      <c r="F9" t="s">
        <v>998</v>
      </c>
      <c r="G9" t="s">
        <v>524</v>
      </c>
      <c r="H9" s="9">
        <v>9.99</v>
      </c>
      <c r="I9" s="5">
        <v>1</v>
      </c>
      <c r="J9" s="7" t="s">
        <v>970</v>
      </c>
      <c r="K9" s="7">
        <v>42748.047268518516</v>
      </c>
      <c r="L9" s="3" t="s">
        <v>970</v>
      </c>
      <c r="M9" s="7">
        <v>42748.047268518516</v>
      </c>
      <c r="N9" s="3" t="s">
        <v>970</v>
      </c>
      <c r="O9" s="16" t="str">
        <f>TEXT(DATEVALUE(LEFT(F9,10)),"mm-yyyy")</f>
        <v>01-2015</v>
      </c>
      <c r="P9" s="16">
        <f>H9*I9</f>
        <v>9.99</v>
      </c>
    </row>
    <row r="10" spans="1:16" x14ac:dyDescent="0.25">
      <c r="C10" t="str">
        <f>IF(COUNTBLANK(E10:N10) = 10,"",IF(AND(NOT(ISBLANK(E10)),COUNTBLANK(E10:N10) = 9),"3 Delete",IF(ISBLANK(E10),"2 Add",IF(JenkinsHashRange(E10:N10) = "253838915","0 Original","1 Modify"))))</f>
        <v>0 Original</v>
      </c>
      <c r="D10" s="3" t="s">
        <v>1313</v>
      </c>
      <c r="E10" s="5">
        <v>288</v>
      </c>
      <c r="F10" t="s">
        <v>1007</v>
      </c>
      <c r="G10" t="s">
        <v>850</v>
      </c>
      <c r="H10" s="9">
        <v>7.99</v>
      </c>
      <c r="I10" s="5">
        <v>2</v>
      </c>
      <c r="J10" s="7" t="s">
        <v>970</v>
      </c>
      <c r="K10" s="7">
        <v>42748.047268518516</v>
      </c>
      <c r="L10" s="3" t="s">
        <v>970</v>
      </c>
      <c r="M10" s="7">
        <v>42748.047268518516</v>
      </c>
      <c r="N10" s="3" t="s">
        <v>970</v>
      </c>
      <c r="O10" s="16" t="str">
        <f>TEXT(DATEVALUE(LEFT(F10,10)),"mm-yyyy")</f>
        <v>01-2015</v>
      </c>
      <c r="P10" s="16">
        <f>H10*I10</f>
        <v>15.98</v>
      </c>
    </row>
    <row r="11" spans="1:16" x14ac:dyDescent="0.25">
      <c r="C11" t="str">
        <f>IF(COUNTBLANK(E11:N11) = 10,"",IF(AND(NOT(ISBLANK(E11)),COUNTBLANK(E11:N11) = 9),"3 Delete",IF(ISBLANK(E11),"2 Add",IF(JenkinsHashRange(E11:N11) = "1761936948","0 Original","1 Modify"))))</f>
        <v>0 Original</v>
      </c>
      <c r="D11" s="3" t="s">
        <v>1314</v>
      </c>
      <c r="E11" s="5">
        <v>289</v>
      </c>
      <c r="F11" t="s">
        <v>1007</v>
      </c>
      <c r="G11" t="s">
        <v>621</v>
      </c>
      <c r="H11" s="9">
        <v>4.99</v>
      </c>
      <c r="I11" s="5">
        <v>1</v>
      </c>
      <c r="J11" s="7" t="s">
        <v>970</v>
      </c>
      <c r="K11" s="7">
        <v>42748.047268518516</v>
      </c>
      <c r="L11" s="3" t="s">
        <v>970</v>
      </c>
      <c r="M11" s="7">
        <v>42748.047268518516</v>
      </c>
      <c r="N11" s="3" t="s">
        <v>970</v>
      </c>
      <c r="O11" s="16" t="str">
        <f>TEXT(DATEVALUE(LEFT(F11,10)),"mm-yyyy")</f>
        <v>01-2015</v>
      </c>
      <c r="P11" s="16">
        <f>H11*I11</f>
        <v>4.99</v>
      </c>
    </row>
    <row r="12" spans="1:16" x14ac:dyDescent="0.25">
      <c r="C12" t="str">
        <f>IF(COUNTBLANK(E12:N12) = 10,"",IF(AND(NOT(ISBLANK(E12)),COUNTBLANK(E12:N12) = 9),"3 Delete",IF(ISBLANK(E12),"2 Add",IF(JenkinsHashRange(E12:N12) = "898104463","0 Original","1 Modify"))))</f>
        <v>0 Original</v>
      </c>
      <c r="D12" s="3" t="s">
        <v>1315</v>
      </c>
      <c r="E12" s="5">
        <v>290</v>
      </c>
      <c r="F12" t="s">
        <v>1007</v>
      </c>
      <c r="G12" t="s">
        <v>854</v>
      </c>
      <c r="H12" s="9">
        <v>8.99</v>
      </c>
      <c r="I12" s="5">
        <v>1</v>
      </c>
      <c r="J12" s="7" t="s">
        <v>970</v>
      </c>
      <c r="K12" s="7">
        <v>42748.047268518516</v>
      </c>
      <c r="L12" s="3" t="s">
        <v>970</v>
      </c>
      <c r="M12" s="7">
        <v>42748.047268518516</v>
      </c>
      <c r="N12" s="3" t="s">
        <v>970</v>
      </c>
      <c r="O12" s="16" t="str">
        <f>TEXT(DATEVALUE(LEFT(F12,10)),"mm-yyyy")</f>
        <v>01-2015</v>
      </c>
      <c r="P12" s="16">
        <f>H12*I12</f>
        <v>8.99</v>
      </c>
    </row>
    <row r="13" spans="1:16" x14ac:dyDescent="0.25">
      <c r="C13" t="str">
        <f>IF(COUNTBLANK(E13:N13) = 10,"",IF(AND(NOT(ISBLANK(E13)),COUNTBLANK(E13:N13) = 9),"3 Delete",IF(ISBLANK(E13),"2 Add",IF(JenkinsHashRange(E13:N13) = "741765616","0 Original","1 Modify"))))</f>
        <v>0 Original</v>
      </c>
      <c r="D13" s="3" t="s">
        <v>1320</v>
      </c>
      <c r="E13" s="5">
        <v>316</v>
      </c>
      <c r="F13" t="s">
        <v>1009</v>
      </c>
      <c r="G13" t="s">
        <v>635</v>
      </c>
      <c r="H13" s="9">
        <v>4.99</v>
      </c>
      <c r="I13" s="5">
        <v>1</v>
      </c>
      <c r="J13" s="7" t="s">
        <v>970</v>
      </c>
      <c r="K13" s="7">
        <v>42748.047268518516</v>
      </c>
      <c r="L13" s="3" t="s">
        <v>970</v>
      </c>
      <c r="M13" s="7">
        <v>42748.047268518516</v>
      </c>
      <c r="N13" s="3" t="s">
        <v>970</v>
      </c>
      <c r="O13" s="16" t="str">
        <f>TEXT(DATEVALUE(LEFT(F13,10)),"mm-yyyy")</f>
        <v>01-2015</v>
      </c>
      <c r="P13" s="16">
        <f>H13*I13</f>
        <v>4.99</v>
      </c>
    </row>
    <row r="14" spans="1:16" x14ac:dyDescent="0.25">
      <c r="C14" t="str">
        <f>IF(COUNTBLANK(E14:N14) = 10,"",IF(AND(NOT(ISBLANK(E14)),COUNTBLANK(E14:N14) = 9),"3 Delete",IF(ISBLANK(E14),"2 Add",IF(JenkinsHashRange(E14:N14) = "1708192733","0 Original","1 Modify"))))</f>
        <v>0 Original</v>
      </c>
      <c r="D14" s="3" t="s">
        <v>1321</v>
      </c>
      <c r="E14" s="5">
        <v>317</v>
      </c>
      <c r="F14" t="s">
        <v>1009</v>
      </c>
      <c r="G14" t="s">
        <v>480</v>
      </c>
      <c r="H14" s="9">
        <v>8.99</v>
      </c>
      <c r="I14" s="5">
        <v>1</v>
      </c>
      <c r="J14" s="7" t="s">
        <v>970</v>
      </c>
      <c r="K14" s="7">
        <v>42748.047268518516</v>
      </c>
      <c r="L14" s="3" t="s">
        <v>970</v>
      </c>
      <c r="M14" s="7">
        <v>42748.047268518516</v>
      </c>
      <c r="N14" s="3" t="s">
        <v>970</v>
      </c>
      <c r="O14" s="16" t="str">
        <f>TEXT(DATEVALUE(LEFT(F14,10)),"mm-yyyy")</f>
        <v>01-2015</v>
      </c>
      <c r="P14" s="16">
        <f>H14*I14</f>
        <v>8.99</v>
      </c>
    </row>
    <row r="15" spans="1:16" x14ac:dyDescent="0.25">
      <c r="C15" t="str">
        <f>IF(COUNTBLANK(E15:N15) = 10,"",IF(AND(NOT(ISBLANK(E15)),COUNTBLANK(E15:N15) = 9),"3 Delete",IF(ISBLANK(E15),"2 Add",IF(JenkinsHashRange(E15:N15) = "1810207629","0 Original","1 Modify"))))</f>
        <v>0 Original</v>
      </c>
      <c r="D15" s="3" t="s">
        <v>1325</v>
      </c>
      <c r="E15" s="5">
        <v>344</v>
      </c>
      <c r="F15" t="s">
        <v>1011</v>
      </c>
      <c r="G15" t="s">
        <v>749</v>
      </c>
      <c r="H15" s="9">
        <v>7.99</v>
      </c>
      <c r="I15" s="5">
        <v>2</v>
      </c>
      <c r="J15" s="7" t="s">
        <v>970</v>
      </c>
      <c r="K15" s="7">
        <v>42748.047268518516</v>
      </c>
      <c r="L15" s="3" t="s">
        <v>970</v>
      </c>
      <c r="M15" s="7">
        <v>42748.047268518516</v>
      </c>
      <c r="N15" s="3" t="s">
        <v>970</v>
      </c>
      <c r="O15" s="16" t="str">
        <f>TEXT(DATEVALUE(LEFT(F15,10)),"mm-yyyy")</f>
        <v>01-2015</v>
      </c>
      <c r="P15" s="16">
        <f>H15*I15</f>
        <v>15.98</v>
      </c>
    </row>
    <row r="16" spans="1:16" x14ac:dyDescent="0.25">
      <c r="C16" t="str">
        <f>IF(COUNTBLANK(E16:N16) = 10,"",IF(AND(NOT(ISBLANK(E16)),COUNTBLANK(E16:N16) = 9),"3 Delete",IF(ISBLANK(E16),"2 Add",IF(JenkinsHashRange(E16:N16) = "459205971","0 Original","1 Modify"))))</f>
        <v>0 Original</v>
      </c>
      <c r="D16" s="3" t="s">
        <v>1326</v>
      </c>
      <c r="E16" s="5">
        <v>345</v>
      </c>
      <c r="F16" t="s">
        <v>1011</v>
      </c>
      <c r="G16" t="s">
        <v>689</v>
      </c>
      <c r="H16" s="9">
        <v>9.99</v>
      </c>
      <c r="I16" s="5">
        <v>1</v>
      </c>
      <c r="J16" s="7" t="s">
        <v>970</v>
      </c>
      <c r="K16" s="7">
        <v>42748.047268518516</v>
      </c>
      <c r="L16" s="3" t="s">
        <v>970</v>
      </c>
      <c r="M16" s="7">
        <v>42748.047268518516</v>
      </c>
      <c r="N16" s="3" t="s">
        <v>970</v>
      </c>
      <c r="O16" s="16" t="str">
        <f>TEXT(DATEVALUE(LEFT(F16,10)),"mm-yyyy")</f>
        <v>01-2015</v>
      </c>
      <c r="P16" s="16">
        <f>H16*I16</f>
        <v>9.99</v>
      </c>
    </row>
    <row r="17" spans="3:16" x14ac:dyDescent="0.25">
      <c r="C17" t="str">
        <f>IF(COUNTBLANK(E17:N17) = 10,"",IF(AND(NOT(ISBLANK(E17)),COUNTBLANK(E17:N17) = 9),"3 Delete",IF(ISBLANK(E17),"2 Add",IF(JenkinsHashRange(E17:N17) = "1449505659","0 Original","1 Modify"))))</f>
        <v>0 Original</v>
      </c>
      <c r="D17" s="3" t="s">
        <v>1327</v>
      </c>
      <c r="E17" s="5">
        <v>366</v>
      </c>
      <c r="F17" t="s">
        <v>1012</v>
      </c>
      <c r="G17" t="s">
        <v>417</v>
      </c>
      <c r="H17" s="9">
        <v>8.99</v>
      </c>
      <c r="I17" s="5">
        <v>2</v>
      </c>
      <c r="J17" s="7" t="s">
        <v>970</v>
      </c>
      <c r="K17" s="7">
        <v>42748.047268518516</v>
      </c>
      <c r="L17" s="3" t="s">
        <v>970</v>
      </c>
      <c r="M17" s="7">
        <v>42748.047268518516</v>
      </c>
      <c r="N17" s="3" t="s">
        <v>970</v>
      </c>
      <c r="O17" s="16" t="str">
        <f>TEXT(DATEVALUE(LEFT(F17,10)),"mm-yyyy")</f>
        <v>01-2015</v>
      </c>
      <c r="P17" s="16">
        <f>H17*I17</f>
        <v>17.98</v>
      </c>
    </row>
    <row r="18" spans="3:16" x14ac:dyDescent="0.25">
      <c r="C18" t="str">
        <f>IF(COUNTBLANK(E18:N18) = 10,"",IF(AND(NOT(ISBLANK(E18)),COUNTBLANK(E18:N18) = 9),"3 Delete",IF(ISBLANK(E18),"2 Add",IF(JenkinsHashRange(E18:N18) = "1967790359","0 Original","1 Modify"))))</f>
        <v>0 Original</v>
      </c>
      <c r="D18" s="3" t="s">
        <v>1330</v>
      </c>
      <c r="E18" s="5">
        <v>435</v>
      </c>
      <c r="F18" t="s">
        <v>1014</v>
      </c>
      <c r="G18" t="s">
        <v>470</v>
      </c>
      <c r="H18" s="9">
        <v>8.99</v>
      </c>
      <c r="I18" s="5">
        <v>2</v>
      </c>
      <c r="J18" s="7" t="s">
        <v>970</v>
      </c>
      <c r="K18" s="7">
        <v>42748.047268518516</v>
      </c>
      <c r="L18" s="3" t="s">
        <v>970</v>
      </c>
      <c r="M18" s="7">
        <v>42748.047268518516</v>
      </c>
      <c r="N18" s="3" t="s">
        <v>970</v>
      </c>
      <c r="O18" s="16" t="str">
        <f>TEXT(DATEVALUE(LEFT(F18,10)),"mm-yyyy")</f>
        <v>01-2015</v>
      </c>
      <c r="P18" s="16">
        <f>H18*I18</f>
        <v>17.98</v>
      </c>
    </row>
    <row r="19" spans="3:16" x14ac:dyDescent="0.25">
      <c r="C19" t="str">
        <f>IF(COUNTBLANK(E19:N19) = 10,"",IF(AND(NOT(ISBLANK(E19)),COUNTBLANK(E19:N19) = 9),"3 Delete",IF(ISBLANK(E19),"2 Add",IF(JenkinsHashRange(E19:N19) = "1560651706","0 Original","1 Modify"))))</f>
        <v>0 Original</v>
      </c>
      <c r="D19" s="3" t="s">
        <v>1331</v>
      </c>
      <c r="E19" s="5">
        <v>436</v>
      </c>
      <c r="F19" t="s">
        <v>1014</v>
      </c>
      <c r="G19" t="s">
        <v>823</v>
      </c>
      <c r="H19" s="9">
        <v>7.99</v>
      </c>
      <c r="I19" s="5">
        <v>1</v>
      </c>
      <c r="J19" s="7" t="s">
        <v>970</v>
      </c>
      <c r="K19" s="7">
        <v>42748.047268518516</v>
      </c>
      <c r="L19" s="3" t="s">
        <v>970</v>
      </c>
      <c r="M19" s="7">
        <v>42748.047268518516</v>
      </c>
      <c r="N19" s="3" t="s">
        <v>970</v>
      </c>
      <c r="O19" s="16" t="str">
        <f>TEXT(DATEVALUE(LEFT(F19,10)),"mm-yyyy")</f>
        <v>01-2015</v>
      </c>
      <c r="P19" s="16">
        <f>H19*I19</f>
        <v>7.99</v>
      </c>
    </row>
    <row r="20" spans="3:16" x14ac:dyDescent="0.25">
      <c r="C20" t="str">
        <f>IF(COUNTBLANK(E20:N20) = 10,"",IF(AND(NOT(ISBLANK(E20)),COUNTBLANK(E20:N20) = 9),"3 Delete",IF(ISBLANK(E20),"2 Add",IF(JenkinsHashRange(E20:N20) = "735890961","0 Original","1 Modify"))))</f>
        <v>0 Original</v>
      </c>
      <c r="D20" s="3" t="s">
        <v>1332</v>
      </c>
      <c r="E20" s="5">
        <v>437</v>
      </c>
      <c r="F20" t="s">
        <v>1014</v>
      </c>
      <c r="G20" t="s">
        <v>895</v>
      </c>
      <c r="H20" s="9">
        <v>7.99</v>
      </c>
      <c r="I20" s="5">
        <v>1</v>
      </c>
      <c r="J20" s="7" t="s">
        <v>970</v>
      </c>
      <c r="K20" s="7">
        <v>42748.047268518516</v>
      </c>
      <c r="L20" s="3" t="s">
        <v>970</v>
      </c>
      <c r="M20" s="7">
        <v>42748.047268518516</v>
      </c>
      <c r="N20" s="3" t="s">
        <v>970</v>
      </c>
      <c r="O20" s="16" t="str">
        <f>TEXT(DATEVALUE(LEFT(F20,10)),"mm-yyyy")</f>
        <v>01-2015</v>
      </c>
      <c r="P20" s="16">
        <f>H20*I20</f>
        <v>7.99</v>
      </c>
    </row>
    <row r="21" spans="3:16" x14ac:dyDescent="0.25">
      <c r="C21" t="str">
        <f>IF(COUNTBLANK(E21:N21) = 10,"",IF(AND(NOT(ISBLANK(E21)),COUNTBLANK(E21:N21) = 9),"3 Delete",IF(ISBLANK(E21),"2 Add",IF(JenkinsHashRange(E21:N21) = "1419552568","0 Original","1 Modify"))))</f>
        <v>0 Original</v>
      </c>
      <c r="D21" s="3" t="s">
        <v>1333</v>
      </c>
      <c r="E21" s="5">
        <v>438</v>
      </c>
      <c r="F21" t="s">
        <v>1014</v>
      </c>
      <c r="G21" t="s">
        <v>886</v>
      </c>
      <c r="H21" s="9">
        <v>7.99</v>
      </c>
      <c r="I21" s="5">
        <v>1</v>
      </c>
      <c r="J21" s="7" t="s">
        <v>970</v>
      </c>
      <c r="K21" s="7">
        <v>42748.047268518516</v>
      </c>
      <c r="L21" s="3" t="s">
        <v>970</v>
      </c>
      <c r="M21" s="7">
        <v>42748.047268518516</v>
      </c>
      <c r="N21" s="3" t="s">
        <v>970</v>
      </c>
      <c r="O21" s="16" t="str">
        <f>TEXT(DATEVALUE(LEFT(F21,10)),"mm-yyyy")</f>
        <v>01-2015</v>
      </c>
      <c r="P21" s="16">
        <f>H21*I21</f>
        <v>7.99</v>
      </c>
    </row>
    <row r="22" spans="3:16" x14ac:dyDescent="0.25">
      <c r="C22" t="str">
        <f>IF(COUNTBLANK(E22:N22) = 10,"",IF(AND(NOT(ISBLANK(E22)),COUNTBLANK(E22:N22) = 9),"3 Delete",IF(ISBLANK(E22),"2 Add",IF(JenkinsHashRange(E22:N22) = "1073144499","0 Original","1 Modify"))))</f>
        <v>0 Original</v>
      </c>
      <c r="D22" s="3" t="s">
        <v>1334</v>
      </c>
      <c r="E22" s="5">
        <v>478</v>
      </c>
      <c r="F22" t="s">
        <v>1015</v>
      </c>
      <c r="G22" t="s">
        <v>582</v>
      </c>
      <c r="H22" s="9">
        <v>9.99</v>
      </c>
      <c r="I22" s="5">
        <v>2</v>
      </c>
      <c r="J22" s="7" t="s">
        <v>970</v>
      </c>
      <c r="K22" s="7">
        <v>42748.047268518516</v>
      </c>
      <c r="L22" s="3" t="s">
        <v>970</v>
      </c>
      <c r="M22" s="7">
        <v>42748.047268518516</v>
      </c>
      <c r="N22" s="3" t="s">
        <v>970</v>
      </c>
      <c r="O22" s="16" t="str">
        <f>TEXT(DATEVALUE(LEFT(F22,10)),"mm-yyyy")</f>
        <v>01-2015</v>
      </c>
      <c r="P22" s="16">
        <f>H22*I22</f>
        <v>19.98</v>
      </c>
    </row>
    <row r="23" spans="3:16" x14ac:dyDescent="0.25">
      <c r="C23" t="str">
        <f>IF(COUNTBLANK(E23:N23) = 10,"",IF(AND(NOT(ISBLANK(E23)),COUNTBLANK(E23:N23) = 9),"3 Delete",IF(ISBLANK(E23),"2 Add",IF(JenkinsHashRange(E23:N23) = "1985020331","0 Original","1 Modify"))))</f>
        <v>0 Original</v>
      </c>
      <c r="D23" s="3" t="s">
        <v>1335</v>
      </c>
      <c r="E23" s="5">
        <v>479</v>
      </c>
      <c r="F23" t="s">
        <v>1015</v>
      </c>
      <c r="G23" t="s">
        <v>901</v>
      </c>
      <c r="H23" s="9">
        <v>8.99</v>
      </c>
      <c r="I23" s="5">
        <v>1</v>
      </c>
      <c r="J23" s="7" t="s">
        <v>970</v>
      </c>
      <c r="K23" s="7">
        <v>42748.047268518516</v>
      </c>
      <c r="L23" s="3" t="s">
        <v>970</v>
      </c>
      <c r="M23" s="7">
        <v>42748.047268518516</v>
      </c>
      <c r="N23" s="3" t="s">
        <v>970</v>
      </c>
      <c r="O23" s="16" t="str">
        <f>TEXT(DATEVALUE(LEFT(F23,10)),"mm-yyyy")</f>
        <v>01-2015</v>
      </c>
      <c r="P23" s="16">
        <f>H23*I23</f>
        <v>8.99</v>
      </c>
    </row>
    <row r="24" spans="3:16" x14ac:dyDescent="0.25">
      <c r="C24" t="str">
        <f>IF(COUNTBLANK(E24:N24) = 10,"",IF(AND(NOT(ISBLANK(E24)),COUNTBLANK(E24:N24) = 9),"3 Delete",IF(ISBLANK(E24),"2 Add",IF(JenkinsHashRange(E24:N24) = "280471386","0 Original","1 Modify"))))</f>
        <v>0 Original</v>
      </c>
      <c r="D24" s="3" t="s">
        <v>1336</v>
      </c>
      <c r="E24" s="5">
        <v>480</v>
      </c>
      <c r="F24" t="s">
        <v>1015</v>
      </c>
      <c r="G24" t="s">
        <v>625</v>
      </c>
      <c r="H24" s="9">
        <v>6.99</v>
      </c>
      <c r="I24" s="5">
        <v>1</v>
      </c>
      <c r="J24" s="7" t="s">
        <v>970</v>
      </c>
      <c r="K24" s="7">
        <v>42748.047268518516</v>
      </c>
      <c r="L24" s="3" t="s">
        <v>970</v>
      </c>
      <c r="M24" s="7">
        <v>42748.047268518516</v>
      </c>
      <c r="N24" s="3" t="s">
        <v>970</v>
      </c>
      <c r="O24" s="16" t="str">
        <f>TEXT(DATEVALUE(LEFT(F24,10)),"mm-yyyy")</f>
        <v>01-2015</v>
      </c>
      <c r="P24" s="16">
        <f>H24*I24</f>
        <v>6.99</v>
      </c>
    </row>
    <row r="25" spans="3:16" x14ac:dyDescent="0.25">
      <c r="C25" t="str">
        <f>IF(COUNTBLANK(E25:N25) = 10,"",IF(AND(NOT(ISBLANK(E25)),COUNTBLANK(E25:N25) = 9),"3 Delete",IF(ISBLANK(E25),"2 Add",IF(JenkinsHashRange(E25:N25) = "1188659253","0 Original","1 Modify"))))</f>
        <v>0 Original</v>
      </c>
      <c r="D25" s="3" t="s">
        <v>1337</v>
      </c>
      <c r="E25" s="5">
        <v>481</v>
      </c>
      <c r="F25" t="s">
        <v>1015</v>
      </c>
      <c r="G25" t="s">
        <v>743</v>
      </c>
      <c r="H25" s="9">
        <v>9.99</v>
      </c>
      <c r="I25" s="5">
        <v>1</v>
      </c>
      <c r="J25" s="7" t="s">
        <v>970</v>
      </c>
      <c r="K25" s="7">
        <v>42748.047268518516</v>
      </c>
      <c r="L25" s="3" t="s">
        <v>970</v>
      </c>
      <c r="M25" s="7">
        <v>42748.047268518516</v>
      </c>
      <c r="N25" s="3" t="s">
        <v>970</v>
      </c>
      <c r="O25" s="16" t="str">
        <f>TEXT(DATEVALUE(LEFT(F25,10)),"mm-yyyy")</f>
        <v>01-2015</v>
      </c>
      <c r="P25" s="16">
        <f>H25*I25</f>
        <v>9.99</v>
      </c>
    </row>
    <row r="26" spans="3:16" x14ac:dyDescent="0.25">
      <c r="C26" t="str">
        <f>IF(COUNTBLANK(E26:N26) = 10,"",IF(AND(NOT(ISBLANK(E26)),COUNTBLANK(E26:N26) = 9),"3 Delete",IF(ISBLANK(E26),"2 Add",IF(JenkinsHashRange(E26:N26) = "988853542","0 Original","1 Modify"))))</f>
        <v>0 Original</v>
      </c>
      <c r="D26" s="3" t="s">
        <v>1376</v>
      </c>
      <c r="E26" s="5">
        <v>732</v>
      </c>
      <c r="F26" t="s">
        <v>1028</v>
      </c>
      <c r="G26" t="s">
        <v>696</v>
      </c>
      <c r="H26" s="9">
        <v>4.99</v>
      </c>
      <c r="I26" s="5">
        <v>2</v>
      </c>
      <c r="J26" s="7" t="s">
        <v>970</v>
      </c>
      <c r="K26" s="7">
        <v>42748.047268518516</v>
      </c>
      <c r="L26" s="3" t="s">
        <v>970</v>
      </c>
      <c r="M26" s="7">
        <v>42748.047268518516</v>
      </c>
      <c r="N26" s="3" t="s">
        <v>970</v>
      </c>
      <c r="O26" s="16" t="str">
        <f>TEXT(DATEVALUE(LEFT(F26,10)),"mm-yyyy")</f>
        <v>01-2015</v>
      </c>
      <c r="P26" s="16">
        <f>H26*I26</f>
        <v>9.98</v>
      </c>
    </row>
    <row r="27" spans="3:16" x14ac:dyDescent="0.25">
      <c r="C27" t="str">
        <f>IF(COUNTBLANK(E27:N27) = 10,"",IF(AND(NOT(ISBLANK(E27)),COUNTBLANK(E27:N27) = 9),"3 Delete",IF(ISBLANK(E27),"2 Add",IF(JenkinsHashRange(E27:N27) = "1444138356","0 Original","1 Modify"))))</f>
        <v>0 Original</v>
      </c>
      <c r="D27" s="3" t="s">
        <v>1377</v>
      </c>
      <c r="E27" s="5">
        <v>733</v>
      </c>
      <c r="F27" t="s">
        <v>1028</v>
      </c>
      <c r="G27" t="s">
        <v>706</v>
      </c>
      <c r="H27" s="9">
        <v>9.99</v>
      </c>
      <c r="I27" s="5">
        <v>1</v>
      </c>
      <c r="J27" s="7" t="s">
        <v>970</v>
      </c>
      <c r="K27" s="7">
        <v>42748.047268518516</v>
      </c>
      <c r="L27" s="3" t="s">
        <v>970</v>
      </c>
      <c r="M27" s="7">
        <v>42748.047268518516</v>
      </c>
      <c r="N27" s="3" t="s">
        <v>970</v>
      </c>
      <c r="O27" s="16" t="str">
        <f>TEXT(DATEVALUE(LEFT(F27,10)),"mm-yyyy")</f>
        <v>01-2015</v>
      </c>
      <c r="P27" s="16">
        <f>H27*I27</f>
        <v>9.99</v>
      </c>
    </row>
    <row r="28" spans="3:16" x14ac:dyDescent="0.25">
      <c r="C28" t="str">
        <f>IF(COUNTBLANK(E28:N28) = 10,"",IF(AND(NOT(ISBLANK(E28)),COUNTBLANK(E28:N28) = 9),"3 Delete",IF(ISBLANK(E28),"2 Add",IF(JenkinsHashRange(E28:N28) = "984138291","0 Original","1 Modify"))))</f>
        <v>0 Original</v>
      </c>
      <c r="D28" s="3" t="s">
        <v>1378</v>
      </c>
      <c r="E28" s="5">
        <v>757</v>
      </c>
      <c r="F28" t="s">
        <v>1029</v>
      </c>
      <c r="G28" t="s">
        <v>397</v>
      </c>
      <c r="H28" s="9">
        <v>5.99</v>
      </c>
      <c r="I28" s="5">
        <v>1</v>
      </c>
      <c r="J28" s="7" t="s">
        <v>970</v>
      </c>
      <c r="K28" s="7">
        <v>42748.047268518516</v>
      </c>
      <c r="L28" s="3" t="s">
        <v>970</v>
      </c>
      <c r="M28" s="7">
        <v>42748.047268518516</v>
      </c>
      <c r="N28" s="3" t="s">
        <v>970</v>
      </c>
      <c r="O28" s="16" t="str">
        <f>TEXT(DATEVALUE(LEFT(F28,10)),"mm-yyyy")</f>
        <v>01-2015</v>
      </c>
      <c r="P28" s="16">
        <f>H28*I28</f>
        <v>5.99</v>
      </c>
    </row>
    <row r="29" spans="3:16" x14ac:dyDescent="0.25">
      <c r="C29" t="str">
        <f>IF(COUNTBLANK(E29:N29) = 10,"",IF(AND(NOT(ISBLANK(E29)),COUNTBLANK(E29:N29) = 9),"3 Delete",IF(ISBLANK(E29),"2 Add",IF(JenkinsHashRange(E29:N29) = "308349256","0 Original","1 Modify"))))</f>
        <v>0 Original</v>
      </c>
      <c r="D29" s="3" t="s">
        <v>1379</v>
      </c>
      <c r="E29" s="5">
        <v>758</v>
      </c>
      <c r="F29" t="s">
        <v>1029</v>
      </c>
      <c r="G29" t="s">
        <v>917</v>
      </c>
      <c r="H29" s="9">
        <v>4.99</v>
      </c>
      <c r="I29" s="5">
        <v>1</v>
      </c>
      <c r="J29" s="7" t="s">
        <v>970</v>
      </c>
      <c r="K29" s="7">
        <v>42748.047268518516</v>
      </c>
      <c r="L29" s="3" t="s">
        <v>970</v>
      </c>
      <c r="M29" s="7">
        <v>42748.047268518516</v>
      </c>
      <c r="N29" s="3" t="s">
        <v>970</v>
      </c>
      <c r="O29" s="16" t="str">
        <f>TEXT(DATEVALUE(LEFT(F29,10)),"mm-yyyy")</f>
        <v>01-2015</v>
      </c>
      <c r="P29" s="16">
        <f>H29*I29</f>
        <v>4.99</v>
      </c>
    </row>
    <row r="30" spans="3:16" x14ac:dyDescent="0.25">
      <c r="C30" t="str">
        <f>IF(COUNTBLANK(E30:N30) = 10,"",IF(AND(NOT(ISBLANK(E30)),COUNTBLANK(E30:N30) = 9),"3 Delete",IF(ISBLANK(E30),"2 Add",IF(JenkinsHashRange(E30:N30) = "580170211","0 Original","1 Modify"))))</f>
        <v>0 Original</v>
      </c>
      <c r="D30" s="3" t="s">
        <v>1380</v>
      </c>
      <c r="E30" s="5">
        <v>759</v>
      </c>
      <c r="F30" t="s">
        <v>1030</v>
      </c>
      <c r="G30" t="s">
        <v>814</v>
      </c>
      <c r="H30" s="9">
        <v>9.99</v>
      </c>
      <c r="I30" s="5">
        <v>2</v>
      </c>
      <c r="J30" s="7" t="s">
        <v>970</v>
      </c>
      <c r="K30" s="7">
        <v>42748.047268518516</v>
      </c>
      <c r="L30" s="3" t="s">
        <v>970</v>
      </c>
      <c r="M30" s="7">
        <v>42748.047268518516</v>
      </c>
      <c r="N30" s="3" t="s">
        <v>970</v>
      </c>
      <c r="O30" s="16" t="str">
        <f>TEXT(DATEVALUE(LEFT(F30,10)),"mm-yyyy")</f>
        <v>01-2015</v>
      </c>
      <c r="P30" s="16">
        <f>H30*I30</f>
        <v>19.98</v>
      </c>
    </row>
    <row r="31" spans="3:16" x14ac:dyDescent="0.25">
      <c r="C31" t="str">
        <f>IF(COUNTBLANK(E31:N31) = 10,"",IF(AND(NOT(ISBLANK(E31)),COUNTBLANK(E31:N31) = 9),"3 Delete",IF(ISBLANK(E31),"2 Add",IF(JenkinsHashRange(E31:N31) = "2120462559","0 Original","1 Modify"))))</f>
        <v>0 Original</v>
      </c>
      <c r="D31" s="3" t="s">
        <v>1381</v>
      </c>
      <c r="E31" s="5">
        <v>760</v>
      </c>
      <c r="F31" t="s">
        <v>1030</v>
      </c>
      <c r="G31" t="s">
        <v>814</v>
      </c>
      <c r="H31" s="9">
        <v>9.99</v>
      </c>
      <c r="I31" s="5">
        <v>2</v>
      </c>
      <c r="J31" s="7" t="s">
        <v>970</v>
      </c>
      <c r="K31" s="7">
        <v>42748.047268518516</v>
      </c>
      <c r="L31" s="3" t="s">
        <v>970</v>
      </c>
      <c r="M31" s="7">
        <v>42748.047268518516</v>
      </c>
      <c r="N31" s="3" t="s">
        <v>970</v>
      </c>
      <c r="O31" s="16" t="str">
        <f>TEXT(DATEVALUE(LEFT(F31,10)),"mm-yyyy")</f>
        <v>01-2015</v>
      </c>
      <c r="P31" s="16">
        <f>H31*I31</f>
        <v>19.98</v>
      </c>
    </row>
    <row r="32" spans="3:16" x14ac:dyDescent="0.25">
      <c r="C32" t="str">
        <f>IF(COUNTBLANK(E32:N32) = 10,"",IF(AND(NOT(ISBLANK(E32)),COUNTBLANK(E32:N32) = 9),"3 Delete",IF(ISBLANK(E32),"2 Add",IF(JenkinsHashRange(E32:N32) = "186340952","0 Original","1 Modify"))))</f>
        <v>0 Original</v>
      </c>
      <c r="D32" s="3" t="s">
        <v>1382</v>
      </c>
      <c r="E32" s="5">
        <v>761</v>
      </c>
      <c r="F32" t="s">
        <v>1030</v>
      </c>
      <c r="G32" t="s">
        <v>846</v>
      </c>
      <c r="H32" s="9">
        <v>8.99</v>
      </c>
      <c r="I32" s="5">
        <v>2</v>
      </c>
      <c r="J32" s="7" t="s">
        <v>970</v>
      </c>
      <c r="K32" s="7">
        <v>42748.047268518516</v>
      </c>
      <c r="L32" s="3" t="s">
        <v>970</v>
      </c>
      <c r="M32" s="7">
        <v>42748.047268518516</v>
      </c>
      <c r="N32" s="3" t="s">
        <v>970</v>
      </c>
      <c r="O32" s="16" t="str">
        <f>TEXT(DATEVALUE(LEFT(F32,10)),"mm-yyyy")</f>
        <v>01-2015</v>
      </c>
      <c r="P32" s="16">
        <f>H32*I32</f>
        <v>17.98</v>
      </c>
    </row>
    <row r="33" spans="3:16" x14ac:dyDescent="0.25">
      <c r="C33" t="str">
        <f>IF(COUNTBLANK(E33:N33) = 10,"",IF(AND(NOT(ISBLANK(E33)),COUNTBLANK(E33:N33) = 9),"3 Delete",IF(ISBLANK(E33),"2 Add",IF(JenkinsHashRange(E33:N33) = "925202091","0 Original","1 Modify"))))</f>
        <v>0 Original</v>
      </c>
      <c r="D33" s="3" t="s">
        <v>1383</v>
      </c>
      <c r="E33" s="5">
        <v>762</v>
      </c>
      <c r="F33" t="s">
        <v>1030</v>
      </c>
      <c r="G33" t="s">
        <v>850</v>
      </c>
      <c r="H33" s="9">
        <v>7.99</v>
      </c>
      <c r="I33" s="5">
        <v>2</v>
      </c>
      <c r="J33" s="7" t="s">
        <v>970</v>
      </c>
      <c r="K33" s="7">
        <v>42748.047268518516</v>
      </c>
      <c r="L33" s="3" t="s">
        <v>970</v>
      </c>
      <c r="M33" s="7">
        <v>42748.047268518516</v>
      </c>
      <c r="N33" s="3" t="s">
        <v>970</v>
      </c>
      <c r="O33" s="16" t="str">
        <f>TEXT(DATEVALUE(LEFT(F33,10)),"mm-yyyy")</f>
        <v>01-2015</v>
      </c>
      <c r="P33" s="16">
        <f>H33*I33</f>
        <v>15.98</v>
      </c>
    </row>
    <row r="34" spans="3:16" x14ac:dyDescent="0.25">
      <c r="C34" t="str">
        <f>IF(COUNTBLANK(E34:N34) = 10,"",IF(AND(NOT(ISBLANK(E34)),COUNTBLANK(E34:N34) = 9),"3 Delete",IF(ISBLANK(E34),"2 Add",IF(JenkinsHashRange(E34:N34) = "1425138878","0 Original","1 Modify"))))</f>
        <v>0 Original</v>
      </c>
      <c r="D34" s="3" t="s">
        <v>1438</v>
      </c>
      <c r="E34" s="5">
        <v>947</v>
      </c>
      <c r="F34" t="s">
        <v>1045</v>
      </c>
      <c r="G34" t="s">
        <v>673</v>
      </c>
      <c r="H34" s="9">
        <v>5.99</v>
      </c>
      <c r="I34" s="5">
        <v>1</v>
      </c>
      <c r="J34" s="7" t="s">
        <v>970</v>
      </c>
      <c r="K34" s="7">
        <v>42748.047268518516</v>
      </c>
      <c r="L34" s="3" t="s">
        <v>970</v>
      </c>
      <c r="M34" s="7">
        <v>42748.047268518516</v>
      </c>
      <c r="N34" s="3" t="s">
        <v>970</v>
      </c>
      <c r="O34" s="16" t="str">
        <f>TEXT(DATEVALUE(LEFT(F34,10)),"mm-yyyy")</f>
        <v>01-2015</v>
      </c>
      <c r="P34" s="16">
        <f>H34*I34</f>
        <v>5.99</v>
      </c>
    </row>
    <row r="35" spans="3:16" x14ac:dyDescent="0.25">
      <c r="C35" t="str">
        <f>IF(COUNTBLANK(E35:N35) = 10,"",IF(AND(NOT(ISBLANK(E35)),COUNTBLANK(E35:N35) = 9),"3 Delete",IF(ISBLANK(E35),"2 Add",IF(JenkinsHashRange(E35:N35) = "1453003119","0 Original","1 Modify"))))</f>
        <v>0 Original</v>
      </c>
      <c r="D35" s="3" t="s">
        <v>1439</v>
      </c>
      <c r="E35" s="5">
        <v>948</v>
      </c>
      <c r="F35" t="s">
        <v>1045</v>
      </c>
      <c r="G35" t="s">
        <v>649</v>
      </c>
      <c r="H35" s="9">
        <v>5.99</v>
      </c>
      <c r="I35" s="5">
        <v>1</v>
      </c>
      <c r="J35" s="7" t="s">
        <v>970</v>
      </c>
      <c r="K35" s="7">
        <v>42748.047268518516</v>
      </c>
      <c r="L35" s="3" t="s">
        <v>970</v>
      </c>
      <c r="M35" s="7">
        <v>42748.047268518516</v>
      </c>
      <c r="N35" s="3" t="s">
        <v>970</v>
      </c>
      <c r="O35" s="16" t="str">
        <f>TEXT(DATEVALUE(LEFT(F35,10)),"mm-yyyy")</f>
        <v>01-2015</v>
      </c>
      <c r="P35" s="16">
        <f>H35*I35</f>
        <v>5.99</v>
      </c>
    </row>
    <row r="36" spans="3:16" x14ac:dyDescent="0.25">
      <c r="C36" t="str">
        <f>IF(COUNTBLANK(E36:N36) = 10,"",IF(AND(NOT(ISBLANK(E36)),COUNTBLANK(E36:N36) = 9),"3 Delete",IF(ISBLANK(E36),"2 Add",IF(JenkinsHashRange(E36:N36) = "1237178612","0 Original","1 Modify"))))</f>
        <v>0 Original</v>
      </c>
      <c r="D36" s="3" t="s">
        <v>1440</v>
      </c>
      <c r="E36" s="5">
        <v>949</v>
      </c>
      <c r="F36" t="s">
        <v>1045</v>
      </c>
      <c r="G36" t="s">
        <v>696</v>
      </c>
      <c r="H36" s="9">
        <v>4.99</v>
      </c>
      <c r="I36" s="5">
        <v>1</v>
      </c>
      <c r="J36" s="7" t="s">
        <v>970</v>
      </c>
      <c r="K36" s="7">
        <v>42748.047268518516</v>
      </c>
      <c r="L36" s="3" t="s">
        <v>970</v>
      </c>
      <c r="M36" s="7">
        <v>42748.047268518516</v>
      </c>
      <c r="N36" s="3" t="s">
        <v>970</v>
      </c>
      <c r="O36" s="16" t="str">
        <f>TEXT(DATEVALUE(LEFT(F36,10)),"mm-yyyy")</f>
        <v>01-2015</v>
      </c>
      <c r="P36" s="16">
        <f>H36*I36</f>
        <v>4.99</v>
      </c>
    </row>
    <row r="37" spans="3:16" x14ac:dyDescent="0.25">
      <c r="C37" t="str">
        <f>IF(COUNTBLANK(E37:N37) = 10,"",IF(AND(NOT(ISBLANK(E37)),COUNTBLANK(E37:N37) = 9),"3 Delete",IF(ISBLANK(E37),"2 Add",IF(JenkinsHashRange(E37:N37) = "1515350194","0 Original","1 Modify"))))</f>
        <v>0 Original</v>
      </c>
      <c r="D37" s="3" t="s">
        <v>1445</v>
      </c>
      <c r="E37" s="5">
        <v>1055</v>
      </c>
      <c r="F37" t="s">
        <v>1048</v>
      </c>
      <c r="G37" t="s">
        <v>484</v>
      </c>
      <c r="H37" s="9">
        <v>6.99</v>
      </c>
      <c r="I37" s="5">
        <v>1</v>
      </c>
      <c r="J37" s="7" t="s">
        <v>970</v>
      </c>
      <c r="K37" s="7">
        <v>42748.047268518516</v>
      </c>
      <c r="L37" s="3" t="s">
        <v>970</v>
      </c>
      <c r="M37" s="7">
        <v>42748.047268518516</v>
      </c>
      <c r="N37" s="3" t="s">
        <v>970</v>
      </c>
      <c r="O37" s="16" t="str">
        <f>TEXT(DATEVALUE(LEFT(F37,10)),"mm-yyyy")</f>
        <v>01-2015</v>
      </c>
      <c r="P37" s="16">
        <f>H37*I37</f>
        <v>6.99</v>
      </c>
    </row>
    <row r="38" spans="3:16" x14ac:dyDescent="0.25">
      <c r="C38" t="str">
        <f>IF(COUNTBLANK(E38:N38) = 10,"",IF(AND(NOT(ISBLANK(E38)),COUNTBLANK(E38:N38) = 9),"3 Delete",IF(ISBLANK(E38),"2 Add",IF(JenkinsHashRange(E38:N38) = "1367910271","0 Original","1 Modify"))))</f>
        <v>0 Original</v>
      </c>
      <c r="D38" s="3" t="s">
        <v>1463</v>
      </c>
      <c r="E38" s="5">
        <v>1123</v>
      </c>
      <c r="F38" t="s">
        <v>1054</v>
      </c>
      <c r="G38" t="s">
        <v>659</v>
      </c>
      <c r="H38" s="9">
        <v>9.99</v>
      </c>
      <c r="I38" s="5">
        <v>1</v>
      </c>
      <c r="J38" s="7" t="s">
        <v>970</v>
      </c>
      <c r="K38" s="7">
        <v>42748.047268518516</v>
      </c>
      <c r="L38" s="3" t="s">
        <v>970</v>
      </c>
      <c r="M38" s="7">
        <v>42748.047268518516</v>
      </c>
      <c r="N38" s="3" t="s">
        <v>970</v>
      </c>
      <c r="O38" s="16" t="str">
        <f>TEXT(DATEVALUE(LEFT(F38,10)),"mm-yyyy")</f>
        <v>01-2015</v>
      </c>
      <c r="P38" s="16">
        <f>H38*I38</f>
        <v>9.99</v>
      </c>
    </row>
    <row r="39" spans="3:16" x14ac:dyDescent="0.25">
      <c r="C39" t="str">
        <f>IF(COUNTBLANK(E39:N39) = 10,"",IF(AND(NOT(ISBLANK(E39)),COUNTBLANK(E39:N39) = 9),"3 Delete",IF(ISBLANK(E39),"2 Add",IF(JenkinsHashRange(E39:N39) = "1378956025","0 Original","1 Modify"))))</f>
        <v>0 Original</v>
      </c>
      <c r="D39" s="3" t="s">
        <v>1464</v>
      </c>
      <c r="E39" s="5">
        <v>1124</v>
      </c>
      <c r="F39" t="s">
        <v>1054</v>
      </c>
      <c r="G39" t="s">
        <v>737</v>
      </c>
      <c r="H39" s="9">
        <v>9.99</v>
      </c>
      <c r="I39" s="5">
        <v>2</v>
      </c>
      <c r="J39" s="7" t="s">
        <v>970</v>
      </c>
      <c r="K39" s="7">
        <v>42748.047268518516</v>
      </c>
      <c r="L39" s="3" t="s">
        <v>970</v>
      </c>
      <c r="M39" s="7">
        <v>42748.047268518516</v>
      </c>
      <c r="N39" s="3" t="s">
        <v>970</v>
      </c>
      <c r="O39" s="16" t="str">
        <f>TEXT(DATEVALUE(LEFT(F39,10)),"mm-yyyy")</f>
        <v>01-2015</v>
      </c>
      <c r="P39" s="16">
        <f>H39*I39</f>
        <v>19.98</v>
      </c>
    </row>
    <row r="40" spans="3:16" x14ac:dyDescent="0.25">
      <c r="C40" t="str">
        <f>IF(COUNTBLANK(E40:N40) = 10,"",IF(AND(NOT(ISBLANK(E40)),COUNTBLANK(E40:N40) = 9),"3 Delete",IF(ISBLANK(E40),"2 Add",IF(JenkinsHashRange(E40:N40) = "1992143793","0 Original","1 Modify"))))</f>
        <v>0 Original</v>
      </c>
      <c r="D40" s="3" t="s">
        <v>1465</v>
      </c>
      <c r="E40" s="5">
        <v>1125</v>
      </c>
      <c r="F40" t="s">
        <v>1054</v>
      </c>
      <c r="G40" t="s">
        <v>435</v>
      </c>
      <c r="H40" s="9">
        <v>8.99</v>
      </c>
      <c r="I40" s="5">
        <v>1</v>
      </c>
      <c r="J40" s="7" t="s">
        <v>970</v>
      </c>
      <c r="K40" s="7">
        <v>42748.047268518516</v>
      </c>
      <c r="L40" s="3" t="s">
        <v>970</v>
      </c>
      <c r="M40" s="7">
        <v>42748.047268518516</v>
      </c>
      <c r="N40" s="3" t="s">
        <v>970</v>
      </c>
      <c r="O40" s="16" t="str">
        <f>TEXT(DATEVALUE(LEFT(F40,10)),"mm-yyyy")</f>
        <v>01-2015</v>
      </c>
      <c r="P40" s="16">
        <f>H40*I40</f>
        <v>8.99</v>
      </c>
    </row>
    <row r="41" spans="3:16" x14ac:dyDescent="0.25">
      <c r="C41" t="str">
        <f>IF(COUNTBLANK(E41:N41) = 10,"",IF(AND(NOT(ISBLANK(E41)),COUNTBLANK(E41:N41) = 9),"3 Delete",IF(ISBLANK(E41),"2 Add",IF(JenkinsHashRange(E41:N41) = "1972147138","0 Original","1 Modify"))))</f>
        <v>0 Original</v>
      </c>
      <c r="D41" s="3" t="s">
        <v>1504</v>
      </c>
      <c r="E41" s="5">
        <v>1246</v>
      </c>
      <c r="F41" t="s">
        <v>1066</v>
      </c>
      <c r="G41" t="s">
        <v>768</v>
      </c>
      <c r="H41" s="9">
        <v>6.99</v>
      </c>
      <c r="I41" s="5">
        <v>2</v>
      </c>
      <c r="J41" s="7" t="s">
        <v>970</v>
      </c>
      <c r="K41" s="7">
        <v>42748.047268518516</v>
      </c>
      <c r="L41" s="3" t="s">
        <v>970</v>
      </c>
      <c r="M41" s="7">
        <v>42748.047268518516</v>
      </c>
      <c r="N41" s="3" t="s">
        <v>970</v>
      </c>
      <c r="O41" s="16" t="str">
        <f>TEXT(DATEVALUE(LEFT(F41,10)),"mm-yyyy")</f>
        <v>01-2015</v>
      </c>
      <c r="P41" s="16">
        <f>H41*I41</f>
        <v>13.98</v>
      </c>
    </row>
    <row r="42" spans="3:16" x14ac:dyDescent="0.25">
      <c r="C42" t="str">
        <f>IF(COUNTBLANK(E42:N42) = 10,"",IF(AND(NOT(ISBLANK(E42)),COUNTBLANK(E42:N42) = 9),"3 Delete",IF(ISBLANK(E42),"2 Add",IF(JenkinsHashRange(E42:N42) = "346706978","0 Original","1 Modify"))))</f>
        <v>0 Original</v>
      </c>
      <c r="D42" s="3" t="s">
        <v>1505</v>
      </c>
      <c r="E42" s="5">
        <v>1247</v>
      </c>
      <c r="F42" t="s">
        <v>1066</v>
      </c>
      <c r="G42" t="s">
        <v>709</v>
      </c>
      <c r="H42" s="9">
        <v>6.99</v>
      </c>
      <c r="I42" s="5">
        <v>1</v>
      </c>
      <c r="J42" s="7" t="s">
        <v>970</v>
      </c>
      <c r="K42" s="7">
        <v>42748.047268518516</v>
      </c>
      <c r="L42" s="3" t="s">
        <v>970</v>
      </c>
      <c r="M42" s="7">
        <v>42748.047268518516</v>
      </c>
      <c r="N42" s="3" t="s">
        <v>970</v>
      </c>
      <c r="O42" s="16" t="str">
        <f>TEXT(DATEVALUE(LEFT(F42,10)),"mm-yyyy")</f>
        <v>01-2015</v>
      </c>
      <c r="P42" s="16">
        <f>H42*I42</f>
        <v>6.99</v>
      </c>
    </row>
    <row r="43" spans="3:16" x14ac:dyDescent="0.25">
      <c r="C43" t="str">
        <f>IF(COUNTBLANK(E43:N43) = 10,"",IF(AND(NOT(ISBLANK(E43)),COUNTBLANK(E43:N43) = 9),"3 Delete",IF(ISBLANK(E43),"2 Add",IF(JenkinsHashRange(E43:N43) = "815301112","0 Original","1 Modify"))))</f>
        <v>0 Original</v>
      </c>
      <c r="D43" s="3" t="s">
        <v>1506</v>
      </c>
      <c r="E43" s="5">
        <v>1248</v>
      </c>
      <c r="F43" t="s">
        <v>1066</v>
      </c>
      <c r="G43" t="s">
        <v>659</v>
      </c>
      <c r="H43" s="9">
        <v>9.99</v>
      </c>
      <c r="I43" s="5">
        <v>1</v>
      </c>
      <c r="J43" s="7" t="s">
        <v>970</v>
      </c>
      <c r="K43" s="7">
        <v>42748.047268518516</v>
      </c>
      <c r="L43" s="3" t="s">
        <v>970</v>
      </c>
      <c r="M43" s="7">
        <v>42748.047268518516</v>
      </c>
      <c r="N43" s="3" t="s">
        <v>970</v>
      </c>
      <c r="O43" s="16" t="str">
        <f>TEXT(DATEVALUE(LEFT(F43,10)),"mm-yyyy")</f>
        <v>01-2015</v>
      </c>
      <c r="P43" s="16">
        <f>H43*I43</f>
        <v>9.99</v>
      </c>
    </row>
    <row r="44" spans="3:16" x14ac:dyDescent="0.25">
      <c r="C44" t="str">
        <f>IF(COUNTBLANK(E44:N44) = 10,"",IF(AND(NOT(ISBLANK(E44)),COUNTBLANK(E44:N44) = 9),"3 Delete",IF(ISBLANK(E44),"2 Add",IF(JenkinsHashRange(E44:N44) = "660335481","0 Original","1 Modify"))))</f>
        <v>0 Original</v>
      </c>
      <c r="D44" s="3" t="s">
        <v>1507</v>
      </c>
      <c r="E44" s="5">
        <v>1249</v>
      </c>
      <c r="F44" t="s">
        <v>1066</v>
      </c>
      <c r="G44" t="s">
        <v>880</v>
      </c>
      <c r="H44" s="9">
        <v>6.99</v>
      </c>
      <c r="I44" s="5">
        <v>2</v>
      </c>
      <c r="J44" s="7" t="s">
        <v>970</v>
      </c>
      <c r="K44" s="7">
        <v>42748.047268518516</v>
      </c>
      <c r="L44" s="3" t="s">
        <v>970</v>
      </c>
      <c r="M44" s="7">
        <v>42748.047268518516</v>
      </c>
      <c r="N44" s="3" t="s">
        <v>970</v>
      </c>
      <c r="O44" s="16" t="str">
        <f>TEXT(DATEVALUE(LEFT(F44,10)),"mm-yyyy")</f>
        <v>01-2015</v>
      </c>
      <c r="P44" s="16">
        <f>H44*I44</f>
        <v>13.98</v>
      </c>
    </row>
    <row r="45" spans="3:16" x14ac:dyDescent="0.25">
      <c r="C45" t="str">
        <f>IF(COUNTBLANK(E45:N45) = 10,"",IF(AND(NOT(ISBLANK(E45)),COUNTBLANK(E45:N45) = 9),"3 Delete",IF(ISBLANK(E45),"2 Add",IF(JenkinsHashRange(E45:N45) = "109875546","0 Original","1 Modify"))))</f>
        <v>0 Original</v>
      </c>
      <c r="D45" s="3" t="s">
        <v>1508</v>
      </c>
      <c r="E45" s="5">
        <v>1255</v>
      </c>
      <c r="F45" t="s">
        <v>1067</v>
      </c>
      <c r="G45" t="s">
        <v>945</v>
      </c>
      <c r="H45" s="9">
        <v>7.99</v>
      </c>
      <c r="I45" s="5">
        <v>2</v>
      </c>
      <c r="J45" s="7" t="s">
        <v>970</v>
      </c>
      <c r="K45" s="7">
        <v>42748.047268518516</v>
      </c>
      <c r="L45" s="3" t="s">
        <v>970</v>
      </c>
      <c r="M45" s="7">
        <v>42748.047268518516</v>
      </c>
      <c r="N45" s="3" t="s">
        <v>970</v>
      </c>
      <c r="O45" s="16" t="str">
        <f>TEXT(DATEVALUE(LEFT(F45,10)),"mm-yyyy")</f>
        <v>01-2015</v>
      </c>
      <c r="P45" s="16">
        <f>H45*I45</f>
        <v>15.98</v>
      </c>
    </row>
    <row r="46" spans="3:16" x14ac:dyDescent="0.25">
      <c r="C46" t="str">
        <f>IF(COUNTBLANK(E46:N46) = 10,"",IF(AND(NOT(ISBLANK(E46)),COUNTBLANK(E46:N46) = 9),"3 Delete",IF(ISBLANK(E46),"2 Add",IF(JenkinsHashRange(E46:N46) = "1311159088","0 Original","1 Modify"))))</f>
        <v>0 Original</v>
      </c>
      <c r="D46" s="3" t="s">
        <v>1509</v>
      </c>
      <c r="E46" s="5">
        <v>1256</v>
      </c>
      <c r="F46" t="s">
        <v>1067</v>
      </c>
      <c r="G46" t="s">
        <v>407</v>
      </c>
      <c r="H46" s="9">
        <v>9.99</v>
      </c>
      <c r="I46" s="5">
        <v>1</v>
      </c>
      <c r="J46" s="7" t="s">
        <v>970</v>
      </c>
      <c r="K46" s="7">
        <v>42748.047268518516</v>
      </c>
      <c r="L46" s="3" t="s">
        <v>970</v>
      </c>
      <c r="M46" s="7">
        <v>42748.047268518516</v>
      </c>
      <c r="N46" s="3" t="s">
        <v>970</v>
      </c>
      <c r="O46" s="16" t="str">
        <f>TEXT(DATEVALUE(LEFT(F46,10)),"mm-yyyy")</f>
        <v>01-2015</v>
      </c>
      <c r="P46" s="16">
        <f>H46*I46</f>
        <v>9.99</v>
      </c>
    </row>
    <row r="47" spans="3:16" x14ac:dyDescent="0.25">
      <c r="C47" t="str">
        <f>IF(COUNTBLANK(E47:N47) = 10,"",IF(AND(NOT(ISBLANK(E47)),COUNTBLANK(E47:N47) = 9),"3 Delete",IF(ISBLANK(E47),"2 Add",IF(JenkinsHashRange(E47:N47) = "1016468354","0 Original","1 Modify"))))</f>
        <v>0 Original</v>
      </c>
      <c r="D47" s="3" t="s">
        <v>1545</v>
      </c>
      <c r="E47" s="5">
        <v>1360</v>
      </c>
      <c r="F47" t="s">
        <v>1078</v>
      </c>
      <c r="G47" t="s">
        <v>713</v>
      </c>
      <c r="H47" s="9">
        <v>6.99</v>
      </c>
      <c r="I47" s="5">
        <v>1</v>
      </c>
      <c r="J47" s="7" t="s">
        <v>970</v>
      </c>
      <c r="K47" s="7">
        <v>42748.047268518516</v>
      </c>
      <c r="L47" s="3" t="s">
        <v>970</v>
      </c>
      <c r="M47" s="7">
        <v>42748.047268518516</v>
      </c>
      <c r="N47" s="3" t="s">
        <v>970</v>
      </c>
      <c r="O47" s="16" t="str">
        <f>TEXT(DATEVALUE(LEFT(F47,10)),"mm-yyyy")</f>
        <v>01-2015</v>
      </c>
      <c r="P47" s="16">
        <f>H47*I47</f>
        <v>6.99</v>
      </c>
    </row>
    <row r="48" spans="3:16" x14ac:dyDescent="0.25">
      <c r="C48" t="str">
        <f>IF(COUNTBLANK(E48:N48) = 10,"",IF(AND(NOT(ISBLANK(E48)),COUNTBLANK(E48:N48) = 9),"3 Delete",IF(ISBLANK(E48),"2 Add",IF(JenkinsHashRange(E48:N48) = "1586684130","0 Original","1 Modify"))))</f>
        <v>0 Original</v>
      </c>
      <c r="D48" s="3" t="s">
        <v>1546</v>
      </c>
      <c r="E48" s="5">
        <v>1361</v>
      </c>
      <c r="F48" t="s">
        <v>1078</v>
      </c>
      <c r="G48" t="s">
        <v>814</v>
      </c>
      <c r="H48" s="9">
        <v>9.99</v>
      </c>
      <c r="I48" s="5">
        <v>1</v>
      </c>
      <c r="J48" s="7" t="s">
        <v>970</v>
      </c>
      <c r="K48" s="7">
        <v>42748.047268518516</v>
      </c>
      <c r="L48" s="3" t="s">
        <v>970</v>
      </c>
      <c r="M48" s="7">
        <v>42748.047268518516</v>
      </c>
      <c r="N48" s="3" t="s">
        <v>970</v>
      </c>
      <c r="O48" s="16" t="str">
        <f>TEXT(DATEVALUE(LEFT(F48,10)),"mm-yyyy")</f>
        <v>01-2015</v>
      </c>
      <c r="P48" s="16">
        <f>H48*I48</f>
        <v>9.99</v>
      </c>
    </row>
    <row r="49" spans="3:16" x14ac:dyDescent="0.25">
      <c r="C49" t="str">
        <f>IF(COUNTBLANK(E49:N49) = 10,"",IF(AND(NOT(ISBLANK(E49)),COUNTBLANK(E49:N49) = 9),"3 Delete",IF(ISBLANK(E49),"2 Add",IF(JenkinsHashRange(E49:N49) = "724870219","0 Original","1 Modify"))))</f>
        <v>0 Original</v>
      </c>
      <c r="D49" s="3" t="s">
        <v>1555</v>
      </c>
      <c r="E49" s="5">
        <v>1449</v>
      </c>
      <c r="F49" t="s">
        <v>1082</v>
      </c>
      <c r="G49" t="s">
        <v>604</v>
      </c>
      <c r="H49" s="9">
        <v>7.99</v>
      </c>
      <c r="I49" s="5">
        <v>2</v>
      </c>
      <c r="J49" s="7" t="s">
        <v>970</v>
      </c>
      <c r="K49" s="7">
        <v>42748.047268518516</v>
      </c>
      <c r="L49" s="3" t="s">
        <v>970</v>
      </c>
      <c r="M49" s="7">
        <v>42748.047268518516</v>
      </c>
      <c r="N49" s="3" t="s">
        <v>970</v>
      </c>
      <c r="O49" s="16" t="str">
        <f>TEXT(DATEVALUE(LEFT(F49,10)),"mm-yyyy")</f>
        <v>01-2015</v>
      </c>
      <c r="P49" s="16">
        <f>H49*I49</f>
        <v>15.98</v>
      </c>
    </row>
    <row r="50" spans="3:16" x14ac:dyDescent="0.25">
      <c r="C50" t="str">
        <f>IF(COUNTBLANK(E50:N50) = 10,"",IF(AND(NOT(ISBLANK(E50)),COUNTBLANK(E50:N50) = 9),"3 Delete",IF(ISBLANK(E50),"2 Add",IF(JenkinsHashRange(E50:N50) = "1882823725","0 Original","1 Modify"))))</f>
        <v>0 Original</v>
      </c>
      <c r="D50" s="3" t="s">
        <v>1556</v>
      </c>
      <c r="E50" s="5">
        <v>1450</v>
      </c>
      <c r="F50" t="s">
        <v>1082</v>
      </c>
      <c r="G50" t="s">
        <v>846</v>
      </c>
      <c r="H50" s="9">
        <v>8.99</v>
      </c>
      <c r="I50" s="5">
        <v>1</v>
      </c>
      <c r="J50" s="7" t="s">
        <v>970</v>
      </c>
      <c r="K50" s="7">
        <v>42748.047268518516</v>
      </c>
      <c r="L50" s="3" t="s">
        <v>970</v>
      </c>
      <c r="M50" s="7">
        <v>42748.047268518516</v>
      </c>
      <c r="N50" s="3" t="s">
        <v>970</v>
      </c>
      <c r="O50" s="16" t="str">
        <f>TEXT(DATEVALUE(LEFT(F50,10)),"mm-yyyy")</f>
        <v>01-2015</v>
      </c>
      <c r="P50" s="16">
        <f>H50*I50</f>
        <v>8.99</v>
      </c>
    </row>
    <row r="51" spans="3:16" x14ac:dyDescent="0.25">
      <c r="C51" t="str">
        <f>IF(COUNTBLANK(E51:N51) = 10,"",IF(AND(NOT(ISBLANK(E51)),COUNTBLANK(E51:N51) = 9),"3 Delete",IF(ISBLANK(E51),"2 Add",IF(JenkinsHashRange(E51:N51) = "734401671","0 Original","1 Modify"))))</f>
        <v>0 Original</v>
      </c>
      <c r="D51" s="3" t="s">
        <v>1557</v>
      </c>
      <c r="E51" s="5">
        <v>1451</v>
      </c>
      <c r="F51" t="s">
        <v>1082</v>
      </c>
      <c r="G51" t="s">
        <v>457</v>
      </c>
      <c r="H51" s="9">
        <v>5.99</v>
      </c>
      <c r="I51" s="5">
        <v>1</v>
      </c>
      <c r="J51" s="7" t="s">
        <v>970</v>
      </c>
      <c r="K51" s="7">
        <v>42748.047268518516</v>
      </c>
      <c r="L51" s="3" t="s">
        <v>970</v>
      </c>
      <c r="M51" s="7">
        <v>42748.047268518516</v>
      </c>
      <c r="N51" s="3" t="s">
        <v>970</v>
      </c>
      <c r="O51" s="16" t="str">
        <f>TEXT(DATEVALUE(LEFT(F51,10)),"mm-yyyy")</f>
        <v>01-2015</v>
      </c>
      <c r="P51" s="16">
        <f>H51*I51</f>
        <v>5.99</v>
      </c>
    </row>
    <row r="52" spans="3:16" x14ac:dyDescent="0.25">
      <c r="C52" t="str">
        <f>IF(COUNTBLANK(E52:N52) = 10,"",IF(AND(NOT(ISBLANK(E52)),COUNTBLANK(E52:N52) = 9),"3 Delete",IF(ISBLANK(E52),"2 Add",IF(JenkinsHashRange(E52:N52) = "1799350938","0 Original","1 Modify"))))</f>
        <v>0 Original</v>
      </c>
      <c r="D52" s="3" t="s">
        <v>1584</v>
      </c>
      <c r="E52" s="5">
        <v>1580</v>
      </c>
      <c r="F52" t="s">
        <v>1089</v>
      </c>
      <c r="G52" t="s">
        <v>768</v>
      </c>
      <c r="H52" s="9">
        <v>6.99</v>
      </c>
      <c r="I52" s="5">
        <v>2</v>
      </c>
      <c r="J52" s="7" t="s">
        <v>970</v>
      </c>
      <c r="K52" s="7">
        <v>42748.047268518516</v>
      </c>
      <c r="L52" s="3" t="s">
        <v>970</v>
      </c>
      <c r="M52" s="7">
        <v>42748.047268518516</v>
      </c>
      <c r="N52" s="3" t="s">
        <v>970</v>
      </c>
      <c r="O52" s="16" t="str">
        <f>TEXT(DATEVALUE(LEFT(F52,10)),"mm-yyyy")</f>
        <v>01-2015</v>
      </c>
      <c r="P52" s="16">
        <f>H52*I52</f>
        <v>13.98</v>
      </c>
    </row>
    <row r="53" spans="3:16" x14ac:dyDescent="0.25">
      <c r="C53" t="str">
        <f>IF(COUNTBLANK(E53:N53) = 10,"",IF(AND(NOT(ISBLANK(E53)),COUNTBLANK(E53:N53) = 9),"3 Delete",IF(ISBLANK(E53),"2 Add",IF(JenkinsHashRange(E53:N53) = "740105271","0 Original","1 Modify"))))</f>
        <v>0 Original</v>
      </c>
      <c r="D53" s="3" t="s">
        <v>1585</v>
      </c>
      <c r="E53" s="5">
        <v>1581</v>
      </c>
      <c r="F53" t="s">
        <v>1089</v>
      </c>
      <c r="G53" t="s">
        <v>797</v>
      </c>
      <c r="H53" s="9">
        <v>5.99</v>
      </c>
      <c r="I53" s="5">
        <v>2</v>
      </c>
      <c r="J53" s="7" t="s">
        <v>970</v>
      </c>
      <c r="K53" s="7">
        <v>42748.047268518516</v>
      </c>
      <c r="L53" s="3" t="s">
        <v>970</v>
      </c>
      <c r="M53" s="7">
        <v>42748.047268518516</v>
      </c>
      <c r="N53" s="3" t="s">
        <v>970</v>
      </c>
      <c r="O53" s="16" t="str">
        <f>TEXT(DATEVALUE(LEFT(F53,10)),"mm-yyyy")</f>
        <v>01-2015</v>
      </c>
      <c r="P53" s="16">
        <f>H53*I53</f>
        <v>11.98</v>
      </c>
    </row>
    <row r="54" spans="3:16" x14ac:dyDescent="0.25">
      <c r="C54" t="str">
        <f>IF(COUNTBLANK(E54:N54) = 10,"",IF(AND(NOT(ISBLANK(E54)),COUNTBLANK(E54:N54) = 9),"3 Delete",IF(ISBLANK(E54),"2 Add",IF(JenkinsHashRange(E54:N54) = "762481677","0 Original","1 Modify"))))</f>
        <v>0 Original</v>
      </c>
      <c r="D54" s="3" t="s">
        <v>1586</v>
      </c>
      <c r="E54" s="5">
        <v>1582</v>
      </c>
      <c r="F54" t="s">
        <v>1089</v>
      </c>
      <c r="G54" t="s">
        <v>733</v>
      </c>
      <c r="H54" s="9">
        <v>9.99</v>
      </c>
      <c r="I54" s="5">
        <v>2</v>
      </c>
      <c r="J54" s="7" t="s">
        <v>970</v>
      </c>
      <c r="K54" s="7">
        <v>42748.047268518516</v>
      </c>
      <c r="L54" s="3" t="s">
        <v>970</v>
      </c>
      <c r="M54" s="7">
        <v>42748.047268518516</v>
      </c>
      <c r="N54" s="3" t="s">
        <v>970</v>
      </c>
      <c r="O54" s="16" t="str">
        <f>TEXT(DATEVALUE(LEFT(F54,10)),"mm-yyyy")</f>
        <v>01-2015</v>
      </c>
      <c r="P54" s="16">
        <f>H54*I54</f>
        <v>19.98</v>
      </c>
    </row>
    <row r="55" spans="3:16" x14ac:dyDescent="0.25">
      <c r="C55" t="str">
        <f>IF(COUNTBLANK(E55:N55) = 10,"",IF(AND(NOT(ISBLANK(E55)),COUNTBLANK(E55:N55) = 9),"3 Delete",IF(ISBLANK(E55),"2 Add",IF(JenkinsHashRange(E55:N55) = "348187320","0 Original","1 Modify"))))</f>
        <v>0 Original</v>
      </c>
      <c r="D55" s="3" t="s">
        <v>1587</v>
      </c>
      <c r="E55" s="5">
        <v>1583</v>
      </c>
      <c r="F55" t="s">
        <v>1089</v>
      </c>
      <c r="G55" t="s">
        <v>407</v>
      </c>
      <c r="H55" s="9">
        <v>9.99</v>
      </c>
      <c r="I55" s="5">
        <v>1</v>
      </c>
      <c r="J55" s="7" t="s">
        <v>970</v>
      </c>
      <c r="K55" s="7">
        <v>42748.047268518516</v>
      </c>
      <c r="L55" s="3" t="s">
        <v>970</v>
      </c>
      <c r="M55" s="7">
        <v>42748.047268518516</v>
      </c>
      <c r="N55" s="3" t="s">
        <v>970</v>
      </c>
      <c r="O55" s="16" t="str">
        <f>TEXT(DATEVALUE(LEFT(F55,10)),"mm-yyyy")</f>
        <v>01-2015</v>
      </c>
      <c r="P55" s="16">
        <f>H55*I55</f>
        <v>9.99</v>
      </c>
    </row>
    <row r="56" spans="3:16" x14ac:dyDescent="0.25">
      <c r="C56" t="str">
        <f>IF(COUNTBLANK(E56:N56) = 10,"",IF(AND(NOT(ISBLANK(E56)),COUNTBLANK(E56:N56) = 9),"3 Delete",IF(ISBLANK(E56),"2 Add",IF(JenkinsHashRange(E56:N56) = "1373984484","0 Original","1 Modify"))))</f>
        <v>0 Original</v>
      </c>
      <c r="D56" s="3" t="s">
        <v>1588</v>
      </c>
      <c r="E56" s="5">
        <v>1584</v>
      </c>
      <c r="F56" t="s">
        <v>1089</v>
      </c>
      <c r="G56" t="s">
        <v>737</v>
      </c>
      <c r="H56" s="9">
        <v>9.99</v>
      </c>
      <c r="I56" s="5">
        <v>1</v>
      </c>
      <c r="J56" s="7" t="s">
        <v>970</v>
      </c>
      <c r="K56" s="7">
        <v>42748.047268518516</v>
      </c>
      <c r="L56" s="3" t="s">
        <v>970</v>
      </c>
      <c r="M56" s="7">
        <v>42748.047268518516</v>
      </c>
      <c r="N56" s="3" t="s">
        <v>970</v>
      </c>
      <c r="O56" s="16" t="str">
        <f>TEXT(DATEVALUE(LEFT(F56,10)),"mm-yyyy")</f>
        <v>01-2015</v>
      </c>
      <c r="P56" s="16">
        <f>H56*I56</f>
        <v>9.99</v>
      </c>
    </row>
    <row r="57" spans="3:16" x14ac:dyDescent="0.25">
      <c r="C57" t="str">
        <f>IF(COUNTBLANK(E57:N57) = 10,"",IF(AND(NOT(ISBLANK(E57)),COUNTBLANK(E57:N57) = 9),"3 Delete",IF(ISBLANK(E57),"2 Add",IF(JenkinsHashRange(E57:N57) = "101208466","0 Original","1 Modify"))))</f>
        <v>0 Original</v>
      </c>
      <c r="D57" s="3" t="s">
        <v>1589</v>
      </c>
      <c r="E57" s="5">
        <v>1585</v>
      </c>
      <c r="F57" t="s">
        <v>1089</v>
      </c>
      <c r="G57" t="s">
        <v>892</v>
      </c>
      <c r="H57" s="9">
        <v>8.99</v>
      </c>
      <c r="I57" s="5">
        <v>1</v>
      </c>
      <c r="J57" s="7" t="s">
        <v>970</v>
      </c>
      <c r="K57" s="7">
        <v>42748.047268518516</v>
      </c>
      <c r="L57" s="3" t="s">
        <v>970</v>
      </c>
      <c r="M57" s="7">
        <v>42748.047268518516</v>
      </c>
      <c r="N57" s="3" t="s">
        <v>970</v>
      </c>
      <c r="O57" s="16" t="str">
        <f>TEXT(DATEVALUE(LEFT(F57,10)),"mm-yyyy")</f>
        <v>01-2015</v>
      </c>
      <c r="P57" s="16">
        <f>H57*I57</f>
        <v>8.99</v>
      </c>
    </row>
    <row r="58" spans="3:16" x14ac:dyDescent="0.25">
      <c r="C58" t="str">
        <f>IF(COUNTBLANK(E58:N58) = 10,"",IF(AND(NOT(ISBLANK(E58)),COUNTBLANK(E58:N58) = 9),"3 Delete",IF(ISBLANK(E58),"2 Add",IF(JenkinsHashRange(E58:N58) = "2027848841","0 Original","1 Modify"))))</f>
        <v>0 Original</v>
      </c>
      <c r="D58" s="3" t="s">
        <v>1590</v>
      </c>
      <c r="E58" s="5">
        <v>1586</v>
      </c>
      <c r="F58" t="s">
        <v>1089</v>
      </c>
      <c r="G58" t="s">
        <v>446</v>
      </c>
      <c r="H58" s="9">
        <v>7.99</v>
      </c>
      <c r="I58" s="5">
        <v>2</v>
      </c>
      <c r="J58" s="7" t="s">
        <v>970</v>
      </c>
      <c r="K58" s="7">
        <v>42748.047268518516</v>
      </c>
      <c r="L58" s="3" t="s">
        <v>970</v>
      </c>
      <c r="M58" s="7">
        <v>42748.047268518516</v>
      </c>
      <c r="N58" s="3" t="s">
        <v>970</v>
      </c>
      <c r="O58" s="16" t="str">
        <f>TEXT(DATEVALUE(LEFT(F58,10)),"mm-yyyy")</f>
        <v>01-2015</v>
      </c>
      <c r="P58" s="16">
        <f>H58*I58</f>
        <v>15.98</v>
      </c>
    </row>
    <row r="59" spans="3:16" x14ac:dyDescent="0.25">
      <c r="C59" t="str">
        <f>IF(COUNTBLANK(E59:N59) = 10,"",IF(AND(NOT(ISBLANK(E59)),COUNTBLANK(E59:N59) = 9),"3 Delete",IF(ISBLANK(E59),"2 Add",IF(JenkinsHashRange(E59:N59) = "931375597","0 Original","1 Modify"))))</f>
        <v>0 Original</v>
      </c>
      <c r="D59" s="3" t="s">
        <v>1591</v>
      </c>
      <c r="E59" s="5">
        <v>1587</v>
      </c>
      <c r="F59" t="s">
        <v>1089</v>
      </c>
      <c r="G59" t="s">
        <v>390</v>
      </c>
      <c r="H59" s="9">
        <v>4.99</v>
      </c>
      <c r="I59" s="5">
        <v>1</v>
      </c>
      <c r="J59" s="7" t="s">
        <v>970</v>
      </c>
      <c r="K59" s="7">
        <v>42748.047268518516</v>
      </c>
      <c r="L59" s="3" t="s">
        <v>970</v>
      </c>
      <c r="M59" s="7">
        <v>42748.047268518516</v>
      </c>
      <c r="N59" s="3" t="s">
        <v>970</v>
      </c>
      <c r="O59" s="16" t="str">
        <f>TEXT(DATEVALUE(LEFT(F59,10)),"mm-yyyy")</f>
        <v>01-2015</v>
      </c>
      <c r="P59" s="16">
        <f>H59*I59</f>
        <v>4.99</v>
      </c>
    </row>
    <row r="60" spans="3:16" x14ac:dyDescent="0.25">
      <c r="C60" t="str">
        <f>IF(COUNTBLANK(E60:N60) = 10,"",IF(AND(NOT(ISBLANK(E60)),COUNTBLANK(E60:N60) = 9),"3 Delete",IF(ISBLANK(E60),"2 Add",IF(JenkinsHashRange(E60:N60) = "411203992","0 Original","1 Modify"))))</f>
        <v>0 Original</v>
      </c>
      <c r="D60" s="3" t="s">
        <v>1599</v>
      </c>
      <c r="E60" s="5">
        <v>1707</v>
      </c>
      <c r="F60" t="s">
        <v>1093</v>
      </c>
      <c r="G60" t="s">
        <v>840</v>
      </c>
      <c r="H60" s="9">
        <v>9.99</v>
      </c>
      <c r="I60" s="5">
        <v>2</v>
      </c>
      <c r="J60" s="7" t="s">
        <v>970</v>
      </c>
      <c r="K60" s="7">
        <v>42748.047268518516</v>
      </c>
      <c r="L60" s="3" t="s">
        <v>970</v>
      </c>
      <c r="M60" s="7">
        <v>42748.047268518516</v>
      </c>
      <c r="N60" s="3" t="s">
        <v>970</v>
      </c>
      <c r="O60" s="16" t="str">
        <f>TEXT(DATEVALUE(LEFT(F60,10)),"mm-yyyy")</f>
        <v>01-2015</v>
      </c>
      <c r="P60" s="16">
        <f>H60*I60</f>
        <v>19.98</v>
      </c>
    </row>
    <row r="61" spans="3:16" x14ac:dyDescent="0.25">
      <c r="C61" t="str">
        <f>IF(COUNTBLANK(E61:N61) = 10,"",IF(AND(NOT(ISBLANK(E61)),COUNTBLANK(E61:N61) = 9),"3 Delete",IF(ISBLANK(E61),"2 Add",IF(JenkinsHashRange(E61:N61) = "416616014","0 Original","1 Modify"))))</f>
        <v>0 Original</v>
      </c>
      <c r="D61" s="3" t="s">
        <v>1600</v>
      </c>
      <c r="E61" s="5">
        <v>1708</v>
      </c>
      <c r="F61" t="s">
        <v>1093</v>
      </c>
      <c r="G61" t="s">
        <v>453</v>
      </c>
      <c r="H61" s="9">
        <v>8.99</v>
      </c>
      <c r="I61" s="5">
        <v>1</v>
      </c>
      <c r="J61" s="7" t="s">
        <v>970</v>
      </c>
      <c r="K61" s="7">
        <v>42748.047268518516</v>
      </c>
      <c r="L61" s="3" t="s">
        <v>970</v>
      </c>
      <c r="M61" s="7">
        <v>42748.047268518516</v>
      </c>
      <c r="N61" s="3" t="s">
        <v>970</v>
      </c>
      <c r="O61" s="16" t="str">
        <f>TEXT(DATEVALUE(LEFT(F61,10)),"mm-yyyy")</f>
        <v>01-2015</v>
      </c>
      <c r="P61" s="16">
        <f>H61*I61</f>
        <v>8.99</v>
      </c>
    </row>
    <row r="62" spans="3:16" x14ac:dyDescent="0.25">
      <c r="C62" t="str">
        <f>IF(COUNTBLANK(E62:N62) = 10,"",IF(AND(NOT(ISBLANK(E62)),COUNTBLANK(E62:N62) = 9),"3 Delete",IF(ISBLANK(E62),"2 Add",IF(JenkinsHashRange(E62:N62) = "1713724937","0 Original","1 Modify"))))</f>
        <v>0 Original</v>
      </c>
      <c r="D62" s="3" t="s">
        <v>1601</v>
      </c>
      <c r="E62" s="5">
        <v>1709</v>
      </c>
      <c r="F62" t="s">
        <v>1093</v>
      </c>
      <c r="G62" t="s">
        <v>643</v>
      </c>
      <c r="H62" s="9">
        <v>4.99</v>
      </c>
      <c r="I62" s="5">
        <v>1</v>
      </c>
      <c r="J62" s="7" t="s">
        <v>970</v>
      </c>
      <c r="K62" s="7">
        <v>42748.047268518516</v>
      </c>
      <c r="L62" s="3" t="s">
        <v>970</v>
      </c>
      <c r="M62" s="7">
        <v>42748.047268518516</v>
      </c>
      <c r="N62" s="3" t="s">
        <v>970</v>
      </c>
      <c r="O62" s="16" t="str">
        <f>TEXT(DATEVALUE(LEFT(F62,10)),"mm-yyyy")</f>
        <v>01-2015</v>
      </c>
      <c r="P62" s="16">
        <f>H62*I62</f>
        <v>4.99</v>
      </c>
    </row>
    <row r="63" spans="3:16" x14ac:dyDescent="0.25">
      <c r="C63" t="str">
        <f>IF(COUNTBLANK(E63:N63) = 10,"",IF(AND(NOT(ISBLANK(E63)),COUNTBLANK(E63:N63) = 9),"3 Delete",IF(ISBLANK(E63),"2 Add",IF(JenkinsHashRange(E63:N63) = "37865101","0 Original","1 Modify"))))</f>
        <v>0 Original</v>
      </c>
      <c r="D63" s="3" t="s">
        <v>1602</v>
      </c>
      <c r="E63" s="5">
        <v>1710</v>
      </c>
      <c r="F63" t="s">
        <v>1093</v>
      </c>
      <c r="G63" t="s">
        <v>706</v>
      </c>
      <c r="H63" s="9">
        <v>9.99</v>
      </c>
      <c r="I63" s="5">
        <v>1</v>
      </c>
      <c r="J63" s="7" t="s">
        <v>970</v>
      </c>
      <c r="K63" s="7">
        <v>42748.047268518516</v>
      </c>
      <c r="L63" s="3" t="s">
        <v>970</v>
      </c>
      <c r="M63" s="7">
        <v>42748.047268518516</v>
      </c>
      <c r="N63" s="3" t="s">
        <v>970</v>
      </c>
      <c r="O63" s="16" t="str">
        <f>TEXT(DATEVALUE(LEFT(F63,10)),"mm-yyyy")</f>
        <v>01-2015</v>
      </c>
      <c r="P63" s="16">
        <f>H63*I63</f>
        <v>9.99</v>
      </c>
    </row>
    <row r="64" spans="3:16" x14ac:dyDescent="0.25">
      <c r="C64" t="str">
        <f>IF(COUNTBLANK(E64:N64) = 10,"",IF(AND(NOT(ISBLANK(E64)),COUNTBLANK(E64:N64) = 9),"3 Delete",IF(ISBLANK(E64),"2 Add",IF(JenkinsHashRange(E64:N64) = "2127302091","0 Original","1 Modify"))))</f>
        <v>0 Original</v>
      </c>
      <c r="D64" s="3" t="s">
        <v>1603</v>
      </c>
      <c r="E64" s="5">
        <v>1711</v>
      </c>
      <c r="F64" t="s">
        <v>1093</v>
      </c>
      <c r="G64" t="s">
        <v>927</v>
      </c>
      <c r="H64" s="9">
        <v>9.99</v>
      </c>
      <c r="I64" s="5">
        <v>1</v>
      </c>
      <c r="J64" s="7" t="s">
        <v>970</v>
      </c>
      <c r="K64" s="7">
        <v>42748.047268518516</v>
      </c>
      <c r="L64" s="3" t="s">
        <v>970</v>
      </c>
      <c r="M64" s="7">
        <v>42748.047268518516</v>
      </c>
      <c r="N64" s="3" t="s">
        <v>970</v>
      </c>
      <c r="O64" s="16" t="str">
        <f>TEXT(DATEVALUE(LEFT(F64,10)),"mm-yyyy")</f>
        <v>01-2015</v>
      </c>
      <c r="P64" s="16">
        <f>H64*I64</f>
        <v>9.99</v>
      </c>
    </row>
    <row r="65" spans="3:16" x14ac:dyDescent="0.25">
      <c r="C65" t="str">
        <f>IF(COUNTBLANK(E65:N65) = 10,"",IF(AND(NOT(ISBLANK(E65)),COUNTBLANK(E65:N65) = 9),"3 Delete",IF(ISBLANK(E65),"2 Add",IF(JenkinsHashRange(E65:N65) = "1078847639","0 Original","1 Modify"))))</f>
        <v>0 Original</v>
      </c>
      <c r="D65" s="3" t="s">
        <v>1604</v>
      </c>
      <c r="E65" s="5">
        <v>1712</v>
      </c>
      <c r="F65" t="s">
        <v>1093</v>
      </c>
      <c r="G65" t="s">
        <v>673</v>
      </c>
      <c r="H65" s="9">
        <v>5.99</v>
      </c>
      <c r="I65" s="5">
        <v>2</v>
      </c>
      <c r="J65" s="7" t="s">
        <v>970</v>
      </c>
      <c r="K65" s="7">
        <v>42748.047268518516</v>
      </c>
      <c r="L65" s="3" t="s">
        <v>970</v>
      </c>
      <c r="M65" s="7">
        <v>42748.047268518516</v>
      </c>
      <c r="N65" s="3" t="s">
        <v>970</v>
      </c>
      <c r="O65" s="16" t="str">
        <f>TEXT(DATEVALUE(LEFT(F65,10)),"mm-yyyy")</f>
        <v>01-2015</v>
      </c>
      <c r="P65" s="16">
        <f>H65*I65</f>
        <v>11.98</v>
      </c>
    </row>
    <row r="66" spans="3:16" x14ac:dyDescent="0.25">
      <c r="C66" t="str">
        <f>IF(COUNTBLANK(E66:N66) = 10,"",IF(AND(NOT(ISBLANK(E66)),COUNTBLANK(E66:N66) = 9),"3 Delete",IF(ISBLANK(E66),"2 Add",IF(JenkinsHashRange(E66:N66) = "492466237","0 Original","1 Modify"))))</f>
        <v>0 Original</v>
      </c>
      <c r="D66" s="3" t="s">
        <v>1605</v>
      </c>
      <c r="E66" s="5">
        <v>1713</v>
      </c>
      <c r="F66" t="s">
        <v>1093</v>
      </c>
      <c r="G66" t="s">
        <v>706</v>
      </c>
      <c r="H66" s="9">
        <v>9.99</v>
      </c>
      <c r="I66" s="5">
        <v>1</v>
      </c>
      <c r="J66" s="7" t="s">
        <v>970</v>
      </c>
      <c r="K66" s="7">
        <v>42748.047268518516</v>
      </c>
      <c r="L66" s="3" t="s">
        <v>970</v>
      </c>
      <c r="M66" s="7">
        <v>42748.047268518516</v>
      </c>
      <c r="N66" s="3" t="s">
        <v>970</v>
      </c>
      <c r="O66" s="16" t="str">
        <f>TEXT(DATEVALUE(LEFT(F66,10)),"mm-yyyy")</f>
        <v>01-2015</v>
      </c>
      <c r="P66" s="16">
        <f>H66*I66</f>
        <v>9.99</v>
      </c>
    </row>
    <row r="67" spans="3:16" x14ac:dyDescent="0.25">
      <c r="C67" t="str">
        <f>IF(COUNTBLANK(E67:N67) = 10,"",IF(AND(NOT(ISBLANK(E67)),COUNTBLANK(E67:N67) = 9),"3 Delete",IF(ISBLANK(E67),"2 Add",IF(JenkinsHashRange(E67:N67) = "996008584","0 Original","1 Modify"))))</f>
        <v>0 Original</v>
      </c>
      <c r="D67" s="3" t="s">
        <v>1606</v>
      </c>
      <c r="E67" s="5">
        <v>1714</v>
      </c>
      <c r="F67" t="s">
        <v>1093</v>
      </c>
      <c r="G67" t="s">
        <v>864</v>
      </c>
      <c r="H67" s="9">
        <v>6.99</v>
      </c>
      <c r="I67" s="5">
        <v>1</v>
      </c>
      <c r="J67" s="7" t="s">
        <v>970</v>
      </c>
      <c r="K67" s="7">
        <v>42748.047268518516</v>
      </c>
      <c r="L67" s="3" t="s">
        <v>970</v>
      </c>
      <c r="M67" s="7">
        <v>42748.047268518516</v>
      </c>
      <c r="N67" s="3" t="s">
        <v>970</v>
      </c>
      <c r="O67" s="16" t="str">
        <f>TEXT(DATEVALUE(LEFT(F67,10)),"mm-yyyy")</f>
        <v>01-2015</v>
      </c>
      <c r="P67" s="16">
        <f>H67*I67</f>
        <v>6.99</v>
      </c>
    </row>
    <row r="68" spans="3:16" x14ac:dyDescent="0.25">
      <c r="C68" t="str">
        <f>IF(COUNTBLANK(E68:N68) = 10,"",IF(AND(NOT(ISBLANK(E68)),COUNTBLANK(E68:N68) = 9),"3 Delete",IF(ISBLANK(E68),"2 Add",IF(JenkinsHashRange(E68:N68) = "758630664","0 Original","1 Modify"))))</f>
        <v>0 Original</v>
      </c>
      <c r="D68" s="3" t="s">
        <v>1623</v>
      </c>
      <c r="E68" s="5">
        <v>1834</v>
      </c>
      <c r="F68" t="s">
        <v>1100</v>
      </c>
      <c r="G68" t="s">
        <v>450</v>
      </c>
      <c r="H68" s="9">
        <v>8.99</v>
      </c>
      <c r="I68" s="5">
        <v>1</v>
      </c>
      <c r="J68" s="7" t="s">
        <v>970</v>
      </c>
      <c r="K68" s="7">
        <v>42748.047268518516</v>
      </c>
      <c r="L68" s="3" t="s">
        <v>970</v>
      </c>
      <c r="M68" s="7">
        <v>42748.047268518516</v>
      </c>
      <c r="N68" s="3" t="s">
        <v>970</v>
      </c>
      <c r="O68" s="16" t="str">
        <f>TEXT(DATEVALUE(LEFT(F68,10)),"mm-yyyy")</f>
        <v>01-2015</v>
      </c>
      <c r="P68" s="16">
        <f>H68*I68</f>
        <v>8.99</v>
      </c>
    </row>
    <row r="69" spans="3:16" x14ac:dyDescent="0.25">
      <c r="C69" t="str">
        <f>IF(COUNTBLANK(E69:N69) = 10,"",IF(AND(NOT(ISBLANK(E69)),COUNTBLANK(E69:N69) = 9),"3 Delete",IF(ISBLANK(E69),"2 Add",IF(JenkinsHashRange(E69:N69) = "371078330","0 Original","1 Modify"))))</f>
        <v>0 Original</v>
      </c>
      <c r="D69" s="3" t="s">
        <v>1624</v>
      </c>
      <c r="E69" s="5">
        <v>1835</v>
      </c>
      <c r="F69" t="s">
        <v>1100</v>
      </c>
      <c r="G69" t="s">
        <v>814</v>
      </c>
      <c r="H69" s="9">
        <v>9.99</v>
      </c>
      <c r="I69" s="5">
        <v>1</v>
      </c>
      <c r="J69" s="7" t="s">
        <v>970</v>
      </c>
      <c r="K69" s="7">
        <v>42748.047268518516</v>
      </c>
      <c r="L69" s="3" t="s">
        <v>970</v>
      </c>
      <c r="M69" s="7">
        <v>42748.047268518516</v>
      </c>
      <c r="N69" s="3" t="s">
        <v>970</v>
      </c>
      <c r="O69" s="16" t="str">
        <f>TEXT(DATEVALUE(LEFT(F69,10)),"mm-yyyy")</f>
        <v>01-2015</v>
      </c>
      <c r="P69" s="16">
        <f>H69*I69</f>
        <v>9.99</v>
      </c>
    </row>
    <row r="70" spans="3:16" x14ac:dyDescent="0.25">
      <c r="C70" t="str">
        <f>IF(COUNTBLANK(E70:N70) = 10,"",IF(AND(NOT(ISBLANK(E70)),COUNTBLANK(E70:N70) = 9),"3 Delete",IF(ISBLANK(E70),"2 Add",IF(JenkinsHashRange(E70:N70) = "848123394","0 Original","1 Modify"))))</f>
        <v>0 Original</v>
      </c>
      <c r="D70" s="3" t="s">
        <v>1648</v>
      </c>
      <c r="E70" s="5">
        <v>1968</v>
      </c>
      <c r="F70" t="s">
        <v>1109</v>
      </c>
      <c r="G70" t="s">
        <v>696</v>
      </c>
      <c r="H70" s="9">
        <v>4.99</v>
      </c>
      <c r="I70" s="5">
        <v>1</v>
      </c>
      <c r="J70" s="7" t="s">
        <v>970</v>
      </c>
      <c r="K70" s="7">
        <v>42748.047268518516</v>
      </c>
      <c r="L70" s="3" t="s">
        <v>970</v>
      </c>
      <c r="M70" s="7">
        <v>42748.047268518516</v>
      </c>
      <c r="N70" s="3" t="s">
        <v>970</v>
      </c>
      <c r="O70" s="16" t="str">
        <f>TEXT(DATEVALUE(LEFT(F70,10)),"mm-yyyy")</f>
        <v>01-2015</v>
      </c>
      <c r="P70" s="16">
        <f>H70*I70</f>
        <v>4.99</v>
      </c>
    </row>
    <row r="71" spans="3:16" x14ac:dyDescent="0.25">
      <c r="C71" t="str">
        <f>IF(COUNTBLANK(E71:N71) = 10,"",IF(AND(NOT(ISBLANK(E71)),COUNTBLANK(E71:N71) = 9),"3 Delete",IF(ISBLANK(E71),"2 Add",IF(JenkinsHashRange(E71:N71) = "399849452","0 Original","1 Modify"))))</f>
        <v>0 Original</v>
      </c>
      <c r="D71" s="3" t="s">
        <v>1649</v>
      </c>
      <c r="E71" s="5">
        <v>1969</v>
      </c>
      <c r="F71" t="s">
        <v>1109</v>
      </c>
      <c r="G71" t="s">
        <v>846</v>
      </c>
      <c r="H71" s="9">
        <v>8.99</v>
      </c>
      <c r="I71" s="5">
        <v>2</v>
      </c>
      <c r="J71" s="7" t="s">
        <v>970</v>
      </c>
      <c r="K71" s="7">
        <v>42748.047268518516</v>
      </c>
      <c r="L71" s="3" t="s">
        <v>970</v>
      </c>
      <c r="M71" s="7">
        <v>42748.047268518516</v>
      </c>
      <c r="N71" s="3" t="s">
        <v>970</v>
      </c>
      <c r="O71" s="16" t="str">
        <f>TEXT(DATEVALUE(LEFT(F71,10)),"mm-yyyy")</f>
        <v>01-2015</v>
      </c>
      <c r="P71" s="16">
        <f>H71*I71</f>
        <v>17.98</v>
      </c>
    </row>
    <row r="72" spans="3:16" x14ac:dyDescent="0.25">
      <c r="C72" t="str">
        <f>IF(COUNTBLANK(E72:N72) = 10,"",IF(AND(NOT(ISBLANK(E72)),COUNTBLANK(E72:N72) = 9),"3 Delete",IF(ISBLANK(E72),"2 Add",IF(JenkinsHashRange(E72:N72) = "1142895548","0 Original","1 Modify"))))</f>
        <v>0 Original</v>
      </c>
      <c r="D72" s="3" t="s">
        <v>1650</v>
      </c>
      <c r="E72" s="5">
        <v>1970</v>
      </c>
      <c r="F72" t="s">
        <v>1109</v>
      </c>
      <c r="G72" t="s">
        <v>659</v>
      </c>
      <c r="H72" s="9">
        <v>9.99</v>
      </c>
      <c r="I72" s="5">
        <v>2</v>
      </c>
      <c r="J72" s="7" t="s">
        <v>970</v>
      </c>
      <c r="K72" s="7">
        <v>42748.047268518516</v>
      </c>
      <c r="L72" s="3" t="s">
        <v>970</v>
      </c>
      <c r="M72" s="7">
        <v>42748.047268518516</v>
      </c>
      <c r="N72" s="3" t="s">
        <v>970</v>
      </c>
      <c r="O72" s="16" t="str">
        <f>TEXT(DATEVALUE(LEFT(F72,10)),"mm-yyyy")</f>
        <v>01-2015</v>
      </c>
      <c r="P72" s="16">
        <f>H72*I72</f>
        <v>19.98</v>
      </c>
    </row>
    <row r="73" spans="3:16" x14ac:dyDescent="0.25">
      <c r="C73" t="str">
        <f>IF(COUNTBLANK(E73:N73) = 10,"",IF(AND(NOT(ISBLANK(E73)),COUNTBLANK(E73:N73) = 9),"3 Delete",IF(ISBLANK(E73),"2 Add",IF(JenkinsHashRange(E73:N73) = "1702313190","0 Original","1 Modify"))))</f>
        <v>0 Original</v>
      </c>
      <c r="D73" s="3" t="s">
        <v>1666</v>
      </c>
      <c r="E73" s="5">
        <v>2058</v>
      </c>
      <c r="F73" t="s">
        <v>1115</v>
      </c>
      <c r="G73" t="s">
        <v>450</v>
      </c>
      <c r="H73" s="9">
        <v>8.99</v>
      </c>
      <c r="I73" s="5">
        <v>1</v>
      </c>
      <c r="J73" s="7" t="s">
        <v>970</v>
      </c>
      <c r="K73" s="7">
        <v>42748.047268518516</v>
      </c>
      <c r="L73" s="3" t="s">
        <v>970</v>
      </c>
      <c r="M73" s="7">
        <v>42748.047268518516</v>
      </c>
      <c r="N73" s="3" t="s">
        <v>970</v>
      </c>
      <c r="O73" s="16" t="str">
        <f>TEXT(DATEVALUE(LEFT(F73,10)),"mm-yyyy")</f>
        <v>01-2015</v>
      </c>
      <c r="P73" s="16">
        <f>H73*I73</f>
        <v>8.99</v>
      </c>
    </row>
    <row r="74" spans="3:16" x14ac:dyDescent="0.25">
      <c r="C74" t="str">
        <f>IF(COUNTBLANK(E74:N74) = 10,"",IF(AND(NOT(ISBLANK(E74)),COUNTBLANK(E74:N74) = 9),"3 Delete",IF(ISBLANK(E74),"2 Add",IF(JenkinsHashRange(E74:N74) = "289586574","0 Original","1 Modify"))))</f>
        <v>0 Original</v>
      </c>
      <c r="D74" s="3" t="s">
        <v>1681</v>
      </c>
      <c r="E74" s="5">
        <v>2137</v>
      </c>
      <c r="F74" t="s">
        <v>1120</v>
      </c>
      <c r="G74" t="s">
        <v>737</v>
      </c>
      <c r="H74" s="9">
        <v>9.99</v>
      </c>
      <c r="I74" s="5">
        <v>1</v>
      </c>
      <c r="J74" s="7" t="s">
        <v>970</v>
      </c>
      <c r="K74" s="7">
        <v>42748.047268518516</v>
      </c>
      <c r="L74" s="3" t="s">
        <v>970</v>
      </c>
      <c r="M74" s="7">
        <v>42748.047268518516</v>
      </c>
      <c r="N74" s="3" t="s">
        <v>970</v>
      </c>
      <c r="O74" s="16" t="str">
        <f>TEXT(DATEVALUE(LEFT(F74,10)),"mm-yyyy")</f>
        <v>01-2015</v>
      </c>
      <c r="P74" s="16">
        <f>H74*I74</f>
        <v>9.99</v>
      </c>
    </row>
    <row r="75" spans="3:16" x14ac:dyDescent="0.25">
      <c r="C75" t="str">
        <f>IF(COUNTBLANK(E75:N75) = 10,"",IF(AND(NOT(ISBLANK(E75)),COUNTBLANK(E75:N75) = 9),"3 Delete",IF(ISBLANK(E75),"2 Add",IF(JenkinsHashRange(E75:N75) = "689509185","0 Original","1 Modify"))))</f>
        <v>0 Original</v>
      </c>
      <c r="D75" s="3" t="s">
        <v>1682</v>
      </c>
      <c r="E75" s="5">
        <v>2138</v>
      </c>
      <c r="F75" t="s">
        <v>1120</v>
      </c>
      <c r="G75" t="s">
        <v>649</v>
      </c>
      <c r="H75" s="9">
        <v>5.99</v>
      </c>
      <c r="I75" s="5">
        <v>2</v>
      </c>
      <c r="J75" s="7" t="s">
        <v>970</v>
      </c>
      <c r="K75" s="7">
        <v>42748.047268518516</v>
      </c>
      <c r="L75" s="3" t="s">
        <v>970</v>
      </c>
      <c r="M75" s="7">
        <v>42748.047268518516</v>
      </c>
      <c r="N75" s="3" t="s">
        <v>970</v>
      </c>
      <c r="O75" s="16" t="str">
        <f>TEXT(DATEVALUE(LEFT(F75,10)),"mm-yyyy")</f>
        <v>01-2015</v>
      </c>
      <c r="P75" s="16">
        <f>H75*I75</f>
        <v>11.98</v>
      </c>
    </row>
    <row r="76" spans="3:16" x14ac:dyDescent="0.25">
      <c r="C76" t="str">
        <f>IF(COUNTBLANK(E76:N76) = 10,"",IF(AND(NOT(ISBLANK(E76)),COUNTBLANK(E76:N76) = 9),"3 Delete",IF(ISBLANK(E76),"2 Add",IF(JenkinsHashRange(E76:N76) = "750639208","0 Original","1 Modify"))))</f>
        <v>0 Original</v>
      </c>
      <c r="D76" s="3" t="s">
        <v>1713</v>
      </c>
      <c r="E76" s="5">
        <v>2250</v>
      </c>
      <c r="F76" t="s">
        <v>1131</v>
      </c>
      <c r="G76" t="s">
        <v>772</v>
      </c>
      <c r="H76" s="9">
        <v>4.99</v>
      </c>
      <c r="I76" s="5">
        <v>1</v>
      </c>
      <c r="J76" s="7" t="s">
        <v>970</v>
      </c>
      <c r="K76" s="7">
        <v>42748.047268518516</v>
      </c>
      <c r="L76" s="3" t="s">
        <v>970</v>
      </c>
      <c r="M76" s="7">
        <v>42748.047268518516</v>
      </c>
      <c r="N76" s="3" t="s">
        <v>970</v>
      </c>
      <c r="O76" s="16" t="str">
        <f>TEXT(DATEVALUE(LEFT(F76,10)),"mm-yyyy")</f>
        <v>01-2015</v>
      </c>
      <c r="P76" s="16">
        <f>H76*I76</f>
        <v>4.99</v>
      </c>
    </row>
    <row r="77" spans="3:16" x14ac:dyDescent="0.25">
      <c r="C77" t="str">
        <f>IF(COUNTBLANK(E77:N77) = 10,"",IF(AND(NOT(ISBLANK(E77)),COUNTBLANK(E77:N77) = 9),"3 Delete",IF(ISBLANK(E77),"2 Add",IF(JenkinsHashRange(E77:N77) = "777497329","0 Original","1 Modify"))))</f>
        <v>0 Original</v>
      </c>
      <c r="D77" s="3" t="s">
        <v>1722</v>
      </c>
      <c r="E77" s="5">
        <v>2292</v>
      </c>
      <c r="F77" t="s">
        <v>1133</v>
      </c>
      <c r="G77" t="s">
        <v>713</v>
      </c>
      <c r="H77" s="9">
        <v>6.99</v>
      </c>
      <c r="I77" s="5">
        <v>1</v>
      </c>
      <c r="J77" s="7" t="s">
        <v>970</v>
      </c>
      <c r="K77" s="7">
        <v>42748.047268518516</v>
      </c>
      <c r="L77" s="3" t="s">
        <v>970</v>
      </c>
      <c r="M77" s="7">
        <v>42748.047268518516</v>
      </c>
      <c r="N77" s="3" t="s">
        <v>970</v>
      </c>
      <c r="O77" s="16" t="str">
        <f>TEXT(DATEVALUE(LEFT(F77,10)),"mm-yyyy")</f>
        <v>01-2015</v>
      </c>
      <c r="P77" s="16">
        <f>H77*I77</f>
        <v>6.99</v>
      </c>
    </row>
    <row r="78" spans="3:16" x14ac:dyDescent="0.25">
      <c r="C78" t="str">
        <f>IF(COUNTBLANK(E78:N78) = 10,"",IF(AND(NOT(ISBLANK(E78)),COUNTBLANK(E78:N78) = 9),"3 Delete",IF(ISBLANK(E78),"2 Add",IF(JenkinsHashRange(E78:N78) = "1240371510","0 Original","1 Modify"))))</f>
        <v>0 Original</v>
      </c>
      <c r="D78" s="3" t="s">
        <v>1723</v>
      </c>
      <c r="E78" s="5">
        <v>2293</v>
      </c>
      <c r="F78" t="s">
        <v>1133</v>
      </c>
      <c r="G78" t="s">
        <v>730</v>
      </c>
      <c r="H78" s="9">
        <v>9.99</v>
      </c>
      <c r="I78" s="5">
        <v>1</v>
      </c>
      <c r="J78" s="7" t="s">
        <v>970</v>
      </c>
      <c r="K78" s="7">
        <v>42748.047268518516</v>
      </c>
      <c r="L78" s="3" t="s">
        <v>970</v>
      </c>
      <c r="M78" s="7">
        <v>42748.047268518516</v>
      </c>
      <c r="N78" s="3" t="s">
        <v>970</v>
      </c>
      <c r="O78" s="16" t="str">
        <f>TEXT(DATEVALUE(LEFT(F78,10)),"mm-yyyy")</f>
        <v>01-2015</v>
      </c>
      <c r="P78" s="16">
        <f>H78*I78</f>
        <v>9.99</v>
      </c>
    </row>
    <row r="79" spans="3:16" x14ac:dyDescent="0.25">
      <c r="C79" t="str">
        <f>IF(COUNTBLANK(E79:N79) = 10,"",IF(AND(NOT(ISBLANK(E79)),COUNTBLANK(E79:N79) = 9),"3 Delete",IF(ISBLANK(E79),"2 Add",IF(JenkinsHashRange(E79:N79) = "425414142","0 Original","1 Modify"))))</f>
        <v>0 Original</v>
      </c>
      <c r="D79" s="3" t="s">
        <v>1741</v>
      </c>
      <c r="E79" s="5">
        <v>2360</v>
      </c>
      <c r="F79" t="s">
        <v>1138</v>
      </c>
      <c r="G79" t="s">
        <v>904</v>
      </c>
      <c r="H79" s="9">
        <v>9.99</v>
      </c>
      <c r="I79" s="5">
        <v>1</v>
      </c>
      <c r="J79" s="7" t="s">
        <v>970</v>
      </c>
      <c r="K79" s="7">
        <v>42748.047268518516</v>
      </c>
      <c r="L79" s="3" t="s">
        <v>970</v>
      </c>
      <c r="M79" s="7">
        <v>42748.047268518516</v>
      </c>
      <c r="N79" s="3" t="s">
        <v>970</v>
      </c>
      <c r="O79" s="16" t="str">
        <f>TEXT(DATEVALUE(LEFT(F79,10)),"mm-yyyy")</f>
        <v>01-2015</v>
      </c>
      <c r="P79" s="16">
        <f>H79*I79</f>
        <v>9.99</v>
      </c>
    </row>
    <row r="80" spans="3:16" x14ac:dyDescent="0.25">
      <c r="C80" t="str">
        <f>IF(COUNTBLANK(E80:N80) = 10,"",IF(AND(NOT(ISBLANK(E80)),COUNTBLANK(E80:N80) = 9),"3 Delete",IF(ISBLANK(E80),"2 Add",IF(JenkinsHashRange(E80:N80) = "46390755","0 Original","1 Modify"))))</f>
        <v>0 Original</v>
      </c>
      <c r="D80" s="3" t="s">
        <v>1742</v>
      </c>
      <c r="E80" s="5">
        <v>2361</v>
      </c>
      <c r="F80" t="s">
        <v>1138</v>
      </c>
      <c r="G80" t="s">
        <v>400</v>
      </c>
      <c r="H80" s="9">
        <v>6.99</v>
      </c>
      <c r="I80" s="5">
        <v>2</v>
      </c>
      <c r="J80" s="7" t="s">
        <v>970</v>
      </c>
      <c r="K80" s="7">
        <v>42748.047268518516</v>
      </c>
      <c r="L80" s="3" t="s">
        <v>970</v>
      </c>
      <c r="M80" s="7">
        <v>42748.047268518516</v>
      </c>
      <c r="N80" s="3" t="s">
        <v>970</v>
      </c>
      <c r="O80" s="16" t="str">
        <f>TEXT(DATEVALUE(LEFT(F80,10)),"mm-yyyy")</f>
        <v>01-2015</v>
      </c>
      <c r="P80" s="16">
        <f>H80*I80</f>
        <v>13.98</v>
      </c>
    </row>
    <row r="81" spans="3:16" x14ac:dyDescent="0.25">
      <c r="C81" t="str">
        <f>IF(COUNTBLANK(E81:N81) = 10,"",IF(AND(NOT(ISBLANK(E81)),COUNTBLANK(E81:N81) = 9),"3 Delete",IF(ISBLANK(E81),"2 Add",IF(JenkinsHashRange(E81:N81) = "1108978230","0 Original","1 Modify"))))</f>
        <v>0 Original</v>
      </c>
      <c r="D81" s="3" t="s">
        <v>1743</v>
      </c>
      <c r="E81" s="5">
        <v>2362</v>
      </c>
      <c r="F81" t="s">
        <v>1138</v>
      </c>
      <c r="G81" t="s">
        <v>565</v>
      </c>
      <c r="H81" s="9">
        <v>5.99</v>
      </c>
      <c r="I81" s="5">
        <v>2</v>
      </c>
      <c r="J81" s="7" t="s">
        <v>970</v>
      </c>
      <c r="K81" s="7">
        <v>42748.047268518516</v>
      </c>
      <c r="L81" s="3" t="s">
        <v>970</v>
      </c>
      <c r="M81" s="7">
        <v>42748.047268518516</v>
      </c>
      <c r="N81" s="3" t="s">
        <v>970</v>
      </c>
      <c r="O81" s="16" t="str">
        <f>TEXT(DATEVALUE(LEFT(F81,10)),"mm-yyyy")</f>
        <v>01-2015</v>
      </c>
      <c r="P81" s="16">
        <f>H81*I81</f>
        <v>11.98</v>
      </c>
    </row>
    <row r="82" spans="3:16" x14ac:dyDescent="0.25">
      <c r="C82" t="str">
        <f>IF(COUNTBLANK(E82:N82) = 10,"",IF(AND(NOT(ISBLANK(E82)),COUNTBLANK(E82:N82) = 9),"3 Delete",IF(ISBLANK(E82),"2 Add",IF(JenkinsHashRange(E82:N82) = "1508050661","0 Original","1 Modify"))))</f>
        <v>0 Original</v>
      </c>
      <c r="D82" s="3" t="s">
        <v>1744</v>
      </c>
      <c r="E82" s="5">
        <v>2363</v>
      </c>
      <c r="F82" t="s">
        <v>1138</v>
      </c>
      <c r="G82" t="s">
        <v>702</v>
      </c>
      <c r="H82" s="9">
        <v>7.99</v>
      </c>
      <c r="I82" s="5">
        <v>1</v>
      </c>
      <c r="J82" s="7" t="s">
        <v>970</v>
      </c>
      <c r="K82" s="7">
        <v>42748.047268518516</v>
      </c>
      <c r="L82" s="3" t="s">
        <v>970</v>
      </c>
      <c r="M82" s="7">
        <v>42748.047268518516</v>
      </c>
      <c r="N82" s="3" t="s">
        <v>970</v>
      </c>
      <c r="O82" s="16" t="str">
        <f>TEXT(DATEVALUE(LEFT(F82,10)),"mm-yyyy")</f>
        <v>01-2015</v>
      </c>
      <c r="P82" s="16">
        <f>H82*I82</f>
        <v>7.99</v>
      </c>
    </row>
    <row r="83" spans="3:16" x14ac:dyDescent="0.25">
      <c r="C83" t="str">
        <f>IF(COUNTBLANK(E83:N83) = 10,"",IF(AND(NOT(ISBLANK(E83)),COUNTBLANK(E83:N83) = 9),"3 Delete",IF(ISBLANK(E83),"2 Add",IF(JenkinsHashRange(E83:N83) = "1595437696","0 Original","1 Modify"))))</f>
        <v>0 Original</v>
      </c>
      <c r="D83" s="3" t="s">
        <v>1745</v>
      </c>
      <c r="E83" s="5">
        <v>2364</v>
      </c>
      <c r="F83" t="s">
        <v>1138</v>
      </c>
      <c r="G83" t="s">
        <v>877</v>
      </c>
      <c r="H83" s="9">
        <v>8.99</v>
      </c>
      <c r="I83" s="5">
        <v>2</v>
      </c>
      <c r="J83" s="7" t="s">
        <v>970</v>
      </c>
      <c r="K83" s="7">
        <v>42748.047268518516</v>
      </c>
      <c r="L83" s="3" t="s">
        <v>970</v>
      </c>
      <c r="M83" s="7">
        <v>42748.047268518516</v>
      </c>
      <c r="N83" s="3" t="s">
        <v>970</v>
      </c>
      <c r="O83" s="16" t="str">
        <f>TEXT(DATEVALUE(LEFT(F83,10)),"mm-yyyy")</f>
        <v>01-2015</v>
      </c>
      <c r="P83" s="16">
        <f>H83*I83</f>
        <v>17.98</v>
      </c>
    </row>
    <row r="84" spans="3:16" x14ac:dyDescent="0.25">
      <c r="C84" t="str">
        <f>IF(COUNTBLANK(E84:N84) = 10,"",IF(AND(NOT(ISBLANK(E84)),COUNTBLANK(E84:N84) = 9),"3 Delete",IF(ISBLANK(E84),"2 Add",IF(JenkinsHashRange(E84:N84) = "1645907509","0 Original","1 Modify"))))</f>
        <v>0 Original</v>
      </c>
      <c r="D84" s="3" t="s">
        <v>1746</v>
      </c>
      <c r="E84" s="5">
        <v>2365</v>
      </c>
      <c r="F84" t="s">
        <v>1138</v>
      </c>
      <c r="G84" t="s">
        <v>814</v>
      </c>
      <c r="H84" s="9">
        <v>9.99</v>
      </c>
      <c r="I84" s="5">
        <v>1</v>
      </c>
      <c r="J84" s="7" t="s">
        <v>970</v>
      </c>
      <c r="K84" s="7">
        <v>42748.047268518516</v>
      </c>
      <c r="L84" s="3" t="s">
        <v>970</v>
      </c>
      <c r="M84" s="7">
        <v>42748.047268518516</v>
      </c>
      <c r="N84" s="3" t="s">
        <v>970</v>
      </c>
      <c r="O84" s="16" t="str">
        <f>TEXT(DATEVALUE(LEFT(F84,10)),"mm-yyyy")</f>
        <v>01-2015</v>
      </c>
      <c r="P84" s="16">
        <f>H84*I84</f>
        <v>9.99</v>
      </c>
    </row>
    <row r="85" spans="3:16" x14ac:dyDescent="0.25">
      <c r="C85" t="str">
        <f>IF(COUNTBLANK(E85:N85) = 10,"",IF(AND(NOT(ISBLANK(E85)),COUNTBLANK(E85:N85) = 9),"3 Delete",IF(ISBLANK(E85),"2 Add",IF(JenkinsHashRange(E85:N85) = "2126288633","0 Original","1 Modify"))))</f>
        <v>0 Original</v>
      </c>
      <c r="D85" s="3" t="s">
        <v>1747</v>
      </c>
      <c r="E85" s="5">
        <v>2366</v>
      </c>
      <c r="F85" t="s">
        <v>1138</v>
      </c>
      <c r="G85" t="s">
        <v>400</v>
      </c>
      <c r="H85" s="9">
        <v>6.99</v>
      </c>
      <c r="I85" s="5">
        <v>1</v>
      </c>
      <c r="J85" s="7" t="s">
        <v>970</v>
      </c>
      <c r="K85" s="7">
        <v>42748.047268518516</v>
      </c>
      <c r="L85" s="3" t="s">
        <v>970</v>
      </c>
      <c r="M85" s="7">
        <v>42748.047268518516</v>
      </c>
      <c r="N85" s="3" t="s">
        <v>970</v>
      </c>
      <c r="O85" s="16" t="str">
        <f>TEXT(DATEVALUE(LEFT(F85,10)),"mm-yyyy")</f>
        <v>01-2015</v>
      </c>
      <c r="P85" s="16">
        <f>H85*I85</f>
        <v>6.99</v>
      </c>
    </row>
    <row r="86" spans="3:16" x14ac:dyDescent="0.25">
      <c r="C86" t="str">
        <f>IF(COUNTBLANK(E86:N86) = 10,"",IF(AND(NOT(ISBLANK(E86)),COUNTBLANK(E86:N86) = 9),"3 Delete",IF(ISBLANK(E86),"2 Add",IF(JenkinsHashRange(E86:N86) = "1831290222","0 Original","1 Modify"))))</f>
        <v>0 Original</v>
      </c>
      <c r="D86" s="3" t="s">
        <v>1748</v>
      </c>
      <c r="E86" s="5">
        <v>2367</v>
      </c>
      <c r="F86" t="s">
        <v>1138</v>
      </c>
      <c r="G86" t="s">
        <v>814</v>
      </c>
      <c r="H86" s="9">
        <v>9.99</v>
      </c>
      <c r="I86" s="5">
        <v>1</v>
      </c>
      <c r="J86" s="7" t="s">
        <v>970</v>
      </c>
      <c r="K86" s="7">
        <v>42748.047268518516</v>
      </c>
      <c r="L86" s="3" t="s">
        <v>970</v>
      </c>
      <c r="M86" s="7">
        <v>42748.047268518516</v>
      </c>
      <c r="N86" s="3" t="s">
        <v>970</v>
      </c>
      <c r="O86" s="16" t="str">
        <f>TEXT(DATEVALUE(LEFT(F86,10)),"mm-yyyy")</f>
        <v>01-2015</v>
      </c>
      <c r="P86" s="16">
        <f>H86*I86</f>
        <v>9.99</v>
      </c>
    </row>
    <row r="87" spans="3:16" x14ac:dyDescent="0.25">
      <c r="C87" t="str">
        <f>IF(COUNTBLANK(E87:N87) = 10,"",IF(AND(NOT(ISBLANK(E87)),COUNTBLANK(E87:N87) = 9),"3 Delete",IF(ISBLANK(E87),"2 Add",IF(JenkinsHashRange(E87:N87) = "1847617610","0 Original","1 Modify"))))</f>
        <v>0 Original</v>
      </c>
      <c r="D87" s="3" t="s">
        <v>1752</v>
      </c>
      <c r="E87" s="5">
        <v>2377</v>
      </c>
      <c r="F87" t="s">
        <v>1140</v>
      </c>
      <c r="G87" t="s">
        <v>453</v>
      </c>
      <c r="H87" s="9">
        <v>8.99</v>
      </c>
      <c r="I87" s="5">
        <v>1</v>
      </c>
      <c r="J87" s="7" t="s">
        <v>970</v>
      </c>
      <c r="K87" s="7">
        <v>42748.047268518516</v>
      </c>
      <c r="L87" s="3" t="s">
        <v>970</v>
      </c>
      <c r="M87" s="7">
        <v>42748.047268518516</v>
      </c>
      <c r="N87" s="3" t="s">
        <v>970</v>
      </c>
      <c r="O87" s="16" t="str">
        <f>TEXT(DATEVALUE(LEFT(F87,10)),"mm-yyyy")</f>
        <v>01-2015</v>
      </c>
      <c r="P87" s="16">
        <f>H87*I87</f>
        <v>8.99</v>
      </c>
    </row>
    <row r="88" spans="3:16" x14ac:dyDescent="0.25">
      <c r="C88" t="str">
        <f>IF(COUNTBLANK(E88:N88) = 10,"",IF(AND(NOT(ISBLANK(E88)),COUNTBLANK(E88:N88) = 9),"3 Delete",IF(ISBLANK(E88),"2 Add",IF(JenkinsHashRange(E88:N88) = "1542126535","0 Original","1 Modify"))))</f>
        <v>0 Original</v>
      </c>
      <c r="D88" s="3" t="s">
        <v>1753</v>
      </c>
      <c r="E88" s="5">
        <v>2378</v>
      </c>
      <c r="F88" t="s">
        <v>1140</v>
      </c>
      <c r="G88" t="s">
        <v>914</v>
      </c>
      <c r="H88" s="9">
        <v>8.99</v>
      </c>
      <c r="I88" s="5">
        <v>1</v>
      </c>
      <c r="J88" s="7" t="s">
        <v>970</v>
      </c>
      <c r="K88" s="7">
        <v>42748.047268518516</v>
      </c>
      <c r="L88" s="3" t="s">
        <v>970</v>
      </c>
      <c r="M88" s="7">
        <v>42748.047268518516</v>
      </c>
      <c r="N88" s="3" t="s">
        <v>970</v>
      </c>
      <c r="O88" s="16" t="str">
        <f>TEXT(DATEVALUE(LEFT(F88,10)),"mm-yyyy")</f>
        <v>01-2015</v>
      </c>
      <c r="P88" s="16">
        <f>H88*I88</f>
        <v>8.99</v>
      </c>
    </row>
    <row r="89" spans="3:16" x14ac:dyDescent="0.25">
      <c r="C89" t="str">
        <f>IF(COUNTBLANK(E89:N89) = 10,"",IF(AND(NOT(ISBLANK(E89)),COUNTBLANK(E89:N89) = 9),"3 Delete",IF(ISBLANK(E89),"2 Add",IF(JenkinsHashRange(E89:N89) = "1648555306","0 Original","1 Modify"))))</f>
        <v>0 Original</v>
      </c>
      <c r="D89" s="3" t="s">
        <v>1789</v>
      </c>
      <c r="E89" s="5">
        <v>2518</v>
      </c>
      <c r="F89" t="s">
        <v>1152</v>
      </c>
      <c r="G89" t="s">
        <v>814</v>
      </c>
      <c r="H89" s="9">
        <v>9.99</v>
      </c>
      <c r="I89" s="5">
        <v>2</v>
      </c>
      <c r="J89" s="7" t="s">
        <v>970</v>
      </c>
      <c r="K89" s="7">
        <v>42748.047268518516</v>
      </c>
      <c r="L89" s="3" t="s">
        <v>970</v>
      </c>
      <c r="M89" s="7">
        <v>42748.047268518516</v>
      </c>
      <c r="N89" s="3" t="s">
        <v>970</v>
      </c>
      <c r="O89" s="16" t="str">
        <f>TEXT(DATEVALUE(LEFT(F89,10)),"mm-yyyy")</f>
        <v>01-2015</v>
      </c>
      <c r="P89" s="16">
        <f>H89*I89</f>
        <v>19.98</v>
      </c>
    </row>
    <row r="90" spans="3:16" x14ac:dyDescent="0.25">
      <c r="C90" t="str">
        <f>IF(COUNTBLANK(E90:N90) = 10,"",IF(AND(NOT(ISBLANK(E90)),COUNTBLANK(E90:N90) = 9),"3 Delete",IF(ISBLANK(E90),"2 Add",IF(JenkinsHashRange(E90:N90) = "138572091","0 Original","1 Modify"))))</f>
        <v>0 Original</v>
      </c>
      <c r="D90" s="3" t="s">
        <v>1790</v>
      </c>
      <c r="E90" s="5">
        <v>2519</v>
      </c>
      <c r="F90" t="s">
        <v>1152</v>
      </c>
      <c r="G90" t="s">
        <v>957</v>
      </c>
      <c r="H90" s="9">
        <v>5.99</v>
      </c>
      <c r="I90" s="5">
        <v>2</v>
      </c>
      <c r="J90" s="7" t="s">
        <v>970</v>
      </c>
      <c r="K90" s="7">
        <v>42748.047268518516</v>
      </c>
      <c r="L90" s="3" t="s">
        <v>970</v>
      </c>
      <c r="M90" s="7">
        <v>42748.047268518516</v>
      </c>
      <c r="N90" s="3" t="s">
        <v>970</v>
      </c>
      <c r="O90" s="16" t="str">
        <f>TEXT(DATEVALUE(LEFT(F90,10)),"mm-yyyy")</f>
        <v>01-2015</v>
      </c>
      <c r="P90" s="16">
        <f>H90*I90</f>
        <v>11.98</v>
      </c>
    </row>
    <row r="91" spans="3:16" x14ac:dyDescent="0.25">
      <c r="C91" t="str">
        <f>IF(COUNTBLANK(E91:N91) = 10,"",IF(AND(NOT(ISBLANK(E91)),COUNTBLANK(E91:N91) = 9),"3 Delete",IF(ISBLANK(E91),"2 Add",IF(JenkinsHashRange(E91:N91) = "972018965","0 Original","1 Modify"))))</f>
        <v>0 Original</v>
      </c>
      <c r="D91" s="3" t="s">
        <v>1799</v>
      </c>
      <c r="E91" s="5">
        <v>2581</v>
      </c>
      <c r="F91" t="s">
        <v>1156</v>
      </c>
      <c r="G91" t="s">
        <v>914</v>
      </c>
      <c r="H91" s="9">
        <v>8.99</v>
      </c>
      <c r="I91" s="5">
        <v>1</v>
      </c>
      <c r="J91" s="7" t="s">
        <v>970</v>
      </c>
      <c r="K91" s="7">
        <v>42748.047268518516</v>
      </c>
      <c r="L91" s="3" t="s">
        <v>970</v>
      </c>
      <c r="M91" s="7">
        <v>42748.047268518516</v>
      </c>
      <c r="N91" s="3" t="s">
        <v>970</v>
      </c>
      <c r="O91" s="16" t="str">
        <f>TEXT(DATEVALUE(LEFT(F91,10)),"mm-yyyy")</f>
        <v>01-2015</v>
      </c>
      <c r="P91" s="16">
        <f>H91*I91</f>
        <v>8.99</v>
      </c>
    </row>
    <row r="92" spans="3:16" x14ac:dyDescent="0.25">
      <c r="C92" t="str">
        <f>IF(COUNTBLANK(E92:N92) = 10,"",IF(AND(NOT(ISBLANK(E92)),COUNTBLANK(E92:N92) = 9),"3 Delete",IF(ISBLANK(E92),"2 Add",IF(JenkinsHashRange(E92:N92) = "767940286","0 Original","1 Modify"))))</f>
        <v>0 Original</v>
      </c>
      <c r="D92" s="3" t="s">
        <v>1800</v>
      </c>
      <c r="E92" s="5">
        <v>2582</v>
      </c>
      <c r="F92" t="s">
        <v>1156</v>
      </c>
      <c r="G92" t="s">
        <v>945</v>
      </c>
      <c r="H92" s="9">
        <v>7.99</v>
      </c>
      <c r="I92" s="5">
        <v>1</v>
      </c>
      <c r="J92" s="7" t="s">
        <v>970</v>
      </c>
      <c r="K92" s="7">
        <v>42748.047268518516</v>
      </c>
      <c r="L92" s="3" t="s">
        <v>970</v>
      </c>
      <c r="M92" s="7">
        <v>42748.047268518516</v>
      </c>
      <c r="N92" s="3" t="s">
        <v>970</v>
      </c>
      <c r="O92" s="16" t="str">
        <f>TEXT(DATEVALUE(LEFT(F92,10)),"mm-yyyy")</f>
        <v>01-2015</v>
      </c>
      <c r="P92" s="16">
        <f>H92*I92</f>
        <v>7.99</v>
      </c>
    </row>
    <row r="93" spans="3:16" x14ac:dyDescent="0.25">
      <c r="C93" t="str">
        <f>IF(COUNTBLANK(E93:N93) = 10,"",IF(AND(NOT(ISBLANK(E93)),COUNTBLANK(E93:N93) = 9),"3 Delete",IF(ISBLANK(E93),"2 Add",IF(JenkinsHashRange(E93:N93) = "1856700628","0 Original","1 Modify"))))</f>
        <v>0 Original</v>
      </c>
      <c r="D93" s="3" t="s">
        <v>1813</v>
      </c>
      <c r="E93" s="5">
        <v>2623</v>
      </c>
      <c r="F93" t="s">
        <v>1159</v>
      </c>
      <c r="G93" t="s">
        <v>957</v>
      </c>
      <c r="H93" s="9">
        <v>5.99</v>
      </c>
      <c r="I93" s="5">
        <v>2</v>
      </c>
      <c r="J93" s="7" t="s">
        <v>970</v>
      </c>
      <c r="K93" s="7">
        <v>42748.047268518516</v>
      </c>
      <c r="L93" s="3" t="s">
        <v>970</v>
      </c>
      <c r="M93" s="7">
        <v>42748.047268518516</v>
      </c>
      <c r="N93" s="3" t="s">
        <v>970</v>
      </c>
      <c r="O93" s="16" t="str">
        <f>TEXT(DATEVALUE(LEFT(F93,10)),"mm-yyyy")</f>
        <v>01-2015</v>
      </c>
      <c r="P93" s="16">
        <f>H93*I93</f>
        <v>11.98</v>
      </c>
    </row>
    <row r="94" spans="3:16" x14ac:dyDescent="0.25">
      <c r="C94" t="str">
        <f>IF(COUNTBLANK(E94:N94) = 10,"",IF(AND(NOT(ISBLANK(E94)),COUNTBLANK(E94:N94) = 9),"3 Delete",IF(ISBLANK(E94),"2 Add",IF(JenkinsHashRange(E94:N94) = "612047933","0 Original","1 Modify"))))</f>
        <v>0 Original</v>
      </c>
      <c r="D94" s="3" t="s">
        <v>1814</v>
      </c>
      <c r="E94" s="5">
        <v>2624</v>
      </c>
      <c r="F94" t="s">
        <v>1159</v>
      </c>
      <c r="G94" t="s">
        <v>877</v>
      </c>
      <c r="H94" s="9">
        <v>8.99</v>
      </c>
      <c r="I94" s="5">
        <v>2</v>
      </c>
      <c r="J94" s="7" t="s">
        <v>970</v>
      </c>
      <c r="K94" s="7">
        <v>42748.047268518516</v>
      </c>
      <c r="L94" s="3" t="s">
        <v>970</v>
      </c>
      <c r="M94" s="7">
        <v>42748.047268518516</v>
      </c>
      <c r="N94" s="3" t="s">
        <v>970</v>
      </c>
      <c r="O94" s="16" t="str">
        <f>TEXT(DATEVALUE(LEFT(F94,10)),"mm-yyyy")</f>
        <v>01-2015</v>
      </c>
      <c r="P94" s="16">
        <f>H94*I94</f>
        <v>17.98</v>
      </c>
    </row>
    <row r="95" spans="3:16" x14ac:dyDescent="0.25">
      <c r="C95" t="str">
        <f>IF(COUNTBLANK(E95:N95) = 10,"",IF(AND(NOT(ISBLANK(E95)),COUNTBLANK(E95:N95) = 9),"3 Delete",IF(ISBLANK(E95),"2 Add",IF(JenkinsHashRange(E95:N95) = "1996667951","0 Original","1 Modify"))))</f>
        <v>0 Original</v>
      </c>
      <c r="D95" s="3" t="s">
        <v>1815</v>
      </c>
      <c r="E95" s="5">
        <v>2637</v>
      </c>
      <c r="F95" t="s">
        <v>1160</v>
      </c>
      <c r="G95" t="s">
        <v>877</v>
      </c>
      <c r="H95" s="9">
        <v>8.99</v>
      </c>
      <c r="I95" s="5">
        <v>2</v>
      </c>
      <c r="J95" s="7" t="s">
        <v>970</v>
      </c>
      <c r="K95" s="7">
        <v>42748.047268518516</v>
      </c>
      <c r="L95" s="3" t="s">
        <v>970</v>
      </c>
      <c r="M95" s="7">
        <v>42748.047268518516</v>
      </c>
      <c r="N95" s="3" t="s">
        <v>970</v>
      </c>
      <c r="O95" s="16" t="str">
        <f>TEXT(DATEVALUE(LEFT(F95,10)),"mm-yyyy")</f>
        <v>01-2015</v>
      </c>
      <c r="P95" s="16">
        <f>H95*I95</f>
        <v>17.98</v>
      </c>
    </row>
    <row r="96" spans="3:16" x14ac:dyDescent="0.25">
      <c r="C96" t="str">
        <f>IF(COUNTBLANK(E96:N96) = 10,"",IF(AND(NOT(ISBLANK(E96)),COUNTBLANK(E96:N96) = 9),"3 Delete",IF(ISBLANK(E96),"2 Add",IF(JenkinsHashRange(E96:N96) = "1548437115","0 Original","1 Modify"))))</f>
        <v>0 Original</v>
      </c>
      <c r="D96" s="3" t="s">
        <v>1816</v>
      </c>
      <c r="E96" s="5">
        <v>2638</v>
      </c>
      <c r="F96" t="s">
        <v>1160</v>
      </c>
      <c r="G96" t="s">
        <v>914</v>
      </c>
      <c r="H96" s="9">
        <v>8.99</v>
      </c>
      <c r="I96" s="5">
        <v>2</v>
      </c>
      <c r="J96" s="7" t="s">
        <v>970</v>
      </c>
      <c r="K96" s="7">
        <v>42748.047268518516</v>
      </c>
      <c r="L96" s="3" t="s">
        <v>970</v>
      </c>
      <c r="M96" s="7">
        <v>42748.047268518516</v>
      </c>
      <c r="N96" s="3" t="s">
        <v>970</v>
      </c>
      <c r="O96" s="16" t="str">
        <f>TEXT(DATEVALUE(LEFT(F96,10)),"mm-yyyy")</f>
        <v>01-2015</v>
      </c>
      <c r="P96" s="16">
        <f>H96*I96</f>
        <v>17.98</v>
      </c>
    </row>
    <row r="97" spans="3:16" x14ac:dyDescent="0.25">
      <c r="C97" t="str">
        <f>IF(COUNTBLANK(E97:N97) = 10,"",IF(AND(NOT(ISBLANK(E97)),COUNTBLANK(E97:N97) = 9),"3 Delete",IF(ISBLANK(E97),"2 Add",IF(JenkinsHashRange(E97:N97) = "419991468","0 Original","1 Modify"))))</f>
        <v>0 Original</v>
      </c>
      <c r="D97" s="3" t="s">
        <v>1817</v>
      </c>
      <c r="E97" s="5">
        <v>2639</v>
      </c>
      <c r="F97" t="s">
        <v>1160</v>
      </c>
      <c r="G97" t="s">
        <v>914</v>
      </c>
      <c r="H97" s="9">
        <v>8.99</v>
      </c>
      <c r="I97" s="5">
        <v>2</v>
      </c>
      <c r="J97" s="7" t="s">
        <v>970</v>
      </c>
      <c r="K97" s="7">
        <v>42748.047268518516</v>
      </c>
      <c r="L97" s="3" t="s">
        <v>970</v>
      </c>
      <c r="M97" s="7">
        <v>42748.047268518516</v>
      </c>
      <c r="N97" s="3" t="s">
        <v>970</v>
      </c>
      <c r="O97" s="16" t="str">
        <f>TEXT(DATEVALUE(LEFT(F97,10)),"mm-yyyy")</f>
        <v>01-2015</v>
      </c>
      <c r="P97" s="16">
        <f>H97*I97</f>
        <v>17.98</v>
      </c>
    </row>
    <row r="98" spans="3:16" x14ac:dyDescent="0.25">
      <c r="C98" t="str">
        <f>IF(COUNTBLANK(E98:N98) = 10,"",IF(AND(NOT(ISBLANK(E98)),COUNTBLANK(E98:N98) = 9),"3 Delete",IF(ISBLANK(E98),"2 Add",IF(JenkinsHashRange(E98:N98) = "1546068228","0 Original","1 Modify"))))</f>
        <v>0 Original</v>
      </c>
      <c r="D98" s="3" t="s">
        <v>1818</v>
      </c>
      <c r="E98" s="5">
        <v>2640</v>
      </c>
      <c r="F98" t="s">
        <v>1160</v>
      </c>
      <c r="G98" t="s">
        <v>814</v>
      </c>
      <c r="H98" s="9">
        <v>9.99</v>
      </c>
      <c r="I98" s="5">
        <v>2</v>
      </c>
      <c r="J98" s="7" t="s">
        <v>970</v>
      </c>
      <c r="K98" s="7">
        <v>42748.047268518516</v>
      </c>
      <c r="L98" s="3" t="s">
        <v>970</v>
      </c>
      <c r="M98" s="7">
        <v>42748.047268518516</v>
      </c>
      <c r="N98" s="3" t="s">
        <v>970</v>
      </c>
      <c r="O98" s="16" t="str">
        <f>TEXT(DATEVALUE(LEFT(F98,10)),"mm-yyyy")</f>
        <v>01-2015</v>
      </c>
      <c r="P98" s="16">
        <f>H98*I98</f>
        <v>19.98</v>
      </c>
    </row>
    <row r="99" spans="3:16" x14ac:dyDescent="0.25">
      <c r="C99" t="str">
        <f>IF(COUNTBLANK(E99:N99) = 10,"",IF(AND(NOT(ISBLANK(E99)),COUNTBLANK(E99:N99) = 9),"3 Delete",IF(ISBLANK(E99),"2 Add",IF(JenkinsHashRange(E99:N99) = "38361463","0 Original","1 Modify"))))</f>
        <v>0 Original</v>
      </c>
      <c r="D99" s="3" t="s">
        <v>1819</v>
      </c>
      <c r="E99" s="5">
        <v>2641</v>
      </c>
      <c r="F99" t="s">
        <v>1160</v>
      </c>
      <c r="G99" t="s">
        <v>914</v>
      </c>
      <c r="H99" s="9">
        <v>8.99</v>
      </c>
      <c r="I99" s="5">
        <v>1</v>
      </c>
      <c r="J99" s="7" t="s">
        <v>970</v>
      </c>
      <c r="K99" s="7">
        <v>42748.047268518516</v>
      </c>
      <c r="L99" s="3" t="s">
        <v>970</v>
      </c>
      <c r="M99" s="7">
        <v>42748.047268518516</v>
      </c>
      <c r="N99" s="3" t="s">
        <v>970</v>
      </c>
      <c r="O99" s="16" t="str">
        <f>TEXT(DATEVALUE(LEFT(F99,10)),"mm-yyyy")</f>
        <v>01-2015</v>
      </c>
      <c r="P99" s="16">
        <f>H99*I99</f>
        <v>8.99</v>
      </c>
    </row>
    <row r="100" spans="3:16" x14ac:dyDescent="0.25">
      <c r="C100" t="str">
        <f>IF(COUNTBLANK(E100:N100) = 10,"",IF(AND(NOT(ISBLANK(E100)),COUNTBLANK(E100:N100) = 9),"3 Delete",IF(ISBLANK(E100),"2 Add",IF(JenkinsHashRange(E100:N100) = "442983782","0 Original","1 Modify"))))</f>
        <v>0 Original</v>
      </c>
      <c r="D100" s="3" t="s">
        <v>1820</v>
      </c>
      <c r="E100" s="5">
        <v>2642</v>
      </c>
      <c r="F100" t="s">
        <v>1160</v>
      </c>
      <c r="G100" t="s">
        <v>904</v>
      </c>
      <c r="H100" s="9">
        <v>9.99</v>
      </c>
      <c r="I100" s="5">
        <v>2</v>
      </c>
      <c r="J100" s="7" t="s">
        <v>970</v>
      </c>
      <c r="K100" s="7">
        <v>42748.047268518516</v>
      </c>
      <c r="L100" s="3" t="s">
        <v>970</v>
      </c>
      <c r="M100" s="7">
        <v>42748.047268518516</v>
      </c>
      <c r="N100" s="3" t="s">
        <v>970</v>
      </c>
      <c r="O100" s="16" t="str">
        <f>TEXT(DATEVALUE(LEFT(F100,10)),"mm-yyyy")</f>
        <v>01-2015</v>
      </c>
      <c r="P100" s="16">
        <f>H100*I100</f>
        <v>19.98</v>
      </c>
    </row>
    <row r="101" spans="3:16" x14ac:dyDescent="0.25">
      <c r="C101" t="str">
        <f>IF(COUNTBLANK(E101:N101) = 10,"",IF(AND(NOT(ISBLANK(E101)),COUNTBLANK(E101:N101) = 9),"3 Delete",IF(ISBLANK(E101),"2 Add",IF(JenkinsHashRange(E101:N101) = "208895995","0 Original","1 Modify"))))</f>
        <v>0 Original</v>
      </c>
      <c r="D101" s="3" t="s">
        <v>1830</v>
      </c>
      <c r="E101" s="5">
        <v>2713</v>
      </c>
      <c r="F101" t="s">
        <v>1164</v>
      </c>
      <c r="G101" t="s">
        <v>453</v>
      </c>
      <c r="H101" s="9">
        <v>8.99</v>
      </c>
      <c r="I101" s="5">
        <v>1</v>
      </c>
      <c r="J101" s="7" t="s">
        <v>970</v>
      </c>
      <c r="K101" s="7">
        <v>42748.047268518516</v>
      </c>
      <c r="L101" s="3" t="s">
        <v>970</v>
      </c>
      <c r="M101" s="7">
        <v>42748.047268518516</v>
      </c>
      <c r="N101" s="3" t="s">
        <v>970</v>
      </c>
      <c r="O101" s="16" t="str">
        <f>TEXT(DATEVALUE(LEFT(F101,10)),"mm-yyyy")</f>
        <v>01-2015</v>
      </c>
      <c r="P101" s="16">
        <f>H101*I101</f>
        <v>8.99</v>
      </c>
    </row>
    <row r="102" spans="3:16" x14ac:dyDescent="0.25">
      <c r="C102" t="str">
        <f>IF(COUNTBLANK(E102:N102) = 10,"",IF(AND(NOT(ISBLANK(E102)),COUNTBLANK(E102:N102) = 9),"3 Delete",IF(ISBLANK(E102),"2 Add",IF(JenkinsHashRange(E102:N102) = "1217936618","0 Original","1 Modify"))))</f>
        <v>0 Original</v>
      </c>
      <c r="D102" s="3" t="s">
        <v>1831</v>
      </c>
      <c r="E102" s="5">
        <v>2714</v>
      </c>
      <c r="F102" t="s">
        <v>1164</v>
      </c>
      <c r="G102" t="s">
        <v>945</v>
      </c>
      <c r="H102" s="9">
        <v>7.99</v>
      </c>
      <c r="I102" s="5">
        <v>2</v>
      </c>
      <c r="J102" s="7" t="s">
        <v>970</v>
      </c>
      <c r="K102" s="7">
        <v>42748.047268518516</v>
      </c>
      <c r="L102" s="3" t="s">
        <v>970</v>
      </c>
      <c r="M102" s="7">
        <v>42748.047268518516</v>
      </c>
      <c r="N102" s="3" t="s">
        <v>970</v>
      </c>
      <c r="O102" s="16" t="str">
        <f>TEXT(DATEVALUE(LEFT(F102,10)),"mm-yyyy")</f>
        <v>01-2015</v>
      </c>
      <c r="P102" s="16">
        <f>H102*I102</f>
        <v>15.98</v>
      </c>
    </row>
    <row r="103" spans="3:16" x14ac:dyDescent="0.25">
      <c r="C103" t="str">
        <f>IF(COUNTBLANK(E103:N103) = 10,"",IF(AND(NOT(ISBLANK(E103)),COUNTBLANK(E103:N103) = 9),"3 Delete",IF(ISBLANK(E103),"2 Add",IF(JenkinsHashRange(E103:N103) = "1749279366","0 Original","1 Modify"))))</f>
        <v>0 Original</v>
      </c>
      <c r="D103" s="3" t="s">
        <v>1832</v>
      </c>
      <c r="E103" s="5">
        <v>2715</v>
      </c>
      <c r="F103" t="s">
        <v>1164</v>
      </c>
      <c r="G103" t="s">
        <v>914</v>
      </c>
      <c r="H103" s="9">
        <v>8.99</v>
      </c>
      <c r="I103" s="5">
        <v>1</v>
      </c>
      <c r="J103" s="7" t="s">
        <v>970</v>
      </c>
      <c r="K103" s="7">
        <v>42748.047268518516</v>
      </c>
      <c r="L103" s="3" t="s">
        <v>970</v>
      </c>
      <c r="M103" s="7">
        <v>42748.047268518516</v>
      </c>
      <c r="N103" s="3" t="s">
        <v>970</v>
      </c>
      <c r="O103" s="16" t="str">
        <f>TEXT(DATEVALUE(LEFT(F103,10)),"mm-yyyy")</f>
        <v>01-2015</v>
      </c>
      <c r="P103" s="16">
        <f>H103*I103</f>
        <v>8.99</v>
      </c>
    </row>
    <row r="104" spans="3:16" x14ac:dyDescent="0.25">
      <c r="C104" t="str">
        <f>IF(COUNTBLANK(E104:N104) = 10,"",IF(AND(NOT(ISBLANK(E104)),COUNTBLANK(E104:N104) = 9),"3 Delete",IF(ISBLANK(E104),"2 Add",IF(JenkinsHashRange(E104:N104) = "1089453108","0 Original","1 Modify"))))</f>
        <v>0 Original</v>
      </c>
      <c r="D104" s="3" t="s">
        <v>1833</v>
      </c>
      <c r="E104" s="5">
        <v>2716</v>
      </c>
      <c r="F104" t="s">
        <v>1164</v>
      </c>
      <c r="G104" t="s">
        <v>914</v>
      </c>
      <c r="H104" s="9">
        <v>8.99</v>
      </c>
      <c r="I104" s="5">
        <v>2</v>
      </c>
      <c r="J104" s="7" t="s">
        <v>970</v>
      </c>
      <c r="K104" s="7">
        <v>42748.047268518516</v>
      </c>
      <c r="L104" s="3" t="s">
        <v>970</v>
      </c>
      <c r="M104" s="7">
        <v>42748.047268518516</v>
      </c>
      <c r="N104" s="3" t="s">
        <v>970</v>
      </c>
      <c r="O104" s="16" t="str">
        <f>TEXT(DATEVALUE(LEFT(F104,10)),"mm-yyyy")</f>
        <v>01-2015</v>
      </c>
      <c r="P104" s="16">
        <f>H104*I104</f>
        <v>17.98</v>
      </c>
    </row>
    <row r="105" spans="3:16" x14ac:dyDescent="0.25">
      <c r="C105" t="str">
        <f>IF(COUNTBLANK(E105:N105) = 10,"",IF(AND(NOT(ISBLANK(E105)),COUNTBLANK(E105:N105) = 9),"3 Delete",IF(ISBLANK(E105),"2 Add",IF(JenkinsHashRange(E105:N105) = "1891524694","0 Original","1 Modify"))))</f>
        <v>0 Original</v>
      </c>
      <c r="D105" s="3" t="s">
        <v>1834</v>
      </c>
      <c r="E105" s="5">
        <v>2717</v>
      </c>
      <c r="F105" t="s">
        <v>1164</v>
      </c>
      <c r="G105" t="s">
        <v>565</v>
      </c>
      <c r="H105" s="9">
        <v>5.99</v>
      </c>
      <c r="I105" s="5">
        <v>2</v>
      </c>
      <c r="J105" s="7" t="s">
        <v>970</v>
      </c>
      <c r="K105" s="7">
        <v>42748.047268518516</v>
      </c>
      <c r="L105" s="3" t="s">
        <v>970</v>
      </c>
      <c r="M105" s="7">
        <v>42748.047268518516</v>
      </c>
      <c r="N105" s="3" t="s">
        <v>970</v>
      </c>
      <c r="O105" s="16" t="str">
        <f>TEXT(DATEVALUE(LEFT(F105,10)),"mm-yyyy")</f>
        <v>01-2015</v>
      </c>
      <c r="P105" s="16">
        <f>H105*I105</f>
        <v>11.98</v>
      </c>
    </row>
    <row r="106" spans="3:16" x14ac:dyDescent="0.25">
      <c r="C106" t="str">
        <f>IF(COUNTBLANK(E106:N106) = 10,"",IF(AND(NOT(ISBLANK(E106)),COUNTBLANK(E106:N106) = 9),"3 Delete",IF(ISBLANK(E106),"2 Add",IF(JenkinsHashRange(E106:N106) = "413029214","0 Original","1 Modify"))))</f>
        <v>0 Original</v>
      </c>
      <c r="D106" s="3" t="s">
        <v>1835</v>
      </c>
      <c r="E106" s="5">
        <v>2718</v>
      </c>
      <c r="F106" t="s">
        <v>1164</v>
      </c>
      <c r="G106" t="s">
        <v>904</v>
      </c>
      <c r="H106" s="9">
        <v>9.99</v>
      </c>
      <c r="I106" s="5">
        <v>1</v>
      </c>
      <c r="J106" s="7" t="s">
        <v>970</v>
      </c>
      <c r="K106" s="7">
        <v>42748.047268518516</v>
      </c>
      <c r="L106" s="3" t="s">
        <v>970</v>
      </c>
      <c r="M106" s="7">
        <v>42748.047268518516</v>
      </c>
      <c r="N106" s="3" t="s">
        <v>970</v>
      </c>
      <c r="O106" s="16" t="str">
        <f>TEXT(DATEVALUE(LEFT(F106,10)),"mm-yyyy")</f>
        <v>01-2015</v>
      </c>
      <c r="P106" s="16">
        <f>H106*I106</f>
        <v>9.99</v>
      </c>
    </row>
    <row r="107" spans="3:16" x14ac:dyDescent="0.25">
      <c r="C107" t="str">
        <f>IF(COUNTBLANK(E107:N107) = 10,"",IF(AND(NOT(ISBLANK(E107)),COUNTBLANK(E107:N107) = 9),"3 Delete",IF(ISBLANK(E107),"2 Add",IF(JenkinsHashRange(E107:N107) = "425525653","0 Original","1 Modify"))))</f>
        <v>0 Original</v>
      </c>
      <c r="D107" s="3" t="s">
        <v>1836</v>
      </c>
      <c r="E107" s="5">
        <v>2719</v>
      </c>
      <c r="F107" t="s">
        <v>1164</v>
      </c>
      <c r="G107" t="s">
        <v>904</v>
      </c>
      <c r="H107" s="9">
        <v>9.99</v>
      </c>
      <c r="I107" s="5">
        <v>1</v>
      </c>
      <c r="J107" s="7" t="s">
        <v>970</v>
      </c>
      <c r="K107" s="7">
        <v>42748.047268518516</v>
      </c>
      <c r="L107" s="3" t="s">
        <v>970</v>
      </c>
      <c r="M107" s="7">
        <v>42748.047268518516</v>
      </c>
      <c r="N107" s="3" t="s">
        <v>970</v>
      </c>
      <c r="O107" s="16" t="str">
        <f>TEXT(DATEVALUE(LEFT(F107,10)),"mm-yyyy")</f>
        <v>01-2015</v>
      </c>
      <c r="P107" s="16">
        <f>H107*I107</f>
        <v>9.99</v>
      </c>
    </row>
    <row r="108" spans="3:16" x14ac:dyDescent="0.25">
      <c r="C108" t="str">
        <f>IF(COUNTBLANK(E108:N108) = 10,"",IF(AND(NOT(ISBLANK(E108)),COUNTBLANK(E108:N108) = 9),"3 Delete",IF(ISBLANK(E108),"2 Add",IF(JenkinsHashRange(E108:N108) = "31521084","0 Original","1 Modify"))))</f>
        <v>0 Original</v>
      </c>
      <c r="D108" s="3" t="s">
        <v>1837</v>
      </c>
      <c r="E108" s="5">
        <v>2720</v>
      </c>
      <c r="F108" t="s">
        <v>1164</v>
      </c>
      <c r="G108" t="s">
        <v>914</v>
      </c>
      <c r="H108" s="9">
        <v>8.99</v>
      </c>
      <c r="I108" s="5">
        <v>1</v>
      </c>
      <c r="J108" s="7" t="s">
        <v>970</v>
      </c>
      <c r="K108" s="7">
        <v>42748.047268518516</v>
      </c>
      <c r="L108" s="3" t="s">
        <v>970</v>
      </c>
      <c r="M108" s="7">
        <v>42748.047268518516</v>
      </c>
      <c r="N108" s="3" t="s">
        <v>970</v>
      </c>
      <c r="O108" s="16" t="str">
        <f>TEXT(DATEVALUE(LEFT(F108,10)),"mm-yyyy")</f>
        <v>01-2015</v>
      </c>
      <c r="P108" s="16">
        <f>H108*I108</f>
        <v>8.99</v>
      </c>
    </row>
    <row r="109" spans="3:16" x14ac:dyDescent="0.25">
      <c r="C109" t="str">
        <f>IF(COUNTBLANK(E109:N109) = 10,"",IF(AND(NOT(ISBLANK(E109)),COUNTBLANK(E109:N109) = 9),"3 Delete",IF(ISBLANK(E109),"2 Add",IF(JenkinsHashRange(E109:N109) = "938369726","0 Original","1 Modify"))))</f>
        <v>0 Original</v>
      </c>
      <c r="D109" s="3" t="s">
        <v>1860</v>
      </c>
      <c r="E109" s="5">
        <v>2891</v>
      </c>
      <c r="F109" t="s">
        <v>1173</v>
      </c>
      <c r="G109" t="s">
        <v>565</v>
      </c>
      <c r="H109" s="9">
        <v>5.99</v>
      </c>
      <c r="I109" s="5">
        <v>1</v>
      </c>
      <c r="J109" s="7" t="s">
        <v>970</v>
      </c>
      <c r="K109" s="7">
        <v>42748.047268518516</v>
      </c>
      <c r="L109" s="3" t="s">
        <v>970</v>
      </c>
      <c r="M109" s="7">
        <v>42748.047268518516</v>
      </c>
      <c r="N109" s="3" t="s">
        <v>970</v>
      </c>
      <c r="O109" s="16" t="str">
        <f>TEXT(DATEVALUE(LEFT(F109,10)),"mm-yyyy")</f>
        <v>01-2015</v>
      </c>
      <c r="P109" s="16">
        <f>H109*I109</f>
        <v>5.99</v>
      </c>
    </row>
    <row r="110" spans="3:16" x14ac:dyDescent="0.25">
      <c r="C110" t="str">
        <f>IF(COUNTBLANK(E110:N110) = 10,"",IF(AND(NOT(ISBLANK(E110)),COUNTBLANK(E110:N110) = 9),"3 Delete",IF(ISBLANK(E110),"2 Add",IF(JenkinsHashRange(E110:N110) = "401898476","0 Original","1 Modify"))))</f>
        <v>0 Original</v>
      </c>
      <c r="D110" s="3" t="s">
        <v>1861</v>
      </c>
      <c r="E110" s="5">
        <v>2892</v>
      </c>
      <c r="F110" t="s">
        <v>1173</v>
      </c>
      <c r="G110" t="s">
        <v>877</v>
      </c>
      <c r="H110" s="9">
        <v>8.99</v>
      </c>
      <c r="I110" s="5">
        <v>1</v>
      </c>
      <c r="J110" s="7" t="s">
        <v>970</v>
      </c>
      <c r="K110" s="7">
        <v>42748.047268518516</v>
      </c>
      <c r="L110" s="3" t="s">
        <v>970</v>
      </c>
      <c r="M110" s="7">
        <v>42748.047268518516</v>
      </c>
      <c r="N110" s="3" t="s">
        <v>970</v>
      </c>
      <c r="O110" s="16" t="str">
        <f>TEXT(DATEVALUE(LEFT(F110,10)),"mm-yyyy")</f>
        <v>01-2015</v>
      </c>
      <c r="P110" s="16">
        <f>H110*I110</f>
        <v>8.99</v>
      </c>
    </row>
    <row r="111" spans="3:16" x14ac:dyDescent="0.25">
      <c r="C111" t="str">
        <f>IF(COUNTBLANK(E111:N111) = 10,"",IF(AND(NOT(ISBLANK(E111)),COUNTBLANK(E111:N111) = 9),"3 Delete",IF(ISBLANK(E111),"2 Add",IF(JenkinsHashRange(E111:N111) = "224596132","0 Original","1 Modify"))))</f>
        <v>0 Original</v>
      </c>
      <c r="D111" s="3" t="s">
        <v>1862</v>
      </c>
      <c r="E111" s="5">
        <v>2893</v>
      </c>
      <c r="F111" t="s">
        <v>1173</v>
      </c>
      <c r="G111" t="s">
        <v>400</v>
      </c>
      <c r="H111" s="9">
        <v>6.99</v>
      </c>
      <c r="I111" s="5">
        <v>2</v>
      </c>
      <c r="J111" s="7" t="s">
        <v>970</v>
      </c>
      <c r="K111" s="7">
        <v>42748.047268518516</v>
      </c>
      <c r="L111" s="3" t="s">
        <v>970</v>
      </c>
      <c r="M111" s="7">
        <v>42748.047268518516</v>
      </c>
      <c r="N111" s="3" t="s">
        <v>970</v>
      </c>
      <c r="O111" s="16" t="str">
        <f>TEXT(DATEVALUE(LEFT(F111,10)),"mm-yyyy")</f>
        <v>01-2015</v>
      </c>
      <c r="P111" s="16">
        <f>H111*I111</f>
        <v>13.98</v>
      </c>
    </row>
    <row r="112" spans="3:16" x14ac:dyDescent="0.25">
      <c r="C112" t="str">
        <f>IF(COUNTBLANK(E112:N112) = 10,"",IF(AND(NOT(ISBLANK(E112)),COUNTBLANK(E112:N112) = 9),"3 Delete",IF(ISBLANK(E112),"2 Add",IF(JenkinsHashRange(E112:N112) = "1043044438","0 Original","1 Modify"))))</f>
        <v>0 Original</v>
      </c>
      <c r="D112" s="3" t="s">
        <v>1863</v>
      </c>
      <c r="E112" s="5">
        <v>2894</v>
      </c>
      <c r="F112" t="s">
        <v>1173</v>
      </c>
      <c r="G112" t="s">
        <v>565</v>
      </c>
      <c r="H112" s="9">
        <v>5.99</v>
      </c>
      <c r="I112" s="5">
        <v>2</v>
      </c>
      <c r="J112" s="7" t="s">
        <v>970</v>
      </c>
      <c r="K112" s="7">
        <v>42748.047268518516</v>
      </c>
      <c r="L112" s="3" t="s">
        <v>970</v>
      </c>
      <c r="M112" s="7">
        <v>42748.047268518516</v>
      </c>
      <c r="N112" s="3" t="s">
        <v>970</v>
      </c>
      <c r="O112" s="16" t="str">
        <f>TEXT(DATEVALUE(LEFT(F112,10)),"mm-yyyy")</f>
        <v>01-2015</v>
      </c>
      <c r="P112" s="16">
        <f>H112*I112</f>
        <v>11.98</v>
      </c>
    </row>
    <row r="113" spans="3:16" x14ac:dyDescent="0.25">
      <c r="C113" t="str">
        <f>IF(COUNTBLANK(E113:N113) = 10,"",IF(AND(NOT(ISBLANK(E113)),COUNTBLANK(E113:N113) = 9),"3 Delete",IF(ISBLANK(E113),"2 Add",IF(JenkinsHashRange(E113:N113) = "1813383664","0 Original","1 Modify"))))</f>
        <v>0 Original</v>
      </c>
      <c r="D113" s="3" t="s">
        <v>1877</v>
      </c>
      <c r="E113" s="5">
        <v>2928</v>
      </c>
      <c r="F113" t="s">
        <v>1177</v>
      </c>
      <c r="G113" t="s">
        <v>565</v>
      </c>
      <c r="H113" s="9">
        <v>5.99</v>
      </c>
      <c r="I113" s="5">
        <v>1</v>
      </c>
      <c r="J113" s="7" t="s">
        <v>970</v>
      </c>
      <c r="K113" s="7">
        <v>42748.047268518516</v>
      </c>
      <c r="L113" s="3" t="s">
        <v>970</v>
      </c>
      <c r="M113" s="7">
        <v>42748.047268518516</v>
      </c>
      <c r="N113" s="3" t="s">
        <v>970</v>
      </c>
      <c r="O113" s="16" t="str">
        <f>TEXT(DATEVALUE(LEFT(F113,10)),"mm-yyyy")</f>
        <v>01-2015</v>
      </c>
      <c r="P113" s="16">
        <f>H113*I113</f>
        <v>5.99</v>
      </c>
    </row>
    <row r="114" spans="3:16" x14ac:dyDescent="0.25">
      <c r="C114" t="str">
        <f>IF(COUNTBLANK(E114:N114) = 10,"",IF(AND(NOT(ISBLANK(E114)),COUNTBLANK(E114:N114) = 9),"3 Delete",IF(ISBLANK(E114),"2 Add",IF(JenkinsHashRange(E114:N114) = "1307862781","0 Original","1 Modify"))))</f>
        <v>0 Original</v>
      </c>
      <c r="D114" s="3" t="s">
        <v>1878</v>
      </c>
      <c r="E114" s="5">
        <v>2929</v>
      </c>
      <c r="F114" t="s">
        <v>1177</v>
      </c>
      <c r="G114" t="s">
        <v>877</v>
      </c>
      <c r="H114" s="9">
        <v>8.99</v>
      </c>
      <c r="I114" s="5">
        <v>2</v>
      </c>
      <c r="J114" s="7" t="s">
        <v>970</v>
      </c>
      <c r="K114" s="7">
        <v>42748.047268518516</v>
      </c>
      <c r="L114" s="3" t="s">
        <v>970</v>
      </c>
      <c r="M114" s="7">
        <v>42748.047268518516</v>
      </c>
      <c r="N114" s="3" t="s">
        <v>970</v>
      </c>
      <c r="O114" s="16" t="str">
        <f>TEXT(DATEVALUE(LEFT(F114,10)),"mm-yyyy")</f>
        <v>01-2015</v>
      </c>
      <c r="P114" s="16">
        <f>H114*I114</f>
        <v>17.98</v>
      </c>
    </row>
    <row r="115" spans="3:16" x14ac:dyDescent="0.25">
      <c r="C115" t="str">
        <f>IF(COUNTBLANK(E115:N115) = 10,"",IF(AND(NOT(ISBLANK(E115)),COUNTBLANK(E115:N115) = 9),"3 Delete",IF(ISBLANK(E115),"2 Add",IF(JenkinsHashRange(E115:N115) = "1522026508","0 Original","1 Modify"))))</f>
        <v>0 Original</v>
      </c>
      <c r="D115" s="3" t="s">
        <v>1879</v>
      </c>
      <c r="E115" s="5">
        <v>2930</v>
      </c>
      <c r="F115" t="s">
        <v>1177</v>
      </c>
      <c r="G115" t="s">
        <v>565</v>
      </c>
      <c r="H115" s="9">
        <v>5.99</v>
      </c>
      <c r="I115" s="5">
        <v>2</v>
      </c>
      <c r="J115" s="7" t="s">
        <v>970</v>
      </c>
      <c r="K115" s="7">
        <v>42748.047268518516</v>
      </c>
      <c r="L115" s="3" t="s">
        <v>970</v>
      </c>
      <c r="M115" s="7">
        <v>42748.047268518516</v>
      </c>
      <c r="N115" s="3" t="s">
        <v>970</v>
      </c>
      <c r="O115" s="16" t="str">
        <f>TEXT(DATEVALUE(LEFT(F115,10)),"mm-yyyy")</f>
        <v>01-2015</v>
      </c>
      <c r="P115" s="16">
        <f>H115*I115</f>
        <v>11.98</v>
      </c>
    </row>
    <row r="116" spans="3:16" x14ac:dyDescent="0.25">
      <c r="C116" t="str">
        <f>IF(COUNTBLANK(E116:N116) = 10,"",IF(AND(NOT(ISBLANK(E116)),COUNTBLANK(E116:N116) = 9),"3 Delete",IF(ISBLANK(E116),"2 Add",IF(JenkinsHashRange(E116:N116) = "76993843","0 Original","1 Modify"))))</f>
        <v>0 Original</v>
      </c>
      <c r="D116" s="3" t="s">
        <v>1886</v>
      </c>
      <c r="E116" s="5">
        <v>2960</v>
      </c>
      <c r="F116" t="s">
        <v>1181</v>
      </c>
      <c r="G116" t="s">
        <v>400</v>
      </c>
      <c r="H116" s="9">
        <v>6.99</v>
      </c>
      <c r="I116" s="5">
        <v>1</v>
      </c>
      <c r="J116" s="7" t="s">
        <v>970</v>
      </c>
      <c r="K116" s="7">
        <v>42748.047268518516</v>
      </c>
      <c r="L116" s="3" t="s">
        <v>970</v>
      </c>
      <c r="M116" s="7">
        <v>42748.047268518516</v>
      </c>
      <c r="N116" s="3" t="s">
        <v>970</v>
      </c>
      <c r="O116" s="16" t="str">
        <f>TEXT(DATEVALUE(LEFT(F116,10)),"mm-yyyy")</f>
        <v>01-2015</v>
      </c>
      <c r="P116" s="16">
        <f>H116*I116</f>
        <v>6.99</v>
      </c>
    </row>
    <row r="117" spans="3:16" x14ac:dyDescent="0.25">
      <c r="C117" t="str">
        <f>IF(COUNTBLANK(E117:N117) = 10,"",IF(AND(NOT(ISBLANK(E117)),COUNTBLANK(E117:N117) = 9),"3 Delete",IF(ISBLANK(E117),"2 Add",IF(JenkinsHashRange(E117:N117) = "618325030","0 Original","1 Modify"))))</f>
        <v>0 Original</v>
      </c>
      <c r="D117" s="3" t="s">
        <v>1887</v>
      </c>
      <c r="E117" s="5">
        <v>2961</v>
      </c>
      <c r="F117" t="s">
        <v>1181</v>
      </c>
      <c r="G117" t="s">
        <v>957</v>
      </c>
      <c r="H117" s="9">
        <v>5.99</v>
      </c>
      <c r="I117" s="5">
        <v>1</v>
      </c>
      <c r="J117" s="7" t="s">
        <v>970</v>
      </c>
      <c r="K117" s="7">
        <v>42748.047268518516</v>
      </c>
      <c r="L117" s="3" t="s">
        <v>970</v>
      </c>
      <c r="M117" s="7">
        <v>42748.047268518516</v>
      </c>
      <c r="N117" s="3" t="s">
        <v>970</v>
      </c>
      <c r="O117" s="16" t="str">
        <f>TEXT(DATEVALUE(LEFT(F117,10)),"mm-yyyy")</f>
        <v>01-2015</v>
      </c>
      <c r="P117" s="16">
        <f>H117*I117</f>
        <v>5.99</v>
      </c>
    </row>
    <row r="118" spans="3:16" x14ac:dyDescent="0.25">
      <c r="C118" t="str">
        <f>IF(COUNTBLANK(E118:N118) = 10,"",IF(AND(NOT(ISBLANK(E118)),COUNTBLANK(E118:N118) = 9),"3 Delete",IF(ISBLANK(E118),"2 Add",IF(JenkinsHashRange(E118:N118) = "84441222","0 Original","1 Modify"))))</f>
        <v>0 Original</v>
      </c>
      <c r="D118" s="3" t="s">
        <v>1888</v>
      </c>
      <c r="E118" s="5">
        <v>2962</v>
      </c>
      <c r="F118" t="s">
        <v>1181</v>
      </c>
      <c r="G118" t="s">
        <v>877</v>
      </c>
      <c r="H118" s="9">
        <v>8.99</v>
      </c>
      <c r="I118" s="5">
        <v>1</v>
      </c>
      <c r="J118" s="7" t="s">
        <v>970</v>
      </c>
      <c r="K118" s="7">
        <v>42748.047268518516</v>
      </c>
      <c r="L118" s="3" t="s">
        <v>970</v>
      </c>
      <c r="M118" s="7">
        <v>42748.047268518516</v>
      </c>
      <c r="N118" s="3" t="s">
        <v>970</v>
      </c>
      <c r="O118" s="16" t="str">
        <f>TEXT(DATEVALUE(LEFT(F118,10)),"mm-yyyy")</f>
        <v>01-2015</v>
      </c>
      <c r="P118" s="16">
        <f>H118*I118</f>
        <v>8.99</v>
      </c>
    </row>
    <row r="119" spans="3:16" x14ac:dyDescent="0.25">
      <c r="C119" t="str">
        <f>IF(COUNTBLANK(E119:N119) = 10,"",IF(AND(NOT(ISBLANK(E119)),COUNTBLANK(E119:N119) = 9),"3 Delete",IF(ISBLANK(E119),"2 Add",IF(JenkinsHashRange(E119:N119) = "21460982","0 Original","1 Modify"))))</f>
        <v>0 Original</v>
      </c>
      <c r="D119" s="3" t="s">
        <v>1893</v>
      </c>
      <c r="E119" s="5">
        <v>2993</v>
      </c>
      <c r="F119" t="s">
        <v>1184</v>
      </c>
      <c r="G119" t="s">
        <v>877</v>
      </c>
      <c r="H119" s="9">
        <v>8.99</v>
      </c>
      <c r="I119" s="5">
        <v>2</v>
      </c>
      <c r="J119" s="7" t="s">
        <v>970</v>
      </c>
      <c r="K119" s="7">
        <v>42748.047268518516</v>
      </c>
      <c r="L119" s="3" t="s">
        <v>970</v>
      </c>
      <c r="M119" s="7">
        <v>42748.047268518516</v>
      </c>
      <c r="N119" s="3" t="s">
        <v>970</v>
      </c>
      <c r="O119" s="16" t="str">
        <f>TEXT(DATEVALUE(LEFT(F119,10)),"mm-yyyy")</f>
        <v>01-2015</v>
      </c>
      <c r="P119" s="16">
        <f>H119*I119</f>
        <v>17.98</v>
      </c>
    </row>
    <row r="120" spans="3:16" x14ac:dyDescent="0.25">
      <c r="C120" t="str">
        <f>IF(COUNTBLANK(E120:N120) = 10,"",IF(AND(NOT(ISBLANK(E120)),COUNTBLANK(E120:N120) = 9),"3 Delete",IF(ISBLANK(E120),"2 Add",IF(JenkinsHashRange(E120:N120) = "841553994","0 Original","1 Modify"))))</f>
        <v>0 Original</v>
      </c>
      <c r="D120" s="3" t="s">
        <v>1894</v>
      </c>
      <c r="E120" s="5">
        <v>2994</v>
      </c>
      <c r="F120" t="s">
        <v>1184</v>
      </c>
      <c r="G120" t="s">
        <v>453</v>
      </c>
      <c r="H120" s="9">
        <v>8.99</v>
      </c>
      <c r="I120" s="5">
        <v>1</v>
      </c>
      <c r="J120" s="7" t="s">
        <v>970</v>
      </c>
      <c r="K120" s="7">
        <v>42748.047268518516</v>
      </c>
      <c r="L120" s="3" t="s">
        <v>970</v>
      </c>
      <c r="M120" s="7">
        <v>42748.047268518516</v>
      </c>
      <c r="N120" s="3" t="s">
        <v>970</v>
      </c>
      <c r="O120" s="16" t="str">
        <f>TEXT(DATEVALUE(LEFT(F120,10)),"mm-yyyy")</f>
        <v>01-2015</v>
      </c>
      <c r="P120" s="16">
        <f>H120*I120</f>
        <v>8.99</v>
      </c>
    </row>
    <row r="121" spans="3:16" x14ac:dyDescent="0.25">
      <c r="C121" t="str">
        <f>IF(COUNTBLANK(E121:N121) = 10,"",IF(AND(NOT(ISBLANK(E121)),COUNTBLANK(E121:N121) = 9),"3 Delete",IF(ISBLANK(E121),"2 Add",IF(JenkinsHashRange(E121:N121) = "1082416410","0 Original","1 Modify"))))</f>
        <v>0 Original</v>
      </c>
      <c r="D121" s="3" t="s">
        <v>1895</v>
      </c>
      <c r="E121" s="5">
        <v>2995</v>
      </c>
      <c r="F121" t="s">
        <v>1184</v>
      </c>
      <c r="G121" t="s">
        <v>957</v>
      </c>
      <c r="H121" s="9">
        <v>5.99</v>
      </c>
      <c r="I121" s="5">
        <v>2</v>
      </c>
      <c r="J121" s="7" t="s">
        <v>970</v>
      </c>
      <c r="K121" s="7">
        <v>42748.047268518516</v>
      </c>
      <c r="L121" s="3" t="s">
        <v>970</v>
      </c>
      <c r="M121" s="7">
        <v>42748.047268518516</v>
      </c>
      <c r="N121" s="3" t="s">
        <v>970</v>
      </c>
      <c r="O121" s="16" t="str">
        <f>TEXT(DATEVALUE(LEFT(F121,10)),"mm-yyyy")</f>
        <v>01-2015</v>
      </c>
      <c r="P121" s="16">
        <f>H121*I121</f>
        <v>11.98</v>
      </c>
    </row>
    <row r="122" spans="3:16" x14ac:dyDescent="0.25">
      <c r="C122" t="str">
        <f>IF(COUNTBLANK(E122:N122) = 10,"",IF(AND(NOT(ISBLANK(E122)),COUNTBLANK(E122:N122) = 9),"3 Delete",IF(ISBLANK(E122),"2 Add",IF(JenkinsHashRange(E122:N122) = "1570774842","0 Original","1 Modify"))))</f>
        <v>0 Original</v>
      </c>
      <c r="D122" s="3" t="s">
        <v>1896</v>
      </c>
      <c r="E122" s="5">
        <v>2996</v>
      </c>
      <c r="F122" t="s">
        <v>1184</v>
      </c>
      <c r="G122" t="s">
        <v>565</v>
      </c>
      <c r="H122" s="9">
        <v>5.99</v>
      </c>
      <c r="I122" s="5">
        <v>2</v>
      </c>
      <c r="J122" s="7" t="s">
        <v>970</v>
      </c>
      <c r="K122" s="7">
        <v>42748.047268518516</v>
      </c>
      <c r="L122" s="3" t="s">
        <v>970</v>
      </c>
      <c r="M122" s="7">
        <v>42748.047268518516</v>
      </c>
      <c r="N122" s="3" t="s">
        <v>970</v>
      </c>
      <c r="O122" s="16" t="str">
        <f>TEXT(DATEVALUE(LEFT(F122,10)),"mm-yyyy")</f>
        <v>01-2015</v>
      </c>
      <c r="P122" s="16">
        <f>H122*I122</f>
        <v>11.98</v>
      </c>
    </row>
    <row r="123" spans="3:16" x14ac:dyDescent="0.25">
      <c r="C123" t="str">
        <f>IF(COUNTBLANK(E123:N123) = 10,"",IF(AND(NOT(ISBLANK(E123)),COUNTBLANK(E123:N123) = 9),"3 Delete",IF(ISBLANK(E123),"2 Add",IF(JenkinsHashRange(E123:N123) = "1069435532","0 Original","1 Modify"))))</f>
        <v>0 Original</v>
      </c>
      <c r="D123" s="3" t="s">
        <v>1897</v>
      </c>
      <c r="E123" s="5">
        <v>2997</v>
      </c>
      <c r="F123" t="s">
        <v>1184</v>
      </c>
      <c r="G123" t="s">
        <v>400</v>
      </c>
      <c r="H123" s="9">
        <v>6.99</v>
      </c>
      <c r="I123" s="5">
        <v>2</v>
      </c>
      <c r="J123" s="7" t="s">
        <v>970</v>
      </c>
      <c r="K123" s="7">
        <v>42748.047268518516</v>
      </c>
      <c r="L123" s="3" t="s">
        <v>970</v>
      </c>
      <c r="M123" s="7">
        <v>42748.047268518516</v>
      </c>
      <c r="N123" s="3" t="s">
        <v>970</v>
      </c>
      <c r="O123" s="16" t="str">
        <f>TEXT(DATEVALUE(LEFT(F123,10)),"mm-yyyy")</f>
        <v>01-2015</v>
      </c>
      <c r="P123" s="16">
        <f>H123*I123</f>
        <v>13.98</v>
      </c>
    </row>
    <row r="124" spans="3:16" x14ac:dyDescent="0.25">
      <c r="C124" t="str">
        <f>IF(COUNTBLANK(E124:N124) = 10,"",IF(AND(NOT(ISBLANK(E124)),COUNTBLANK(E124:N124) = 9),"3 Delete",IF(ISBLANK(E124),"2 Add",IF(JenkinsHashRange(E124:N124) = "1920372857","0 Original","1 Modify"))))</f>
        <v>0 Original</v>
      </c>
      <c r="D124" s="3" t="s">
        <v>1898</v>
      </c>
      <c r="E124" s="5">
        <v>2998</v>
      </c>
      <c r="F124" t="s">
        <v>1184</v>
      </c>
      <c r="G124" t="s">
        <v>904</v>
      </c>
      <c r="H124" s="9">
        <v>9.99</v>
      </c>
      <c r="I124" s="5">
        <v>1</v>
      </c>
      <c r="J124" s="7" t="s">
        <v>970</v>
      </c>
      <c r="K124" s="7">
        <v>42748.047268518516</v>
      </c>
      <c r="L124" s="3" t="s">
        <v>970</v>
      </c>
      <c r="M124" s="7">
        <v>42748.047268518516</v>
      </c>
      <c r="N124" s="3" t="s">
        <v>970</v>
      </c>
      <c r="O124" s="16" t="str">
        <f>TEXT(DATEVALUE(LEFT(F124,10)),"mm-yyyy")</f>
        <v>01-2015</v>
      </c>
      <c r="P124" s="16">
        <f>H124*I124</f>
        <v>9.99</v>
      </c>
    </row>
    <row r="125" spans="3:16" x14ac:dyDescent="0.25">
      <c r="C125" t="str">
        <f>IF(COUNTBLANK(E125:N125) = 10,"",IF(AND(NOT(ISBLANK(E125)),COUNTBLANK(E125:N125) = 9),"3 Delete",IF(ISBLANK(E125),"2 Add",IF(JenkinsHashRange(E125:N125) = "1117910825","0 Original","1 Modify"))))</f>
        <v>0 Original</v>
      </c>
      <c r="D125" s="3" t="s">
        <v>1904</v>
      </c>
      <c r="E125" s="5">
        <v>3081</v>
      </c>
      <c r="F125" t="s">
        <v>1186</v>
      </c>
      <c r="G125" t="s">
        <v>945</v>
      </c>
      <c r="H125" s="9">
        <v>7.99</v>
      </c>
      <c r="I125" s="5">
        <v>1</v>
      </c>
      <c r="J125" s="7" t="s">
        <v>970</v>
      </c>
      <c r="K125" s="7">
        <v>42748.047268518516</v>
      </c>
      <c r="L125" s="3" t="s">
        <v>970</v>
      </c>
      <c r="M125" s="7">
        <v>42748.047268518516</v>
      </c>
      <c r="N125" s="3" t="s">
        <v>970</v>
      </c>
      <c r="O125" s="16" t="str">
        <f>TEXT(DATEVALUE(LEFT(F125,10)),"mm-yyyy")</f>
        <v>01-2015</v>
      </c>
      <c r="P125" s="16">
        <f>H125*I125</f>
        <v>7.99</v>
      </c>
    </row>
    <row r="126" spans="3:16" x14ac:dyDescent="0.25">
      <c r="C126" t="str">
        <f>IF(COUNTBLANK(E126:N126) = 10,"",IF(AND(NOT(ISBLANK(E126)),COUNTBLANK(E126:N126) = 9),"3 Delete",IF(ISBLANK(E126),"2 Add",IF(JenkinsHashRange(E126:N126) = "1691688570","0 Original","1 Modify"))))</f>
        <v>0 Original</v>
      </c>
      <c r="D126" s="3" t="s">
        <v>1905</v>
      </c>
      <c r="E126" s="5">
        <v>3082</v>
      </c>
      <c r="F126" t="s">
        <v>1186</v>
      </c>
      <c r="G126" t="s">
        <v>914</v>
      </c>
      <c r="H126" s="9">
        <v>8.99</v>
      </c>
      <c r="I126" s="5">
        <v>1</v>
      </c>
      <c r="J126" s="7" t="s">
        <v>970</v>
      </c>
      <c r="K126" s="7">
        <v>42748.047268518516</v>
      </c>
      <c r="L126" s="3" t="s">
        <v>970</v>
      </c>
      <c r="M126" s="7">
        <v>42748.047268518516</v>
      </c>
      <c r="N126" s="3" t="s">
        <v>970</v>
      </c>
      <c r="O126" s="16" t="str">
        <f>TEXT(DATEVALUE(LEFT(F126,10)),"mm-yyyy")</f>
        <v>01-2015</v>
      </c>
      <c r="P126" s="16">
        <f>H126*I126</f>
        <v>8.99</v>
      </c>
    </row>
    <row r="127" spans="3:16" x14ac:dyDescent="0.25">
      <c r="C127" t="str">
        <f>IF(COUNTBLANK(E127:N127) = 10,"",IF(AND(NOT(ISBLANK(E127)),COUNTBLANK(E127:N127) = 9),"3 Delete",IF(ISBLANK(E127),"2 Add",IF(JenkinsHashRange(E127:N127) = "847550064","0 Original","1 Modify"))))</f>
        <v>0 Original</v>
      </c>
      <c r="D127" s="3" t="s">
        <v>1906</v>
      </c>
      <c r="E127" s="5">
        <v>3083</v>
      </c>
      <c r="F127" t="s">
        <v>1186</v>
      </c>
      <c r="G127" t="s">
        <v>453</v>
      </c>
      <c r="H127" s="9">
        <v>8.99</v>
      </c>
      <c r="I127" s="5">
        <v>2</v>
      </c>
      <c r="J127" s="7" t="s">
        <v>970</v>
      </c>
      <c r="K127" s="7">
        <v>42748.047268518516</v>
      </c>
      <c r="L127" s="3" t="s">
        <v>970</v>
      </c>
      <c r="M127" s="7">
        <v>42748.047268518516</v>
      </c>
      <c r="N127" s="3" t="s">
        <v>970</v>
      </c>
      <c r="O127" s="16" t="str">
        <f>TEXT(DATEVALUE(LEFT(F127,10)),"mm-yyyy")</f>
        <v>01-2015</v>
      </c>
      <c r="P127" s="16">
        <f>H127*I127</f>
        <v>17.98</v>
      </c>
    </row>
    <row r="128" spans="3:16" x14ac:dyDescent="0.25">
      <c r="C128" t="str">
        <f>IF(COUNTBLANK(E128:N128) = 10,"",IF(AND(NOT(ISBLANK(E128)),COUNTBLANK(E128:N128) = 9),"3 Delete",IF(ISBLANK(E128),"2 Add",IF(JenkinsHashRange(E128:N128) = "170239281","0 Original","1 Modify"))))</f>
        <v>0 Original</v>
      </c>
      <c r="D128" s="3" t="s">
        <v>1907</v>
      </c>
      <c r="E128" s="5">
        <v>3084</v>
      </c>
      <c r="F128" t="s">
        <v>1186</v>
      </c>
      <c r="G128" t="s">
        <v>904</v>
      </c>
      <c r="H128" s="9">
        <v>9.99</v>
      </c>
      <c r="I128" s="5">
        <v>2</v>
      </c>
      <c r="J128" s="7" t="s">
        <v>970</v>
      </c>
      <c r="K128" s="7">
        <v>42748.047268518516</v>
      </c>
      <c r="L128" s="3" t="s">
        <v>970</v>
      </c>
      <c r="M128" s="7">
        <v>42748.047268518516</v>
      </c>
      <c r="N128" s="3" t="s">
        <v>970</v>
      </c>
      <c r="O128" s="16" t="str">
        <f>TEXT(DATEVALUE(LEFT(F128,10)),"mm-yyyy")</f>
        <v>01-2015</v>
      </c>
      <c r="P128" s="16">
        <f>H128*I128</f>
        <v>19.98</v>
      </c>
    </row>
    <row r="129" spans="3:16" x14ac:dyDescent="0.25">
      <c r="C129" t="str">
        <f>IF(COUNTBLANK(E129:N129) = 10,"",IF(AND(NOT(ISBLANK(E129)),COUNTBLANK(E129:N129) = 9),"3 Delete",IF(ISBLANK(E129),"2 Add",IF(JenkinsHashRange(E129:N129) = "1355563162","0 Original","1 Modify"))))</f>
        <v>0 Original</v>
      </c>
      <c r="D129" s="3" t="s">
        <v>1915</v>
      </c>
      <c r="E129" s="5">
        <v>3107</v>
      </c>
      <c r="F129" t="s">
        <v>1190</v>
      </c>
      <c r="G129" t="s">
        <v>904</v>
      </c>
      <c r="H129" s="9">
        <v>9.99</v>
      </c>
      <c r="I129" s="5">
        <v>2</v>
      </c>
      <c r="J129" s="7" t="s">
        <v>970</v>
      </c>
      <c r="K129" s="7">
        <v>42748.047268518516</v>
      </c>
      <c r="L129" s="3" t="s">
        <v>970</v>
      </c>
      <c r="M129" s="7">
        <v>42748.047268518516</v>
      </c>
      <c r="N129" s="3" t="s">
        <v>970</v>
      </c>
      <c r="O129" s="16" t="str">
        <f>TEXT(DATEVALUE(LEFT(F129,10)),"mm-yyyy")</f>
        <v>01-2015</v>
      </c>
      <c r="P129" s="16">
        <f>H129*I129</f>
        <v>19.98</v>
      </c>
    </row>
    <row r="130" spans="3:16" x14ac:dyDescent="0.25">
      <c r="C130" t="str">
        <f>IF(COUNTBLANK(E130:N130) = 10,"",IF(AND(NOT(ISBLANK(E130)),COUNTBLANK(E130:N130) = 9),"3 Delete",IF(ISBLANK(E130),"2 Add",IF(JenkinsHashRange(E130:N130) = "1727078852","0 Original","1 Modify"))))</f>
        <v>0 Original</v>
      </c>
      <c r="D130" s="3" t="s">
        <v>1916</v>
      </c>
      <c r="E130" s="5">
        <v>3108</v>
      </c>
      <c r="F130" t="s">
        <v>1190</v>
      </c>
      <c r="G130" t="s">
        <v>945</v>
      </c>
      <c r="H130" s="9">
        <v>7.99</v>
      </c>
      <c r="I130" s="5">
        <v>1</v>
      </c>
      <c r="J130" s="7" t="s">
        <v>970</v>
      </c>
      <c r="K130" s="7">
        <v>42748.047268518516</v>
      </c>
      <c r="L130" s="3" t="s">
        <v>970</v>
      </c>
      <c r="M130" s="7">
        <v>42748.047268518516</v>
      </c>
      <c r="N130" s="3" t="s">
        <v>970</v>
      </c>
      <c r="O130" s="16" t="str">
        <f>TEXT(DATEVALUE(LEFT(F130,10)),"mm-yyyy")</f>
        <v>01-2015</v>
      </c>
      <c r="P130" s="16">
        <f>H130*I130</f>
        <v>7.99</v>
      </c>
    </row>
    <row r="131" spans="3:16" x14ac:dyDescent="0.25">
      <c r="C131" t="str">
        <f>IF(COUNTBLANK(E131:N131) = 10,"",IF(AND(NOT(ISBLANK(E131)),COUNTBLANK(E131:N131) = 9),"3 Delete",IF(ISBLANK(E131),"2 Add",IF(JenkinsHashRange(E131:N131) = "801474594","0 Original","1 Modify"))))</f>
        <v>0 Original</v>
      </c>
      <c r="D131" s="3" t="s">
        <v>1922</v>
      </c>
      <c r="E131" s="5">
        <v>3197</v>
      </c>
      <c r="F131" t="s">
        <v>1193</v>
      </c>
      <c r="G131" t="s">
        <v>877</v>
      </c>
      <c r="H131" s="9">
        <v>8.99</v>
      </c>
      <c r="I131" s="5">
        <v>1</v>
      </c>
      <c r="J131" s="7" t="s">
        <v>970</v>
      </c>
      <c r="K131" s="7">
        <v>42748.047268518516</v>
      </c>
      <c r="L131" s="3" t="s">
        <v>970</v>
      </c>
      <c r="M131" s="7">
        <v>42748.047268518516</v>
      </c>
      <c r="N131" s="3" t="s">
        <v>970</v>
      </c>
      <c r="O131" s="16" t="str">
        <f>TEXT(DATEVALUE(LEFT(F131,10)),"mm-yyyy")</f>
        <v>01-2015</v>
      </c>
      <c r="P131" s="16">
        <f>H131*I131</f>
        <v>8.99</v>
      </c>
    </row>
    <row r="132" spans="3:16" x14ac:dyDescent="0.25">
      <c r="C132" t="str">
        <f>IF(COUNTBLANK(E132:N132) = 10,"",IF(AND(NOT(ISBLANK(E132)),COUNTBLANK(E132:N132) = 9),"3 Delete",IF(ISBLANK(E132),"2 Add",IF(JenkinsHashRange(E132:N132) = "1554166583","0 Original","1 Modify"))))</f>
        <v>0 Original</v>
      </c>
      <c r="D132" s="3" t="s">
        <v>1937</v>
      </c>
      <c r="E132" s="5">
        <v>3345</v>
      </c>
      <c r="F132" t="s">
        <v>1199</v>
      </c>
      <c r="G132" t="s">
        <v>814</v>
      </c>
      <c r="H132" s="9">
        <v>9.99</v>
      </c>
      <c r="I132" s="5">
        <v>1</v>
      </c>
      <c r="J132" s="7" t="s">
        <v>970</v>
      </c>
      <c r="K132" s="7">
        <v>42748.047268518516</v>
      </c>
      <c r="L132" s="3" t="s">
        <v>970</v>
      </c>
      <c r="M132" s="7">
        <v>42748.047268518516</v>
      </c>
      <c r="N132" s="3" t="s">
        <v>970</v>
      </c>
      <c r="O132" s="16" t="str">
        <f>TEXT(DATEVALUE(LEFT(F132,10)),"mm-yyyy")</f>
        <v>01-2015</v>
      </c>
      <c r="P132" s="16">
        <f>H132*I132</f>
        <v>9.99</v>
      </c>
    </row>
    <row r="133" spans="3:16" x14ac:dyDescent="0.25">
      <c r="C133" t="str">
        <f>IF(COUNTBLANK(E133:N133) = 10,"",IF(AND(NOT(ISBLANK(E133)),COUNTBLANK(E133:N133) = 9),"3 Delete",IF(ISBLANK(E133),"2 Add",IF(JenkinsHashRange(E133:N133) = "216976010","0 Original","1 Modify"))))</f>
        <v>0 Original</v>
      </c>
      <c r="D133" s="3" t="s">
        <v>1938</v>
      </c>
      <c r="E133" s="5">
        <v>3346</v>
      </c>
      <c r="F133" t="s">
        <v>1199</v>
      </c>
      <c r="G133" t="s">
        <v>904</v>
      </c>
      <c r="H133" s="9">
        <v>9.99</v>
      </c>
      <c r="I133" s="5">
        <v>1</v>
      </c>
      <c r="J133" s="7" t="s">
        <v>970</v>
      </c>
      <c r="K133" s="7">
        <v>42748.047268518516</v>
      </c>
      <c r="L133" s="3" t="s">
        <v>970</v>
      </c>
      <c r="M133" s="7">
        <v>42748.047268518516</v>
      </c>
      <c r="N133" s="3" t="s">
        <v>970</v>
      </c>
      <c r="O133" s="16" t="str">
        <f>TEXT(DATEVALUE(LEFT(F133,10)),"mm-yyyy")</f>
        <v>01-2015</v>
      </c>
      <c r="P133" s="16">
        <f>H133*I133</f>
        <v>9.99</v>
      </c>
    </row>
    <row r="134" spans="3:16" x14ac:dyDescent="0.25">
      <c r="C134" t="str">
        <f>IF(COUNTBLANK(E134:N134) = 10,"",IF(AND(NOT(ISBLANK(E134)),COUNTBLANK(E134:N134) = 9),"3 Delete",IF(ISBLANK(E134),"2 Add",IF(JenkinsHashRange(E134:N134) = "1389611880","0 Original","1 Modify"))))</f>
        <v>0 Original</v>
      </c>
      <c r="D134" s="3" t="s">
        <v>1939</v>
      </c>
      <c r="E134" s="5">
        <v>3347</v>
      </c>
      <c r="F134" t="s">
        <v>1199</v>
      </c>
      <c r="G134" t="s">
        <v>453</v>
      </c>
      <c r="H134" s="9">
        <v>8.99</v>
      </c>
      <c r="I134" s="5">
        <v>1</v>
      </c>
      <c r="J134" s="7" t="s">
        <v>970</v>
      </c>
      <c r="K134" s="7">
        <v>42748.047268518516</v>
      </c>
      <c r="L134" s="3" t="s">
        <v>970</v>
      </c>
      <c r="M134" s="7">
        <v>42748.047268518516</v>
      </c>
      <c r="N134" s="3" t="s">
        <v>970</v>
      </c>
      <c r="O134" s="16" t="str">
        <f>TEXT(DATEVALUE(LEFT(F134,10)),"mm-yyyy")</f>
        <v>01-2015</v>
      </c>
      <c r="P134" s="16">
        <f>H134*I134</f>
        <v>8.99</v>
      </c>
    </row>
    <row r="135" spans="3:16" x14ac:dyDescent="0.25">
      <c r="C135" t="str">
        <f>IF(COUNTBLANK(E135:N135) = 10,"",IF(AND(NOT(ISBLANK(E135)),COUNTBLANK(E135:N135) = 9),"3 Delete",IF(ISBLANK(E135),"2 Add",IF(JenkinsHashRange(E135:N135) = "1047832211","0 Original","1 Modify"))))</f>
        <v>0 Original</v>
      </c>
      <c r="D135" s="3" t="s">
        <v>1940</v>
      </c>
      <c r="E135" s="5">
        <v>3348</v>
      </c>
      <c r="F135" t="s">
        <v>1199</v>
      </c>
      <c r="G135" t="s">
        <v>453</v>
      </c>
      <c r="H135" s="9">
        <v>8.99</v>
      </c>
      <c r="I135" s="5">
        <v>1</v>
      </c>
      <c r="J135" s="7" t="s">
        <v>970</v>
      </c>
      <c r="K135" s="7">
        <v>42748.047268518516</v>
      </c>
      <c r="L135" s="3" t="s">
        <v>970</v>
      </c>
      <c r="M135" s="7">
        <v>42748.047268518516</v>
      </c>
      <c r="N135" s="3" t="s">
        <v>970</v>
      </c>
      <c r="O135" s="16" t="str">
        <f>TEXT(DATEVALUE(LEFT(F135,10)),"mm-yyyy")</f>
        <v>01-2015</v>
      </c>
      <c r="P135" s="16">
        <f>H135*I135</f>
        <v>8.99</v>
      </c>
    </row>
    <row r="136" spans="3:16" x14ac:dyDescent="0.25">
      <c r="C136" t="str">
        <f>IF(COUNTBLANK(E136:N136) = 10,"",IF(AND(NOT(ISBLANK(E136)),COUNTBLANK(E136:N136) = 9),"3 Delete",IF(ISBLANK(E136),"2 Add",IF(JenkinsHashRange(E136:N136) = "1144766830","0 Original","1 Modify"))))</f>
        <v>0 Original</v>
      </c>
      <c r="D136" s="3" t="s">
        <v>1941</v>
      </c>
      <c r="E136" s="5">
        <v>3349</v>
      </c>
      <c r="F136" t="s">
        <v>1199</v>
      </c>
      <c r="G136" t="s">
        <v>565</v>
      </c>
      <c r="H136" s="9">
        <v>5.99</v>
      </c>
      <c r="I136" s="5">
        <v>2</v>
      </c>
      <c r="J136" s="7" t="s">
        <v>970</v>
      </c>
      <c r="K136" s="7">
        <v>42748.047268518516</v>
      </c>
      <c r="L136" s="3" t="s">
        <v>970</v>
      </c>
      <c r="M136" s="7">
        <v>42748.047268518516</v>
      </c>
      <c r="N136" s="3" t="s">
        <v>970</v>
      </c>
      <c r="O136" s="16" t="str">
        <f>TEXT(DATEVALUE(LEFT(F136,10)),"mm-yyyy")</f>
        <v>01-2015</v>
      </c>
      <c r="P136" s="16">
        <f>H136*I136</f>
        <v>11.98</v>
      </c>
    </row>
    <row r="137" spans="3:16" x14ac:dyDescent="0.25">
      <c r="C137" t="str">
        <f>IF(COUNTBLANK(E137:N137) = 10,"",IF(AND(NOT(ISBLANK(E137)),COUNTBLANK(E137:N137) = 9),"3 Delete",IF(ISBLANK(E137),"2 Add",IF(JenkinsHashRange(E137:N137) = "614025118","0 Original","1 Modify"))))</f>
        <v>0 Original</v>
      </c>
      <c r="D137" s="3" t="s">
        <v>1942</v>
      </c>
      <c r="E137" s="5">
        <v>3363</v>
      </c>
      <c r="F137" t="s">
        <v>1200</v>
      </c>
      <c r="G137" t="s">
        <v>400</v>
      </c>
      <c r="H137" s="9">
        <v>6.99</v>
      </c>
      <c r="I137" s="5">
        <v>1</v>
      </c>
      <c r="J137" s="7" t="s">
        <v>970</v>
      </c>
      <c r="K137" s="7">
        <v>42748.047268518516</v>
      </c>
      <c r="L137" s="3" t="s">
        <v>970</v>
      </c>
      <c r="M137" s="7">
        <v>42748.047268518516</v>
      </c>
      <c r="N137" s="3" t="s">
        <v>970</v>
      </c>
      <c r="O137" s="16" t="str">
        <f>TEXT(DATEVALUE(LEFT(F137,10)),"mm-yyyy")</f>
        <v>01-2015</v>
      </c>
      <c r="P137" s="16">
        <f>H137*I137</f>
        <v>6.99</v>
      </c>
    </row>
    <row r="138" spans="3:16" x14ac:dyDescent="0.25">
      <c r="C138" t="str">
        <f>IF(COUNTBLANK(E138:N138) = 10,"",IF(AND(NOT(ISBLANK(E138)),COUNTBLANK(E138:N138) = 9),"3 Delete",IF(ISBLANK(E138),"2 Add",IF(JenkinsHashRange(E138:N138) = "440763843","0 Original","1 Modify"))))</f>
        <v>0 Original</v>
      </c>
      <c r="D138" s="3" t="s">
        <v>1943</v>
      </c>
      <c r="E138" s="5">
        <v>3364</v>
      </c>
      <c r="F138" t="s">
        <v>1200</v>
      </c>
      <c r="G138" t="s">
        <v>957</v>
      </c>
      <c r="H138" s="9">
        <v>5.99</v>
      </c>
      <c r="I138" s="5">
        <v>1</v>
      </c>
      <c r="J138" s="7" t="s">
        <v>970</v>
      </c>
      <c r="K138" s="7">
        <v>42748.047268518516</v>
      </c>
      <c r="L138" s="3" t="s">
        <v>970</v>
      </c>
      <c r="M138" s="7">
        <v>42748.047268518516</v>
      </c>
      <c r="N138" s="3" t="s">
        <v>970</v>
      </c>
      <c r="O138" s="16" t="str">
        <f>TEXT(DATEVALUE(LEFT(F138,10)),"mm-yyyy")</f>
        <v>01-2015</v>
      </c>
      <c r="P138" s="16">
        <f>H138*I138</f>
        <v>5.99</v>
      </c>
    </row>
    <row r="139" spans="3:16" x14ac:dyDescent="0.25">
      <c r="C139" t="str">
        <f>IF(COUNTBLANK(E139:N139) = 10,"",IF(AND(NOT(ISBLANK(E139)),COUNTBLANK(E139:N139) = 9),"3 Delete",IF(ISBLANK(E139),"2 Add",IF(JenkinsHashRange(E139:N139) = "1905141358","0 Original","1 Modify"))))</f>
        <v>0 Original</v>
      </c>
      <c r="D139" s="3" t="s">
        <v>1964</v>
      </c>
      <c r="E139" s="5">
        <v>3431</v>
      </c>
      <c r="F139" t="s">
        <v>1206</v>
      </c>
      <c r="G139" t="s">
        <v>453</v>
      </c>
      <c r="H139" s="9">
        <v>8.99</v>
      </c>
      <c r="I139" s="5">
        <v>2</v>
      </c>
      <c r="J139" s="7" t="s">
        <v>970</v>
      </c>
      <c r="K139" s="7">
        <v>42748.047268518516</v>
      </c>
      <c r="L139" s="3" t="s">
        <v>970</v>
      </c>
      <c r="M139" s="7">
        <v>42748.047268518516</v>
      </c>
      <c r="N139" s="3" t="s">
        <v>970</v>
      </c>
      <c r="O139" s="16" t="str">
        <f>TEXT(DATEVALUE(LEFT(F139,10)),"mm-yyyy")</f>
        <v>01-2015</v>
      </c>
      <c r="P139" s="16">
        <f>H139*I139</f>
        <v>17.98</v>
      </c>
    </row>
    <row r="140" spans="3:16" x14ac:dyDescent="0.25">
      <c r="C140" t="str">
        <f>IF(COUNTBLANK(E140:N140) = 10,"",IF(AND(NOT(ISBLANK(E140)),COUNTBLANK(E140:N140) = 9),"3 Delete",IF(ISBLANK(E140),"2 Add",IF(JenkinsHashRange(E140:N140) = "363338801","0 Original","1 Modify"))))</f>
        <v>0 Original</v>
      </c>
      <c r="D140" s="3" t="s">
        <v>1965</v>
      </c>
      <c r="E140" s="5">
        <v>3432</v>
      </c>
      <c r="F140" t="s">
        <v>1206</v>
      </c>
      <c r="G140" t="s">
        <v>814</v>
      </c>
      <c r="H140" s="9">
        <v>9.99</v>
      </c>
      <c r="I140" s="5">
        <v>2</v>
      </c>
      <c r="J140" s="7" t="s">
        <v>970</v>
      </c>
      <c r="K140" s="7">
        <v>42748.047268518516</v>
      </c>
      <c r="L140" s="3" t="s">
        <v>970</v>
      </c>
      <c r="M140" s="7">
        <v>42748.047268518516</v>
      </c>
      <c r="N140" s="3" t="s">
        <v>970</v>
      </c>
      <c r="O140" s="16" t="str">
        <f>TEXT(DATEVALUE(LEFT(F140,10)),"mm-yyyy")</f>
        <v>01-2015</v>
      </c>
      <c r="P140" s="16">
        <f>H140*I140</f>
        <v>19.98</v>
      </c>
    </row>
    <row r="141" spans="3:16" x14ac:dyDescent="0.25">
      <c r="C141" t="str">
        <f>IF(COUNTBLANK(E141:N141) = 10,"",IF(AND(NOT(ISBLANK(E141)),COUNTBLANK(E141:N141) = 9),"3 Delete",IF(ISBLANK(E141),"2 Add",IF(JenkinsHashRange(E141:N141) = "314556336","0 Original","1 Modify"))))</f>
        <v>0 Original</v>
      </c>
      <c r="D141" s="3" t="s">
        <v>1966</v>
      </c>
      <c r="E141" s="5">
        <v>3433</v>
      </c>
      <c r="F141" t="s">
        <v>1206</v>
      </c>
      <c r="G141" t="s">
        <v>702</v>
      </c>
      <c r="H141" s="9">
        <v>7.99</v>
      </c>
      <c r="I141" s="5">
        <v>1</v>
      </c>
      <c r="J141" s="7" t="s">
        <v>970</v>
      </c>
      <c r="K141" s="7">
        <v>42748.047268518516</v>
      </c>
      <c r="L141" s="3" t="s">
        <v>970</v>
      </c>
      <c r="M141" s="7">
        <v>42748.047268518516</v>
      </c>
      <c r="N141" s="3" t="s">
        <v>970</v>
      </c>
      <c r="O141" s="16" t="str">
        <f>TEXT(DATEVALUE(LEFT(F141,10)),"mm-yyyy")</f>
        <v>01-2015</v>
      </c>
      <c r="P141" s="16">
        <f>H141*I141</f>
        <v>7.99</v>
      </c>
    </row>
    <row r="142" spans="3:16" x14ac:dyDescent="0.25">
      <c r="C142" t="str">
        <f>IF(COUNTBLANK(E142:N142) = 10,"",IF(AND(NOT(ISBLANK(E142)),COUNTBLANK(E142:N142) = 9),"3 Delete",IF(ISBLANK(E142),"2 Add",IF(JenkinsHashRange(E142:N142) = "132629729","0 Original","1 Modify"))))</f>
        <v>0 Original</v>
      </c>
      <c r="D142" s="3" t="s">
        <v>1967</v>
      </c>
      <c r="E142" s="5">
        <v>3434</v>
      </c>
      <c r="F142" t="s">
        <v>1206</v>
      </c>
      <c r="G142" t="s">
        <v>400</v>
      </c>
      <c r="H142" s="9">
        <v>6.99</v>
      </c>
      <c r="I142" s="5">
        <v>2</v>
      </c>
      <c r="J142" s="7" t="s">
        <v>970</v>
      </c>
      <c r="K142" s="7">
        <v>42748.047268518516</v>
      </c>
      <c r="L142" s="3" t="s">
        <v>970</v>
      </c>
      <c r="M142" s="7">
        <v>42748.047268518516</v>
      </c>
      <c r="N142" s="3" t="s">
        <v>970</v>
      </c>
      <c r="O142" s="16" t="str">
        <f>TEXT(DATEVALUE(LEFT(F142,10)),"mm-yyyy")</f>
        <v>01-2015</v>
      </c>
      <c r="P142" s="16">
        <f>H142*I142</f>
        <v>13.98</v>
      </c>
    </row>
    <row r="143" spans="3:16" x14ac:dyDescent="0.25">
      <c r="C143" t="str">
        <f>IF(COUNTBLANK(E143:N143) = 10,"",IF(AND(NOT(ISBLANK(E143)),COUNTBLANK(E143:N143) = 9),"3 Delete",IF(ISBLANK(E143),"2 Add",IF(JenkinsHashRange(E143:N143) = "289738728","0 Original","1 Modify"))))</f>
        <v>0 Original</v>
      </c>
      <c r="D143" s="3" t="s">
        <v>1968</v>
      </c>
      <c r="E143" s="5">
        <v>3435</v>
      </c>
      <c r="F143" t="s">
        <v>1206</v>
      </c>
      <c r="G143" t="s">
        <v>702</v>
      </c>
      <c r="H143" s="9">
        <v>7.99</v>
      </c>
      <c r="I143" s="5">
        <v>1</v>
      </c>
      <c r="J143" s="7" t="s">
        <v>970</v>
      </c>
      <c r="K143" s="7">
        <v>42748.047268518516</v>
      </c>
      <c r="L143" s="3" t="s">
        <v>970</v>
      </c>
      <c r="M143" s="7">
        <v>42748.047268518516</v>
      </c>
      <c r="N143" s="3" t="s">
        <v>970</v>
      </c>
      <c r="O143" s="16" t="str">
        <f>TEXT(DATEVALUE(LEFT(F143,10)),"mm-yyyy")</f>
        <v>01-2015</v>
      </c>
      <c r="P143" s="16">
        <f>H143*I143</f>
        <v>7.99</v>
      </c>
    </row>
    <row r="144" spans="3:16" x14ac:dyDescent="0.25">
      <c r="C144" t="str">
        <f>IF(COUNTBLANK(E144:N144) = 10,"",IF(AND(NOT(ISBLANK(E144)),COUNTBLANK(E144:N144) = 9),"3 Delete",IF(ISBLANK(E144),"2 Add",IF(JenkinsHashRange(E144:N144) = "2034554229","0 Original","1 Modify"))))</f>
        <v>0 Original</v>
      </c>
      <c r="D144" s="3" t="s">
        <v>1978</v>
      </c>
      <c r="E144" s="5">
        <v>3523</v>
      </c>
      <c r="F144" t="s">
        <v>1210</v>
      </c>
      <c r="G144" t="s">
        <v>904</v>
      </c>
      <c r="H144" s="9">
        <v>9.99</v>
      </c>
      <c r="I144" s="5">
        <v>1</v>
      </c>
      <c r="J144" s="7" t="s">
        <v>970</v>
      </c>
      <c r="K144" s="7">
        <v>42748.047268518516</v>
      </c>
      <c r="L144" s="3" t="s">
        <v>970</v>
      </c>
      <c r="M144" s="7">
        <v>42748.047268518516</v>
      </c>
      <c r="N144" s="3" t="s">
        <v>970</v>
      </c>
      <c r="O144" s="16" t="str">
        <f>TEXT(DATEVALUE(LEFT(F144,10)),"mm-yyyy")</f>
        <v>01-2015</v>
      </c>
      <c r="P144" s="16">
        <f>H144*I144</f>
        <v>9.99</v>
      </c>
    </row>
    <row r="145" spans="3:16" x14ac:dyDescent="0.25">
      <c r="C145" t="str">
        <f>IF(COUNTBLANK(E145:N145) = 10,"",IF(AND(NOT(ISBLANK(E145)),COUNTBLANK(E145:N145) = 9),"3 Delete",IF(ISBLANK(E145),"2 Add",IF(JenkinsHashRange(E145:N145) = "818033135","0 Original","1 Modify"))))</f>
        <v>0 Original</v>
      </c>
      <c r="D145" s="3" t="s">
        <v>1979</v>
      </c>
      <c r="E145" s="5">
        <v>3524</v>
      </c>
      <c r="F145" t="s">
        <v>1210</v>
      </c>
      <c r="G145" t="s">
        <v>702</v>
      </c>
      <c r="H145" s="9">
        <v>7.99</v>
      </c>
      <c r="I145" s="5">
        <v>1</v>
      </c>
      <c r="J145" s="7" t="s">
        <v>970</v>
      </c>
      <c r="K145" s="7">
        <v>42748.047268518516</v>
      </c>
      <c r="L145" s="3" t="s">
        <v>970</v>
      </c>
      <c r="M145" s="7">
        <v>42748.047268518516</v>
      </c>
      <c r="N145" s="3" t="s">
        <v>970</v>
      </c>
      <c r="O145" s="16" t="str">
        <f>TEXT(DATEVALUE(LEFT(F145,10)),"mm-yyyy")</f>
        <v>01-2015</v>
      </c>
      <c r="P145" s="16">
        <f>H145*I145</f>
        <v>7.99</v>
      </c>
    </row>
    <row r="146" spans="3:16" x14ac:dyDescent="0.25">
      <c r="C146" t="str">
        <f>IF(COUNTBLANK(E146:N146) = 10,"",IF(AND(NOT(ISBLANK(E146)),COUNTBLANK(E146:N146) = 9),"3 Delete",IF(ISBLANK(E146),"2 Add",IF(JenkinsHashRange(E146:N146) = "2042770414","0 Original","1 Modify"))))</f>
        <v>0 Original</v>
      </c>
      <c r="D146" s="3" t="s">
        <v>1980</v>
      </c>
      <c r="E146" s="5">
        <v>3531</v>
      </c>
      <c r="F146" t="s">
        <v>1211</v>
      </c>
      <c r="G146" t="s">
        <v>957</v>
      </c>
      <c r="H146" s="9">
        <v>5.99</v>
      </c>
      <c r="I146" s="5">
        <v>1</v>
      </c>
      <c r="J146" s="7" t="s">
        <v>970</v>
      </c>
      <c r="K146" s="7">
        <v>42748.047268518516</v>
      </c>
      <c r="L146" s="3" t="s">
        <v>970</v>
      </c>
      <c r="M146" s="7">
        <v>42748.047268518516</v>
      </c>
      <c r="N146" s="3" t="s">
        <v>970</v>
      </c>
      <c r="O146" s="16" t="str">
        <f>TEXT(DATEVALUE(LEFT(F146,10)),"mm-yyyy")</f>
        <v>01-2015</v>
      </c>
      <c r="P146" s="16">
        <f>H146*I146</f>
        <v>5.99</v>
      </c>
    </row>
    <row r="147" spans="3:16" x14ac:dyDescent="0.25">
      <c r="C147" t="str">
        <f>IF(COUNTBLANK(E147:N147) = 10,"",IF(AND(NOT(ISBLANK(E147)),COUNTBLANK(E147:N147) = 9),"3 Delete",IF(ISBLANK(E147),"2 Add",IF(JenkinsHashRange(E147:N147) = "780901347","0 Original","1 Modify"))))</f>
        <v>0 Original</v>
      </c>
      <c r="D147" s="3" t="s">
        <v>1981</v>
      </c>
      <c r="E147" s="5">
        <v>3532</v>
      </c>
      <c r="F147" t="s">
        <v>1211</v>
      </c>
      <c r="G147" t="s">
        <v>904</v>
      </c>
      <c r="H147" s="9">
        <v>9.99</v>
      </c>
      <c r="I147" s="5">
        <v>1</v>
      </c>
      <c r="J147" s="7" t="s">
        <v>970</v>
      </c>
      <c r="K147" s="7">
        <v>42748.047268518516</v>
      </c>
      <c r="L147" s="3" t="s">
        <v>970</v>
      </c>
      <c r="M147" s="7">
        <v>42748.047268518516</v>
      </c>
      <c r="N147" s="3" t="s">
        <v>970</v>
      </c>
      <c r="O147" s="16" t="str">
        <f>TEXT(DATEVALUE(LEFT(F147,10)),"mm-yyyy")</f>
        <v>01-2015</v>
      </c>
      <c r="P147" s="16">
        <f>H147*I147</f>
        <v>9.99</v>
      </c>
    </row>
    <row r="148" spans="3:16" x14ac:dyDescent="0.25">
      <c r="C148" t="str">
        <f>IF(COUNTBLANK(E148:N148) = 10,"",IF(AND(NOT(ISBLANK(E148)),COUNTBLANK(E148:N148) = 9),"3 Delete",IF(ISBLANK(E148),"2 Add",IF(JenkinsHashRange(E148:N148) = "685328742","0 Original","1 Modify"))))</f>
        <v>0 Original</v>
      </c>
      <c r="D148" s="3" t="s">
        <v>1984</v>
      </c>
      <c r="E148" s="5">
        <v>3543</v>
      </c>
      <c r="F148" t="s">
        <v>1213</v>
      </c>
      <c r="G148" t="s">
        <v>702</v>
      </c>
      <c r="H148" s="9">
        <v>7.99</v>
      </c>
      <c r="I148" s="5">
        <v>1</v>
      </c>
      <c r="J148" s="7" t="s">
        <v>970</v>
      </c>
      <c r="K148" s="7">
        <v>42748.047268518516</v>
      </c>
      <c r="L148" s="3" t="s">
        <v>970</v>
      </c>
      <c r="M148" s="7">
        <v>42748.047268518516</v>
      </c>
      <c r="N148" s="3" t="s">
        <v>970</v>
      </c>
      <c r="O148" s="16" t="str">
        <f>TEXT(DATEVALUE(LEFT(F148,10)),"mm-yyyy")</f>
        <v>01-2015</v>
      </c>
      <c r="P148" s="16">
        <f>H148*I148</f>
        <v>7.99</v>
      </c>
    </row>
    <row r="149" spans="3:16" x14ac:dyDescent="0.25">
      <c r="C149" t="str">
        <f>IF(COUNTBLANK(E149:N149) = 10,"",IF(AND(NOT(ISBLANK(E149)),COUNTBLANK(E149:N149) = 9),"3 Delete",IF(ISBLANK(E149),"2 Add",IF(JenkinsHashRange(E149:N149) = "239377008","0 Original","1 Modify"))))</f>
        <v>0 Original</v>
      </c>
      <c r="D149" s="3" t="s">
        <v>1985</v>
      </c>
      <c r="E149" s="5">
        <v>3544</v>
      </c>
      <c r="F149" t="s">
        <v>1213</v>
      </c>
      <c r="G149" t="s">
        <v>565</v>
      </c>
      <c r="H149" s="9">
        <v>5.99</v>
      </c>
      <c r="I149" s="5">
        <v>1</v>
      </c>
      <c r="J149" s="7" t="s">
        <v>970</v>
      </c>
      <c r="K149" s="7">
        <v>42748.047268518516</v>
      </c>
      <c r="L149" s="3" t="s">
        <v>970</v>
      </c>
      <c r="M149" s="7">
        <v>42748.047268518516</v>
      </c>
      <c r="N149" s="3" t="s">
        <v>970</v>
      </c>
      <c r="O149" s="16" t="str">
        <f>TEXT(DATEVALUE(LEFT(F149,10)),"mm-yyyy")</f>
        <v>01-2015</v>
      </c>
      <c r="P149" s="16">
        <f>H149*I149</f>
        <v>5.99</v>
      </c>
    </row>
    <row r="150" spans="3:16" x14ac:dyDescent="0.25">
      <c r="C150" t="str">
        <f>IF(COUNTBLANK(E150:N150) = 10,"",IF(AND(NOT(ISBLANK(E150)),COUNTBLANK(E150:N150) = 9),"3 Delete",IF(ISBLANK(E150),"2 Add",IF(JenkinsHashRange(E150:N150) = "666386117","0 Original","1 Modify"))))</f>
        <v>0 Original</v>
      </c>
      <c r="D150" s="3" t="s">
        <v>1986</v>
      </c>
      <c r="E150" s="5">
        <v>3545</v>
      </c>
      <c r="F150" t="s">
        <v>1213</v>
      </c>
      <c r="G150" t="s">
        <v>814</v>
      </c>
      <c r="H150" s="9">
        <v>9.99</v>
      </c>
      <c r="I150" s="5">
        <v>2</v>
      </c>
      <c r="J150" s="7" t="s">
        <v>970</v>
      </c>
      <c r="K150" s="7">
        <v>42748.047268518516</v>
      </c>
      <c r="L150" s="3" t="s">
        <v>970</v>
      </c>
      <c r="M150" s="7">
        <v>42748.047268518516</v>
      </c>
      <c r="N150" s="3" t="s">
        <v>970</v>
      </c>
      <c r="O150" s="16" t="str">
        <f>TEXT(DATEVALUE(LEFT(F150,10)),"mm-yyyy")</f>
        <v>01-2015</v>
      </c>
      <c r="P150" s="16">
        <f>H150*I150</f>
        <v>19.98</v>
      </c>
    </row>
    <row r="151" spans="3:16" x14ac:dyDescent="0.25">
      <c r="C151" t="str">
        <f>IF(COUNTBLANK(E151:N151) = 10,"",IF(AND(NOT(ISBLANK(E151)),COUNTBLANK(E151:N151) = 9),"3 Delete",IF(ISBLANK(E151),"2 Add",IF(JenkinsHashRange(E151:N151) = "2011382439","0 Original","1 Modify"))))</f>
        <v>0 Original</v>
      </c>
      <c r="D151" s="3" t="s">
        <v>1995</v>
      </c>
      <c r="E151" s="5">
        <v>3562</v>
      </c>
      <c r="F151" t="s">
        <v>1215</v>
      </c>
      <c r="G151" t="s">
        <v>814</v>
      </c>
      <c r="H151" s="9">
        <v>9.99</v>
      </c>
      <c r="I151" s="5">
        <v>2</v>
      </c>
      <c r="J151" s="7" t="s">
        <v>970</v>
      </c>
      <c r="K151" s="7">
        <v>42748.047268518516</v>
      </c>
      <c r="L151" s="3" t="s">
        <v>970</v>
      </c>
      <c r="M151" s="7">
        <v>42748.047268518516</v>
      </c>
      <c r="N151" s="3" t="s">
        <v>970</v>
      </c>
      <c r="O151" s="16" t="str">
        <f>TEXT(DATEVALUE(LEFT(F151,10)),"mm-yyyy")</f>
        <v>01-2015</v>
      </c>
      <c r="P151" s="16">
        <f>H151*I151</f>
        <v>19.98</v>
      </c>
    </row>
    <row r="152" spans="3:16" x14ac:dyDescent="0.25">
      <c r="C152" t="str">
        <f>IF(COUNTBLANK(E152:N152) = 10,"",IF(AND(NOT(ISBLANK(E152)),COUNTBLANK(E152:N152) = 9),"3 Delete",IF(ISBLANK(E152),"2 Add",IF(JenkinsHashRange(E152:N152) = "740591383","0 Original","1 Modify"))))</f>
        <v>0 Original</v>
      </c>
      <c r="D152" s="3" t="s">
        <v>1996</v>
      </c>
      <c r="E152" s="5">
        <v>3563</v>
      </c>
      <c r="F152" t="s">
        <v>1215</v>
      </c>
      <c r="G152" t="s">
        <v>904</v>
      </c>
      <c r="H152" s="9">
        <v>9.99</v>
      </c>
      <c r="I152" s="5">
        <v>1</v>
      </c>
      <c r="J152" s="7" t="s">
        <v>970</v>
      </c>
      <c r="K152" s="7">
        <v>42748.047268518516</v>
      </c>
      <c r="L152" s="3" t="s">
        <v>970</v>
      </c>
      <c r="M152" s="7">
        <v>42748.047268518516</v>
      </c>
      <c r="N152" s="3" t="s">
        <v>970</v>
      </c>
      <c r="O152" s="16" t="str">
        <f>TEXT(DATEVALUE(LEFT(F152,10)),"mm-yyyy")</f>
        <v>01-2015</v>
      </c>
      <c r="P152" s="16">
        <f>H152*I152</f>
        <v>9.99</v>
      </c>
    </row>
    <row r="153" spans="3:16" x14ac:dyDescent="0.25">
      <c r="C153" t="str">
        <f>IF(COUNTBLANK(E153:N153) = 10,"",IF(AND(NOT(ISBLANK(E153)),COUNTBLANK(E153:N153) = 9),"3 Delete",IF(ISBLANK(E153),"2 Add",IF(JenkinsHashRange(E153:N153) = "1821182939","0 Original","1 Modify"))))</f>
        <v>0 Original</v>
      </c>
      <c r="D153" s="3" t="s">
        <v>2009</v>
      </c>
      <c r="E153" s="5">
        <v>3620</v>
      </c>
      <c r="F153" t="s">
        <v>1220</v>
      </c>
      <c r="G153" t="s">
        <v>400</v>
      </c>
      <c r="H153" s="9">
        <v>6.99</v>
      </c>
      <c r="I153" s="5">
        <v>2</v>
      </c>
      <c r="J153" s="7" t="s">
        <v>970</v>
      </c>
      <c r="K153" s="7">
        <v>42748.047268518516</v>
      </c>
      <c r="L153" s="3" t="s">
        <v>970</v>
      </c>
      <c r="M153" s="7">
        <v>42748.047268518516</v>
      </c>
      <c r="N153" s="3" t="s">
        <v>970</v>
      </c>
      <c r="O153" s="16" t="str">
        <f>TEXT(DATEVALUE(LEFT(F153,10)),"mm-yyyy")</f>
        <v>01-2015</v>
      </c>
      <c r="P153" s="16">
        <f>H153*I153</f>
        <v>13.98</v>
      </c>
    </row>
    <row r="154" spans="3:16" x14ac:dyDescent="0.25">
      <c r="C154" t="str">
        <f>IF(COUNTBLANK(E154:N154) = 10,"",IF(AND(NOT(ISBLANK(E154)),COUNTBLANK(E154:N154) = 9),"3 Delete",IF(ISBLANK(E154),"2 Add",IF(JenkinsHashRange(E154:N154) = "1404548733","0 Original","1 Modify"))))</f>
        <v>0 Original</v>
      </c>
      <c r="D154" s="3" t="s">
        <v>2010</v>
      </c>
      <c r="E154" s="5">
        <v>3621</v>
      </c>
      <c r="F154" t="s">
        <v>1220</v>
      </c>
      <c r="G154" t="s">
        <v>453</v>
      </c>
      <c r="H154" s="9">
        <v>8.99</v>
      </c>
      <c r="I154" s="5">
        <v>1</v>
      </c>
      <c r="J154" s="7" t="s">
        <v>970</v>
      </c>
      <c r="K154" s="7">
        <v>42748.047268518516</v>
      </c>
      <c r="L154" s="3" t="s">
        <v>970</v>
      </c>
      <c r="M154" s="7">
        <v>42748.047268518516</v>
      </c>
      <c r="N154" s="3" t="s">
        <v>970</v>
      </c>
      <c r="O154" s="16" t="str">
        <f>TEXT(DATEVALUE(LEFT(F154,10)),"mm-yyyy")</f>
        <v>01-2015</v>
      </c>
      <c r="P154" s="16">
        <f>H154*I154</f>
        <v>8.99</v>
      </c>
    </row>
    <row r="155" spans="3:16" x14ac:dyDescent="0.25">
      <c r="C155" t="str">
        <f>IF(COUNTBLANK(E155:N155) = 10,"",IF(AND(NOT(ISBLANK(E155)),COUNTBLANK(E155:N155) = 9),"3 Delete",IF(ISBLANK(E155),"2 Add",IF(JenkinsHashRange(E155:N155) = "147185852","0 Original","1 Modify"))))</f>
        <v>0 Original</v>
      </c>
      <c r="D155" s="3" t="s">
        <v>2011</v>
      </c>
      <c r="E155" s="5">
        <v>3622</v>
      </c>
      <c r="F155" t="s">
        <v>1220</v>
      </c>
      <c r="G155" t="s">
        <v>565</v>
      </c>
      <c r="H155" s="9">
        <v>5.99</v>
      </c>
      <c r="I155" s="5">
        <v>1</v>
      </c>
      <c r="J155" s="7" t="s">
        <v>970</v>
      </c>
      <c r="K155" s="7">
        <v>42748.047268518516</v>
      </c>
      <c r="L155" s="3" t="s">
        <v>970</v>
      </c>
      <c r="M155" s="7">
        <v>42748.047268518516</v>
      </c>
      <c r="N155" s="3" t="s">
        <v>970</v>
      </c>
      <c r="O155" s="16" t="str">
        <f>TEXT(DATEVALUE(LEFT(F155,10)),"mm-yyyy")</f>
        <v>01-2015</v>
      </c>
      <c r="P155" s="16">
        <f>H155*I155</f>
        <v>5.99</v>
      </c>
    </row>
    <row r="156" spans="3:16" x14ac:dyDescent="0.25">
      <c r="C156" t="str">
        <f>IF(COUNTBLANK(E156:N156) = 10,"",IF(AND(NOT(ISBLANK(E156)),COUNTBLANK(E156:N156) = 9),"3 Delete",IF(ISBLANK(E156),"2 Add",IF(JenkinsHashRange(E156:N156) = "1053139865","0 Original","1 Modify"))))</f>
        <v>0 Original</v>
      </c>
      <c r="D156" s="3" t="s">
        <v>2012</v>
      </c>
      <c r="E156" s="5">
        <v>3629</v>
      </c>
      <c r="F156" t="s">
        <v>1221</v>
      </c>
      <c r="G156" t="s">
        <v>814</v>
      </c>
      <c r="H156" s="9">
        <v>9.99</v>
      </c>
      <c r="I156" s="5">
        <v>2</v>
      </c>
      <c r="J156" s="7" t="s">
        <v>970</v>
      </c>
      <c r="K156" s="7">
        <v>42748.047268518516</v>
      </c>
      <c r="L156" s="3" t="s">
        <v>970</v>
      </c>
      <c r="M156" s="7">
        <v>42748.047268518516</v>
      </c>
      <c r="N156" s="3" t="s">
        <v>970</v>
      </c>
      <c r="O156" s="16" t="str">
        <f>TEXT(DATEVALUE(LEFT(F156,10)),"mm-yyyy")</f>
        <v>01-2015</v>
      </c>
      <c r="P156" s="16">
        <f>H156*I156</f>
        <v>19.98</v>
      </c>
    </row>
    <row r="157" spans="3:16" x14ac:dyDescent="0.25">
      <c r="C157" t="str">
        <f>IF(COUNTBLANK(E157:N157) = 10,"",IF(AND(NOT(ISBLANK(E157)),COUNTBLANK(E157:N157) = 9),"3 Delete",IF(ISBLANK(E157),"2 Add",IF(JenkinsHashRange(E157:N157) = "742822240","0 Original","1 Modify"))))</f>
        <v>0 Original</v>
      </c>
      <c r="D157" s="3" t="s">
        <v>2013</v>
      </c>
      <c r="E157" s="5">
        <v>3630</v>
      </c>
      <c r="F157" t="s">
        <v>1221</v>
      </c>
      <c r="G157" t="s">
        <v>945</v>
      </c>
      <c r="H157" s="9">
        <v>7.99</v>
      </c>
      <c r="I157" s="5">
        <v>1</v>
      </c>
      <c r="J157" s="7" t="s">
        <v>970</v>
      </c>
      <c r="K157" s="7">
        <v>42748.047268518516</v>
      </c>
      <c r="L157" s="3" t="s">
        <v>970</v>
      </c>
      <c r="M157" s="7">
        <v>42748.047268518516</v>
      </c>
      <c r="N157" s="3" t="s">
        <v>970</v>
      </c>
      <c r="O157" s="16" t="str">
        <f>TEXT(DATEVALUE(LEFT(F157,10)),"mm-yyyy")</f>
        <v>01-2015</v>
      </c>
      <c r="P157" s="16">
        <f>H157*I157</f>
        <v>7.99</v>
      </c>
    </row>
    <row r="158" spans="3:16" x14ac:dyDescent="0.25">
      <c r="C158" t="str">
        <f>IF(COUNTBLANK(E158:N158) = 10,"",IF(AND(NOT(ISBLANK(E158)),COUNTBLANK(E158:N158) = 9),"3 Delete",IF(ISBLANK(E158),"2 Add",IF(JenkinsHashRange(E158:N158) = "1067108332","0 Original","1 Modify"))))</f>
        <v>0 Original</v>
      </c>
      <c r="D158" s="3" t="s">
        <v>2028</v>
      </c>
      <c r="E158" s="5">
        <v>3693</v>
      </c>
      <c r="F158" t="s">
        <v>1226</v>
      </c>
      <c r="G158" t="s">
        <v>702</v>
      </c>
      <c r="H158" s="9">
        <v>7.99</v>
      </c>
      <c r="I158" s="5">
        <v>1</v>
      </c>
      <c r="J158" s="7" t="s">
        <v>970</v>
      </c>
      <c r="K158" s="7">
        <v>42748.047268518516</v>
      </c>
      <c r="L158" s="3" t="s">
        <v>970</v>
      </c>
      <c r="M158" s="7">
        <v>42748.047268518516</v>
      </c>
      <c r="N158" s="3" t="s">
        <v>970</v>
      </c>
      <c r="O158" s="16" t="str">
        <f>TEXT(DATEVALUE(LEFT(F158,10)),"mm-yyyy")</f>
        <v>01-2015</v>
      </c>
      <c r="P158" s="16">
        <f>H158*I158</f>
        <v>7.99</v>
      </c>
    </row>
    <row r="159" spans="3:16" x14ac:dyDescent="0.25">
      <c r="C159" t="str">
        <f>IF(COUNTBLANK(E159:N159) = 10,"",IF(AND(NOT(ISBLANK(E159)),COUNTBLANK(E159:N159) = 9),"3 Delete",IF(ISBLANK(E159),"2 Add",IF(JenkinsHashRange(E159:N159) = "304908069","0 Original","1 Modify"))))</f>
        <v>0 Original</v>
      </c>
      <c r="D159" s="3" t="s">
        <v>2043</v>
      </c>
      <c r="E159" s="5">
        <v>3743</v>
      </c>
      <c r="F159" t="s">
        <v>1230</v>
      </c>
      <c r="G159" t="s">
        <v>945</v>
      </c>
      <c r="H159" s="9">
        <v>7.99</v>
      </c>
      <c r="I159" s="5">
        <v>2</v>
      </c>
      <c r="J159" s="7" t="s">
        <v>970</v>
      </c>
      <c r="K159" s="7">
        <v>42748.047268518516</v>
      </c>
      <c r="L159" s="3" t="s">
        <v>970</v>
      </c>
      <c r="M159" s="7">
        <v>42748.047268518516</v>
      </c>
      <c r="N159" s="3" t="s">
        <v>970</v>
      </c>
      <c r="O159" s="16" t="str">
        <f>TEXT(DATEVALUE(LEFT(F159,10)),"mm-yyyy")</f>
        <v>01-2015</v>
      </c>
      <c r="P159" s="16">
        <f>H159*I159</f>
        <v>15.98</v>
      </c>
    </row>
    <row r="160" spans="3:16" x14ac:dyDescent="0.25">
      <c r="C160" t="str">
        <f>IF(COUNTBLANK(E160:N160) = 10,"",IF(AND(NOT(ISBLANK(E160)),COUNTBLANK(E160:N160) = 9),"3 Delete",IF(ISBLANK(E160),"2 Add",IF(JenkinsHashRange(E160:N160) = "1556086317","0 Original","1 Modify"))))</f>
        <v>0 Original</v>
      </c>
      <c r="D160" s="3" t="s">
        <v>2044</v>
      </c>
      <c r="E160" s="5">
        <v>3744</v>
      </c>
      <c r="F160" t="s">
        <v>1230</v>
      </c>
      <c r="G160" t="s">
        <v>702</v>
      </c>
      <c r="H160" s="9">
        <v>7.99</v>
      </c>
      <c r="I160" s="5">
        <v>1</v>
      </c>
      <c r="J160" s="7" t="s">
        <v>970</v>
      </c>
      <c r="K160" s="7">
        <v>42748.047268518516</v>
      </c>
      <c r="L160" s="3" t="s">
        <v>970</v>
      </c>
      <c r="M160" s="7">
        <v>42748.047268518516</v>
      </c>
      <c r="N160" s="3" t="s">
        <v>970</v>
      </c>
      <c r="O160" s="16" t="str">
        <f>TEXT(DATEVALUE(LEFT(F160,10)),"mm-yyyy")</f>
        <v>01-2015</v>
      </c>
      <c r="P160" s="16">
        <f>H160*I160</f>
        <v>7.99</v>
      </c>
    </row>
    <row r="161" spans="3:16" x14ac:dyDescent="0.25">
      <c r="C161" t="str">
        <f>IF(COUNTBLANK(E161:N161) = 10,"",IF(AND(NOT(ISBLANK(E161)),COUNTBLANK(E161:N161) = 9),"3 Delete",IF(ISBLANK(E161),"2 Add",IF(JenkinsHashRange(E161:N161) = "1759990224","0 Original","1 Modify"))))</f>
        <v>0 Original</v>
      </c>
      <c r="D161" s="3" t="s">
        <v>2076</v>
      </c>
      <c r="E161" s="5">
        <v>3933</v>
      </c>
      <c r="F161" t="s">
        <v>1241</v>
      </c>
      <c r="G161" t="s">
        <v>904</v>
      </c>
      <c r="H161" s="9">
        <v>9.99</v>
      </c>
      <c r="I161" s="5">
        <v>1</v>
      </c>
      <c r="J161" s="7" t="s">
        <v>970</v>
      </c>
      <c r="K161" s="7">
        <v>42748.047268518516</v>
      </c>
      <c r="L161" s="3" t="s">
        <v>970</v>
      </c>
      <c r="M161" s="7">
        <v>42748.047268518516</v>
      </c>
      <c r="N161" s="3" t="s">
        <v>970</v>
      </c>
      <c r="O161" s="16" t="str">
        <f>TEXT(DATEVALUE(LEFT(F161,10)),"mm-yyyy")</f>
        <v>01-2015</v>
      </c>
      <c r="P161" s="16">
        <f>H161*I161</f>
        <v>9.99</v>
      </c>
    </row>
    <row r="162" spans="3:16" x14ac:dyDescent="0.25">
      <c r="C162" t="str">
        <f>IF(COUNTBLANK(E162:N162) = 10,"",IF(AND(NOT(ISBLANK(E162)),COUNTBLANK(E162:N162) = 9),"3 Delete",IF(ISBLANK(E162),"2 Add",IF(JenkinsHashRange(E162:N162) = "2030941998","0 Original","1 Modify"))))</f>
        <v>0 Original</v>
      </c>
      <c r="D162" s="3" t="s">
        <v>2077</v>
      </c>
      <c r="E162" s="5">
        <v>3934</v>
      </c>
      <c r="F162" t="s">
        <v>1241</v>
      </c>
      <c r="G162" t="s">
        <v>957</v>
      </c>
      <c r="H162" s="9">
        <v>5.99</v>
      </c>
      <c r="I162" s="5">
        <v>1</v>
      </c>
      <c r="J162" s="7" t="s">
        <v>970</v>
      </c>
      <c r="K162" s="7">
        <v>42748.047268518516</v>
      </c>
      <c r="L162" s="3" t="s">
        <v>970</v>
      </c>
      <c r="M162" s="7">
        <v>42748.047268518516</v>
      </c>
      <c r="N162" s="3" t="s">
        <v>970</v>
      </c>
      <c r="O162" s="16" t="str">
        <f>TEXT(DATEVALUE(LEFT(F162,10)),"mm-yyyy")</f>
        <v>01-2015</v>
      </c>
      <c r="P162" s="16">
        <f>H162*I162</f>
        <v>5.99</v>
      </c>
    </row>
    <row r="163" spans="3:16" x14ac:dyDescent="0.25">
      <c r="C163" t="str">
        <f>IF(COUNTBLANK(E163:N163) = 10,"",IF(AND(NOT(ISBLANK(E163)),COUNTBLANK(E163:N163) = 9),"3 Delete",IF(ISBLANK(E163),"2 Add",IF(JenkinsHashRange(E163:N163) = "1379465518","0 Original","1 Modify"))))</f>
        <v>0 Original</v>
      </c>
      <c r="D163" s="3" t="s">
        <v>2078</v>
      </c>
      <c r="E163" s="5">
        <v>3935</v>
      </c>
      <c r="F163" t="s">
        <v>1241</v>
      </c>
      <c r="G163" t="s">
        <v>814</v>
      </c>
      <c r="H163" s="9">
        <v>9.99</v>
      </c>
      <c r="I163" s="5">
        <v>2</v>
      </c>
      <c r="J163" s="7" t="s">
        <v>970</v>
      </c>
      <c r="K163" s="7">
        <v>42748.047268518516</v>
      </c>
      <c r="L163" s="3" t="s">
        <v>970</v>
      </c>
      <c r="M163" s="7">
        <v>42748.047268518516</v>
      </c>
      <c r="N163" s="3" t="s">
        <v>970</v>
      </c>
      <c r="O163" s="16" t="str">
        <f>TEXT(DATEVALUE(LEFT(F163,10)),"mm-yyyy")</f>
        <v>01-2015</v>
      </c>
      <c r="P163" s="16">
        <f>H163*I163</f>
        <v>19.98</v>
      </c>
    </row>
    <row r="164" spans="3:16" x14ac:dyDescent="0.25">
      <c r="C164" t="str">
        <f>IF(COUNTBLANK(E164:N164) = 10,"",IF(AND(NOT(ISBLANK(E164)),COUNTBLANK(E164:N164) = 9),"3 Delete",IF(ISBLANK(E164),"2 Add",IF(JenkinsHashRange(E164:N164) = "836927608","0 Original","1 Modify"))))</f>
        <v>0 Original</v>
      </c>
      <c r="D164" s="3" t="s">
        <v>2079</v>
      </c>
      <c r="E164" s="5">
        <v>3958</v>
      </c>
      <c r="F164" t="s">
        <v>1242</v>
      </c>
      <c r="G164" t="s">
        <v>400</v>
      </c>
      <c r="H164" s="9">
        <v>6.99</v>
      </c>
      <c r="I164" s="5">
        <v>2</v>
      </c>
      <c r="J164" s="7" t="s">
        <v>970</v>
      </c>
      <c r="K164" s="7">
        <v>42748.047268518516</v>
      </c>
      <c r="L164" s="3" t="s">
        <v>970</v>
      </c>
      <c r="M164" s="7">
        <v>42748.047268518516</v>
      </c>
      <c r="N164" s="3" t="s">
        <v>970</v>
      </c>
      <c r="O164" s="16" t="str">
        <f>TEXT(DATEVALUE(LEFT(F164,10)),"mm-yyyy")</f>
        <v>01-2015</v>
      </c>
      <c r="P164" s="16">
        <f>H164*I164</f>
        <v>13.98</v>
      </c>
    </row>
    <row r="165" spans="3:16" x14ac:dyDescent="0.25">
      <c r="C165" t="str">
        <f>IF(COUNTBLANK(E165:N165) = 10,"",IF(AND(NOT(ISBLANK(E165)),COUNTBLANK(E165:N165) = 9),"3 Delete",IF(ISBLANK(E165),"2 Add",IF(JenkinsHashRange(E165:N165) = "1533490653","0 Original","1 Modify"))))</f>
        <v>0 Original</v>
      </c>
      <c r="D165" s="3" t="s">
        <v>2080</v>
      </c>
      <c r="E165" s="5">
        <v>3959</v>
      </c>
      <c r="F165" t="s">
        <v>1242</v>
      </c>
      <c r="G165" t="s">
        <v>400</v>
      </c>
      <c r="H165" s="9">
        <v>6.99</v>
      </c>
      <c r="I165" s="5">
        <v>1</v>
      </c>
      <c r="J165" s="7" t="s">
        <v>970</v>
      </c>
      <c r="K165" s="7">
        <v>42748.047268518516</v>
      </c>
      <c r="L165" s="3" t="s">
        <v>970</v>
      </c>
      <c r="M165" s="7">
        <v>42748.047268518516</v>
      </c>
      <c r="N165" s="3" t="s">
        <v>970</v>
      </c>
      <c r="O165" s="16" t="str">
        <f>TEXT(DATEVALUE(LEFT(F165,10)),"mm-yyyy")</f>
        <v>01-2015</v>
      </c>
      <c r="P165" s="16">
        <f>H165*I165</f>
        <v>6.99</v>
      </c>
    </row>
    <row r="166" spans="3:16" x14ac:dyDescent="0.25">
      <c r="C166" t="str">
        <f>IF(COUNTBLANK(E166:N166) = 10,"",IF(AND(NOT(ISBLANK(E166)),COUNTBLANK(E166:N166) = 9),"3 Delete",IF(ISBLANK(E166),"2 Add",IF(JenkinsHashRange(E166:N166) = "1364634652","0 Original","1 Modify"))))</f>
        <v>0 Original</v>
      </c>
      <c r="D166" s="3" t="s">
        <v>2081</v>
      </c>
      <c r="E166" s="5">
        <v>3960</v>
      </c>
      <c r="F166" t="s">
        <v>1242</v>
      </c>
      <c r="G166" t="s">
        <v>877</v>
      </c>
      <c r="H166" s="9">
        <v>8.99</v>
      </c>
      <c r="I166" s="5">
        <v>1</v>
      </c>
      <c r="J166" s="7" t="s">
        <v>970</v>
      </c>
      <c r="K166" s="7">
        <v>42748.047268518516</v>
      </c>
      <c r="L166" s="3" t="s">
        <v>970</v>
      </c>
      <c r="M166" s="7">
        <v>42748.047268518516</v>
      </c>
      <c r="N166" s="3" t="s">
        <v>970</v>
      </c>
      <c r="O166" s="16" t="str">
        <f>TEXT(DATEVALUE(LEFT(F166,10)),"mm-yyyy")</f>
        <v>01-2015</v>
      </c>
      <c r="P166" s="16">
        <f>H166*I166</f>
        <v>8.99</v>
      </c>
    </row>
    <row r="167" spans="3:16" x14ac:dyDescent="0.25">
      <c r="C167" t="str">
        <f>IF(COUNTBLANK(E167:N167) = 10,"",IF(AND(NOT(ISBLANK(E167)),COUNTBLANK(E167:N167) = 9),"3 Delete",IF(ISBLANK(E167),"2 Add",IF(JenkinsHashRange(E167:N167) = "72533681","0 Original","1 Modify"))))</f>
        <v>0 Original</v>
      </c>
      <c r="D167" s="3" t="s">
        <v>2082</v>
      </c>
      <c r="E167" s="5">
        <v>3961</v>
      </c>
      <c r="F167" t="s">
        <v>1242</v>
      </c>
      <c r="G167" t="s">
        <v>904</v>
      </c>
      <c r="H167" s="9">
        <v>9.99</v>
      </c>
      <c r="I167" s="5">
        <v>1</v>
      </c>
      <c r="J167" s="7" t="s">
        <v>970</v>
      </c>
      <c r="K167" s="7">
        <v>42748.047268518516</v>
      </c>
      <c r="L167" s="3" t="s">
        <v>970</v>
      </c>
      <c r="M167" s="7">
        <v>42748.047268518516</v>
      </c>
      <c r="N167" s="3" t="s">
        <v>970</v>
      </c>
      <c r="O167" s="16" t="str">
        <f>TEXT(DATEVALUE(LEFT(F167,10)),"mm-yyyy")</f>
        <v>01-2015</v>
      </c>
      <c r="P167" s="16">
        <f>H167*I167</f>
        <v>9.99</v>
      </c>
    </row>
    <row r="168" spans="3:16" x14ac:dyDescent="0.25">
      <c r="C168" t="str">
        <f>IF(COUNTBLANK(E168:N168) = 10,"",IF(AND(NOT(ISBLANK(E168)),COUNTBLANK(E168:N168) = 9),"3 Delete",IF(ISBLANK(E168),"2 Add",IF(JenkinsHashRange(E168:N168) = "532486434","0 Original","1 Modify"))))</f>
        <v>0 Original</v>
      </c>
      <c r="D168" s="3" t="s">
        <v>2083</v>
      </c>
      <c r="E168" s="5">
        <v>3962</v>
      </c>
      <c r="F168" t="s">
        <v>1242</v>
      </c>
      <c r="G168" t="s">
        <v>814</v>
      </c>
      <c r="H168" s="9">
        <v>9.99</v>
      </c>
      <c r="I168" s="5">
        <v>1</v>
      </c>
      <c r="J168" s="7" t="s">
        <v>970</v>
      </c>
      <c r="K168" s="7">
        <v>42748.047268518516</v>
      </c>
      <c r="L168" s="3" t="s">
        <v>970</v>
      </c>
      <c r="M168" s="7">
        <v>42748.047268518516</v>
      </c>
      <c r="N168" s="3" t="s">
        <v>970</v>
      </c>
      <c r="O168" s="16" t="str">
        <f>TEXT(DATEVALUE(LEFT(F168,10)),"mm-yyyy")</f>
        <v>01-2015</v>
      </c>
      <c r="P168" s="16">
        <f>H168*I168</f>
        <v>9.99</v>
      </c>
    </row>
    <row r="169" spans="3:16" x14ac:dyDescent="0.25">
      <c r="C169" t="str">
        <f>IF(COUNTBLANK(E169:N169) = 10,"",IF(AND(NOT(ISBLANK(E169)),COUNTBLANK(E169:N169) = 9),"3 Delete",IF(ISBLANK(E169),"2 Add",IF(JenkinsHashRange(E169:N169) = "207464266","0 Original","1 Modify"))))</f>
        <v>0 Original</v>
      </c>
      <c r="D169" s="3" t="s">
        <v>2086</v>
      </c>
      <c r="E169" s="5">
        <v>3974</v>
      </c>
      <c r="F169" t="s">
        <v>1244</v>
      </c>
      <c r="G169" t="s">
        <v>877</v>
      </c>
      <c r="H169" s="9">
        <v>8.99</v>
      </c>
      <c r="I169" s="5">
        <v>2</v>
      </c>
      <c r="J169" s="7" t="s">
        <v>970</v>
      </c>
      <c r="K169" s="7">
        <v>42748.047268518516</v>
      </c>
      <c r="L169" s="3" t="s">
        <v>970</v>
      </c>
      <c r="M169" s="7">
        <v>42748.047268518516</v>
      </c>
      <c r="N169" s="3" t="s">
        <v>970</v>
      </c>
      <c r="O169" s="16" t="str">
        <f>TEXT(DATEVALUE(LEFT(F169,10)),"mm-yyyy")</f>
        <v>01-2015</v>
      </c>
      <c r="P169" s="16">
        <f>H169*I169</f>
        <v>17.98</v>
      </c>
    </row>
    <row r="170" spans="3:16" x14ac:dyDescent="0.25">
      <c r="C170" t="str">
        <f>IF(COUNTBLANK(E170:N170) = 10,"",IF(AND(NOT(ISBLANK(E170)),COUNTBLANK(E170:N170) = 9),"3 Delete",IF(ISBLANK(E170),"2 Add",IF(JenkinsHashRange(E170:N170) = "826147033","0 Original","1 Modify"))))</f>
        <v>0 Original</v>
      </c>
      <c r="D170" s="3" t="s">
        <v>2087</v>
      </c>
      <c r="E170" s="5">
        <v>3975</v>
      </c>
      <c r="F170" t="s">
        <v>1244</v>
      </c>
      <c r="G170" t="s">
        <v>814</v>
      </c>
      <c r="H170" s="9">
        <v>9.99</v>
      </c>
      <c r="I170" s="5">
        <v>1</v>
      </c>
      <c r="J170" s="7" t="s">
        <v>970</v>
      </c>
      <c r="K170" s="7">
        <v>42748.047268518516</v>
      </c>
      <c r="L170" s="3" t="s">
        <v>970</v>
      </c>
      <c r="M170" s="7">
        <v>42748.047268518516</v>
      </c>
      <c r="N170" s="3" t="s">
        <v>970</v>
      </c>
      <c r="O170" s="16" t="str">
        <f>TEXT(DATEVALUE(LEFT(F170,10)),"mm-yyyy")</f>
        <v>01-2015</v>
      </c>
      <c r="P170" s="16">
        <f>H170*I170</f>
        <v>9.99</v>
      </c>
    </row>
    <row r="171" spans="3:16" x14ac:dyDescent="0.25">
      <c r="C171" t="str">
        <f>IF(COUNTBLANK(E171:N171) = 10,"",IF(AND(NOT(ISBLANK(E171)),COUNTBLANK(E171:N171) = 9),"3 Delete",IF(ISBLANK(E171),"2 Add",IF(JenkinsHashRange(E171:N171) = "278710220","0 Original","1 Modify"))))</f>
        <v>0 Original</v>
      </c>
      <c r="D171" s="3" t="s">
        <v>2088</v>
      </c>
      <c r="E171" s="5">
        <v>3976</v>
      </c>
      <c r="F171" t="s">
        <v>1244</v>
      </c>
      <c r="G171" t="s">
        <v>814</v>
      </c>
      <c r="H171" s="9">
        <v>9.99</v>
      </c>
      <c r="I171" s="5">
        <v>1</v>
      </c>
      <c r="J171" s="7" t="s">
        <v>970</v>
      </c>
      <c r="K171" s="7">
        <v>42748.047268518516</v>
      </c>
      <c r="L171" s="3" t="s">
        <v>970</v>
      </c>
      <c r="M171" s="7">
        <v>42748.047268518516</v>
      </c>
      <c r="N171" s="3" t="s">
        <v>970</v>
      </c>
      <c r="O171" s="16" t="str">
        <f>TEXT(DATEVALUE(LEFT(F171,10)),"mm-yyyy")</f>
        <v>01-2015</v>
      </c>
      <c r="P171" s="16">
        <f>H171*I171</f>
        <v>9.99</v>
      </c>
    </row>
    <row r="172" spans="3:16" x14ac:dyDescent="0.25">
      <c r="C172" t="str">
        <f>IF(COUNTBLANK(E172:N172) = 10,"",IF(AND(NOT(ISBLANK(E172)),COUNTBLANK(E172:N172) = 9),"3 Delete",IF(ISBLANK(E172),"2 Add",IF(JenkinsHashRange(E172:N172) = "666808027","0 Original","1 Modify"))))</f>
        <v>0 Original</v>
      </c>
      <c r="D172" s="3" t="s">
        <v>2089</v>
      </c>
      <c r="E172" s="5">
        <v>3977</v>
      </c>
      <c r="F172" t="s">
        <v>1244</v>
      </c>
      <c r="G172" t="s">
        <v>702</v>
      </c>
      <c r="H172" s="9">
        <v>7.99</v>
      </c>
      <c r="I172" s="5">
        <v>1</v>
      </c>
      <c r="J172" s="7" t="s">
        <v>970</v>
      </c>
      <c r="K172" s="7">
        <v>42748.047268518516</v>
      </c>
      <c r="L172" s="3" t="s">
        <v>970</v>
      </c>
      <c r="M172" s="7">
        <v>42748.047268518516</v>
      </c>
      <c r="N172" s="3" t="s">
        <v>970</v>
      </c>
      <c r="O172" s="16" t="str">
        <f>TEXT(DATEVALUE(LEFT(F172,10)),"mm-yyyy")</f>
        <v>01-2015</v>
      </c>
      <c r="P172" s="16">
        <f>H172*I172</f>
        <v>7.99</v>
      </c>
    </row>
    <row r="173" spans="3:16" x14ac:dyDescent="0.25">
      <c r="C173" t="str">
        <f>IF(COUNTBLANK(E173:N173) = 10,"",IF(AND(NOT(ISBLANK(E173)),COUNTBLANK(E173:N173) = 9),"3 Delete",IF(ISBLANK(E173),"2 Add",IF(JenkinsHashRange(E173:N173) = "1784250099","0 Original","1 Modify"))))</f>
        <v>0 Original</v>
      </c>
      <c r="D173" s="3" t="s">
        <v>2090</v>
      </c>
      <c r="E173" s="5">
        <v>3978</v>
      </c>
      <c r="F173" t="s">
        <v>1244</v>
      </c>
      <c r="G173" t="s">
        <v>814</v>
      </c>
      <c r="H173" s="9">
        <v>9.99</v>
      </c>
      <c r="I173" s="5">
        <v>2</v>
      </c>
      <c r="J173" s="7" t="s">
        <v>970</v>
      </c>
      <c r="K173" s="7">
        <v>42748.047268518516</v>
      </c>
      <c r="L173" s="3" t="s">
        <v>970</v>
      </c>
      <c r="M173" s="7">
        <v>42748.047268518516</v>
      </c>
      <c r="N173" s="3" t="s">
        <v>970</v>
      </c>
      <c r="O173" s="16" t="str">
        <f>TEXT(DATEVALUE(LEFT(F173,10)),"mm-yyyy")</f>
        <v>01-2015</v>
      </c>
      <c r="P173" s="16">
        <f>H173*I173</f>
        <v>19.98</v>
      </c>
    </row>
    <row r="174" spans="3:16" x14ac:dyDescent="0.25">
      <c r="C174" t="str">
        <f>IF(COUNTBLANK(E174:N174) = 10,"",IF(AND(NOT(ISBLANK(E174)),COUNTBLANK(E174:N174) = 9),"3 Delete",IF(ISBLANK(E174),"2 Add",IF(JenkinsHashRange(E174:N174) = "863550001","0 Original","1 Modify"))))</f>
        <v>0 Original</v>
      </c>
      <c r="D174" s="3" t="s">
        <v>2091</v>
      </c>
      <c r="E174" s="5">
        <v>3979</v>
      </c>
      <c r="F174" t="s">
        <v>1244</v>
      </c>
      <c r="G174" t="s">
        <v>565</v>
      </c>
      <c r="H174" s="9">
        <v>5.99</v>
      </c>
      <c r="I174" s="5">
        <v>1</v>
      </c>
      <c r="J174" s="7" t="s">
        <v>970</v>
      </c>
      <c r="K174" s="7">
        <v>42748.047268518516</v>
      </c>
      <c r="L174" s="3" t="s">
        <v>970</v>
      </c>
      <c r="M174" s="7">
        <v>42748.047268518516</v>
      </c>
      <c r="N174" s="3" t="s">
        <v>970</v>
      </c>
      <c r="O174" s="16" t="str">
        <f>TEXT(DATEVALUE(LEFT(F174,10)),"mm-yyyy")</f>
        <v>01-2015</v>
      </c>
      <c r="P174" s="16">
        <f>H174*I174</f>
        <v>5.99</v>
      </c>
    </row>
    <row r="175" spans="3:16" x14ac:dyDescent="0.25">
      <c r="C175" t="str">
        <f>IF(COUNTBLANK(E175:N175) = 10,"",IF(AND(NOT(ISBLANK(E175)),COUNTBLANK(E175:N175) = 9),"3 Delete",IF(ISBLANK(E175),"2 Add",IF(JenkinsHashRange(E175:N175) = "135766443","0 Original","1 Modify"))))</f>
        <v>0 Original</v>
      </c>
      <c r="D175" s="3" t="s">
        <v>2092</v>
      </c>
      <c r="E175" s="5">
        <v>3989</v>
      </c>
      <c r="F175" t="s">
        <v>1245</v>
      </c>
      <c r="G175" t="s">
        <v>453</v>
      </c>
      <c r="H175" s="9">
        <v>8.99</v>
      </c>
      <c r="I175" s="5">
        <v>2</v>
      </c>
      <c r="J175" s="7" t="s">
        <v>970</v>
      </c>
      <c r="K175" s="7">
        <v>42748.047268518516</v>
      </c>
      <c r="L175" s="3" t="s">
        <v>970</v>
      </c>
      <c r="M175" s="7">
        <v>42748.047268518516</v>
      </c>
      <c r="N175" s="3" t="s">
        <v>970</v>
      </c>
      <c r="O175" s="16" t="str">
        <f>TEXT(DATEVALUE(LEFT(F175,10)),"mm-yyyy")</f>
        <v>01-2015</v>
      </c>
      <c r="P175" s="16">
        <f>H175*I175</f>
        <v>17.98</v>
      </c>
    </row>
    <row r="176" spans="3:16" x14ac:dyDescent="0.25">
      <c r="C176" t="str">
        <f>IF(COUNTBLANK(E176:N176) = 10,"",IF(AND(NOT(ISBLANK(E176)),COUNTBLANK(E176:N176) = 9),"3 Delete",IF(ISBLANK(E176),"2 Add",IF(JenkinsHashRange(E176:N176) = "1940164414","0 Original","1 Modify"))))</f>
        <v>0 Original</v>
      </c>
      <c r="D176" s="3" t="s">
        <v>2093</v>
      </c>
      <c r="E176" s="5">
        <v>3990</v>
      </c>
      <c r="F176" t="s">
        <v>1245</v>
      </c>
      <c r="G176" t="s">
        <v>904</v>
      </c>
      <c r="H176" s="9">
        <v>9.99</v>
      </c>
      <c r="I176" s="5">
        <v>1</v>
      </c>
      <c r="J176" s="7" t="s">
        <v>970</v>
      </c>
      <c r="K176" s="7">
        <v>42748.047268518516</v>
      </c>
      <c r="L176" s="3" t="s">
        <v>970</v>
      </c>
      <c r="M176" s="7">
        <v>42748.047268518516</v>
      </c>
      <c r="N176" s="3" t="s">
        <v>970</v>
      </c>
      <c r="O176" s="16" t="str">
        <f>TEXT(DATEVALUE(LEFT(F176,10)),"mm-yyyy")</f>
        <v>01-2015</v>
      </c>
      <c r="P176" s="16">
        <f>H176*I176</f>
        <v>9.99</v>
      </c>
    </row>
    <row r="177" spans="3:16" x14ac:dyDescent="0.25">
      <c r="C177" t="str">
        <f>IF(COUNTBLANK(E177:N177) = 10,"",IF(AND(NOT(ISBLANK(E177)),COUNTBLANK(E177:N177) = 9),"3 Delete",IF(ISBLANK(E177),"2 Add",IF(JenkinsHashRange(E177:N177) = "926409013","0 Original","1 Modify"))))</f>
        <v>0 Original</v>
      </c>
      <c r="D177" s="3" t="s">
        <v>1270</v>
      </c>
      <c r="E177" s="5">
        <v>59</v>
      </c>
      <c r="F177" t="s">
        <v>993</v>
      </c>
      <c r="G177" t="s">
        <v>696</v>
      </c>
      <c r="H177" s="9">
        <v>4.99</v>
      </c>
      <c r="I177" s="5">
        <v>1</v>
      </c>
      <c r="J177" s="7" t="s">
        <v>970</v>
      </c>
      <c r="K177" s="7">
        <v>42748.047268518516</v>
      </c>
      <c r="L177" s="3" t="s">
        <v>970</v>
      </c>
      <c r="M177" s="7">
        <v>42748.047268518516</v>
      </c>
      <c r="N177" s="3" t="s">
        <v>970</v>
      </c>
      <c r="O177" s="16" t="str">
        <f>TEXT(DATEVALUE(LEFT(F177,10)),"mm-yyyy")</f>
        <v>02-2015</v>
      </c>
      <c r="P177" s="16">
        <f>H177*I177</f>
        <v>4.99</v>
      </c>
    </row>
    <row r="178" spans="3:16" x14ac:dyDescent="0.25">
      <c r="C178" t="str">
        <f>IF(COUNTBLANK(E178:N178) = 10,"",IF(AND(NOT(ISBLANK(E178)),COUNTBLANK(E178:N178) = 9),"3 Delete",IF(ISBLANK(E178),"2 Add",IF(JenkinsHashRange(E178:N178) = "209601238","0 Original","1 Modify"))))</f>
        <v>0 Original</v>
      </c>
      <c r="D178" s="3" t="s">
        <v>1271</v>
      </c>
      <c r="E178" s="5">
        <v>60</v>
      </c>
      <c r="F178" t="s">
        <v>993</v>
      </c>
      <c r="G178" t="s">
        <v>801</v>
      </c>
      <c r="H178" s="9">
        <v>6.99</v>
      </c>
      <c r="I178" s="5">
        <v>1</v>
      </c>
      <c r="J178" s="7" t="s">
        <v>970</v>
      </c>
      <c r="K178" s="7">
        <v>42748.047268518516</v>
      </c>
      <c r="L178" s="3" t="s">
        <v>970</v>
      </c>
      <c r="M178" s="7">
        <v>42748.047268518516</v>
      </c>
      <c r="N178" s="3" t="s">
        <v>970</v>
      </c>
      <c r="O178" s="16" t="str">
        <f>TEXT(DATEVALUE(LEFT(F178,10)),"mm-yyyy")</f>
        <v>02-2015</v>
      </c>
      <c r="P178" s="16">
        <f>H178*I178</f>
        <v>6.99</v>
      </c>
    </row>
    <row r="179" spans="3:16" x14ac:dyDescent="0.25">
      <c r="C179" t="str">
        <f>IF(COUNTBLANK(E179:N179) = 10,"",IF(AND(NOT(ISBLANK(E179)),COUNTBLANK(E179:N179) = 9),"3 Delete",IF(ISBLANK(E179),"2 Add",IF(JenkinsHashRange(E179:N179) = "1902956837","0 Original","1 Modify"))))</f>
        <v>0 Original</v>
      </c>
      <c r="D179" s="3" t="s">
        <v>1272</v>
      </c>
      <c r="E179" s="5">
        <v>61</v>
      </c>
      <c r="F179" t="s">
        <v>993</v>
      </c>
      <c r="G179" t="s">
        <v>786</v>
      </c>
      <c r="H179" s="9">
        <v>8.99</v>
      </c>
      <c r="I179" s="5">
        <v>1</v>
      </c>
      <c r="J179" s="7" t="s">
        <v>970</v>
      </c>
      <c r="K179" s="7">
        <v>42748.047268518516</v>
      </c>
      <c r="L179" s="3" t="s">
        <v>970</v>
      </c>
      <c r="M179" s="7">
        <v>42748.047268518516</v>
      </c>
      <c r="N179" s="3" t="s">
        <v>970</v>
      </c>
      <c r="O179" s="16" t="str">
        <f>TEXT(DATEVALUE(LEFT(F179,10)),"mm-yyyy")</f>
        <v>02-2015</v>
      </c>
      <c r="P179" s="16">
        <f>H179*I179</f>
        <v>8.99</v>
      </c>
    </row>
    <row r="180" spans="3:16" x14ac:dyDescent="0.25">
      <c r="C180" t="str">
        <f>IF(COUNTBLANK(E180:N180) = 10,"",IF(AND(NOT(ISBLANK(E180)),COUNTBLANK(E180:N180) = 9),"3 Delete",IF(ISBLANK(E180),"2 Add",IF(JenkinsHashRange(E180:N180) = "1137348035","0 Original","1 Modify"))))</f>
        <v>0 Original</v>
      </c>
      <c r="D180" s="3" t="s">
        <v>1273</v>
      </c>
      <c r="E180" s="5">
        <v>62</v>
      </c>
      <c r="F180" t="s">
        <v>993</v>
      </c>
      <c r="G180" t="s">
        <v>874</v>
      </c>
      <c r="H180" s="9">
        <v>5.99</v>
      </c>
      <c r="I180" s="5">
        <v>2</v>
      </c>
      <c r="J180" s="7" t="s">
        <v>970</v>
      </c>
      <c r="K180" s="7">
        <v>42748.047268518516</v>
      </c>
      <c r="L180" s="3" t="s">
        <v>970</v>
      </c>
      <c r="M180" s="7">
        <v>42748.047268518516</v>
      </c>
      <c r="N180" s="3" t="s">
        <v>970</v>
      </c>
      <c r="O180" s="16" t="str">
        <f>TEXT(DATEVALUE(LEFT(F180,10)),"mm-yyyy")</f>
        <v>02-2015</v>
      </c>
      <c r="P180" s="16">
        <f>H180*I180</f>
        <v>11.98</v>
      </c>
    </row>
    <row r="181" spans="3:16" x14ac:dyDescent="0.25">
      <c r="C181" t="str">
        <f>IF(COUNTBLANK(E181:N181) = 10,"",IF(AND(NOT(ISBLANK(E181)),COUNTBLANK(E181:N181) = 9),"3 Delete",IF(ISBLANK(E181),"2 Add",IF(JenkinsHashRange(E181:N181) = "1742742209","0 Original","1 Modify"))))</f>
        <v>0 Original</v>
      </c>
      <c r="D181" s="3" t="s">
        <v>1274</v>
      </c>
      <c r="E181" s="5">
        <v>63</v>
      </c>
      <c r="F181" t="s">
        <v>993</v>
      </c>
      <c r="G181" t="s">
        <v>582</v>
      </c>
      <c r="H181" s="9">
        <v>9.99</v>
      </c>
      <c r="I181" s="5">
        <v>2</v>
      </c>
      <c r="J181" s="7" t="s">
        <v>970</v>
      </c>
      <c r="K181" s="7">
        <v>42748.047268518516</v>
      </c>
      <c r="L181" s="3" t="s">
        <v>970</v>
      </c>
      <c r="M181" s="7">
        <v>42748.047268518516</v>
      </c>
      <c r="N181" s="3" t="s">
        <v>970</v>
      </c>
      <c r="O181" s="16" t="str">
        <f>TEXT(DATEVALUE(LEFT(F181,10)),"mm-yyyy")</f>
        <v>02-2015</v>
      </c>
      <c r="P181" s="16">
        <f>H181*I181</f>
        <v>19.98</v>
      </c>
    </row>
    <row r="182" spans="3:16" x14ac:dyDescent="0.25">
      <c r="C182" t="str">
        <f>IF(COUNTBLANK(E182:N182) = 10,"",IF(AND(NOT(ISBLANK(E182)),COUNTBLANK(E182:N182) = 9),"3 Delete",IF(ISBLANK(E182),"2 Add",IF(JenkinsHashRange(E182:N182) = "525507523","0 Original","1 Modify"))))</f>
        <v>0 Original</v>
      </c>
      <c r="D182" s="3" t="s">
        <v>1275</v>
      </c>
      <c r="E182" s="5">
        <v>64</v>
      </c>
      <c r="F182" t="s">
        <v>993</v>
      </c>
      <c r="G182" t="s">
        <v>934</v>
      </c>
      <c r="H182" s="9">
        <v>5.99</v>
      </c>
      <c r="I182" s="5">
        <v>1</v>
      </c>
      <c r="J182" s="7" t="s">
        <v>970</v>
      </c>
      <c r="K182" s="7">
        <v>42748.047268518516</v>
      </c>
      <c r="L182" s="3" t="s">
        <v>970</v>
      </c>
      <c r="M182" s="7">
        <v>42748.047268518516</v>
      </c>
      <c r="N182" s="3" t="s">
        <v>970</v>
      </c>
      <c r="O182" s="16" t="str">
        <f>TEXT(DATEVALUE(LEFT(F182,10)),"mm-yyyy")</f>
        <v>02-2015</v>
      </c>
      <c r="P182" s="16">
        <f>H182*I182</f>
        <v>5.99</v>
      </c>
    </row>
    <row r="183" spans="3:16" x14ac:dyDescent="0.25">
      <c r="C183" t="str">
        <f>IF(COUNTBLANK(E183:N183) = 10,"",IF(AND(NOT(ISBLANK(E183)),COUNTBLANK(E183:N183) = 9),"3 Delete",IF(ISBLANK(E183),"2 Add",IF(JenkinsHashRange(E183:N183) = "809223296","0 Original","1 Modify"))))</f>
        <v>0 Original</v>
      </c>
      <c r="D183" s="3" t="s">
        <v>1316</v>
      </c>
      <c r="E183" s="5">
        <v>308</v>
      </c>
      <c r="F183" t="s">
        <v>1008</v>
      </c>
      <c r="G183" t="s">
        <v>823</v>
      </c>
      <c r="H183" s="9">
        <v>7.99</v>
      </c>
      <c r="I183" s="5">
        <v>1</v>
      </c>
      <c r="J183" s="7" t="s">
        <v>970</v>
      </c>
      <c r="K183" s="7">
        <v>42748.047268518516</v>
      </c>
      <c r="L183" s="3" t="s">
        <v>970</v>
      </c>
      <c r="M183" s="7">
        <v>42748.047268518516</v>
      </c>
      <c r="N183" s="3" t="s">
        <v>970</v>
      </c>
      <c r="O183" s="16" t="str">
        <f>TEXT(DATEVALUE(LEFT(F183,10)),"mm-yyyy")</f>
        <v>02-2015</v>
      </c>
      <c r="P183" s="16">
        <f>H183*I183</f>
        <v>7.99</v>
      </c>
    </row>
    <row r="184" spans="3:16" x14ac:dyDescent="0.25">
      <c r="C184" t="str">
        <f>IF(COUNTBLANK(E184:N184) = 10,"",IF(AND(NOT(ISBLANK(E184)),COUNTBLANK(E184:N184) = 9),"3 Delete",IF(ISBLANK(E184),"2 Add",IF(JenkinsHashRange(E184:N184) = "108644433","0 Original","1 Modify"))))</f>
        <v>0 Original</v>
      </c>
      <c r="D184" s="3" t="s">
        <v>1317</v>
      </c>
      <c r="E184" s="5">
        <v>309</v>
      </c>
      <c r="F184" t="s">
        <v>1008</v>
      </c>
      <c r="G184" t="s">
        <v>846</v>
      </c>
      <c r="H184" s="9">
        <v>8.99</v>
      </c>
      <c r="I184" s="5">
        <v>2</v>
      </c>
      <c r="J184" s="7" t="s">
        <v>970</v>
      </c>
      <c r="K184" s="7">
        <v>42748.047268518516</v>
      </c>
      <c r="L184" s="3" t="s">
        <v>970</v>
      </c>
      <c r="M184" s="7">
        <v>42748.047268518516</v>
      </c>
      <c r="N184" s="3" t="s">
        <v>970</v>
      </c>
      <c r="O184" s="16" t="str">
        <f>TEXT(DATEVALUE(LEFT(F184,10)),"mm-yyyy")</f>
        <v>02-2015</v>
      </c>
      <c r="P184" s="16">
        <f>H184*I184</f>
        <v>17.98</v>
      </c>
    </row>
    <row r="185" spans="3:16" x14ac:dyDescent="0.25">
      <c r="C185" t="str">
        <f>IF(COUNTBLANK(E185:N185) = 10,"",IF(AND(NOT(ISBLANK(E185)),COUNTBLANK(E185:N185) = 9),"3 Delete",IF(ISBLANK(E185),"2 Add",IF(JenkinsHashRange(E185:N185) = "1276461191","0 Original","1 Modify"))))</f>
        <v>0 Original</v>
      </c>
      <c r="D185" s="3" t="s">
        <v>1318</v>
      </c>
      <c r="E185" s="5">
        <v>310</v>
      </c>
      <c r="F185" t="s">
        <v>1008</v>
      </c>
      <c r="G185" t="s">
        <v>783</v>
      </c>
      <c r="H185" s="9">
        <v>6.99</v>
      </c>
      <c r="I185" s="5">
        <v>1</v>
      </c>
      <c r="J185" s="7" t="s">
        <v>970</v>
      </c>
      <c r="K185" s="7">
        <v>42748.047268518516</v>
      </c>
      <c r="L185" s="3" t="s">
        <v>970</v>
      </c>
      <c r="M185" s="7">
        <v>42748.047268518516</v>
      </c>
      <c r="N185" s="3" t="s">
        <v>970</v>
      </c>
      <c r="O185" s="16" t="str">
        <f>TEXT(DATEVALUE(LEFT(F185,10)),"mm-yyyy")</f>
        <v>02-2015</v>
      </c>
      <c r="P185" s="16">
        <f>H185*I185</f>
        <v>6.99</v>
      </c>
    </row>
    <row r="186" spans="3:16" x14ac:dyDescent="0.25">
      <c r="C186" t="str">
        <f>IF(COUNTBLANK(E186:N186) = 10,"",IF(AND(NOT(ISBLANK(E186)),COUNTBLANK(E186:N186) = 9),"3 Delete",IF(ISBLANK(E186),"2 Add",IF(JenkinsHashRange(E186:N186) = "708193324","0 Original","1 Modify"))))</f>
        <v>0 Original</v>
      </c>
      <c r="D186" s="3" t="s">
        <v>1319</v>
      </c>
      <c r="E186" s="5">
        <v>311</v>
      </c>
      <c r="F186" t="s">
        <v>1008</v>
      </c>
      <c r="G186" t="s">
        <v>874</v>
      </c>
      <c r="H186" s="9">
        <v>5.99</v>
      </c>
      <c r="I186" s="5">
        <v>1</v>
      </c>
      <c r="J186" s="7" t="s">
        <v>970</v>
      </c>
      <c r="K186" s="7">
        <v>42748.047268518516</v>
      </c>
      <c r="L186" s="3" t="s">
        <v>970</v>
      </c>
      <c r="M186" s="7">
        <v>42748.047268518516</v>
      </c>
      <c r="N186" s="3" t="s">
        <v>970</v>
      </c>
      <c r="O186" s="16" t="str">
        <f>TEXT(DATEVALUE(LEFT(F186,10)),"mm-yyyy")</f>
        <v>02-2015</v>
      </c>
      <c r="P186" s="16">
        <f>H186*I186</f>
        <v>5.99</v>
      </c>
    </row>
    <row r="187" spans="3:16" x14ac:dyDescent="0.25">
      <c r="C187" t="str">
        <f>IF(COUNTBLANK(E187:N187) = 10,"",IF(AND(NOT(ISBLANK(E187)),COUNTBLANK(E187:N187) = 9),"3 Delete",IF(ISBLANK(E187),"2 Add",IF(JenkinsHashRange(E187:N187) = "622822798","0 Original","1 Modify"))))</f>
        <v>0 Original</v>
      </c>
      <c r="D187" s="3" t="s">
        <v>1322</v>
      </c>
      <c r="E187" s="5">
        <v>323</v>
      </c>
      <c r="F187" t="s">
        <v>1010</v>
      </c>
      <c r="G187" t="s">
        <v>659</v>
      </c>
      <c r="H187" s="9">
        <v>9.99</v>
      </c>
      <c r="I187" s="5">
        <v>1</v>
      </c>
      <c r="J187" s="7" t="s">
        <v>970</v>
      </c>
      <c r="K187" s="7">
        <v>42748.047268518516</v>
      </c>
      <c r="L187" s="3" t="s">
        <v>970</v>
      </c>
      <c r="M187" s="7">
        <v>42748.047268518516</v>
      </c>
      <c r="N187" s="3" t="s">
        <v>970</v>
      </c>
      <c r="O187" s="16" t="str">
        <f>TEXT(DATEVALUE(LEFT(F187,10)),"mm-yyyy")</f>
        <v>02-2015</v>
      </c>
      <c r="P187" s="16">
        <f>H187*I187</f>
        <v>9.99</v>
      </c>
    </row>
    <row r="188" spans="3:16" x14ac:dyDescent="0.25">
      <c r="C188" t="str">
        <f>IF(COUNTBLANK(E188:N188) = 10,"",IF(AND(NOT(ISBLANK(E188)),COUNTBLANK(E188:N188) = 9),"3 Delete",IF(ISBLANK(E188),"2 Add",IF(JenkinsHashRange(E188:N188) = "118810233","0 Original","1 Modify"))))</f>
        <v>0 Original</v>
      </c>
      <c r="D188" s="3" t="s">
        <v>1323</v>
      </c>
      <c r="E188" s="5">
        <v>324</v>
      </c>
      <c r="F188" t="s">
        <v>1010</v>
      </c>
      <c r="G188" t="s">
        <v>585</v>
      </c>
      <c r="H188" s="9">
        <v>8.99</v>
      </c>
      <c r="I188" s="5">
        <v>1</v>
      </c>
      <c r="J188" s="7" t="s">
        <v>970</v>
      </c>
      <c r="K188" s="7">
        <v>42748.047268518516</v>
      </c>
      <c r="L188" s="3" t="s">
        <v>970</v>
      </c>
      <c r="M188" s="7">
        <v>42748.047268518516</v>
      </c>
      <c r="N188" s="3" t="s">
        <v>970</v>
      </c>
      <c r="O188" s="16" t="str">
        <f>TEXT(DATEVALUE(LEFT(F188,10)),"mm-yyyy")</f>
        <v>02-2015</v>
      </c>
      <c r="P188" s="16">
        <f>H188*I188</f>
        <v>8.99</v>
      </c>
    </row>
    <row r="189" spans="3:16" x14ac:dyDescent="0.25">
      <c r="C189" t="str">
        <f>IF(COUNTBLANK(E189:N189) = 10,"",IF(AND(NOT(ISBLANK(E189)),COUNTBLANK(E189:N189) = 9),"3 Delete",IF(ISBLANK(E189),"2 Add",IF(JenkinsHashRange(E189:N189) = "1610009412","0 Original","1 Modify"))))</f>
        <v>0 Original</v>
      </c>
      <c r="D189" s="3" t="s">
        <v>1324</v>
      </c>
      <c r="E189" s="5">
        <v>325</v>
      </c>
      <c r="F189" t="s">
        <v>1010</v>
      </c>
      <c r="G189" t="s">
        <v>553</v>
      </c>
      <c r="H189" s="9">
        <v>9.99</v>
      </c>
      <c r="I189" s="5">
        <v>1</v>
      </c>
      <c r="J189" s="7" t="s">
        <v>970</v>
      </c>
      <c r="K189" s="7">
        <v>42748.047268518516</v>
      </c>
      <c r="L189" s="3" t="s">
        <v>970</v>
      </c>
      <c r="M189" s="7">
        <v>42748.047268518516</v>
      </c>
      <c r="N189" s="3" t="s">
        <v>970</v>
      </c>
      <c r="O189" s="16" t="str">
        <f>TEXT(DATEVALUE(LEFT(F189,10)),"mm-yyyy")</f>
        <v>02-2015</v>
      </c>
      <c r="P189" s="16">
        <f>H189*I189</f>
        <v>9.99</v>
      </c>
    </row>
    <row r="190" spans="3:16" x14ac:dyDescent="0.25">
      <c r="C190" t="str">
        <f>IF(COUNTBLANK(E190:N190) = 10,"",IF(AND(NOT(ISBLANK(E190)),COUNTBLANK(E190:N190) = 9),"3 Delete",IF(ISBLANK(E190),"2 Add",IF(JenkinsHashRange(E190:N190) = "1638153149","0 Original","1 Modify"))))</f>
        <v>0 Original</v>
      </c>
      <c r="D190" s="3" t="s">
        <v>1338</v>
      </c>
      <c r="E190" s="5">
        <v>488</v>
      </c>
      <c r="F190" t="s">
        <v>1016</v>
      </c>
      <c r="G190" t="s">
        <v>814</v>
      </c>
      <c r="H190" s="9">
        <v>9.99</v>
      </c>
      <c r="I190" s="5">
        <v>1</v>
      </c>
      <c r="J190" s="7" t="s">
        <v>970</v>
      </c>
      <c r="K190" s="7">
        <v>42748.047268518516</v>
      </c>
      <c r="L190" s="3" t="s">
        <v>970</v>
      </c>
      <c r="M190" s="7">
        <v>42748.047268518516</v>
      </c>
      <c r="N190" s="3" t="s">
        <v>970</v>
      </c>
      <c r="O190" s="16" t="str">
        <f>TEXT(DATEVALUE(LEFT(F190,10)),"mm-yyyy")</f>
        <v>02-2015</v>
      </c>
      <c r="P190" s="16">
        <f>H190*I190</f>
        <v>9.99</v>
      </c>
    </row>
    <row r="191" spans="3:16" x14ac:dyDescent="0.25">
      <c r="C191" t="str">
        <f>IF(COUNTBLANK(E191:N191) = 10,"",IF(AND(NOT(ISBLANK(E191)),COUNTBLANK(E191:N191) = 9),"3 Delete",IF(ISBLANK(E191),"2 Add",IF(JenkinsHashRange(E191:N191) = "1082472529","0 Original","1 Modify"))))</f>
        <v>0 Original</v>
      </c>
      <c r="D191" s="3" t="s">
        <v>1339</v>
      </c>
      <c r="E191" s="5">
        <v>489</v>
      </c>
      <c r="F191" t="s">
        <v>1016</v>
      </c>
      <c r="G191" t="s">
        <v>561</v>
      </c>
      <c r="H191" s="9">
        <v>5.99</v>
      </c>
      <c r="I191" s="5">
        <v>2</v>
      </c>
      <c r="J191" s="7" t="s">
        <v>970</v>
      </c>
      <c r="K191" s="7">
        <v>42748.047268518516</v>
      </c>
      <c r="L191" s="3" t="s">
        <v>970</v>
      </c>
      <c r="M191" s="7">
        <v>42748.047268518516</v>
      </c>
      <c r="N191" s="3" t="s">
        <v>970</v>
      </c>
      <c r="O191" s="16" t="str">
        <f>TEXT(DATEVALUE(LEFT(F191,10)),"mm-yyyy")</f>
        <v>02-2015</v>
      </c>
      <c r="P191" s="16">
        <f>H191*I191</f>
        <v>11.98</v>
      </c>
    </row>
    <row r="192" spans="3:16" x14ac:dyDescent="0.25">
      <c r="C192" t="str">
        <f>IF(COUNTBLANK(E192:N192) = 10,"",IF(AND(NOT(ISBLANK(E192)),COUNTBLANK(E192:N192) = 9),"3 Delete",IF(ISBLANK(E192),"2 Add",IF(JenkinsHashRange(E192:N192) = "2143385377","0 Original","1 Modify"))))</f>
        <v>0 Original</v>
      </c>
      <c r="D192" s="3" t="s">
        <v>1373</v>
      </c>
      <c r="E192" s="5">
        <v>708</v>
      </c>
      <c r="F192" t="s">
        <v>1026</v>
      </c>
      <c r="G192" t="s">
        <v>673</v>
      </c>
      <c r="H192" s="9">
        <v>5.99</v>
      </c>
      <c r="I192" s="5">
        <v>1</v>
      </c>
      <c r="J192" s="7" t="s">
        <v>970</v>
      </c>
      <c r="K192" s="7">
        <v>42748.047268518516</v>
      </c>
      <c r="L192" s="3" t="s">
        <v>970</v>
      </c>
      <c r="M192" s="7">
        <v>42748.047268518516</v>
      </c>
      <c r="N192" s="3" t="s">
        <v>970</v>
      </c>
      <c r="O192" s="16" t="str">
        <f>TEXT(DATEVALUE(LEFT(F192,10)),"mm-yyyy")</f>
        <v>02-2015</v>
      </c>
      <c r="P192" s="16">
        <f>H192*I192</f>
        <v>5.99</v>
      </c>
    </row>
    <row r="193" spans="3:16" x14ac:dyDescent="0.25">
      <c r="C193" t="str">
        <f>IF(COUNTBLANK(E193:N193) = 10,"",IF(AND(NOT(ISBLANK(E193)),COUNTBLANK(E193:N193) = 9),"3 Delete",IF(ISBLANK(E193),"2 Add",IF(JenkinsHashRange(E193:N193) = "1974960823","0 Original","1 Modify"))))</f>
        <v>0 Original</v>
      </c>
      <c r="D193" s="3" t="s">
        <v>1374</v>
      </c>
      <c r="E193" s="5">
        <v>709</v>
      </c>
      <c r="F193" t="s">
        <v>1026</v>
      </c>
      <c r="G193" t="s">
        <v>927</v>
      </c>
      <c r="H193" s="9">
        <v>9.99</v>
      </c>
      <c r="I193" s="5">
        <v>1</v>
      </c>
      <c r="J193" s="7" t="s">
        <v>970</v>
      </c>
      <c r="K193" s="7">
        <v>42748.047268518516</v>
      </c>
      <c r="L193" s="3" t="s">
        <v>970</v>
      </c>
      <c r="M193" s="7">
        <v>42748.047268518516</v>
      </c>
      <c r="N193" s="3" t="s">
        <v>970</v>
      </c>
      <c r="O193" s="16" t="str">
        <f>TEXT(DATEVALUE(LEFT(F193,10)),"mm-yyyy")</f>
        <v>02-2015</v>
      </c>
      <c r="P193" s="16">
        <f>H193*I193</f>
        <v>9.99</v>
      </c>
    </row>
    <row r="194" spans="3:16" x14ac:dyDescent="0.25">
      <c r="C194" t="str">
        <f>IF(COUNTBLANK(E194:N194) = 10,"",IF(AND(NOT(ISBLANK(E194)),COUNTBLANK(E194:N194) = 9),"3 Delete",IF(ISBLANK(E194),"2 Add",IF(JenkinsHashRange(E194:N194) = "1718322844","0 Original","1 Modify"))))</f>
        <v>0 Original</v>
      </c>
      <c r="D194" s="3" t="s">
        <v>1387</v>
      </c>
      <c r="E194" s="5">
        <v>788</v>
      </c>
      <c r="F194" t="s">
        <v>1032</v>
      </c>
      <c r="G194" t="s">
        <v>604</v>
      </c>
      <c r="H194" s="9">
        <v>7.99</v>
      </c>
      <c r="I194" s="5">
        <v>2</v>
      </c>
      <c r="J194" s="7" t="s">
        <v>970</v>
      </c>
      <c r="K194" s="7">
        <v>42748.047268518516</v>
      </c>
      <c r="L194" s="3" t="s">
        <v>970</v>
      </c>
      <c r="M194" s="7">
        <v>42748.047268518516</v>
      </c>
      <c r="N194" s="3" t="s">
        <v>970</v>
      </c>
      <c r="O194" s="16" t="str">
        <f>TEXT(DATEVALUE(LEFT(F194,10)),"mm-yyyy")</f>
        <v>02-2015</v>
      </c>
      <c r="P194" s="16">
        <f>H194*I194</f>
        <v>15.98</v>
      </c>
    </row>
    <row r="195" spans="3:16" x14ac:dyDescent="0.25">
      <c r="C195" t="str">
        <f>IF(COUNTBLANK(E195:N195) = 10,"",IF(AND(NOT(ISBLANK(E195)),COUNTBLANK(E195:N195) = 9),"3 Delete",IF(ISBLANK(E195),"2 Add",IF(JenkinsHashRange(E195:N195) = "1200327968","0 Original","1 Modify"))))</f>
        <v>0 Original</v>
      </c>
      <c r="D195" s="3" t="s">
        <v>1388</v>
      </c>
      <c r="E195" s="5">
        <v>789</v>
      </c>
      <c r="F195" t="s">
        <v>1032</v>
      </c>
      <c r="G195" t="s">
        <v>927</v>
      </c>
      <c r="H195" s="9">
        <v>9.99</v>
      </c>
      <c r="I195" s="5">
        <v>1</v>
      </c>
      <c r="J195" s="7" t="s">
        <v>970</v>
      </c>
      <c r="K195" s="7">
        <v>42748.047268518516</v>
      </c>
      <c r="L195" s="3" t="s">
        <v>970</v>
      </c>
      <c r="M195" s="7">
        <v>42748.047268518516</v>
      </c>
      <c r="N195" s="3" t="s">
        <v>970</v>
      </c>
      <c r="O195" s="16" t="str">
        <f>TEXT(DATEVALUE(LEFT(F195,10)),"mm-yyyy")</f>
        <v>02-2015</v>
      </c>
      <c r="P195" s="16">
        <f>H195*I195</f>
        <v>9.99</v>
      </c>
    </row>
    <row r="196" spans="3:16" x14ac:dyDescent="0.25">
      <c r="C196" t="str">
        <f>IF(COUNTBLANK(E196:N196) = 10,"",IF(AND(NOT(ISBLANK(E196)),COUNTBLANK(E196:N196) = 9),"3 Delete",IF(ISBLANK(E196),"2 Add",IF(JenkinsHashRange(E196:N196) = "1913567853","0 Original","1 Modify"))))</f>
        <v>0 Original</v>
      </c>
      <c r="D196" s="3" t="s">
        <v>1389</v>
      </c>
      <c r="E196" s="5">
        <v>790</v>
      </c>
      <c r="F196" t="s">
        <v>1032</v>
      </c>
      <c r="G196" t="s">
        <v>457</v>
      </c>
      <c r="H196" s="9">
        <v>5.99</v>
      </c>
      <c r="I196" s="5">
        <v>1</v>
      </c>
      <c r="J196" s="7" t="s">
        <v>970</v>
      </c>
      <c r="K196" s="7">
        <v>42748.047268518516</v>
      </c>
      <c r="L196" s="3" t="s">
        <v>970</v>
      </c>
      <c r="M196" s="7">
        <v>42748.047268518516</v>
      </c>
      <c r="N196" s="3" t="s">
        <v>970</v>
      </c>
      <c r="O196" s="16" t="str">
        <f>TEXT(DATEVALUE(LEFT(F196,10)),"mm-yyyy")</f>
        <v>02-2015</v>
      </c>
      <c r="P196" s="16">
        <f>H196*I196</f>
        <v>5.99</v>
      </c>
    </row>
    <row r="197" spans="3:16" x14ac:dyDescent="0.25">
      <c r="C197" t="str">
        <f>IF(COUNTBLANK(E197:N197) = 10,"",IF(AND(NOT(ISBLANK(E197)),COUNTBLANK(E197:N197) = 9),"3 Delete",IF(ISBLANK(E197),"2 Add",IF(JenkinsHashRange(E197:N197) = "1259213560","0 Original","1 Modify"))))</f>
        <v>0 Original</v>
      </c>
      <c r="D197" s="3" t="s">
        <v>1390</v>
      </c>
      <c r="E197" s="5">
        <v>791</v>
      </c>
      <c r="F197" t="s">
        <v>1032</v>
      </c>
      <c r="G197" t="s">
        <v>804</v>
      </c>
      <c r="H197" s="9">
        <v>4.99</v>
      </c>
      <c r="I197" s="5">
        <v>1</v>
      </c>
      <c r="J197" s="7" t="s">
        <v>970</v>
      </c>
      <c r="K197" s="7">
        <v>42748.047268518516</v>
      </c>
      <c r="L197" s="3" t="s">
        <v>970</v>
      </c>
      <c r="M197" s="7">
        <v>42748.047268518516</v>
      </c>
      <c r="N197" s="3" t="s">
        <v>970</v>
      </c>
      <c r="O197" s="16" t="str">
        <f>TEXT(DATEVALUE(LEFT(F197,10)),"mm-yyyy")</f>
        <v>02-2015</v>
      </c>
      <c r="P197" s="16">
        <f>H197*I197</f>
        <v>4.99</v>
      </c>
    </row>
    <row r="198" spans="3:16" x14ac:dyDescent="0.25">
      <c r="C198" t="str">
        <f>IF(COUNTBLANK(E198:N198) = 10,"",IF(AND(NOT(ISBLANK(E198)),COUNTBLANK(E198:N198) = 9),"3 Delete",IF(ISBLANK(E198),"2 Add",IF(JenkinsHashRange(E198:N198) = "1582938387","0 Original","1 Modify"))))</f>
        <v>0 Original</v>
      </c>
      <c r="D198" s="3" t="s">
        <v>1391</v>
      </c>
      <c r="E198" s="5">
        <v>792</v>
      </c>
      <c r="F198" t="s">
        <v>1032</v>
      </c>
      <c r="G198" t="s">
        <v>600</v>
      </c>
      <c r="H198" s="9">
        <v>7.99</v>
      </c>
      <c r="I198" s="5">
        <v>1</v>
      </c>
      <c r="J198" s="7" t="s">
        <v>970</v>
      </c>
      <c r="K198" s="7">
        <v>42748.047268518516</v>
      </c>
      <c r="L198" s="3" t="s">
        <v>970</v>
      </c>
      <c r="M198" s="7">
        <v>42748.047268518516</v>
      </c>
      <c r="N198" s="3" t="s">
        <v>970</v>
      </c>
      <c r="O198" s="16" t="str">
        <f>TEXT(DATEVALUE(LEFT(F198,10)),"mm-yyyy")</f>
        <v>02-2015</v>
      </c>
      <c r="P198" s="16">
        <f>H198*I198</f>
        <v>7.99</v>
      </c>
    </row>
    <row r="199" spans="3:16" x14ac:dyDescent="0.25">
      <c r="C199" t="str">
        <f>IF(COUNTBLANK(E199:N199) = 10,"",IF(AND(NOT(ISBLANK(E199)),COUNTBLANK(E199:N199) = 9),"3 Delete",IF(ISBLANK(E199),"2 Add",IF(JenkinsHashRange(E199:N199) = "165445234","0 Original","1 Modify"))))</f>
        <v>0 Original</v>
      </c>
      <c r="D199" s="3" t="s">
        <v>1418</v>
      </c>
      <c r="E199" s="5">
        <v>869</v>
      </c>
      <c r="F199" t="s">
        <v>1040</v>
      </c>
      <c r="G199" t="s">
        <v>550</v>
      </c>
      <c r="H199" s="9">
        <v>8.99</v>
      </c>
      <c r="I199" s="5">
        <v>1</v>
      </c>
      <c r="J199" s="7" t="s">
        <v>970</v>
      </c>
      <c r="K199" s="7">
        <v>42748.047268518516</v>
      </c>
      <c r="L199" s="3" t="s">
        <v>970</v>
      </c>
      <c r="M199" s="7">
        <v>42748.047268518516</v>
      </c>
      <c r="N199" s="3" t="s">
        <v>970</v>
      </c>
      <c r="O199" s="16" t="str">
        <f>TEXT(DATEVALUE(LEFT(F199,10)),"mm-yyyy")</f>
        <v>02-2015</v>
      </c>
      <c r="P199" s="16">
        <f>H199*I199</f>
        <v>8.99</v>
      </c>
    </row>
    <row r="200" spans="3:16" x14ac:dyDescent="0.25">
      <c r="C200" t="str">
        <f>IF(COUNTBLANK(E200:N200) = 10,"",IF(AND(NOT(ISBLANK(E200)),COUNTBLANK(E200:N200) = 9),"3 Delete",IF(ISBLANK(E200),"2 Add",IF(JenkinsHashRange(E200:N200) = "281624631","0 Original","1 Modify"))))</f>
        <v>0 Original</v>
      </c>
      <c r="D200" s="3" t="s">
        <v>1419</v>
      </c>
      <c r="E200" s="5">
        <v>870</v>
      </c>
      <c r="F200" t="s">
        <v>1040</v>
      </c>
      <c r="G200" t="s">
        <v>840</v>
      </c>
      <c r="H200" s="9">
        <v>9.99</v>
      </c>
      <c r="I200" s="5">
        <v>1</v>
      </c>
      <c r="J200" s="7" t="s">
        <v>970</v>
      </c>
      <c r="K200" s="7">
        <v>42748.047268518516</v>
      </c>
      <c r="L200" s="3" t="s">
        <v>970</v>
      </c>
      <c r="M200" s="7">
        <v>42748.047268518516</v>
      </c>
      <c r="N200" s="3" t="s">
        <v>970</v>
      </c>
      <c r="O200" s="16" t="str">
        <f>TEXT(DATEVALUE(LEFT(F200,10)),"mm-yyyy")</f>
        <v>02-2015</v>
      </c>
      <c r="P200" s="16">
        <f>H200*I200</f>
        <v>9.99</v>
      </c>
    </row>
    <row r="201" spans="3:16" x14ac:dyDescent="0.25">
      <c r="C201" t="str">
        <f>IF(COUNTBLANK(E201:N201) = 10,"",IF(AND(NOT(ISBLANK(E201)),COUNTBLANK(E201:N201) = 9),"3 Delete",IF(ISBLANK(E201),"2 Add",IF(JenkinsHashRange(E201:N201) = "1753317625","0 Original","1 Modify"))))</f>
        <v>0 Original</v>
      </c>
      <c r="D201" s="3" t="s">
        <v>1420</v>
      </c>
      <c r="E201" s="5">
        <v>871</v>
      </c>
      <c r="F201" t="s">
        <v>1040</v>
      </c>
      <c r="G201" t="s">
        <v>804</v>
      </c>
      <c r="H201" s="9">
        <v>4.99</v>
      </c>
      <c r="I201" s="5">
        <v>1</v>
      </c>
      <c r="J201" s="7" t="s">
        <v>970</v>
      </c>
      <c r="K201" s="7">
        <v>42748.047268518516</v>
      </c>
      <c r="L201" s="3" t="s">
        <v>970</v>
      </c>
      <c r="M201" s="7">
        <v>42748.047268518516</v>
      </c>
      <c r="N201" s="3" t="s">
        <v>970</v>
      </c>
      <c r="O201" s="16" t="str">
        <f>TEXT(DATEVALUE(LEFT(F201,10)),"mm-yyyy")</f>
        <v>02-2015</v>
      </c>
      <c r="P201" s="16">
        <f>H201*I201</f>
        <v>4.99</v>
      </c>
    </row>
    <row r="202" spans="3:16" x14ac:dyDescent="0.25">
      <c r="C202" t="str">
        <f>IF(COUNTBLANK(E202:N202) = 10,"",IF(AND(NOT(ISBLANK(E202)),COUNTBLANK(E202:N202) = 9),"3 Delete",IF(ISBLANK(E202),"2 Add",IF(JenkinsHashRange(E202:N202) = "1965436841","0 Original","1 Modify"))))</f>
        <v>0 Original</v>
      </c>
      <c r="D202" s="3" t="s">
        <v>1425</v>
      </c>
      <c r="E202" s="5">
        <v>894</v>
      </c>
      <c r="F202" t="s">
        <v>1043</v>
      </c>
      <c r="G202" t="s">
        <v>450</v>
      </c>
      <c r="H202" s="9">
        <v>8.99</v>
      </c>
      <c r="I202" s="5">
        <v>1</v>
      </c>
      <c r="J202" s="7" t="s">
        <v>970</v>
      </c>
      <c r="K202" s="7">
        <v>42748.047268518516</v>
      </c>
      <c r="L202" s="3" t="s">
        <v>970</v>
      </c>
      <c r="M202" s="7">
        <v>42748.047268518516</v>
      </c>
      <c r="N202" s="3" t="s">
        <v>970</v>
      </c>
      <c r="O202" s="16" t="str">
        <f>TEXT(DATEVALUE(LEFT(F202,10)),"mm-yyyy")</f>
        <v>02-2015</v>
      </c>
      <c r="P202" s="16">
        <f>H202*I202</f>
        <v>8.99</v>
      </c>
    </row>
    <row r="203" spans="3:16" x14ac:dyDescent="0.25">
      <c r="C203" t="str">
        <f>IF(COUNTBLANK(E203:N203) = 10,"",IF(AND(NOT(ISBLANK(E203)),COUNTBLANK(E203:N203) = 9),"3 Delete",IF(ISBLANK(E203),"2 Add",IF(JenkinsHashRange(E203:N203) = "1717246441","0 Original","1 Modify"))))</f>
        <v>0 Original</v>
      </c>
      <c r="D203" s="3" t="s">
        <v>1426</v>
      </c>
      <c r="E203" s="5">
        <v>895</v>
      </c>
      <c r="F203" t="s">
        <v>1043</v>
      </c>
      <c r="G203" t="s">
        <v>733</v>
      </c>
      <c r="H203" s="9">
        <v>9.99</v>
      </c>
      <c r="I203" s="5">
        <v>1</v>
      </c>
      <c r="J203" s="7" t="s">
        <v>970</v>
      </c>
      <c r="K203" s="7">
        <v>42748.047268518516</v>
      </c>
      <c r="L203" s="3" t="s">
        <v>970</v>
      </c>
      <c r="M203" s="7">
        <v>42748.047268518516</v>
      </c>
      <c r="N203" s="3" t="s">
        <v>970</v>
      </c>
      <c r="O203" s="16" t="str">
        <f>TEXT(DATEVALUE(LEFT(F203,10)),"mm-yyyy")</f>
        <v>02-2015</v>
      </c>
      <c r="P203" s="16">
        <f>H203*I203</f>
        <v>9.99</v>
      </c>
    </row>
    <row r="204" spans="3:16" x14ac:dyDescent="0.25">
      <c r="C204" t="str">
        <f>IF(COUNTBLANK(E204:N204) = 10,"",IF(AND(NOT(ISBLANK(E204)),COUNTBLANK(E204:N204) = 9),"3 Delete",IF(ISBLANK(E204),"2 Add",IF(JenkinsHashRange(E204:N204) = "1852287396","0 Original","1 Modify"))))</f>
        <v>0 Original</v>
      </c>
      <c r="D204" s="3" t="s">
        <v>1427</v>
      </c>
      <c r="E204" s="5">
        <v>896</v>
      </c>
      <c r="F204" t="s">
        <v>1043</v>
      </c>
      <c r="G204" t="s">
        <v>407</v>
      </c>
      <c r="H204" s="9">
        <v>9.99</v>
      </c>
      <c r="I204" s="5">
        <v>1</v>
      </c>
      <c r="J204" s="7" t="s">
        <v>970</v>
      </c>
      <c r="K204" s="7">
        <v>42748.047268518516</v>
      </c>
      <c r="L204" s="3" t="s">
        <v>970</v>
      </c>
      <c r="M204" s="7">
        <v>42748.047268518516</v>
      </c>
      <c r="N204" s="3" t="s">
        <v>970</v>
      </c>
      <c r="O204" s="16" t="str">
        <f>TEXT(DATEVALUE(LEFT(F204,10)),"mm-yyyy")</f>
        <v>02-2015</v>
      </c>
      <c r="P204" s="16">
        <f>H204*I204</f>
        <v>9.99</v>
      </c>
    </row>
    <row r="205" spans="3:16" x14ac:dyDescent="0.25">
      <c r="C205" t="str">
        <f>IF(COUNTBLANK(E205:N205) = 10,"",IF(AND(NOT(ISBLANK(E205)),COUNTBLANK(E205:N205) = 9),"3 Delete",IF(ISBLANK(E205),"2 Add",IF(JenkinsHashRange(E205:N205) = "472257677","0 Original","1 Modify"))))</f>
        <v>0 Original</v>
      </c>
      <c r="D205" s="3" t="s">
        <v>1428</v>
      </c>
      <c r="E205" s="5">
        <v>897</v>
      </c>
      <c r="F205" t="s">
        <v>1043</v>
      </c>
      <c r="G205" t="s">
        <v>768</v>
      </c>
      <c r="H205" s="9">
        <v>6.99</v>
      </c>
      <c r="I205" s="5">
        <v>1</v>
      </c>
      <c r="J205" s="7" t="s">
        <v>970</v>
      </c>
      <c r="K205" s="7">
        <v>42748.047268518516</v>
      </c>
      <c r="L205" s="3" t="s">
        <v>970</v>
      </c>
      <c r="M205" s="7">
        <v>42748.047268518516</v>
      </c>
      <c r="N205" s="3" t="s">
        <v>970</v>
      </c>
      <c r="O205" s="16" t="str">
        <f>TEXT(DATEVALUE(LEFT(F205,10)),"mm-yyyy")</f>
        <v>02-2015</v>
      </c>
      <c r="P205" s="16">
        <f>H205*I205</f>
        <v>6.99</v>
      </c>
    </row>
    <row r="206" spans="3:16" x14ac:dyDescent="0.25">
      <c r="C206" t="str">
        <f>IF(COUNTBLANK(E206:N206) = 10,"",IF(AND(NOT(ISBLANK(E206)),COUNTBLANK(E206:N206) = 9),"3 Delete",IF(ISBLANK(E206),"2 Add",IF(JenkinsHashRange(E206:N206) = "974049557","0 Original","1 Modify"))))</f>
        <v>0 Original</v>
      </c>
      <c r="D206" s="3" t="s">
        <v>1429</v>
      </c>
      <c r="E206" s="5">
        <v>898</v>
      </c>
      <c r="F206" t="s">
        <v>1043</v>
      </c>
      <c r="G206" t="s">
        <v>820</v>
      </c>
      <c r="H206" s="9">
        <v>9.99</v>
      </c>
      <c r="I206" s="5">
        <v>2</v>
      </c>
      <c r="J206" s="7" t="s">
        <v>970</v>
      </c>
      <c r="K206" s="7">
        <v>42748.047268518516</v>
      </c>
      <c r="L206" s="3" t="s">
        <v>970</v>
      </c>
      <c r="M206" s="7">
        <v>42748.047268518516</v>
      </c>
      <c r="N206" s="3" t="s">
        <v>970</v>
      </c>
      <c r="O206" s="16" t="str">
        <f>TEXT(DATEVALUE(LEFT(F206,10)),"mm-yyyy")</f>
        <v>02-2015</v>
      </c>
      <c r="P206" s="16">
        <f>H206*I206</f>
        <v>19.98</v>
      </c>
    </row>
    <row r="207" spans="3:16" x14ac:dyDescent="0.25">
      <c r="C207" t="str">
        <f>IF(COUNTBLANK(E207:N207) = 10,"",IF(AND(NOT(ISBLANK(E207)),COUNTBLANK(E207:N207) = 9),"3 Delete",IF(ISBLANK(E207),"2 Add",IF(JenkinsHashRange(E207:N207) = "512480944","0 Original","1 Modify"))))</f>
        <v>0 Original</v>
      </c>
      <c r="D207" s="3" t="s">
        <v>1457</v>
      </c>
      <c r="E207" s="5">
        <v>1094</v>
      </c>
      <c r="F207" t="s">
        <v>1052</v>
      </c>
      <c r="G207" t="s">
        <v>600</v>
      </c>
      <c r="H207" s="9">
        <v>7.99</v>
      </c>
      <c r="I207" s="5">
        <v>2</v>
      </c>
      <c r="J207" s="7" t="s">
        <v>970</v>
      </c>
      <c r="K207" s="7">
        <v>42748.047268518516</v>
      </c>
      <c r="L207" s="3" t="s">
        <v>970</v>
      </c>
      <c r="M207" s="7">
        <v>42748.047268518516</v>
      </c>
      <c r="N207" s="3" t="s">
        <v>970</v>
      </c>
      <c r="O207" s="16" t="str">
        <f>TEXT(DATEVALUE(LEFT(F207,10)),"mm-yyyy")</f>
        <v>02-2015</v>
      </c>
      <c r="P207" s="16">
        <f>H207*I207</f>
        <v>15.98</v>
      </c>
    </row>
    <row r="208" spans="3:16" x14ac:dyDescent="0.25">
      <c r="C208" t="str">
        <f>IF(COUNTBLANK(E208:N208) = 10,"",IF(AND(NOT(ISBLANK(E208)),COUNTBLANK(E208:N208) = 9),"3 Delete",IF(ISBLANK(E208),"2 Add",IF(JenkinsHashRange(E208:N208) = "922490409","0 Original","1 Modify"))))</f>
        <v>0 Original</v>
      </c>
      <c r="D208" s="3" t="s">
        <v>1458</v>
      </c>
      <c r="E208" s="5">
        <v>1095</v>
      </c>
      <c r="F208" t="s">
        <v>1052</v>
      </c>
      <c r="G208" t="s">
        <v>643</v>
      </c>
      <c r="H208" s="9">
        <v>4.99</v>
      </c>
      <c r="I208" s="5">
        <v>1</v>
      </c>
      <c r="J208" s="7" t="s">
        <v>970</v>
      </c>
      <c r="K208" s="7">
        <v>42748.047268518516</v>
      </c>
      <c r="L208" s="3" t="s">
        <v>970</v>
      </c>
      <c r="M208" s="7">
        <v>42748.047268518516</v>
      </c>
      <c r="N208" s="3" t="s">
        <v>970</v>
      </c>
      <c r="O208" s="16" t="str">
        <f>TEXT(DATEVALUE(LEFT(F208,10)),"mm-yyyy")</f>
        <v>02-2015</v>
      </c>
      <c r="P208" s="16">
        <f>H208*I208</f>
        <v>4.99</v>
      </c>
    </row>
    <row r="209" spans="3:16" x14ac:dyDescent="0.25">
      <c r="C209" t="str">
        <f>IF(COUNTBLANK(E209:N209) = 10,"",IF(AND(NOT(ISBLANK(E209)),COUNTBLANK(E209:N209) = 9),"3 Delete",IF(ISBLANK(E209),"2 Add",IF(JenkinsHashRange(E209:N209) = "1455573877","0 Original","1 Modify"))))</f>
        <v>0 Original</v>
      </c>
      <c r="D209" s="3" t="s">
        <v>1459</v>
      </c>
      <c r="E209" s="5">
        <v>1096</v>
      </c>
      <c r="F209" t="s">
        <v>1052</v>
      </c>
      <c r="G209" t="s">
        <v>453</v>
      </c>
      <c r="H209" s="9">
        <v>8.99</v>
      </c>
      <c r="I209" s="5">
        <v>1</v>
      </c>
      <c r="J209" s="7" t="s">
        <v>970</v>
      </c>
      <c r="K209" s="7">
        <v>42748.047268518516</v>
      </c>
      <c r="L209" s="3" t="s">
        <v>970</v>
      </c>
      <c r="M209" s="7">
        <v>42748.047268518516</v>
      </c>
      <c r="N209" s="3" t="s">
        <v>970</v>
      </c>
      <c r="O209" s="16" t="str">
        <f>TEXT(DATEVALUE(LEFT(F209,10)),"mm-yyyy")</f>
        <v>02-2015</v>
      </c>
      <c r="P209" s="16">
        <f>H209*I209</f>
        <v>8.99</v>
      </c>
    </row>
    <row r="210" spans="3:16" x14ac:dyDescent="0.25">
      <c r="C210" t="str">
        <f>IF(COUNTBLANK(E210:N210) = 10,"",IF(AND(NOT(ISBLANK(E210)),COUNTBLANK(E210:N210) = 9),"3 Delete",IF(ISBLANK(E210),"2 Add",IF(JenkinsHashRange(E210:N210) = "385034002","0 Original","1 Modify"))))</f>
        <v>0 Original</v>
      </c>
      <c r="D210" s="3" t="s">
        <v>1466</v>
      </c>
      <c r="E210" s="5">
        <v>1134</v>
      </c>
      <c r="F210" t="s">
        <v>1055</v>
      </c>
      <c r="G210" t="s">
        <v>709</v>
      </c>
      <c r="H210" s="9">
        <v>6.99</v>
      </c>
      <c r="I210" s="5">
        <v>1</v>
      </c>
      <c r="J210" s="7" t="s">
        <v>970</v>
      </c>
      <c r="K210" s="7">
        <v>42748.047268518516</v>
      </c>
      <c r="L210" s="3" t="s">
        <v>970</v>
      </c>
      <c r="M210" s="7">
        <v>42748.047268518516</v>
      </c>
      <c r="N210" s="3" t="s">
        <v>970</v>
      </c>
      <c r="O210" s="16" t="str">
        <f>TEXT(DATEVALUE(LEFT(F210,10)),"mm-yyyy")</f>
        <v>02-2015</v>
      </c>
      <c r="P210" s="16">
        <f>H210*I210</f>
        <v>6.99</v>
      </c>
    </row>
    <row r="211" spans="3:16" x14ac:dyDescent="0.25">
      <c r="C211" t="str">
        <f>IF(COUNTBLANK(E211:N211) = 10,"",IF(AND(NOT(ISBLANK(E211)),COUNTBLANK(E211:N211) = 9),"3 Delete",IF(ISBLANK(E211),"2 Add",IF(JenkinsHashRange(E211:N211) = "1064906923","0 Original","1 Modify"))))</f>
        <v>0 Original</v>
      </c>
      <c r="D211" s="3" t="s">
        <v>1467</v>
      </c>
      <c r="E211" s="5">
        <v>1135</v>
      </c>
      <c r="F211" t="s">
        <v>1055</v>
      </c>
      <c r="G211" t="s">
        <v>673</v>
      </c>
      <c r="H211" s="9">
        <v>5.99</v>
      </c>
      <c r="I211" s="5">
        <v>1</v>
      </c>
      <c r="J211" s="7" t="s">
        <v>970</v>
      </c>
      <c r="K211" s="7">
        <v>42748.047268518516</v>
      </c>
      <c r="L211" s="3" t="s">
        <v>970</v>
      </c>
      <c r="M211" s="7">
        <v>42748.047268518516</v>
      </c>
      <c r="N211" s="3" t="s">
        <v>970</v>
      </c>
      <c r="O211" s="16" t="str">
        <f>TEXT(DATEVALUE(LEFT(F211,10)),"mm-yyyy")</f>
        <v>02-2015</v>
      </c>
      <c r="P211" s="16">
        <f>H211*I211</f>
        <v>5.99</v>
      </c>
    </row>
    <row r="212" spans="3:16" x14ac:dyDescent="0.25">
      <c r="C212" t="str">
        <f>IF(COUNTBLANK(E212:N212) = 10,"",IF(AND(NOT(ISBLANK(E212)),COUNTBLANK(E212:N212) = 9),"3 Delete",IF(ISBLANK(E212),"2 Add",IF(JenkinsHashRange(E212:N212) = "1320132363","0 Original","1 Modify"))))</f>
        <v>0 Original</v>
      </c>
      <c r="D212" s="3" t="s">
        <v>1468</v>
      </c>
      <c r="E212" s="5">
        <v>1136</v>
      </c>
      <c r="F212" t="s">
        <v>1055</v>
      </c>
      <c r="G212" t="s">
        <v>706</v>
      </c>
      <c r="H212" s="9">
        <v>9.99</v>
      </c>
      <c r="I212" s="5">
        <v>1</v>
      </c>
      <c r="J212" s="7" t="s">
        <v>970</v>
      </c>
      <c r="K212" s="7">
        <v>42748.047268518516</v>
      </c>
      <c r="L212" s="3" t="s">
        <v>970</v>
      </c>
      <c r="M212" s="7">
        <v>42748.047268518516</v>
      </c>
      <c r="N212" s="3" t="s">
        <v>970</v>
      </c>
      <c r="O212" s="16" t="str">
        <f>TEXT(DATEVALUE(LEFT(F212,10)),"mm-yyyy")</f>
        <v>02-2015</v>
      </c>
      <c r="P212" s="16">
        <f>H212*I212</f>
        <v>9.99</v>
      </c>
    </row>
    <row r="213" spans="3:16" x14ac:dyDescent="0.25">
      <c r="C213" t="str">
        <f>IF(COUNTBLANK(E213:N213) = 10,"",IF(AND(NOT(ISBLANK(E213)),COUNTBLANK(E213:N213) = 9),"3 Delete",IF(ISBLANK(E213),"2 Add",IF(JenkinsHashRange(E213:N213) = "800848065","0 Original","1 Modify"))))</f>
        <v>0 Original</v>
      </c>
      <c r="D213" s="3" t="s">
        <v>1469</v>
      </c>
      <c r="E213" s="5">
        <v>1137</v>
      </c>
      <c r="F213" t="s">
        <v>1055</v>
      </c>
      <c r="G213" t="s">
        <v>737</v>
      </c>
      <c r="H213" s="9">
        <v>9.99</v>
      </c>
      <c r="I213" s="5">
        <v>2</v>
      </c>
      <c r="J213" s="7" t="s">
        <v>970</v>
      </c>
      <c r="K213" s="7">
        <v>42748.047268518516</v>
      </c>
      <c r="L213" s="3" t="s">
        <v>970</v>
      </c>
      <c r="M213" s="7">
        <v>42748.047268518516</v>
      </c>
      <c r="N213" s="3" t="s">
        <v>970</v>
      </c>
      <c r="O213" s="16" t="str">
        <f>TEXT(DATEVALUE(LEFT(F213,10)),"mm-yyyy")</f>
        <v>02-2015</v>
      </c>
      <c r="P213" s="16">
        <f>H213*I213</f>
        <v>19.98</v>
      </c>
    </row>
    <row r="214" spans="3:16" x14ac:dyDescent="0.25">
      <c r="C214" t="str">
        <f>IF(COUNTBLANK(E214:N214) = 10,"",IF(AND(NOT(ISBLANK(E214)),COUNTBLANK(E214:N214) = 9),"3 Delete",IF(ISBLANK(E214),"2 Add",IF(JenkinsHashRange(E214:N214) = "145730950","0 Original","1 Modify"))))</f>
        <v>0 Original</v>
      </c>
      <c r="D214" s="3" t="s">
        <v>1470</v>
      </c>
      <c r="E214" s="5">
        <v>1138</v>
      </c>
      <c r="F214" t="s">
        <v>1055</v>
      </c>
      <c r="G214" t="s">
        <v>927</v>
      </c>
      <c r="H214" s="9">
        <v>9.99</v>
      </c>
      <c r="I214" s="5">
        <v>1</v>
      </c>
      <c r="J214" s="7" t="s">
        <v>970</v>
      </c>
      <c r="K214" s="7">
        <v>42748.047268518516</v>
      </c>
      <c r="L214" s="3" t="s">
        <v>970</v>
      </c>
      <c r="M214" s="7">
        <v>42748.047268518516</v>
      </c>
      <c r="N214" s="3" t="s">
        <v>970</v>
      </c>
      <c r="O214" s="16" t="str">
        <f>TEXT(DATEVALUE(LEFT(F214,10)),"mm-yyyy")</f>
        <v>02-2015</v>
      </c>
      <c r="P214" s="16">
        <f>H214*I214</f>
        <v>9.99</v>
      </c>
    </row>
    <row r="215" spans="3:16" x14ac:dyDescent="0.25">
      <c r="C215" t="str">
        <f>IF(COUNTBLANK(E215:N215) = 10,"",IF(AND(NOT(ISBLANK(E215)),COUNTBLANK(E215:N215) = 9),"3 Delete",IF(ISBLANK(E215),"2 Add",IF(JenkinsHashRange(E215:N215) = "978543780","0 Original","1 Modify"))))</f>
        <v>0 Original</v>
      </c>
      <c r="D215" s="3" t="s">
        <v>1471</v>
      </c>
      <c r="E215" s="5">
        <v>1139</v>
      </c>
      <c r="F215" t="s">
        <v>1055</v>
      </c>
      <c r="G215" t="s">
        <v>393</v>
      </c>
      <c r="H215" s="9">
        <v>6.99</v>
      </c>
      <c r="I215" s="5">
        <v>1</v>
      </c>
      <c r="J215" s="7" t="s">
        <v>970</v>
      </c>
      <c r="K215" s="7">
        <v>42748.047268518516</v>
      </c>
      <c r="L215" s="3" t="s">
        <v>970</v>
      </c>
      <c r="M215" s="7">
        <v>42748.047268518516</v>
      </c>
      <c r="N215" s="3" t="s">
        <v>970</v>
      </c>
      <c r="O215" s="16" t="str">
        <f>TEXT(DATEVALUE(LEFT(F215,10)),"mm-yyyy")</f>
        <v>02-2015</v>
      </c>
      <c r="P215" s="16">
        <f>H215*I215</f>
        <v>6.99</v>
      </c>
    </row>
    <row r="216" spans="3:16" x14ac:dyDescent="0.25">
      <c r="C216" t="str">
        <f>IF(COUNTBLANK(E216:N216) = 10,"",IF(AND(NOT(ISBLANK(E216)),COUNTBLANK(E216:N216) = 9),"3 Delete",IF(ISBLANK(E216),"2 Add",IF(JenkinsHashRange(E216:N216) = "2144044295","0 Original","1 Modify"))))</f>
        <v>0 Original</v>
      </c>
      <c r="D216" s="3" t="s">
        <v>1472</v>
      </c>
      <c r="E216" s="5">
        <v>1140</v>
      </c>
      <c r="F216" t="s">
        <v>1055</v>
      </c>
      <c r="G216" t="s">
        <v>920</v>
      </c>
      <c r="H216" s="9">
        <v>5.99</v>
      </c>
      <c r="I216" s="5">
        <v>1</v>
      </c>
      <c r="J216" s="7" t="s">
        <v>970</v>
      </c>
      <c r="K216" s="7">
        <v>42748.047268518516</v>
      </c>
      <c r="L216" s="3" t="s">
        <v>970</v>
      </c>
      <c r="M216" s="7">
        <v>42748.047268518516</v>
      </c>
      <c r="N216" s="3" t="s">
        <v>970</v>
      </c>
      <c r="O216" s="16" t="str">
        <f>TEXT(DATEVALUE(LEFT(F216,10)),"mm-yyyy")</f>
        <v>02-2015</v>
      </c>
      <c r="P216" s="16">
        <f>H216*I216</f>
        <v>5.99</v>
      </c>
    </row>
    <row r="217" spans="3:16" x14ac:dyDescent="0.25">
      <c r="C217" t="str">
        <f>IF(COUNTBLANK(E217:N217) = 10,"",IF(AND(NOT(ISBLANK(E217)),COUNTBLANK(E217:N217) = 9),"3 Delete",IF(ISBLANK(E217),"2 Add",IF(JenkinsHashRange(E217:N217) = "1983351946","0 Original","1 Modify"))))</f>
        <v>0 Original</v>
      </c>
      <c r="D217" s="3" t="s">
        <v>1473</v>
      </c>
      <c r="E217" s="5">
        <v>1152</v>
      </c>
      <c r="F217" t="s">
        <v>1056</v>
      </c>
      <c r="G217" t="s">
        <v>892</v>
      </c>
      <c r="H217" s="9">
        <v>8.99</v>
      </c>
      <c r="I217" s="5">
        <v>1</v>
      </c>
      <c r="J217" s="7" t="s">
        <v>970</v>
      </c>
      <c r="K217" s="7">
        <v>42748.047268518516</v>
      </c>
      <c r="L217" s="3" t="s">
        <v>970</v>
      </c>
      <c r="M217" s="7">
        <v>42748.047268518516</v>
      </c>
      <c r="N217" s="3" t="s">
        <v>970</v>
      </c>
      <c r="O217" s="16" t="str">
        <f>TEXT(DATEVALUE(LEFT(F217,10)),"mm-yyyy")</f>
        <v>02-2015</v>
      </c>
      <c r="P217" s="16">
        <f>H217*I217</f>
        <v>8.99</v>
      </c>
    </row>
    <row r="218" spans="3:16" x14ac:dyDescent="0.25">
      <c r="C218" t="str">
        <f>IF(COUNTBLANK(E218:N218) = 10,"",IF(AND(NOT(ISBLANK(E218)),COUNTBLANK(E218:N218) = 9),"3 Delete",IF(ISBLANK(E218),"2 Add",IF(JenkinsHashRange(E218:N218) = "575648398","0 Original","1 Modify"))))</f>
        <v>0 Original</v>
      </c>
      <c r="D218" s="3" t="s">
        <v>1474</v>
      </c>
      <c r="E218" s="5">
        <v>1153</v>
      </c>
      <c r="F218" t="s">
        <v>1056</v>
      </c>
      <c r="G218" t="s">
        <v>772</v>
      </c>
      <c r="H218" s="9">
        <v>4.99</v>
      </c>
      <c r="I218" s="5">
        <v>2</v>
      </c>
      <c r="J218" s="7" t="s">
        <v>970</v>
      </c>
      <c r="K218" s="7">
        <v>42748.047268518516</v>
      </c>
      <c r="L218" s="3" t="s">
        <v>970</v>
      </c>
      <c r="M218" s="7">
        <v>42748.047268518516</v>
      </c>
      <c r="N218" s="3" t="s">
        <v>970</v>
      </c>
      <c r="O218" s="16" t="str">
        <f>TEXT(DATEVALUE(LEFT(F218,10)),"mm-yyyy")</f>
        <v>02-2015</v>
      </c>
      <c r="P218" s="16">
        <f>H218*I218</f>
        <v>9.98</v>
      </c>
    </row>
    <row r="219" spans="3:16" x14ac:dyDescent="0.25">
      <c r="C219" t="str">
        <f>IF(COUNTBLANK(E219:N219) = 10,"",IF(AND(NOT(ISBLANK(E219)),COUNTBLANK(E219:N219) = 9),"3 Delete",IF(ISBLANK(E219),"2 Add",IF(JenkinsHashRange(E219:N219) = "1088788547","0 Original","1 Modify"))))</f>
        <v>0 Original</v>
      </c>
      <c r="D219" s="3" t="s">
        <v>1483</v>
      </c>
      <c r="E219" s="5">
        <v>1215</v>
      </c>
      <c r="F219" t="s">
        <v>1060</v>
      </c>
      <c r="G219" t="s">
        <v>846</v>
      </c>
      <c r="H219" s="9">
        <v>8.99</v>
      </c>
      <c r="I219" s="5">
        <v>1</v>
      </c>
      <c r="J219" s="7" t="s">
        <v>970</v>
      </c>
      <c r="K219" s="7">
        <v>42748.047268518516</v>
      </c>
      <c r="L219" s="3" t="s">
        <v>970</v>
      </c>
      <c r="M219" s="7">
        <v>42748.047268518516</v>
      </c>
      <c r="N219" s="3" t="s">
        <v>970</v>
      </c>
      <c r="O219" s="16" t="str">
        <f>TEXT(DATEVALUE(LEFT(F219,10)),"mm-yyyy")</f>
        <v>02-2015</v>
      </c>
      <c r="P219" s="16">
        <f>H219*I219</f>
        <v>8.99</v>
      </c>
    </row>
    <row r="220" spans="3:16" x14ac:dyDescent="0.25">
      <c r="C220" t="str">
        <f>IF(COUNTBLANK(E220:N220) = 10,"",IF(AND(NOT(ISBLANK(E220)),COUNTBLANK(E220:N220) = 9),"3 Delete",IF(ISBLANK(E220),"2 Add",IF(JenkinsHashRange(E220:N220) = "577155132","0 Original","1 Modify"))))</f>
        <v>0 Original</v>
      </c>
      <c r="D220" s="3" t="s">
        <v>1484</v>
      </c>
      <c r="E220" s="5">
        <v>1216</v>
      </c>
      <c r="F220" t="s">
        <v>1060</v>
      </c>
      <c r="G220" t="s">
        <v>435</v>
      </c>
      <c r="H220" s="9">
        <v>8.99</v>
      </c>
      <c r="I220" s="5">
        <v>1</v>
      </c>
      <c r="J220" s="7" t="s">
        <v>970</v>
      </c>
      <c r="K220" s="7">
        <v>42748.047268518516</v>
      </c>
      <c r="L220" s="3" t="s">
        <v>970</v>
      </c>
      <c r="M220" s="7">
        <v>42748.047268518516</v>
      </c>
      <c r="N220" s="3" t="s">
        <v>970</v>
      </c>
      <c r="O220" s="16" t="str">
        <f>TEXT(DATEVALUE(LEFT(F220,10)),"mm-yyyy")</f>
        <v>02-2015</v>
      </c>
      <c r="P220" s="16">
        <f>H220*I220</f>
        <v>8.99</v>
      </c>
    </row>
    <row r="221" spans="3:16" x14ac:dyDescent="0.25">
      <c r="C221" t="str">
        <f>IF(COUNTBLANK(E221:N221) = 10,"",IF(AND(NOT(ISBLANK(E221)),COUNTBLANK(E221:N221) = 9),"3 Delete",IF(ISBLANK(E221),"2 Add",IF(JenkinsHashRange(E221:N221) = "7643476","0 Original","1 Modify"))))</f>
        <v>0 Original</v>
      </c>
      <c r="D221" s="3" t="s">
        <v>1485</v>
      </c>
      <c r="E221" s="5">
        <v>1217</v>
      </c>
      <c r="F221" t="s">
        <v>1060</v>
      </c>
      <c r="G221" t="s">
        <v>883</v>
      </c>
      <c r="H221" s="9">
        <v>4.99</v>
      </c>
      <c r="I221" s="5">
        <v>1</v>
      </c>
      <c r="J221" s="7" t="s">
        <v>970</v>
      </c>
      <c r="K221" s="7">
        <v>42748.047268518516</v>
      </c>
      <c r="L221" s="3" t="s">
        <v>970</v>
      </c>
      <c r="M221" s="7">
        <v>42748.047268518516</v>
      </c>
      <c r="N221" s="3" t="s">
        <v>970</v>
      </c>
      <c r="O221" s="16" t="str">
        <f>TEXT(DATEVALUE(LEFT(F221,10)),"mm-yyyy")</f>
        <v>02-2015</v>
      </c>
      <c r="P221" s="16">
        <f>H221*I221</f>
        <v>4.99</v>
      </c>
    </row>
    <row r="222" spans="3:16" x14ac:dyDescent="0.25">
      <c r="C222" t="str">
        <f>IF(COUNTBLANK(E222:N222) = 10,"",IF(AND(NOT(ISBLANK(E222)),COUNTBLANK(E222:N222) = 9),"3 Delete",IF(ISBLANK(E222),"2 Add",IF(JenkinsHashRange(E222:N222) = "556163708","0 Original","1 Modify"))))</f>
        <v>0 Original</v>
      </c>
      <c r="D222" s="3" t="s">
        <v>1486</v>
      </c>
      <c r="E222" s="5">
        <v>1218</v>
      </c>
      <c r="F222" t="s">
        <v>1060</v>
      </c>
      <c r="G222" t="s">
        <v>659</v>
      </c>
      <c r="H222" s="9">
        <v>9.99</v>
      </c>
      <c r="I222" s="5">
        <v>2</v>
      </c>
      <c r="J222" s="7" t="s">
        <v>970</v>
      </c>
      <c r="K222" s="7">
        <v>42748.047268518516</v>
      </c>
      <c r="L222" s="3" t="s">
        <v>970</v>
      </c>
      <c r="M222" s="7">
        <v>42748.047268518516</v>
      </c>
      <c r="N222" s="3" t="s">
        <v>970</v>
      </c>
      <c r="O222" s="16" t="str">
        <f>TEXT(DATEVALUE(LEFT(F222,10)),"mm-yyyy")</f>
        <v>02-2015</v>
      </c>
      <c r="P222" s="16">
        <f>H222*I222</f>
        <v>19.98</v>
      </c>
    </row>
    <row r="223" spans="3:16" x14ac:dyDescent="0.25">
      <c r="C223" t="str">
        <f>IF(COUNTBLANK(E223:N223) = 10,"",IF(AND(NOT(ISBLANK(E223)),COUNTBLANK(E223:N223) = 9),"3 Delete",IF(ISBLANK(E223),"2 Add",IF(JenkinsHashRange(E223:N223) = "586919304","0 Original","1 Modify"))))</f>
        <v>0 Original</v>
      </c>
      <c r="D223" s="3" t="s">
        <v>1487</v>
      </c>
      <c r="E223" s="5">
        <v>1219</v>
      </c>
      <c r="F223" t="s">
        <v>1060</v>
      </c>
      <c r="G223" t="s">
        <v>917</v>
      </c>
      <c r="H223" s="9">
        <v>4.99</v>
      </c>
      <c r="I223" s="5">
        <v>1</v>
      </c>
      <c r="J223" s="7" t="s">
        <v>970</v>
      </c>
      <c r="K223" s="7">
        <v>42748.047268518516</v>
      </c>
      <c r="L223" s="3" t="s">
        <v>970</v>
      </c>
      <c r="M223" s="7">
        <v>42748.047268518516</v>
      </c>
      <c r="N223" s="3" t="s">
        <v>970</v>
      </c>
      <c r="O223" s="16" t="str">
        <f>TEXT(DATEVALUE(LEFT(F223,10)),"mm-yyyy")</f>
        <v>02-2015</v>
      </c>
      <c r="P223" s="16">
        <f>H223*I223</f>
        <v>4.99</v>
      </c>
    </row>
    <row r="224" spans="3:16" x14ac:dyDescent="0.25">
      <c r="C224" t="str">
        <f>IF(COUNTBLANK(E224:N224) = 10,"",IF(AND(NOT(ISBLANK(E224)),COUNTBLANK(E224:N224) = 9),"3 Delete",IF(ISBLANK(E224),"2 Add",IF(JenkinsHashRange(E224:N224) = "358076602","0 Original","1 Modify"))))</f>
        <v>0 Original</v>
      </c>
      <c r="D224" s="3" t="s">
        <v>1488</v>
      </c>
      <c r="E224" s="5">
        <v>1223</v>
      </c>
      <c r="F224" t="s">
        <v>1061</v>
      </c>
      <c r="G224" t="s">
        <v>846</v>
      </c>
      <c r="H224" s="9">
        <v>8.99</v>
      </c>
      <c r="I224" s="5">
        <v>2</v>
      </c>
      <c r="J224" s="7" t="s">
        <v>970</v>
      </c>
      <c r="K224" s="7">
        <v>42748.047268518516</v>
      </c>
      <c r="L224" s="3" t="s">
        <v>970</v>
      </c>
      <c r="M224" s="7">
        <v>42748.047268518516</v>
      </c>
      <c r="N224" s="3" t="s">
        <v>970</v>
      </c>
      <c r="O224" s="16" t="str">
        <f>TEXT(DATEVALUE(LEFT(F224,10)),"mm-yyyy")</f>
        <v>02-2015</v>
      </c>
      <c r="P224" s="16">
        <f>H224*I224</f>
        <v>17.98</v>
      </c>
    </row>
    <row r="225" spans="3:16" x14ac:dyDescent="0.25">
      <c r="C225" t="str">
        <f>IF(COUNTBLANK(E225:N225) = 10,"",IF(AND(NOT(ISBLANK(E225)),COUNTBLANK(E225:N225) = 9),"3 Delete",IF(ISBLANK(E225),"2 Add",IF(JenkinsHashRange(E225:N225) = "2001443552","0 Original","1 Modify"))))</f>
        <v>0 Original</v>
      </c>
      <c r="D225" s="3" t="s">
        <v>1489</v>
      </c>
      <c r="E225" s="5">
        <v>1224</v>
      </c>
      <c r="F225" t="s">
        <v>1061</v>
      </c>
      <c r="G225" t="s">
        <v>400</v>
      </c>
      <c r="H225" s="9">
        <v>6.99</v>
      </c>
      <c r="I225" s="5">
        <v>2</v>
      </c>
      <c r="J225" s="7" t="s">
        <v>970</v>
      </c>
      <c r="K225" s="7">
        <v>42748.047268518516</v>
      </c>
      <c r="L225" s="3" t="s">
        <v>970</v>
      </c>
      <c r="M225" s="7">
        <v>42748.047268518516</v>
      </c>
      <c r="N225" s="3" t="s">
        <v>970</v>
      </c>
      <c r="O225" s="16" t="str">
        <f>TEXT(DATEVALUE(LEFT(F225,10)),"mm-yyyy")</f>
        <v>02-2015</v>
      </c>
      <c r="P225" s="16">
        <f>H225*I225</f>
        <v>13.98</v>
      </c>
    </row>
    <row r="226" spans="3:16" x14ac:dyDescent="0.25">
      <c r="C226" t="str">
        <f>IF(COUNTBLANK(E226:N226) = 10,"",IF(AND(NOT(ISBLANK(E226)),COUNTBLANK(E226:N226) = 9),"3 Delete",IF(ISBLANK(E226),"2 Add",IF(JenkinsHashRange(E226:N226) = "1836403204","0 Original","1 Modify"))))</f>
        <v>0 Original</v>
      </c>
      <c r="D226" s="3" t="s">
        <v>1490</v>
      </c>
      <c r="E226" s="5">
        <v>1225</v>
      </c>
      <c r="F226" t="s">
        <v>1061</v>
      </c>
      <c r="G226" t="s">
        <v>649</v>
      </c>
      <c r="H226" s="9">
        <v>5.99</v>
      </c>
      <c r="I226" s="5">
        <v>1</v>
      </c>
      <c r="J226" s="7" t="s">
        <v>970</v>
      </c>
      <c r="K226" s="7">
        <v>42748.047268518516</v>
      </c>
      <c r="L226" s="3" t="s">
        <v>970</v>
      </c>
      <c r="M226" s="7">
        <v>42748.047268518516</v>
      </c>
      <c r="N226" s="3" t="s">
        <v>970</v>
      </c>
      <c r="O226" s="16" t="str">
        <f>TEXT(DATEVALUE(LEFT(F226,10)),"mm-yyyy")</f>
        <v>02-2015</v>
      </c>
      <c r="P226" s="16">
        <f>H226*I226</f>
        <v>5.99</v>
      </c>
    </row>
    <row r="227" spans="3:16" x14ac:dyDescent="0.25">
      <c r="C227" t="str">
        <f>IF(COUNTBLANK(E227:N227) = 10,"",IF(AND(NOT(ISBLANK(E227)),COUNTBLANK(E227:N227) = 9),"3 Delete",IF(ISBLANK(E227),"2 Add",IF(JenkinsHashRange(E227:N227) = "1161570880","0 Original","1 Modify"))))</f>
        <v>0 Original</v>
      </c>
      <c r="D227" s="3" t="s">
        <v>1491</v>
      </c>
      <c r="E227" s="5">
        <v>1226</v>
      </c>
      <c r="F227" t="s">
        <v>1061</v>
      </c>
      <c r="G227" t="s">
        <v>653</v>
      </c>
      <c r="H227" s="9">
        <v>7.99</v>
      </c>
      <c r="I227" s="5">
        <v>1</v>
      </c>
      <c r="J227" s="7" t="s">
        <v>970</v>
      </c>
      <c r="K227" s="7">
        <v>42748.047268518516</v>
      </c>
      <c r="L227" s="3" t="s">
        <v>970</v>
      </c>
      <c r="M227" s="7">
        <v>42748.047268518516</v>
      </c>
      <c r="N227" s="3" t="s">
        <v>970</v>
      </c>
      <c r="O227" s="16" t="str">
        <f>TEXT(DATEVALUE(LEFT(F227,10)),"mm-yyyy")</f>
        <v>02-2015</v>
      </c>
      <c r="P227" s="16">
        <f>H227*I227</f>
        <v>7.99</v>
      </c>
    </row>
    <row r="228" spans="3:16" x14ac:dyDescent="0.25">
      <c r="C228" t="str">
        <f>IF(COUNTBLANK(E228:N228) = 10,"",IF(AND(NOT(ISBLANK(E228)),COUNTBLANK(E228:N228) = 9),"3 Delete",IF(ISBLANK(E228),"2 Add",IF(JenkinsHashRange(E228:N228) = "1125413332","0 Original","1 Modify"))))</f>
        <v>0 Original</v>
      </c>
      <c r="D228" s="3" t="s">
        <v>1512</v>
      </c>
      <c r="E228" s="5">
        <v>1265</v>
      </c>
      <c r="F228" t="s">
        <v>1069</v>
      </c>
      <c r="G228" t="s">
        <v>804</v>
      </c>
      <c r="H228" s="9">
        <v>4.99</v>
      </c>
      <c r="I228" s="5">
        <v>2</v>
      </c>
      <c r="J228" s="7" t="s">
        <v>970</v>
      </c>
      <c r="K228" s="7">
        <v>42748.047268518516</v>
      </c>
      <c r="L228" s="3" t="s">
        <v>970</v>
      </c>
      <c r="M228" s="7">
        <v>42748.047268518516</v>
      </c>
      <c r="N228" s="3" t="s">
        <v>970</v>
      </c>
      <c r="O228" s="16" t="str">
        <f>TEXT(DATEVALUE(LEFT(F228,10)),"mm-yyyy")</f>
        <v>02-2015</v>
      </c>
      <c r="P228" s="16">
        <f>H228*I228</f>
        <v>9.98</v>
      </c>
    </row>
    <row r="229" spans="3:16" x14ac:dyDescent="0.25">
      <c r="C229" t="str">
        <f>IF(COUNTBLANK(E229:N229) = 10,"",IF(AND(NOT(ISBLANK(E229)),COUNTBLANK(E229:N229) = 9),"3 Delete",IF(ISBLANK(E229),"2 Add",IF(JenkinsHashRange(E229:N229) = "1655431460","0 Original","1 Modify"))))</f>
        <v>0 Original</v>
      </c>
      <c r="D229" s="3" t="s">
        <v>1513</v>
      </c>
      <c r="E229" s="5">
        <v>1266</v>
      </c>
      <c r="F229" t="s">
        <v>1069</v>
      </c>
      <c r="G229" t="s">
        <v>917</v>
      </c>
      <c r="H229" s="9">
        <v>4.99</v>
      </c>
      <c r="I229" s="5">
        <v>2</v>
      </c>
      <c r="J229" s="7" t="s">
        <v>970</v>
      </c>
      <c r="K229" s="7">
        <v>42748.047268518516</v>
      </c>
      <c r="L229" s="3" t="s">
        <v>970</v>
      </c>
      <c r="M229" s="7">
        <v>42748.047268518516</v>
      </c>
      <c r="N229" s="3" t="s">
        <v>970</v>
      </c>
      <c r="O229" s="16" t="str">
        <f>TEXT(DATEVALUE(LEFT(F229,10)),"mm-yyyy")</f>
        <v>02-2015</v>
      </c>
      <c r="P229" s="16">
        <f>H229*I229</f>
        <v>9.98</v>
      </c>
    </row>
    <row r="230" spans="3:16" x14ac:dyDescent="0.25">
      <c r="C230" t="str">
        <f>IF(COUNTBLANK(E230:N230) = 10,"",IF(AND(NOT(ISBLANK(E230)),COUNTBLANK(E230:N230) = 9),"3 Delete",IF(ISBLANK(E230),"2 Add",IF(JenkinsHashRange(E230:N230) = "1159837135","0 Original","1 Modify"))))</f>
        <v>0 Original</v>
      </c>
      <c r="D230" s="3" t="s">
        <v>1514</v>
      </c>
      <c r="E230" s="5">
        <v>1267</v>
      </c>
      <c r="F230" t="s">
        <v>1069</v>
      </c>
      <c r="G230" t="s">
        <v>659</v>
      </c>
      <c r="H230" s="9">
        <v>9.99</v>
      </c>
      <c r="I230" s="5">
        <v>2</v>
      </c>
      <c r="J230" s="7" t="s">
        <v>970</v>
      </c>
      <c r="K230" s="7">
        <v>42748.047268518516</v>
      </c>
      <c r="L230" s="3" t="s">
        <v>970</v>
      </c>
      <c r="M230" s="7">
        <v>42748.047268518516</v>
      </c>
      <c r="N230" s="3" t="s">
        <v>970</v>
      </c>
      <c r="O230" s="16" t="str">
        <f>TEXT(DATEVALUE(LEFT(F230,10)),"mm-yyyy")</f>
        <v>02-2015</v>
      </c>
      <c r="P230" s="16">
        <f>H230*I230</f>
        <v>19.98</v>
      </c>
    </row>
    <row r="231" spans="3:16" x14ac:dyDescent="0.25">
      <c r="C231" t="str">
        <f>IF(COUNTBLANK(E231:N231) = 10,"",IF(AND(NOT(ISBLANK(E231)),COUNTBLANK(E231:N231) = 9),"3 Delete",IF(ISBLANK(E231),"2 Add",IF(JenkinsHashRange(E231:N231) = "1939527827","0 Original","1 Modify"))))</f>
        <v>0 Original</v>
      </c>
      <c r="D231" s="3" t="s">
        <v>1515</v>
      </c>
      <c r="E231" s="5">
        <v>1268</v>
      </c>
      <c r="F231" t="s">
        <v>1069</v>
      </c>
      <c r="G231" t="s">
        <v>397</v>
      </c>
      <c r="H231" s="9">
        <v>5.99</v>
      </c>
      <c r="I231" s="5">
        <v>1</v>
      </c>
      <c r="J231" s="7" t="s">
        <v>970</v>
      </c>
      <c r="K231" s="7">
        <v>42748.047268518516</v>
      </c>
      <c r="L231" s="3" t="s">
        <v>970</v>
      </c>
      <c r="M231" s="7">
        <v>42748.047268518516</v>
      </c>
      <c r="N231" s="3" t="s">
        <v>970</v>
      </c>
      <c r="O231" s="16" t="str">
        <f>TEXT(DATEVALUE(LEFT(F231,10)),"mm-yyyy")</f>
        <v>02-2015</v>
      </c>
      <c r="P231" s="16">
        <f>H231*I231</f>
        <v>5.99</v>
      </c>
    </row>
    <row r="232" spans="3:16" x14ac:dyDescent="0.25">
      <c r="C232" t="str">
        <f>IF(COUNTBLANK(E232:N232) = 10,"",IF(AND(NOT(ISBLANK(E232)),COUNTBLANK(E232:N232) = 9),"3 Delete",IF(ISBLANK(E232),"2 Add",IF(JenkinsHashRange(E232:N232) = "749270440","0 Original","1 Modify"))))</f>
        <v>0 Original</v>
      </c>
      <c r="D232" s="3" t="s">
        <v>1516</v>
      </c>
      <c r="E232" s="5">
        <v>1269</v>
      </c>
      <c r="F232" t="s">
        <v>1069</v>
      </c>
      <c r="G232" t="s">
        <v>820</v>
      </c>
      <c r="H232" s="9">
        <v>9.99</v>
      </c>
      <c r="I232" s="5">
        <v>1</v>
      </c>
      <c r="J232" s="7" t="s">
        <v>970</v>
      </c>
      <c r="K232" s="7">
        <v>42748.047268518516</v>
      </c>
      <c r="L232" s="3" t="s">
        <v>970</v>
      </c>
      <c r="M232" s="7">
        <v>42748.047268518516</v>
      </c>
      <c r="N232" s="3" t="s">
        <v>970</v>
      </c>
      <c r="O232" s="16" t="str">
        <f>TEXT(DATEVALUE(LEFT(F232,10)),"mm-yyyy")</f>
        <v>02-2015</v>
      </c>
      <c r="P232" s="16">
        <f>H232*I232</f>
        <v>9.99</v>
      </c>
    </row>
    <row r="233" spans="3:16" x14ac:dyDescent="0.25">
      <c r="C233" t="str">
        <f>IF(COUNTBLANK(E233:N233) = 10,"",IF(AND(NOT(ISBLANK(E233)),COUNTBLANK(E233:N233) = 9),"3 Delete",IF(ISBLANK(E233),"2 Add",IF(JenkinsHashRange(E233:N233) = "1517588409","0 Original","1 Modify"))))</f>
        <v>0 Original</v>
      </c>
      <c r="D233" s="3" t="s">
        <v>1524</v>
      </c>
      <c r="E233" s="5">
        <v>1280</v>
      </c>
      <c r="F233" t="s">
        <v>1071</v>
      </c>
      <c r="G233" t="s">
        <v>686</v>
      </c>
      <c r="H233" s="9">
        <v>8.99</v>
      </c>
      <c r="I233" s="5">
        <v>2</v>
      </c>
      <c r="J233" s="7" t="s">
        <v>970</v>
      </c>
      <c r="K233" s="7">
        <v>42748.047268518516</v>
      </c>
      <c r="L233" s="3" t="s">
        <v>970</v>
      </c>
      <c r="M233" s="7">
        <v>42748.047268518516</v>
      </c>
      <c r="N233" s="3" t="s">
        <v>970</v>
      </c>
      <c r="O233" s="16" t="str">
        <f>TEXT(DATEVALUE(LEFT(F233,10)),"mm-yyyy")</f>
        <v>02-2015</v>
      </c>
      <c r="P233" s="16">
        <f>H233*I233</f>
        <v>17.98</v>
      </c>
    </row>
    <row r="234" spans="3:16" x14ac:dyDescent="0.25">
      <c r="C234" t="str">
        <f>IF(COUNTBLANK(E234:N234) = 10,"",IF(AND(NOT(ISBLANK(E234)),COUNTBLANK(E234:N234) = 9),"3 Delete",IF(ISBLANK(E234),"2 Add",IF(JenkinsHashRange(E234:N234) = "224756786","0 Original","1 Modify"))))</f>
        <v>0 Original</v>
      </c>
      <c r="D234" s="3" t="s">
        <v>1525</v>
      </c>
      <c r="E234" s="5">
        <v>1281</v>
      </c>
      <c r="F234" t="s">
        <v>1071</v>
      </c>
      <c r="G234" t="s">
        <v>443</v>
      </c>
      <c r="H234" s="9">
        <v>6.99</v>
      </c>
      <c r="I234" s="5">
        <v>1</v>
      </c>
      <c r="J234" s="7" t="s">
        <v>970</v>
      </c>
      <c r="K234" s="7">
        <v>42748.047268518516</v>
      </c>
      <c r="L234" s="3" t="s">
        <v>970</v>
      </c>
      <c r="M234" s="7">
        <v>42748.047268518516</v>
      </c>
      <c r="N234" s="3" t="s">
        <v>970</v>
      </c>
      <c r="O234" s="16" t="str">
        <f>TEXT(DATEVALUE(LEFT(F234,10)),"mm-yyyy")</f>
        <v>02-2015</v>
      </c>
      <c r="P234" s="16">
        <f>H234*I234</f>
        <v>6.99</v>
      </c>
    </row>
    <row r="235" spans="3:16" x14ac:dyDescent="0.25">
      <c r="C235" t="str">
        <f>IF(COUNTBLANK(E235:N235) = 10,"",IF(AND(NOT(ISBLANK(E235)),COUNTBLANK(E235:N235) = 9),"3 Delete",IF(ISBLANK(E235),"2 Add",IF(JenkinsHashRange(E235:N235) = "595015798","0 Original","1 Modify"))))</f>
        <v>0 Original</v>
      </c>
      <c r="D235" s="3" t="s">
        <v>1533</v>
      </c>
      <c r="E235" s="5">
        <v>1344</v>
      </c>
      <c r="F235" t="s">
        <v>1075</v>
      </c>
      <c r="G235" t="s">
        <v>600</v>
      </c>
      <c r="H235" s="9">
        <v>7.99</v>
      </c>
      <c r="I235" s="5">
        <v>2</v>
      </c>
      <c r="J235" s="7" t="s">
        <v>970</v>
      </c>
      <c r="K235" s="7">
        <v>42748.047268518516</v>
      </c>
      <c r="L235" s="3" t="s">
        <v>970</v>
      </c>
      <c r="M235" s="7">
        <v>42748.047268518516</v>
      </c>
      <c r="N235" s="3" t="s">
        <v>970</v>
      </c>
      <c r="O235" s="16" t="str">
        <f>TEXT(DATEVALUE(LEFT(F235,10)),"mm-yyyy")</f>
        <v>02-2015</v>
      </c>
      <c r="P235" s="16">
        <f>H235*I235</f>
        <v>15.98</v>
      </c>
    </row>
    <row r="236" spans="3:16" x14ac:dyDescent="0.25">
      <c r="C236" t="str">
        <f>IF(COUNTBLANK(E236:N236) = 10,"",IF(AND(NOT(ISBLANK(E236)),COUNTBLANK(E236:N236) = 9),"3 Delete",IF(ISBLANK(E236),"2 Add",IF(JenkinsHashRange(E236:N236) = "540632532","0 Original","1 Modify"))))</f>
        <v>0 Original</v>
      </c>
      <c r="D236" s="3" t="s">
        <v>1534</v>
      </c>
      <c r="E236" s="5">
        <v>1345</v>
      </c>
      <c r="F236" t="s">
        <v>1075</v>
      </c>
      <c r="G236" t="s">
        <v>917</v>
      </c>
      <c r="H236" s="9">
        <v>4.99</v>
      </c>
      <c r="I236" s="5">
        <v>2</v>
      </c>
      <c r="J236" s="7" t="s">
        <v>970</v>
      </c>
      <c r="K236" s="7">
        <v>42748.047268518516</v>
      </c>
      <c r="L236" s="3" t="s">
        <v>970</v>
      </c>
      <c r="M236" s="7">
        <v>42748.047268518516</v>
      </c>
      <c r="N236" s="3" t="s">
        <v>970</v>
      </c>
      <c r="O236" s="16" t="str">
        <f>TEXT(DATEVALUE(LEFT(F236,10)),"mm-yyyy")</f>
        <v>02-2015</v>
      </c>
      <c r="P236" s="16">
        <f>H236*I236</f>
        <v>9.98</v>
      </c>
    </row>
    <row r="237" spans="3:16" x14ac:dyDescent="0.25">
      <c r="C237" t="str">
        <f>IF(COUNTBLANK(E237:N237) = 10,"",IF(AND(NOT(ISBLANK(E237)),COUNTBLANK(E237:N237) = 9),"3 Delete",IF(ISBLANK(E237),"2 Add",IF(JenkinsHashRange(E237:N237) = "635363819","0 Original","1 Modify"))))</f>
        <v>0 Original</v>
      </c>
      <c r="D237" s="3" t="s">
        <v>1535</v>
      </c>
      <c r="E237" s="5">
        <v>1346</v>
      </c>
      <c r="F237" t="s">
        <v>1075</v>
      </c>
      <c r="G237" t="s">
        <v>450</v>
      </c>
      <c r="H237" s="9">
        <v>8.99</v>
      </c>
      <c r="I237" s="5">
        <v>1</v>
      </c>
      <c r="J237" s="7" t="s">
        <v>970</v>
      </c>
      <c r="K237" s="7">
        <v>42748.047268518516</v>
      </c>
      <c r="L237" s="3" t="s">
        <v>970</v>
      </c>
      <c r="M237" s="7">
        <v>42748.047268518516</v>
      </c>
      <c r="N237" s="3" t="s">
        <v>970</v>
      </c>
      <c r="O237" s="16" t="str">
        <f>TEXT(DATEVALUE(LEFT(F237,10)),"mm-yyyy")</f>
        <v>02-2015</v>
      </c>
      <c r="P237" s="16">
        <f>H237*I237</f>
        <v>8.99</v>
      </c>
    </row>
    <row r="238" spans="3:16" x14ac:dyDescent="0.25">
      <c r="C238" t="str">
        <f>IF(COUNTBLANK(E238:N238) = 10,"",IF(AND(NOT(ISBLANK(E238)),COUNTBLANK(E238:N238) = 9),"3 Delete",IF(ISBLANK(E238),"2 Add",IF(JenkinsHashRange(E238:N238) = "1816695502","0 Original","1 Modify"))))</f>
        <v>0 Original</v>
      </c>
      <c r="D238" s="3" t="s">
        <v>1536</v>
      </c>
      <c r="E238" s="5">
        <v>1347</v>
      </c>
      <c r="F238" t="s">
        <v>1075</v>
      </c>
      <c r="G238" t="s">
        <v>686</v>
      </c>
      <c r="H238" s="9">
        <v>8.99</v>
      </c>
      <c r="I238" s="5">
        <v>2</v>
      </c>
      <c r="J238" s="7" t="s">
        <v>970</v>
      </c>
      <c r="K238" s="7">
        <v>42748.047268518516</v>
      </c>
      <c r="L238" s="3" t="s">
        <v>970</v>
      </c>
      <c r="M238" s="7">
        <v>42748.047268518516</v>
      </c>
      <c r="N238" s="3" t="s">
        <v>970</v>
      </c>
      <c r="O238" s="16" t="str">
        <f>TEXT(DATEVALUE(LEFT(F238,10)),"mm-yyyy")</f>
        <v>02-2015</v>
      </c>
      <c r="P238" s="16">
        <f>H238*I238</f>
        <v>17.98</v>
      </c>
    </row>
    <row r="239" spans="3:16" x14ac:dyDescent="0.25">
      <c r="C239" t="str">
        <f>IF(COUNTBLANK(E239:N239) = 10,"",IF(AND(NOT(ISBLANK(E239)),COUNTBLANK(E239:N239) = 9),"3 Delete",IF(ISBLANK(E239),"2 Add",IF(JenkinsHashRange(E239:N239) = "1394209464","0 Original","1 Modify"))))</f>
        <v>0 Original</v>
      </c>
      <c r="D239" s="3" t="s">
        <v>1537</v>
      </c>
      <c r="E239" s="5">
        <v>1348</v>
      </c>
      <c r="F239" t="s">
        <v>1075</v>
      </c>
      <c r="G239" t="s">
        <v>407</v>
      </c>
      <c r="H239" s="9">
        <v>9.99</v>
      </c>
      <c r="I239" s="5">
        <v>2</v>
      </c>
      <c r="J239" s="7" t="s">
        <v>970</v>
      </c>
      <c r="K239" s="7">
        <v>42748.047268518516</v>
      </c>
      <c r="L239" s="3" t="s">
        <v>970</v>
      </c>
      <c r="M239" s="7">
        <v>42748.047268518516</v>
      </c>
      <c r="N239" s="3" t="s">
        <v>970</v>
      </c>
      <c r="O239" s="16" t="str">
        <f>TEXT(DATEVALUE(LEFT(F239,10)),"mm-yyyy")</f>
        <v>02-2015</v>
      </c>
      <c r="P239" s="16">
        <f>H239*I239</f>
        <v>19.98</v>
      </c>
    </row>
    <row r="240" spans="3:16" x14ac:dyDescent="0.25">
      <c r="C240" t="str">
        <f>IF(COUNTBLANK(E240:N240) = 10,"",IF(AND(NOT(ISBLANK(E240)),COUNTBLANK(E240:N240) = 9),"3 Delete",IF(ISBLANK(E240),"2 Add",IF(JenkinsHashRange(E240:N240) = "190587474","0 Original","1 Modify"))))</f>
        <v>0 Original</v>
      </c>
      <c r="D240" s="3" t="s">
        <v>1538</v>
      </c>
      <c r="E240" s="5">
        <v>1349</v>
      </c>
      <c r="F240" t="s">
        <v>1075</v>
      </c>
      <c r="G240" t="s">
        <v>850</v>
      </c>
      <c r="H240" s="9">
        <v>7.99</v>
      </c>
      <c r="I240" s="5">
        <v>1</v>
      </c>
      <c r="J240" s="7" t="s">
        <v>970</v>
      </c>
      <c r="K240" s="7">
        <v>42748.047268518516</v>
      </c>
      <c r="L240" s="3" t="s">
        <v>970</v>
      </c>
      <c r="M240" s="7">
        <v>42748.047268518516</v>
      </c>
      <c r="N240" s="3" t="s">
        <v>970</v>
      </c>
      <c r="O240" s="16" t="str">
        <f>TEXT(DATEVALUE(LEFT(F240,10)),"mm-yyyy")</f>
        <v>02-2015</v>
      </c>
      <c r="P240" s="16">
        <f>H240*I240</f>
        <v>7.99</v>
      </c>
    </row>
    <row r="241" spans="3:16" x14ac:dyDescent="0.25">
      <c r="C241" t="str">
        <f>IF(COUNTBLANK(E241:N241) = 10,"",IF(AND(NOT(ISBLANK(E241)),COUNTBLANK(E241:N241) = 9),"3 Delete",IF(ISBLANK(E241),"2 Add",IF(JenkinsHashRange(E241:N241) = "813271148","0 Original","1 Modify"))))</f>
        <v>0 Original</v>
      </c>
      <c r="D241" s="3" t="s">
        <v>1539</v>
      </c>
      <c r="E241" s="5">
        <v>1350</v>
      </c>
      <c r="F241" t="s">
        <v>1075</v>
      </c>
      <c r="G241" t="s">
        <v>804</v>
      </c>
      <c r="H241" s="9">
        <v>4.99</v>
      </c>
      <c r="I241" s="5">
        <v>1</v>
      </c>
      <c r="J241" s="7" t="s">
        <v>970</v>
      </c>
      <c r="K241" s="7">
        <v>42748.047268518516</v>
      </c>
      <c r="L241" s="3" t="s">
        <v>970</v>
      </c>
      <c r="M241" s="7">
        <v>42748.047268518516</v>
      </c>
      <c r="N241" s="3" t="s">
        <v>970</v>
      </c>
      <c r="O241" s="16" t="str">
        <f>TEXT(DATEVALUE(LEFT(F241,10)),"mm-yyyy")</f>
        <v>02-2015</v>
      </c>
      <c r="P241" s="16">
        <f>H241*I241</f>
        <v>4.99</v>
      </c>
    </row>
    <row r="242" spans="3:16" x14ac:dyDescent="0.25">
      <c r="C242" t="str">
        <f>IF(COUNTBLANK(E242:N242) = 10,"",IF(AND(NOT(ISBLANK(E242)),COUNTBLANK(E242:N242) = 9),"3 Delete",IF(ISBLANK(E242),"2 Add",IF(JenkinsHashRange(E242:N242) = "1080886919","0 Original","1 Modify"))))</f>
        <v>0 Original</v>
      </c>
      <c r="D242" s="3" t="s">
        <v>1573</v>
      </c>
      <c r="E242" s="5">
        <v>1475</v>
      </c>
      <c r="F242" t="s">
        <v>1086</v>
      </c>
      <c r="G242" t="s">
        <v>733</v>
      </c>
      <c r="H242" s="9">
        <v>9.99</v>
      </c>
      <c r="I242" s="5">
        <v>2</v>
      </c>
      <c r="J242" s="7" t="s">
        <v>970</v>
      </c>
      <c r="K242" s="7">
        <v>42748.047268518516</v>
      </c>
      <c r="L242" s="3" t="s">
        <v>970</v>
      </c>
      <c r="M242" s="7">
        <v>42748.047268518516</v>
      </c>
      <c r="N242" s="3" t="s">
        <v>970</v>
      </c>
      <c r="O242" s="16" t="str">
        <f>TEXT(DATEVALUE(LEFT(F242,10)),"mm-yyyy")</f>
        <v>02-2015</v>
      </c>
      <c r="P242" s="16">
        <f>H242*I242</f>
        <v>19.98</v>
      </c>
    </row>
    <row r="243" spans="3:16" x14ac:dyDescent="0.25">
      <c r="C243" t="str">
        <f>IF(COUNTBLANK(E243:N243) = 10,"",IF(AND(NOT(ISBLANK(E243)),COUNTBLANK(E243:N243) = 9),"3 Delete",IF(ISBLANK(E243),"2 Add",IF(JenkinsHashRange(E243:N243) = "998506271","0 Original","1 Modify"))))</f>
        <v>0 Original</v>
      </c>
      <c r="D243" s="3" t="s">
        <v>1574</v>
      </c>
      <c r="E243" s="5">
        <v>1476</v>
      </c>
      <c r="F243" t="s">
        <v>1086</v>
      </c>
      <c r="G243" t="s">
        <v>457</v>
      </c>
      <c r="H243" s="9">
        <v>5.99</v>
      </c>
      <c r="I243" s="5">
        <v>1</v>
      </c>
      <c r="J243" s="7" t="s">
        <v>970</v>
      </c>
      <c r="K243" s="7">
        <v>42748.047268518516</v>
      </c>
      <c r="L243" s="3" t="s">
        <v>970</v>
      </c>
      <c r="M243" s="7">
        <v>42748.047268518516</v>
      </c>
      <c r="N243" s="3" t="s">
        <v>970</v>
      </c>
      <c r="O243" s="16" t="str">
        <f>TEXT(DATEVALUE(LEFT(F243,10)),"mm-yyyy")</f>
        <v>02-2015</v>
      </c>
      <c r="P243" s="16">
        <f>H243*I243</f>
        <v>5.99</v>
      </c>
    </row>
    <row r="244" spans="3:16" x14ac:dyDescent="0.25">
      <c r="C244" t="str">
        <f>IF(COUNTBLANK(E244:N244) = 10,"",IF(AND(NOT(ISBLANK(E244)),COUNTBLANK(E244:N244) = 9),"3 Delete",IF(ISBLANK(E244),"2 Add",IF(JenkinsHashRange(E244:N244) = "1671966449","0 Original","1 Modify"))))</f>
        <v>0 Original</v>
      </c>
      <c r="D244" s="3" t="s">
        <v>1575</v>
      </c>
      <c r="E244" s="5">
        <v>1477</v>
      </c>
      <c r="F244" t="s">
        <v>1086</v>
      </c>
      <c r="G244" t="s">
        <v>927</v>
      </c>
      <c r="H244" s="9">
        <v>9.99</v>
      </c>
      <c r="I244" s="5">
        <v>1</v>
      </c>
      <c r="J244" s="7" t="s">
        <v>970</v>
      </c>
      <c r="K244" s="7">
        <v>42748.047268518516</v>
      </c>
      <c r="L244" s="3" t="s">
        <v>970</v>
      </c>
      <c r="M244" s="7">
        <v>42748.047268518516</v>
      </c>
      <c r="N244" s="3" t="s">
        <v>970</v>
      </c>
      <c r="O244" s="16" t="str">
        <f>TEXT(DATEVALUE(LEFT(F244,10)),"mm-yyyy")</f>
        <v>02-2015</v>
      </c>
      <c r="P244" s="16">
        <f>H244*I244</f>
        <v>9.99</v>
      </c>
    </row>
    <row r="245" spans="3:16" x14ac:dyDescent="0.25">
      <c r="C245" t="str">
        <f>IF(COUNTBLANK(E245:N245) = 10,"",IF(AND(NOT(ISBLANK(E245)),COUNTBLANK(E245:N245) = 9),"3 Delete",IF(ISBLANK(E245),"2 Add",IF(JenkinsHashRange(E245:N245) = "1969357605","0 Original","1 Modify"))))</f>
        <v>0 Original</v>
      </c>
      <c r="D245" s="3" t="s">
        <v>1576</v>
      </c>
      <c r="E245" s="5">
        <v>1478</v>
      </c>
      <c r="F245" t="s">
        <v>1086</v>
      </c>
      <c r="G245" t="s">
        <v>840</v>
      </c>
      <c r="H245" s="9">
        <v>9.99</v>
      </c>
      <c r="I245" s="5">
        <v>1</v>
      </c>
      <c r="J245" s="7" t="s">
        <v>970</v>
      </c>
      <c r="K245" s="7">
        <v>42748.047268518516</v>
      </c>
      <c r="L245" s="3" t="s">
        <v>970</v>
      </c>
      <c r="M245" s="7">
        <v>42748.047268518516</v>
      </c>
      <c r="N245" s="3" t="s">
        <v>970</v>
      </c>
      <c r="O245" s="16" t="str">
        <f>TEXT(DATEVALUE(LEFT(F245,10)),"mm-yyyy")</f>
        <v>02-2015</v>
      </c>
      <c r="P245" s="16">
        <f>H245*I245</f>
        <v>9.99</v>
      </c>
    </row>
    <row r="246" spans="3:16" x14ac:dyDescent="0.25">
      <c r="C246" t="str">
        <f>IF(COUNTBLANK(E246:N246) = 10,"",IF(AND(NOT(ISBLANK(E246)),COUNTBLANK(E246:N246) = 9),"3 Delete",IF(ISBLANK(E246),"2 Add",IF(JenkinsHashRange(E246:N246) = "1586101620","0 Original","1 Modify"))))</f>
        <v>0 Original</v>
      </c>
      <c r="D246" s="3" t="s">
        <v>1577</v>
      </c>
      <c r="E246" s="5">
        <v>1479</v>
      </c>
      <c r="F246" t="s">
        <v>1086</v>
      </c>
      <c r="G246" t="s">
        <v>820</v>
      </c>
      <c r="H246" s="9">
        <v>9.99</v>
      </c>
      <c r="I246" s="5">
        <v>1</v>
      </c>
      <c r="J246" s="7" t="s">
        <v>970</v>
      </c>
      <c r="K246" s="7">
        <v>42748.047268518516</v>
      </c>
      <c r="L246" s="3" t="s">
        <v>970</v>
      </c>
      <c r="M246" s="7">
        <v>42748.047268518516</v>
      </c>
      <c r="N246" s="3" t="s">
        <v>970</v>
      </c>
      <c r="O246" s="16" t="str">
        <f>TEXT(DATEVALUE(LEFT(F246,10)),"mm-yyyy")</f>
        <v>02-2015</v>
      </c>
      <c r="P246" s="16">
        <f>H246*I246</f>
        <v>9.99</v>
      </c>
    </row>
    <row r="247" spans="3:16" x14ac:dyDescent="0.25">
      <c r="C247" t="str">
        <f>IF(COUNTBLANK(E247:N247) = 10,"",IF(AND(NOT(ISBLANK(E247)),COUNTBLANK(E247:N247) = 9),"3 Delete",IF(ISBLANK(E247),"2 Add",IF(JenkinsHashRange(E247:N247) = "843333415","0 Original","1 Modify"))))</f>
        <v>0 Original</v>
      </c>
      <c r="D247" s="3" t="s">
        <v>1578</v>
      </c>
      <c r="E247" s="5">
        <v>1480</v>
      </c>
      <c r="F247" t="s">
        <v>1086</v>
      </c>
      <c r="G247" t="s">
        <v>653</v>
      </c>
      <c r="H247" s="9">
        <v>7.99</v>
      </c>
      <c r="I247" s="5">
        <v>2</v>
      </c>
      <c r="J247" s="7" t="s">
        <v>970</v>
      </c>
      <c r="K247" s="7">
        <v>42748.047268518516</v>
      </c>
      <c r="L247" s="3" t="s">
        <v>970</v>
      </c>
      <c r="M247" s="7">
        <v>42748.047268518516</v>
      </c>
      <c r="N247" s="3" t="s">
        <v>970</v>
      </c>
      <c r="O247" s="16" t="str">
        <f>TEXT(DATEVALUE(LEFT(F247,10)),"mm-yyyy")</f>
        <v>02-2015</v>
      </c>
      <c r="P247" s="16">
        <f>H247*I247</f>
        <v>15.98</v>
      </c>
    </row>
    <row r="248" spans="3:16" x14ac:dyDescent="0.25">
      <c r="C248" t="str">
        <f>IF(COUNTBLANK(E248:N248) = 10,"",IF(AND(NOT(ISBLANK(E248)),COUNTBLANK(E248:N248) = 9),"3 Delete",IF(ISBLANK(E248),"2 Add",IF(JenkinsHashRange(E248:N248) = "117365638","0 Original","1 Modify"))))</f>
        <v>0 Original</v>
      </c>
      <c r="D248" s="3" t="s">
        <v>1579</v>
      </c>
      <c r="E248" s="5">
        <v>1481</v>
      </c>
      <c r="F248" t="s">
        <v>1086</v>
      </c>
      <c r="G248" t="s">
        <v>917</v>
      </c>
      <c r="H248" s="9">
        <v>4.99</v>
      </c>
      <c r="I248" s="5">
        <v>1</v>
      </c>
      <c r="J248" s="7" t="s">
        <v>970</v>
      </c>
      <c r="K248" s="7">
        <v>42748.047268518516</v>
      </c>
      <c r="L248" s="3" t="s">
        <v>970</v>
      </c>
      <c r="M248" s="7">
        <v>42748.047268518516</v>
      </c>
      <c r="N248" s="3" t="s">
        <v>970</v>
      </c>
      <c r="O248" s="16" t="str">
        <f>TEXT(DATEVALUE(LEFT(F248,10)),"mm-yyyy")</f>
        <v>02-2015</v>
      </c>
      <c r="P248" s="16">
        <f>H248*I248</f>
        <v>4.99</v>
      </c>
    </row>
    <row r="249" spans="3:16" x14ac:dyDescent="0.25">
      <c r="C249" t="str">
        <f>IF(COUNTBLANK(E249:N249) = 10,"",IF(AND(NOT(ISBLANK(E249)),COUNTBLANK(E249:N249) = 9),"3 Delete",IF(ISBLANK(E249),"2 Add",IF(JenkinsHashRange(E249:N249) = "2127039027","0 Original","1 Modify"))))</f>
        <v>0 Original</v>
      </c>
      <c r="D249" s="3" t="s">
        <v>1580</v>
      </c>
      <c r="E249" s="5">
        <v>1482</v>
      </c>
      <c r="F249" t="s">
        <v>1086</v>
      </c>
      <c r="G249" t="s">
        <v>846</v>
      </c>
      <c r="H249" s="9">
        <v>8.99</v>
      </c>
      <c r="I249" s="5">
        <v>1</v>
      </c>
      <c r="J249" s="7" t="s">
        <v>970</v>
      </c>
      <c r="K249" s="7">
        <v>42748.047268518516</v>
      </c>
      <c r="L249" s="3" t="s">
        <v>970</v>
      </c>
      <c r="M249" s="7">
        <v>42748.047268518516</v>
      </c>
      <c r="N249" s="3" t="s">
        <v>970</v>
      </c>
      <c r="O249" s="16" t="str">
        <f>TEXT(DATEVALUE(LEFT(F249,10)),"mm-yyyy")</f>
        <v>02-2015</v>
      </c>
      <c r="P249" s="16">
        <f>H249*I249</f>
        <v>8.99</v>
      </c>
    </row>
    <row r="250" spans="3:16" x14ac:dyDescent="0.25">
      <c r="C250" t="str">
        <f>IF(COUNTBLANK(E250:N250) = 10,"",IF(AND(NOT(ISBLANK(E250)),COUNTBLANK(E250:N250) = 9),"3 Delete",IF(ISBLANK(E250),"2 Add",IF(JenkinsHashRange(E250:N250) = "1012931449","0 Original","1 Modify"))))</f>
        <v>0 Original</v>
      </c>
      <c r="D250" s="3" t="s">
        <v>1581</v>
      </c>
      <c r="E250" s="5">
        <v>1516</v>
      </c>
      <c r="F250" t="s">
        <v>1087</v>
      </c>
      <c r="G250" t="s">
        <v>686</v>
      </c>
      <c r="H250" s="9">
        <v>8.99</v>
      </c>
      <c r="I250" s="5">
        <v>2</v>
      </c>
      <c r="J250" s="7" t="s">
        <v>970</v>
      </c>
      <c r="K250" s="7">
        <v>42748.047268518516</v>
      </c>
      <c r="L250" s="3" t="s">
        <v>970</v>
      </c>
      <c r="M250" s="7">
        <v>42748.047268518516</v>
      </c>
      <c r="N250" s="3" t="s">
        <v>970</v>
      </c>
      <c r="O250" s="16" t="str">
        <f>TEXT(DATEVALUE(LEFT(F250,10)),"mm-yyyy")</f>
        <v>02-2015</v>
      </c>
      <c r="P250" s="16">
        <f>H250*I250</f>
        <v>17.98</v>
      </c>
    </row>
    <row r="251" spans="3:16" x14ac:dyDescent="0.25">
      <c r="C251" t="str">
        <f>IF(COUNTBLANK(E251:N251) = 10,"",IF(AND(NOT(ISBLANK(E251)),COUNTBLANK(E251:N251) = 9),"3 Delete",IF(ISBLANK(E251),"2 Add",IF(JenkinsHashRange(E251:N251) = "69600625","0 Original","1 Modify"))))</f>
        <v>0 Original</v>
      </c>
      <c r="D251" s="3" t="s">
        <v>1582</v>
      </c>
      <c r="E251" s="5">
        <v>1517</v>
      </c>
      <c r="F251" t="s">
        <v>1087</v>
      </c>
      <c r="G251" t="s">
        <v>686</v>
      </c>
      <c r="H251" s="9">
        <v>8.99</v>
      </c>
      <c r="I251" s="5">
        <v>2</v>
      </c>
      <c r="J251" s="7" t="s">
        <v>970</v>
      </c>
      <c r="K251" s="7">
        <v>42748.047268518516</v>
      </c>
      <c r="L251" s="3" t="s">
        <v>970</v>
      </c>
      <c r="M251" s="7">
        <v>42748.047268518516</v>
      </c>
      <c r="N251" s="3" t="s">
        <v>970</v>
      </c>
      <c r="O251" s="16" t="str">
        <f>TEXT(DATEVALUE(LEFT(F251,10)),"mm-yyyy")</f>
        <v>02-2015</v>
      </c>
      <c r="P251" s="16">
        <f>H251*I251</f>
        <v>17.98</v>
      </c>
    </row>
    <row r="252" spans="3:16" x14ac:dyDescent="0.25">
      <c r="C252" t="str">
        <f>IF(COUNTBLANK(E252:N252) = 10,"",IF(AND(NOT(ISBLANK(E252)),COUNTBLANK(E252:N252) = 9),"3 Delete",IF(ISBLANK(E252),"2 Add",IF(JenkinsHashRange(E252:N252) = "2056285690","0 Original","1 Modify"))))</f>
        <v>0 Original</v>
      </c>
      <c r="D252" s="3" t="s">
        <v>1593</v>
      </c>
      <c r="E252" s="5">
        <v>1619</v>
      </c>
      <c r="F252" t="s">
        <v>1091</v>
      </c>
      <c r="G252" t="s">
        <v>945</v>
      </c>
      <c r="H252" s="9">
        <v>7.99</v>
      </c>
      <c r="I252" s="5">
        <v>1</v>
      </c>
      <c r="J252" s="7" t="s">
        <v>970</v>
      </c>
      <c r="K252" s="7">
        <v>42748.047268518516</v>
      </c>
      <c r="L252" s="3" t="s">
        <v>970</v>
      </c>
      <c r="M252" s="7">
        <v>42748.047268518516</v>
      </c>
      <c r="N252" s="3" t="s">
        <v>970</v>
      </c>
      <c r="O252" s="16" t="str">
        <f>TEXT(DATEVALUE(LEFT(F252,10)),"mm-yyyy")</f>
        <v>02-2015</v>
      </c>
      <c r="P252" s="16">
        <f>H252*I252</f>
        <v>7.99</v>
      </c>
    </row>
    <row r="253" spans="3:16" x14ac:dyDescent="0.25">
      <c r="C253" t="str">
        <f>IF(COUNTBLANK(E253:N253) = 10,"",IF(AND(NOT(ISBLANK(E253)),COUNTBLANK(E253:N253) = 9),"3 Delete",IF(ISBLANK(E253),"2 Add",IF(JenkinsHashRange(E253:N253) = "1702441156","0 Original","1 Modify"))))</f>
        <v>0 Original</v>
      </c>
      <c r="D253" s="3" t="s">
        <v>1594</v>
      </c>
      <c r="E253" s="5">
        <v>1620</v>
      </c>
      <c r="F253" t="s">
        <v>1091</v>
      </c>
      <c r="G253" t="s">
        <v>814</v>
      </c>
      <c r="H253" s="9">
        <v>9.99</v>
      </c>
      <c r="I253" s="5">
        <v>1</v>
      </c>
      <c r="J253" s="7" t="s">
        <v>970</v>
      </c>
      <c r="K253" s="7">
        <v>42748.047268518516</v>
      </c>
      <c r="L253" s="3" t="s">
        <v>970</v>
      </c>
      <c r="M253" s="7">
        <v>42748.047268518516</v>
      </c>
      <c r="N253" s="3" t="s">
        <v>970</v>
      </c>
      <c r="O253" s="16" t="str">
        <f>TEXT(DATEVALUE(LEFT(F253,10)),"mm-yyyy")</f>
        <v>02-2015</v>
      </c>
      <c r="P253" s="16">
        <f>H253*I253</f>
        <v>9.99</v>
      </c>
    </row>
    <row r="254" spans="3:16" x14ac:dyDescent="0.25">
      <c r="C254" t="str">
        <f>IF(COUNTBLANK(E254:N254) = 10,"",IF(AND(NOT(ISBLANK(E254)),COUNTBLANK(E254:N254) = 9),"3 Delete",IF(ISBLANK(E254),"2 Add",IF(JenkinsHashRange(E254:N254) = "1600071745","0 Original","1 Modify"))))</f>
        <v>0 Original</v>
      </c>
      <c r="D254" s="3" t="s">
        <v>1607</v>
      </c>
      <c r="E254" s="5">
        <v>1723</v>
      </c>
      <c r="F254" t="s">
        <v>1094</v>
      </c>
      <c r="G254" t="s">
        <v>686</v>
      </c>
      <c r="H254" s="9">
        <v>8.99</v>
      </c>
      <c r="I254" s="5">
        <v>1</v>
      </c>
      <c r="J254" s="7" t="s">
        <v>970</v>
      </c>
      <c r="K254" s="7">
        <v>42748.047268518516</v>
      </c>
      <c r="L254" s="3" t="s">
        <v>970</v>
      </c>
      <c r="M254" s="7">
        <v>42748.047268518516</v>
      </c>
      <c r="N254" s="3" t="s">
        <v>970</v>
      </c>
      <c r="O254" s="16" t="str">
        <f>TEXT(DATEVALUE(LEFT(F254,10)),"mm-yyyy")</f>
        <v>02-2015</v>
      </c>
      <c r="P254" s="16">
        <f>H254*I254</f>
        <v>8.99</v>
      </c>
    </row>
    <row r="255" spans="3:16" x14ac:dyDescent="0.25">
      <c r="C255" t="str">
        <f>IF(COUNTBLANK(E255:N255) = 10,"",IF(AND(NOT(ISBLANK(E255)),COUNTBLANK(E255:N255) = 9),"3 Delete",IF(ISBLANK(E255),"2 Add",IF(JenkinsHashRange(E255:N255) = "579689922","0 Original","1 Modify"))))</f>
        <v>0 Original</v>
      </c>
      <c r="D255" s="3" t="s">
        <v>1608</v>
      </c>
      <c r="E255" s="5">
        <v>1724</v>
      </c>
      <c r="F255" t="s">
        <v>1094</v>
      </c>
      <c r="G255" t="s">
        <v>883</v>
      </c>
      <c r="H255" s="9">
        <v>4.99</v>
      </c>
      <c r="I255" s="5">
        <v>2</v>
      </c>
      <c r="J255" s="7" t="s">
        <v>970</v>
      </c>
      <c r="K255" s="7">
        <v>42748.047268518516</v>
      </c>
      <c r="L255" s="3" t="s">
        <v>970</v>
      </c>
      <c r="M255" s="7">
        <v>42748.047268518516</v>
      </c>
      <c r="N255" s="3" t="s">
        <v>970</v>
      </c>
      <c r="O255" s="16" t="str">
        <f>TEXT(DATEVALUE(LEFT(F255,10)),"mm-yyyy")</f>
        <v>02-2015</v>
      </c>
      <c r="P255" s="16">
        <f>H255*I255</f>
        <v>9.98</v>
      </c>
    </row>
    <row r="256" spans="3:16" x14ac:dyDescent="0.25">
      <c r="C256" t="str">
        <f>IF(COUNTBLANK(E256:N256) = 10,"",IF(AND(NOT(ISBLANK(E256)),COUNTBLANK(E256:N256) = 9),"3 Delete",IF(ISBLANK(E256),"2 Add",IF(JenkinsHashRange(E256:N256) = "315591132","0 Original","1 Modify"))))</f>
        <v>0 Original</v>
      </c>
      <c r="D256" s="3" t="s">
        <v>1609</v>
      </c>
      <c r="E256" s="5">
        <v>1725</v>
      </c>
      <c r="F256" t="s">
        <v>1094</v>
      </c>
      <c r="G256" t="s">
        <v>600</v>
      </c>
      <c r="H256" s="9">
        <v>7.99</v>
      </c>
      <c r="I256" s="5">
        <v>2</v>
      </c>
      <c r="J256" s="7" t="s">
        <v>970</v>
      </c>
      <c r="K256" s="7">
        <v>42748.047268518516</v>
      </c>
      <c r="L256" s="3" t="s">
        <v>970</v>
      </c>
      <c r="M256" s="7">
        <v>42748.047268518516</v>
      </c>
      <c r="N256" s="3" t="s">
        <v>970</v>
      </c>
      <c r="O256" s="16" t="str">
        <f>TEXT(DATEVALUE(LEFT(F256,10)),"mm-yyyy")</f>
        <v>02-2015</v>
      </c>
      <c r="P256" s="16">
        <f>H256*I256</f>
        <v>15.98</v>
      </c>
    </row>
    <row r="257" spans="3:16" x14ac:dyDescent="0.25">
      <c r="C257" t="str">
        <f>IF(COUNTBLANK(E257:N257) = 10,"",IF(AND(NOT(ISBLANK(E257)),COUNTBLANK(E257:N257) = 9),"3 Delete",IF(ISBLANK(E257),"2 Add",IF(JenkinsHashRange(E257:N257) = "1721371600","0 Original","1 Modify"))))</f>
        <v>0 Original</v>
      </c>
      <c r="D257" s="3" t="s">
        <v>1610</v>
      </c>
      <c r="E257" s="5">
        <v>1726</v>
      </c>
      <c r="F257" t="s">
        <v>1094</v>
      </c>
      <c r="G257" t="s">
        <v>443</v>
      </c>
      <c r="H257" s="9">
        <v>6.99</v>
      </c>
      <c r="I257" s="5">
        <v>2</v>
      </c>
      <c r="J257" s="7" t="s">
        <v>970</v>
      </c>
      <c r="K257" s="7">
        <v>42748.047268518516</v>
      </c>
      <c r="L257" s="3" t="s">
        <v>970</v>
      </c>
      <c r="M257" s="7">
        <v>42748.047268518516</v>
      </c>
      <c r="N257" s="3" t="s">
        <v>970</v>
      </c>
      <c r="O257" s="16" t="str">
        <f>TEXT(DATEVALUE(LEFT(F257,10)),"mm-yyyy")</f>
        <v>02-2015</v>
      </c>
      <c r="P257" s="16">
        <f>H257*I257</f>
        <v>13.98</v>
      </c>
    </row>
    <row r="258" spans="3:16" x14ac:dyDescent="0.25">
      <c r="C258" t="str">
        <f>IF(COUNTBLANK(E258:N258) = 10,"",IF(AND(NOT(ISBLANK(E258)),COUNTBLANK(E258:N258) = 9),"3 Delete",IF(ISBLANK(E258),"2 Add",IF(JenkinsHashRange(E258:N258) = "1163972989","0 Original","1 Modify"))))</f>
        <v>0 Original</v>
      </c>
      <c r="D258" s="3" t="s">
        <v>1644</v>
      </c>
      <c r="E258" s="5">
        <v>1936</v>
      </c>
      <c r="F258" t="s">
        <v>1107</v>
      </c>
      <c r="G258" t="s">
        <v>550</v>
      </c>
      <c r="H258" s="9">
        <v>8.99</v>
      </c>
      <c r="I258" s="5">
        <v>1</v>
      </c>
      <c r="J258" s="7" t="s">
        <v>970</v>
      </c>
      <c r="K258" s="7">
        <v>42748.047268518516</v>
      </c>
      <c r="L258" s="3" t="s">
        <v>970</v>
      </c>
      <c r="M258" s="7">
        <v>42748.047268518516</v>
      </c>
      <c r="N258" s="3" t="s">
        <v>970</v>
      </c>
      <c r="O258" s="16" t="str">
        <f>TEXT(DATEVALUE(LEFT(F258,10)),"mm-yyyy")</f>
        <v>02-2015</v>
      </c>
      <c r="P258" s="16">
        <f>H258*I258</f>
        <v>8.99</v>
      </c>
    </row>
    <row r="259" spans="3:16" x14ac:dyDescent="0.25">
      <c r="C259" t="str">
        <f>IF(COUNTBLANK(E259:N259) = 10,"",IF(AND(NOT(ISBLANK(E259)),COUNTBLANK(E259:N259) = 9),"3 Delete",IF(ISBLANK(E259),"2 Add",IF(JenkinsHashRange(E259:N259) = "180769063","0 Original","1 Modify"))))</f>
        <v>0 Original</v>
      </c>
      <c r="D259" s="3" t="s">
        <v>1645</v>
      </c>
      <c r="E259" s="5">
        <v>1937</v>
      </c>
      <c r="F259" t="s">
        <v>1107</v>
      </c>
      <c r="G259" t="s">
        <v>768</v>
      </c>
      <c r="H259" s="9">
        <v>6.99</v>
      </c>
      <c r="I259" s="5">
        <v>1</v>
      </c>
      <c r="J259" s="7" t="s">
        <v>970</v>
      </c>
      <c r="K259" s="7">
        <v>42748.047268518516</v>
      </c>
      <c r="L259" s="3" t="s">
        <v>970</v>
      </c>
      <c r="M259" s="7">
        <v>42748.047268518516</v>
      </c>
      <c r="N259" s="3" t="s">
        <v>970</v>
      </c>
      <c r="O259" s="16" t="str">
        <f>TEXT(DATEVALUE(LEFT(F259,10)),"mm-yyyy")</f>
        <v>02-2015</v>
      </c>
      <c r="P259" s="16">
        <f>H259*I259</f>
        <v>6.99</v>
      </c>
    </row>
    <row r="260" spans="3:16" x14ac:dyDescent="0.25">
      <c r="C260" t="str">
        <f>IF(COUNTBLANK(E260:N260) = 10,"",IF(AND(NOT(ISBLANK(E260)),COUNTBLANK(E260:N260) = 9),"3 Delete",IF(ISBLANK(E260),"2 Add",IF(JenkinsHashRange(E260:N260) = "132518351","0 Original","1 Modify"))))</f>
        <v>0 Original</v>
      </c>
      <c r="D260" s="3" t="s">
        <v>1677</v>
      </c>
      <c r="E260" s="5">
        <v>2123</v>
      </c>
      <c r="F260" t="s">
        <v>1118</v>
      </c>
      <c r="G260" t="s">
        <v>457</v>
      </c>
      <c r="H260" s="9">
        <v>5.99</v>
      </c>
      <c r="I260" s="5">
        <v>1</v>
      </c>
      <c r="J260" s="7" t="s">
        <v>970</v>
      </c>
      <c r="K260" s="7">
        <v>42748.047268518516</v>
      </c>
      <c r="L260" s="3" t="s">
        <v>970</v>
      </c>
      <c r="M260" s="7">
        <v>42748.047268518516</v>
      </c>
      <c r="N260" s="3" t="s">
        <v>970</v>
      </c>
      <c r="O260" s="16" t="str">
        <f>TEXT(DATEVALUE(LEFT(F260,10)),"mm-yyyy")</f>
        <v>02-2015</v>
      </c>
      <c r="P260" s="16">
        <f>H260*I260</f>
        <v>5.99</v>
      </c>
    </row>
    <row r="261" spans="3:16" x14ac:dyDescent="0.25">
      <c r="C261" t="str">
        <f>IF(COUNTBLANK(E261:N261) = 10,"",IF(AND(NOT(ISBLANK(E261)),COUNTBLANK(E261:N261) = 9),"3 Delete",IF(ISBLANK(E261),"2 Add",IF(JenkinsHashRange(E261:N261) = "1177674809","0 Original","1 Modify"))))</f>
        <v>0 Original</v>
      </c>
      <c r="D261" s="3" t="s">
        <v>1678</v>
      </c>
      <c r="E261" s="5">
        <v>2124</v>
      </c>
      <c r="F261" t="s">
        <v>1118</v>
      </c>
      <c r="G261" t="s">
        <v>696</v>
      </c>
      <c r="H261" s="9">
        <v>4.99</v>
      </c>
      <c r="I261" s="5">
        <v>1</v>
      </c>
      <c r="J261" s="7" t="s">
        <v>970</v>
      </c>
      <c r="K261" s="7">
        <v>42748.047268518516</v>
      </c>
      <c r="L261" s="3" t="s">
        <v>970</v>
      </c>
      <c r="M261" s="7">
        <v>42748.047268518516</v>
      </c>
      <c r="N261" s="3" t="s">
        <v>970</v>
      </c>
      <c r="O261" s="16" t="str">
        <f>TEXT(DATEVALUE(LEFT(F261,10)),"mm-yyyy")</f>
        <v>02-2015</v>
      </c>
      <c r="P261" s="16">
        <f>H261*I261</f>
        <v>4.99</v>
      </c>
    </row>
    <row r="262" spans="3:16" x14ac:dyDescent="0.25">
      <c r="C262" t="str">
        <f>IF(COUNTBLANK(E262:N262) = 10,"",IF(AND(NOT(ISBLANK(E262)),COUNTBLANK(E262:N262) = 9),"3 Delete",IF(ISBLANK(E262),"2 Add",IF(JenkinsHashRange(E262:N262) = "2060681000","0 Original","1 Modify"))))</f>
        <v>0 Original</v>
      </c>
      <c r="D262" s="3" t="s">
        <v>1690</v>
      </c>
      <c r="E262" s="5">
        <v>2182</v>
      </c>
      <c r="F262" t="s">
        <v>1124</v>
      </c>
      <c r="G262" t="s">
        <v>393</v>
      </c>
      <c r="H262" s="9">
        <v>6.99</v>
      </c>
      <c r="I262" s="5">
        <v>1</v>
      </c>
      <c r="J262" s="7" t="s">
        <v>970</v>
      </c>
      <c r="K262" s="7">
        <v>42748.047268518516</v>
      </c>
      <c r="L262" s="3" t="s">
        <v>970</v>
      </c>
      <c r="M262" s="7">
        <v>42748.047268518516</v>
      </c>
      <c r="N262" s="3" t="s">
        <v>970</v>
      </c>
      <c r="O262" s="16" t="str">
        <f>TEXT(DATEVALUE(LEFT(F262,10)),"mm-yyyy")</f>
        <v>02-2015</v>
      </c>
      <c r="P262" s="16">
        <f>H262*I262</f>
        <v>6.99</v>
      </c>
    </row>
    <row r="263" spans="3:16" x14ac:dyDescent="0.25">
      <c r="C263" t="str">
        <f>IF(COUNTBLANK(E263:N263) = 10,"",IF(AND(NOT(ISBLANK(E263)),COUNTBLANK(E263:N263) = 9),"3 Delete",IF(ISBLANK(E263),"2 Add",IF(JenkinsHashRange(E263:N263) = "157559601","0 Original","1 Modify"))))</f>
        <v>0 Original</v>
      </c>
      <c r="D263" s="3" t="s">
        <v>1691</v>
      </c>
      <c r="E263" s="5">
        <v>2183</v>
      </c>
      <c r="F263" t="s">
        <v>1124</v>
      </c>
      <c r="G263" t="s">
        <v>772</v>
      </c>
      <c r="H263" s="9">
        <v>4.99</v>
      </c>
      <c r="I263" s="5">
        <v>2</v>
      </c>
      <c r="J263" s="7" t="s">
        <v>970</v>
      </c>
      <c r="K263" s="7">
        <v>42748.047268518516</v>
      </c>
      <c r="L263" s="3" t="s">
        <v>970</v>
      </c>
      <c r="M263" s="7">
        <v>42748.047268518516</v>
      </c>
      <c r="N263" s="3" t="s">
        <v>970</v>
      </c>
      <c r="O263" s="16" t="str">
        <f>TEXT(DATEVALUE(LEFT(F263,10)),"mm-yyyy")</f>
        <v>02-2015</v>
      </c>
      <c r="P263" s="16">
        <f>H263*I263</f>
        <v>9.98</v>
      </c>
    </row>
    <row r="264" spans="3:16" x14ac:dyDescent="0.25">
      <c r="C264" t="str">
        <f>IF(COUNTBLANK(E264:N264) = 10,"",IF(AND(NOT(ISBLANK(E264)),COUNTBLANK(E264:N264) = 9),"3 Delete",IF(ISBLANK(E264),"2 Add",IF(JenkinsHashRange(E264:N264) = "1300323650","0 Original","1 Modify"))))</f>
        <v>0 Original</v>
      </c>
      <c r="D264" s="3" t="s">
        <v>1696</v>
      </c>
      <c r="E264" s="5">
        <v>2188</v>
      </c>
      <c r="F264" t="s">
        <v>1126</v>
      </c>
      <c r="G264" t="s">
        <v>457</v>
      </c>
      <c r="H264" s="9">
        <v>5.99</v>
      </c>
      <c r="I264" s="5">
        <v>1</v>
      </c>
      <c r="J264" s="7" t="s">
        <v>970</v>
      </c>
      <c r="K264" s="7">
        <v>42748.047268518516</v>
      </c>
      <c r="L264" s="3" t="s">
        <v>970</v>
      </c>
      <c r="M264" s="7">
        <v>42748.047268518516</v>
      </c>
      <c r="N264" s="3" t="s">
        <v>970</v>
      </c>
      <c r="O264" s="16" t="str">
        <f>TEXT(DATEVALUE(LEFT(F264,10)),"mm-yyyy")</f>
        <v>02-2015</v>
      </c>
      <c r="P264" s="16">
        <f>H264*I264</f>
        <v>5.99</v>
      </c>
    </row>
    <row r="265" spans="3:16" x14ac:dyDescent="0.25">
      <c r="C265" t="str">
        <f>IF(COUNTBLANK(E265:N265) = 10,"",IF(AND(NOT(ISBLANK(E265)),COUNTBLANK(E265:N265) = 9),"3 Delete",IF(ISBLANK(E265),"2 Add",IF(JenkinsHashRange(E265:N265) = "887834204","0 Original","1 Modify"))))</f>
        <v>0 Original</v>
      </c>
      <c r="D265" s="3" t="s">
        <v>1697</v>
      </c>
      <c r="E265" s="5">
        <v>2189</v>
      </c>
      <c r="F265" t="s">
        <v>1126</v>
      </c>
      <c r="G265" t="s">
        <v>883</v>
      </c>
      <c r="H265" s="9">
        <v>4.99</v>
      </c>
      <c r="I265" s="5">
        <v>1</v>
      </c>
      <c r="J265" s="7" t="s">
        <v>970</v>
      </c>
      <c r="K265" s="7">
        <v>42748.047268518516</v>
      </c>
      <c r="L265" s="3" t="s">
        <v>970</v>
      </c>
      <c r="M265" s="7">
        <v>42748.047268518516</v>
      </c>
      <c r="N265" s="3" t="s">
        <v>970</v>
      </c>
      <c r="O265" s="16" t="str">
        <f>TEXT(DATEVALUE(LEFT(F265,10)),"mm-yyyy")</f>
        <v>02-2015</v>
      </c>
      <c r="P265" s="16">
        <f>H265*I265</f>
        <v>4.99</v>
      </c>
    </row>
    <row r="266" spans="3:16" x14ac:dyDescent="0.25">
      <c r="C266" t="str">
        <f>IF(COUNTBLANK(E266:N266) = 10,"",IF(AND(NOT(ISBLANK(E266)),COUNTBLANK(E266:N266) = 9),"3 Delete",IF(ISBLANK(E266),"2 Add",IF(JenkinsHashRange(E266:N266) = "874531709","0 Original","1 Modify"))))</f>
        <v>0 Original</v>
      </c>
      <c r="D266" s="3" t="s">
        <v>1698</v>
      </c>
      <c r="E266" s="5">
        <v>2190</v>
      </c>
      <c r="F266" t="s">
        <v>1126</v>
      </c>
      <c r="G266" t="s">
        <v>927</v>
      </c>
      <c r="H266" s="9">
        <v>9.99</v>
      </c>
      <c r="I266" s="5">
        <v>1</v>
      </c>
      <c r="J266" s="7" t="s">
        <v>970</v>
      </c>
      <c r="K266" s="7">
        <v>42748.047268518516</v>
      </c>
      <c r="L266" s="3" t="s">
        <v>970</v>
      </c>
      <c r="M266" s="7">
        <v>42748.047268518516</v>
      </c>
      <c r="N266" s="3" t="s">
        <v>970</v>
      </c>
      <c r="O266" s="16" t="str">
        <f>TEXT(DATEVALUE(LEFT(F266,10)),"mm-yyyy")</f>
        <v>02-2015</v>
      </c>
      <c r="P266" s="16">
        <f>H266*I266</f>
        <v>9.99</v>
      </c>
    </row>
    <row r="267" spans="3:16" x14ac:dyDescent="0.25">
      <c r="C267" t="str">
        <f>IF(COUNTBLANK(E267:N267) = 10,"",IF(AND(NOT(ISBLANK(E267)),COUNTBLANK(E267:N267) = 9),"3 Delete",IF(ISBLANK(E267),"2 Add",IF(JenkinsHashRange(E267:N267) = "1593478658","0 Original","1 Modify"))))</f>
        <v>0 Original</v>
      </c>
      <c r="D267" s="3" t="s">
        <v>1699</v>
      </c>
      <c r="E267" s="5">
        <v>2203</v>
      </c>
      <c r="F267" t="s">
        <v>1127</v>
      </c>
      <c r="G267" t="s">
        <v>500</v>
      </c>
      <c r="H267" s="9">
        <v>4.99</v>
      </c>
      <c r="I267" s="5">
        <v>1</v>
      </c>
      <c r="J267" s="7" t="s">
        <v>970</v>
      </c>
      <c r="K267" s="7">
        <v>42748.047268518516</v>
      </c>
      <c r="L267" s="3" t="s">
        <v>970</v>
      </c>
      <c r="M267" s="7">
        <v>42748.047268518516</v>
      </c>
      <c r="N267" s="3" t="s">
        <v>970</v>
      </c>
      <c r="O267" s="16" t="str">
        <f>TEXT(DATEVALUE(LEFT(F267,10)),"mm-yyyy")</f>
        <v>02-2015</v>
      </c>
      <c r="P267" s="16">
        <f>H267*I267</f>
        <v>4.99</v>
      </c>
    </row>
    <row r="268" spans="3:16" x14ac:dyDescent="0.25">
      <c r="C268" t="str">
        <f>IF(COUNTBLANK(E268:N268) = 10,"",IF(AND(NOT(ISBLANK(E268)),COUNTBLANK(E268:N268) = 9),"3 Delete",IF(ISBLANK(E268),"2 Add",IF(JenkinsHashRange(E268:N268) = "1614756934","0 Original","1 Modify"))))</f>
        <v>0 Original</v>
      </c>
      <c r="D268" s="3" t="s">
        <v>1700</v>
      </c>
      <c r="E268" s="5">
        <v>2204</v>
      </c>
      <c r="F268" t="s">
        <v>1127</v>
      </c>
      <c r="G268" t="s">
        <v>706</v>
      </c>
      <c r="H268" s="9">
        <v>9.99</v>
      </c>
      <c r="I268" s="5">
        <v>2</v>
      </c>
      <c r="J268" s="7" t="s">
        <v>970</v>
      </c>
      <c r="K268" s="7">
        <v>42748.047268518516</v>
      </c>
      <c r="L268" s="3" t="s">
        <v>970</v>
      </c>
      <c r="M268" s="7">
        <v>42748.047268518516</v>
      </c>
      <c r="N268" s="3" t="s">
        <v>970</v>
      </c>
      <c r="O268" s="16" t="str">
        <f>TEXT(DATEVALUE(LEFT(F268,10)),"mm-yyyy")</f>
        <v>02-2015</v>
      </c>
      <c r="P268" s="16">
        <f>H268*I268</f>
        <v>19.98</v>
      </c>
    </row>
    <row r="269" spans="3:16" x14ac:dyDescent="0.25">
      <c r="C269" t="str">
        <f>IF(COUNTBLANK(E269:N269) = 10,"",IF(AND(NOT(ISBLANK(E269)),COUNTBLANK(E269:N269) = 9),"3 Delete",IF(ISBLANK(E269),"2 Add",IF(JenkinsHashRange(E269:N269) = "1089199130","0 Original","1 Modify"))))</f>
        <v>0 Original</v>
      </c>
      <c r="D269" s="3" t="s">
        <v>1701</v>
      </c>
      <c r="E269" s="5">
        <v>2210</v>
      </c>
      <c r="F269" t="s">
        <v>1128</v>
      </c>
      <c r="G269" t="s">
        <v>453</v>
      </c>
      <c r="H269" s="9">
        <v>8.99</v>
      </c>
      <c r="I269" s="5">
        <v>1</v>
      </c>
      <c r="J269" s="7" t="s">
        <v>970</v>
      </c>
      <c r="K269" s="7">
        <v>42748.047268518516</v>
      </c>
      <c r="L269" s="3" t="s">
        <v>970</v>
      </c>
      <c r="M269" s="7">
        <v>42748.047268518516</v>
      </c>
      <c r="N269" s="3" t="s">
        <v>970</v>
      </c>
      <c r="O269" s="16" t="str">
        <f>TEXT(DATEVALUE(LEFT(F269,10)),"mm-yyyy")</f>
        <v>02-2015</v>
      </c>
      <c r="P269" s="16">
        <f>H269*I269</f>
        <v>8.99</v>
      </c>
    </row>
    <row r="270" spans="3:16" x14ac:dyDescent="0.25">
      <c r="C270" t="str">
        <f>IF(COUNTBLANK(E270:N270) = 10,"",IF(AND(NOT(ISBLANK(E270)),COUNTBLANK(E270:N270) = 9),"3 Delete",IF(ISBLANK(E270),"2 Add",IF(JenkinsHashRange(E270:N270) = "583134653","0 Original","1 Modify"))))</f>
        <v>0 Original</v>
      </c>
      <c r="D270" s="3" t="s">
        <v>1702</v>
      </c>
      <c r="E270" s="5">
        <v>2211</v>
      </c>
      <c r="F270" t="s">
        <v>1128</v>
      </c>
      <c r="G270" t="s">
        <v>696</v>
      </c>
      <c r="H270" s="9">
        <v>4.99</v>
      </c>
      <c r="I270" s="5">
        <v>2</v>
      </c>
      <c r="J270" s="7" t="s">
        <v>970</v>
      </c>
      <c r="K270" s="7">
        <v>42748.047268518516</v>
      </c>
      <c r="L270" s="3" t="s">
        <v>970</v>
      </c>
      <c r="M270" s="7">
        <v>42748.047268518516</v>
      </c>
      <c r="N270" s="3" t="s">
        <v>970</v>
      </c>
      <c r="O270" s="16" t="str">
        <f>TEXT(DATEVALUE(LEFT(F270,10)),"mm-yyyy")</f>
        <v>02-2015</v>
      </c>
      <c r="P270" s="16">
        <f>H270*I270</f>
        <v>9.98</v>
      </c>
    </row>
    <row r="271" spans="3:16" x14ac:dyDescent="0.25">
      <c r="C271" t="str">
        <f>IF(COUNTBLANK(E271:N271) = 10,"",IF(AND(NOT(ISBLANK(E271)),COUNTBLANK(E271:N271) = 9),"3 Delete",IF(ISBLANK(E271),"2 Add",IF(JenkinsHashRange(E271:N271) = "6014839","0 Original","1 Modify"))))</f>
        <v>0 Original</v>
      </c>
      <c r="D271" s="3" t="s">
        <v>1703</v>
      </c>
      <c r="E271" s="5">
        <v>2212</v>
      </c>
      <c r="F271" t="s">
        <v>1128</v>
      </c>
      <c r="G271" t="s">
        <v>850</v>
      </c>
      <c r="H271" s="9">
        <v>7.99</v>
      </c>
      <c r="I271" s="5">
        <v>1</v>
      </c>
      <c r="J271" s="7" t="s">
        <v>970</v>
      </c>
      <c r="K271" s="7">
        <v>42748.047268518516</v>
      </c>
      <c r="L271" s="3" t="s">
        <v>970</v>
      </c>
      <c r="M271" s="7">
        <v>42748.047268518516</v>
      </c>
      <c r="N271" s="3" t="s">
        <v>970</v>
      </c>
      <c r="O271" s="16" t="str">
        <f>TEXT(DATEVALUE(LEFT(F271,10)),"mm-yyyy")</f>
        <v>02-2015</v>
      </c>
      <c r="P271" s="16">
        <f>H271*I271</f>
        <v>7.99</v>
      </c>
    </row>
    <row r="272" spans="3:16" x14ac:dyDescent="0.25">
      <c r="C272" t="str">
        <f>IF(COUNTBLANK(E272:N272) = 10,"",IF(AND(NOT(ISBLANK(E272)),COUNTBLANK(E272:N272) = 9),"3 Delete",IF(ISBLANK(E272),"2 Add",IF(JenkinsHashRange(E272:N272) = "1629202511","0 Original","1 Modify"))))</f>
        <v>0 Original</v>
      </c>
      <c r="D272" s="3" t="s">
        <v>1704</v>
      </c>
      <c r="E272" s="5">
        <v>2213</v>
      </c>
      <c r="F272" t="s">
        <v>1128</v>
      </c>
      <c r="G272" t="s">
        <v>453</v>
      </c>
      <c r="H272" s="9">
        <v>8.99</v>
      </c>
      <c r="I272" s="5">
        <v>1</v>
      </c>
      <c r="J272" s="7" t="s">
        <v>970</v>
      </c>
      <c r="K272" s="7">
        <v>42748.047268518516</v>
      </c>
      <c r="L272" s="3" t="s">
        <v>970</v>
      </c>
      <c r="M272" s="7">
        <v>42748.047268518516</v>
      </c>
      <c r="N272" s="3" t="s">
        <v>970</v>
      </c>
      <c r="O272" s="16" t="str">
        <f>TEXT(DATEVALUE(LEFT(F272,10)),"mm-yyyy")</f>
        <v>02-2015</v>
      </c>
      <c r="P272" s="16">
        <f>H272*I272</f>
        <v>8.99</v>
      </c>
    </row>
    <row r="273" spans="3:16" x14ac:dyDescent="0.25">
      <c r="C273" t="str">
        <f>IF(COUNTBLANK(E273:N273) = 10,"",IF(AND(NOT(ISBLANK(E273)),COUNTBLANK(E273:N273) = 9),"3 Delete",IF(ISBLANK(E273),"2 Add",IF(JenkinsHashRange(E273:N273) = "1133122758","0 Original","1 Modify"))))</f>
        <v>0 Original</v>
      </c>
      <c r="D273" s="3" t="s">
        <v>1754</v>
      </c>
      <c r="E273" s="5">
        <v>2394</v>
      </c>
      <c r="F273" t="s">
        <v>1141</v>
      </c>
      <c r="G273" t="s">
        <v>914</v>
      </c>
      <c r="H273" s="9">
        <v>8.99</v>
      </c>
      <c r="I273" s="5">
        <v>1</v>
      </c>
      <c r="J273" s="7" t="s">
        <v>970</v>
      </c>
      <c r="K273" s="7">
        <v>42748.047268518516</v>
      </c>
      <c r="L273" s="3" t="s">
        <v>970</v>
      </c>
      <c r="M273" s="7">
        <v>42748.047268518516</v>
      </c>
      <c r="N273" s="3" t="s">
        <v>970</v>
      </c>
      <c r="O273" s="16" t="str">
        <f>TEXT(DATEVALUE(LEFT(F273,10)),"mm-yyyy")</f>
        <v>02-2015</v>
      </c>
      <c r="P273" s="16">
        <f>H273*I273</f>
        <v>8.99</v>
      </c>
    </row>
    <row r="274" spans="3:16" x14ac:dyDescent="0.25">
      <c r="C274" t="str">
        <f>IF(COUNTBLANK(E274:N274) = 10,"",IF(AND(NOT(ISBLANK(E274)),COUNTBLANK(E274:N274) = 9),"3 Delete",IF(ISBLANK(E274),"2 Add",IF(JenkinsHashRange(E274:N274) = "2088375091","0 Original","1 Modify"))))</f>
        <v>0 Original</v>
      </c>
      <c r="D274" s="3" t="s">
        <v>1755</v>
      </c>
      <c r="E274" s="5">
        <v>2395</v>
      </c>
      <c r="F274" t="s">
        <v>1141</v>
      </c>
      <c r="G274" t="s">
        <v>914</v>
      </c>
      <c r="H274" s="9">
        <v>8.99</v>
      </c>
      <c r="I274" s="5">
        <v>1</v>
      </c>
      <c r="J274" s="7" t="s">
        <v>970</v>
      </c>
      <c r="K274" s="7">
        <v>42748.047268518516</v>
      </c>
      <c r="L274" s="3" t="s">
        <v>970</v>
      </c>
      <c r="M274" s="7">
        <v>42748.047268518516</v>
      </c>
      <c r="N274" s="3" t="s">
        <v>970</v>
      </c>
      <c r="O274" s="16" t="str">
        <f>TEXT(DATEVALUE(LEFT(F274,10)),"mm-yyyy")</f>
        <v>02-2015</v>
      </c>
      <c r="P274" s="16">
        <f>H274*I274</f>
        <v>8.99</v>
      </c>
    </row>
    <row r="275" spans="3:16" x14ac:dyDescent="0.25">
      <c r="C275" t="str">
        <f>IF(COUNTBLANK(E275:N275) = 10,"",IF(AND(NOT(ISBLANK(E275)),COUNTBLANK(E275:N275) = 9),"3 Delete",IF(ISBLANK(E275),"2 Add",IF(JenkinsHashRange(E275:N275) = "733022536","0 Original","1 Modify"))))</f>
        <v>0 Original</v>
      </c>
      <c r="D275" s="3" t="s">
        <v>1756</v>
      </c>
      <c r="E275" s="5">
        <v>2396</v>
      </c>
      <c r="F275" t="s">
        <v>1141</v>
      </c>
      <c r="G275" t="s">
        <v>453</v>
      </c>
      <c r="H275" s="9">
        <v>8.99</v>
      </c>
      <c r="I275" s="5">
        <v>1</v>
      </c>
      <c r="J275" s="7" t="s">
        <v>970</v>
      </c>
      <c r="K275" s="7">
        <v>42748.047268518516</v>
      </c>
      <c r="L275" s="3" t="s">
        <v>970</v>
      </c>
      <c r="M275" s="7">
        <v>42748.047268518516</v>
      </c>
      <c r="N275" s="3" t="s">
        <v>970</v>
      </c>
      <c r="O275" s="16" t="str">
        <f>TEXT(DATEVALUE(LEFT(F275,10)),"mm-yyyy")</f>
        <v>02-2015</v>
      </c>
      <c r="P275" s="16">
        <f>H275*I275</f>
        <v>8.99</v>
      </c>
    </row>
    <row r="276" spans="3:16" x14ac:dyDescent="0.25">
      <c r="C276" t="str">
        <f>IF(COUNTBLANK(E276:N276) = 10,"",IF(AND(NOT(ISBLANK(E276)),COUNTBLANK(E276:N276) = 9),"3 Delete",IF(ISBLANK(E276),"2 Add",IF(JenkinsHashRange(E276:N276) = "195117564","0 Original","1 Modify"))))</f>
        <v>0 Original</v>
      </c>
      <c r="D276" s="3" t="s">
        <v>1763</v>
      </c>
      <c r="E276" s="5">
        <v>2408</v>
      </c>
      <c r="F276" t="s">
        <v>1143</v>
      </c>
      <c r="G276" t="s">
        <v>904</v>
      </c>
      <c r="H276" s="9">
        <v>9.99</v>
      </c>
      <c r="I276" s="5">
        <v>1</v>
      </c>
      <c r="J276" s="7" t="s">
        <v>970</v>
      </c>
      <c r="K276" s="7">
        <v>42748.047268518516</v>
      </c>
      <c r="L276" s="3" t="s">
        <v>970</v>
      </c>
      <c r="M276" s="7">
        <v>42748.047268518516</v>
      </c>
      <c r="N276" s="3" t="s">
        <v>970</v>
      </c>
      <c r="O276" s="16" t="str">
        <f>TEXT(DATEVALUE(LEFT(F276,10)),"mm-yyyy")</f>
        <v>02-2015</v>
      </c>
      <c r="P276" s="16">
        <f>H276*I276</f>
        <v>9.99</v>
      </c>
    </row>
    <row r="277" spans="3:16" x14ac:dyDescent="0.25">
      <c r="C277" t="str">
        <f>IF(COUNTBLANK(E277:N277) = 10,"",IF(AND(NOT(ISBLANK(E277)),COUNTBLANK(E277:N277) = 9),"3 Delete",IF(ISBLANK(E277),"2 Add",IF(JenkinsHashRange(E277:N277) = "2102240879","0 Original","1 Modify"))))</f>
        <v>0 Original</v>
      </c>
      <c r="D277" s="3" t="s">
        <v>1772</v>
      </c>
      <c r="E277" s="5">
        <v>2440</v>
      </c>
      <c r="F277" t="s">
        <v>1147</v>
      </c>
      <c r="G277" t="s">
        <v>957</v>
      </c>
      <c r="H277" s="9">
        <v>5.99</v>
      </c>
      <c r="I277" s="5">
        <v>1</v>
      </c>
      <c r="J277" s="7" t="s">
        <v>970</v>
      </c>
      <c r="K277" s="7">
        <v>42748.047268518516</v>
      </c>
      <c r="L277" s="3" t="s">
        <v>970</v>
      </c>
      <c r="M277" s="7">
        <v>42748.047268518516</v>
      </c>
      <c r="N277" s="3" t="s">
        <v>970</v>
      </c>
      <c r="O277" s="16" t="str">
        <f>TEXT(DATEVALUE(LEFT(F277,10)),"mm-yyyy")</f>
        <v>02-2015</v>
      </c>
      <c r="P277" s="16">
        <f>H277*I277</f>
        <v>5.99</v>
      </c>
    </row>
    <row r="278" spans="3:16" x14ac:dyDescent="0.25">
      <c r="C278" t="str">
        <f>IF(COUNTBLANK(E278:N278) = 10,"",IF(AND(NOT(ISBLANK(E278)),COUNTBLANK(E278:N278) = 9),"3 Delete",IF(ISBLANK(E278),"2 Add",IF(JenkinsHashRange(E278:N278) = "732521596","0 Original","1 Modify"))))</f>
        <v>0 Original</v>
      </c>
      <c r="D278" s="3" t="s">
        <v>1773</v>
      </c>
      <c r="E278" s="5">
        <v>2441</v>
      </c>
      <c r="F278" t="s">
        <v>1147</v>
      </c>
      <c r="G278" t="s">
        <v>400</v>
      </c>
      <c r="H278" s="9">
        <v>6.99</v>
      </c>
      <c r="I278" s="5">
        <v>1</v>
      </c>
      <c r="J278" s="7" t="s">
        <v>970</v>
      </c>
      <c r="K278" s="7">
        <v>42748.047268518516</v>
      </c>
      <c r="L278" s="3" t="s">
        <v>970</v>
      </c>
      <c r="M278" s="7">
        <v>42748.047268518516</v>
      </c>
      <c r="N278" s="3" t="s">
        <v>970</v>
      </c>
      <c r="O278" s="16" t="str">
        <f>TEXT(DATEVALUE(LEFT(F278,10)),"mm-yyyy")</f>
        <v>02-2015</v>
      </c>
      <c r="P278" s="16">
        <f>H278*I278</f>
        <v>6.99</v>
      </c>
    </row>
    <row r="279" spans="3:16" x14ac:dyDescent="0.25">
      <c r="C279" t="str">
        <f>IF(COUNTBLANK(E279:N279) = 10,"",IF(AND(NOT(ISBLANK(E279)),COUNTBLANK(E279:N279) = 9),"3 Delete",IF(ISBLANK(E279),"2 Add",IF(JenkinsHashRange(E279:N279) = "1276987476","0 Original","1 Modify"))))</f>
        <v>0 Original</v>
      </c>
      <c r="D279" s="3" t="s">
        <v>1774</v>
      </c>
      <c r="E279" s="5">
        <v>2442</v>
      </c>
      <c r="F279" t="s">
        <v>1147</v>
      </c>
      <c r="G279" t="s">
        <v>904</v>
      </c>
      <c r="H279" s="9">
        <v>9.99</v>
      </c>
      <c r="I279" s="5">
        <v>1</v>
      </c>
      <c r="J279" s="7" t="s">
        <v>970</v>
      </c>
      <c r="K279" s="7">
        <v>42748.047268518516</v>
      </c>
      <c r="L279" s="3" t="s">
        <v>970</v>
      </c>
      <c r="M279" s="7">
        <v>42748.047268518516</v>
      </c>
      <c r="N279" s="3" t="s">
        <v>970</v>
      </c>
      <c r="O279" s="16" t="str">
        <f>TEXT(DATEVALUE(LEFT(F279,10)),"mm-yyyy")</f>
        <v>02-2015</v>
      </c>
      <c r="P279" s="16">
        <f>H279*I279</f>
        <v>9.99</v>
      </c>
    </row>
    <row r="280" spans="3:16" x14ac:dyDescent="0.25">
      <c r="C280" t="str">
        <f>IF(COUNTBLANK(E280:N280) = 10,"",IF(AND(NOT(ISBLANK(E280)),COUNTBLANK(E280:N280) = 9),"3 Delete",IF(ISBLANK(E280),"2 Add",IF(JenkinsHashRange(E280:N280) = "1822578569","0 Original","1 Modify"))))</f>
        <v>0 Original</v>
      </c>
      <c r="D280" s="3" t="s">
        <v>1783</v>
      </c>
      <c r="E280" s="5">
        <v>2485</v>
      </c>
      <c r="F280" t="s">
        <v>1150</v>
      </c>
      <c r="G280" t="s">
        <v>904</v>
      </c>
      <c r="H280" s="9">
        <v>9.99</v>
      </c>
      <c r="I280" s="5">
        <v>1</v>
      </c>
      <c r="J280" s="7" t="s">
        <v>970</v>
      </c>
      <c r="K280" s="7">
        <v>42748.047268518516</v>
      </c>
      <c r="L280" s="3" t="s">
        <v>970</v>
      </c>
      <c r="M280" s="7">
        <v>42748.047268518516</v>
      </c>
      <c r="N280" s="3" t="s">
        <v>970</v>
      </c>
      <c r="O280" s="16" t="str">
        <f>TEXT(DATEVALUE(LEFT(F280,10)),"mm-yyyy")</f>
        <v>02-2015</v>
      </c>
      <c r="P280" s="16">
        <f>H280*I280</f>
        <v>9.99</v>
      </c>
    </row>
    <row r="281" spans="3:16" x14ac:dyDescent="0.25">
      <c r="C281" t="str">
        <f>IF(COUNTBLANK(E281:N281) = 10,"",IF(AND(NOT(ISBLANK(E281)),COUNTBLANK(E281:N281) = 9),"3 Delete",IF(ISBLANK(E281),"2 Add",IF(JenkinsHashRange(E281:N281) = "426631129","0 Original","1 Modify"))))</f>
        <v>0 Original</v>
      </c>
      <c r="D281" s="3" t="s">
        <v>1784</v>
      </c>
      <c r="E281" s="5">
        <v>2486</v>
      </c>
      <c r="F281" t="s">
        <v>1150</v>
      </c>
      <c r="G281" t="s">
        <v>814</v>
      </c>
      <c r="H281" s="9">
        <v>9.99</v>
      </c>
      <c r="I281" s="5">
        <v>1</v>
      </c>
      <c r="J281" s="7" t="s">
        <v>970</v>
      </c>
      <c r="K281" s="7">
        <v>42748.047268518516</v>
      </c>
      <c r="L281" s="3" t="s">
        <v>970</v>
      </c>
      <c r="M281" s="7">
        <v>42748.047268518516</v>
      </c>
      <c r="N281" s="3" t="s">
        <v>970</v>
      </c>
      <c r="O281" s="16" t="str">
        <f>TEXT(DATEVALUE(LEFT(F281,10)),"mm-yyyy")</f>
        <v>02-2015</v>
      </c>
      <c r="P281" s="16">
        <f>H281*I281</f>
        <v>9.99</v>
      </c>
    </row>
    <row r="282" spans="3:16" x14ac:dyDescent="0.25">
      <c r="C282" t="str">
        <f>IF(COUNTBLANK(E282:N282) = 10,"",IF(AND(NOT(ISBLANK(E282)),COUNTBLANK(E282:N282) = 9),"3 Delete",IF(ISBLANK(E282),"2 Add",IF(JenkinsHashRange(E282:N282) = "1023734226","0 Original","1 Modify"))))</f>
        <v>0 Original</v>
      </c>
      <c r="D282" s="3" t="s">
        <v>1785</v>
      </c>
      <c r="E282" s="5">
        <v>2487</v>
      </c>
      <c r="F282" t="s">
        <v>1150</v>
      </c>
      <c r="G282" t="s">
        <v>702</v>
      </c>
      <c r="H282" s="9">
        <v>7.99</v>
      </c>
      <c r="I282" s="5">
        <v>2</v>
      </c>
      <c r="J282" s="7" t="s">
        <v>970</v>
      </c>
      <c r="K282" s="7">
        <v>42748.047268518516</v>
      </c>
      <c r="L282" s="3" t="s">
        <v>970</v>
      </c>
      <c r="M282" s="7">
        <v>42748.047268518516</v>
      </c>
      <c r="N282" s="3" t="s">
        <v>970</v>
      </c>
      <c r="O282" s="16" t="str">
        <f>TEXT(DATEVALUE(LEFT(F282,10)),"mm-yyyy")</f>
        <v>02-2015</v>
      </c>
      <c r="P282" s="16">
        <f>H282*I282</f>
        <v>15.98</v>
      </c>
    </row>
    <row r="283" spans="3:16" x14ac:dyDescent="0.25">
      <c r="C283" t="str">
        <f>IF(COUNTBLANK(E283:N283) = 10,"",IF(AND(NOT(ISBLANK(E283)),COUNTBLANK(E283:N283) = 9),"3 Delete",IF(ISBLANK(E283),"2 Add",IF(JenkinsHashRange(E283:N283) = "574527057","0 Original","1 Modify"))))</f>
        <v>0 Original</v>
      </c>
      <c r="D283" s="3" t="s">
        <v>1807</v>
      </c>
      <c r="E283" s="5">
        <v>2608</v>
      </c>
      <c r="F283" t="s">
        <v>1158</v>
      </c>
      <c r="G283" t="s">
        <v>702</v>
      </c>
      <c r="H283" s="9">
        <v>7.99</v>
      </c>
      <c r="I283" s="5">
        <v>1</v>
      </c>
      <c r="J283" s="7" t="s">
        <v>970</v>
      </c>
      <c r="K283" s="7">
        <v>42748.047268518516</v>
      </c>
      <c r="L283" s="3" t="s">
        <v>970</v>
      </c>
      <c r="M283" s="7">
        <v>42748.047268518516</v>
      </c>
      <c r="N283" s="3" t="s">
        <v>970</v>
      </c>
      <c r="O283" s="16" t="str">
        <f>TEXT(DATEVALUE(LEFT(F283,10)),"mm-yyyy")</f>
        <v>02-2015</v>
      </c>
      <c r="P283" s="16">
        <f>H283*I283</f>
        <v>7.99</v>
      </c>
    </row>
    <row r="284" spans="3:16" x14ac:dyDescent="0.25">
      <c r="C284" t="str">
        <f>IF(COUNTBLANK(E284:N284) = 10,"",IF(AND(NOT(ISBLANK(E284)),COUNTBLANK(E284:N284) = 9),"3 Delete",IF(ISBLANK(E284),"2 Add",IF(JenkinsHashRange(E284:N284) = "1662499985","0 Original","1 Modify"))))</f>
        <v>0 Original</v>
      </c>
      <c r="D284" s="3" t="s">
        <v>1808</v>
      </c>
      <c r="E284" s="5">
        <v>2609</v>
      </c>
      <c r="F284" t="s">
        <v>1158</v>
      </c>
      <c r="G284" t="s">
        <v>945</v>
      </c>
      <c r="H284" s="9">
        <v>7.99</v>
      </c>
      <c r="I284" s="5">
        <v>1</v>
      </c>
      <c r="J284" s="7" t="s">
        <v>970</v>
      </c>
      <c r="K284" s="7">
        <v>42748.047268518516</v>
      </c>
      <c r="L284" s="3" t="s">
        <v>970</v>
      </c>
      <c r="M284" s="7">
        <v>42748.047268518516</v>
      </c>
      <c r="N284" s="3" t="s">
        <v>970</v>
      </c>
      <c r="O284" s="16" t="str">
        <f>TEXT(DATEVALUE(LEFT(F284,10)),"mm-yyyy")</f>
        <v>02-2015</v>
      </c>
      <c r="P284" s="16">
        <f>H284*I284</f>
        <v>7.99</v>
      </c>
    </row>
    <row r="285" spans="3:16" x14ac:dyDescent="0.25">
      <c r="C285" t="str">
        <f>IF(COUNTBLANK(E285:N285) = 10,"",IF(AND(NOT(ISBLANK(E285)),COUNTBLANK(E285:N285) = 9),"3 Delete",IF(ISBLANK(E285),"2 Add",IF(JenkinsHashRange(E285:N285) = "1134303811","0 Original","1 Modify"))))</f>
        <v>0 Original</v>
      </c>
      <c r="D285" s="3" t="s">
        <v>1809</v>
      </c>
      <c r="E285" s="5">
        <v>2610</v>
      </c>
      <c r="F285" t="s">
        <v>1158</v>
      </c>
      <c r="G285" t="s">
        <v>877</v>
      </c>
      <c r="H285" s="9">
        <v>8.99</v>
      </c>
      <c r="I285" s="5">
        <v>2</v>
      </c>
      <c r="J285" s="7" t="s">
        <v>970</v>
      </c>
      <c r="K285" s="7">
        <v>42748.047268518516</v>
      </c>
      <c r="L285" s="3" t="s">
        <v>970</v>
      </c>
      <c r="M285" s="7">
        <v>42748.047268518516</v>
      </c>
      <c r="N285" s="3" t="s">
        <v>970</v>
      </c>
      <c r="O285" s="16" t="str">
        <f>TEXT(DATEVALUE(LEFT(F285,10)),"mm-yyyy")</f>
        <v>02-2015</v>
      </c>
      <c r="P285" s="16">
        <f>H285*I285</f>
        <v>17.98</v>
      </c>
    </row>
    <row r="286" spans="3:16" x14ac:dyDescent="0.25">
      <c r="C286" t="str">
        <f>IF(COUNTBLANK(E286:N286) = 10,"",IF(AND(NOT(ISBLANK(E286)),COUNTBLANK(E286:N286) = 9),"3 Delete",IF(ISBLANK(E286),"2 Add",IF(JenkinsHashRange(E286:N286) = "543572660","0 Original","1 Modify"))))</f>
        <v>0 Original</v>
      </c>
      <c r="D286" s="3" t="s">
        <v>1810</v>
      </c>
      <c r="E286" s="5">
        <v>2611</v>
      </c>
      <c r="F286" t="s">
        <v>1158</v>
      </c>
      <c r="G286" t="s">
        <v>877</v>
      </c>
      <c r="H286" s="9">
        <v>8.99</v>
      </c>
      <c r="I286" s="5">
        <v>1</v>
      </c>
      <c r="J286" s="7" t="s">
        <v>970</v>
      </c>
      <c r="K286" s="7">
        <v>42748.047268518516</v>
      </c>
      <c r="L286" s="3" t="s">
        <v>970</v>
      </c>
      <c r="M286" s="7">
        <v>42748.047268518516</v>
      </c>
      <c r="N286" s="3" t="s">
        <v>970</v>
      </c>
      <c r="O286" s="16" t="str">
        <f>TEXT(DATEVALUE(LEFT(F286,10)),"mm-yyyy")</f>
        <v>02-2015</v>
      </c>
      <c r="P286" s="16">
        <f>H286*I286</f>
        <v>8.99</v>
      </c>
    </row>
    <row r="287" spans="3:16" x14ac:dyDescent="0.25">
      <c r="C287" t="str">
        <f>IF(COUNTBLANK(E287:N287) = 10,"",IF(AND(NOT(ISBLANK(E287)),COUNTBLANK(E287:N287) = 9),"3 Delete",IF(ISBLANK(E287),"2 Add",IF(JenkinsHashRange(E287:N287) = "670854615","0 Original","1 Modify"))))</f>
        <v>0 Original</v>
      </c>
      <c r="D287" s="3" t="s">
        <v>1811</v>
      </c>
      <c r="E287" s="5">
        <v>2612</v>
      </c>
      <c r="F287" t="s">
        <v>1158</v>
      </c>
      <c r="G287" t="s">
        <v>877</v>
      </c>
      <c r="H287" s="9">
        <v>8.99</v>
      </c>
      <c r="I287" s="5">
        <v>2</v>
      </c>
      <c r="J287" s="7" t="s">
        <v>970</v>
      </c>
      <c r="K287" s="7">
        <v>42748.047268518516</v>
      </c>
      <c r="L287" s="3" t="s">
        <v>970</v>
      </c>
      <c r="M287" s="7">
        <v>42748.047268518516</v>
      </c>
      <c r="N287" s="3" t="s">
        <v>970</v>
      </c>
      <c r="O287" s="16" t="str">
        <f>TEXT(DATEVALUE(LEFT(F287,10)),"mm-yyyy")</f>
        <v>02-2015</v>
      </c>
      <c r="P287" s="16">
        <f>H287*I287</f>
        <v>17.98</v>
      </c>
    </row>
    <row r="288" spans="3:16" x14ac:dyDescent="0.25">
      <c r="C288" t="str">
        <f>IF(COUNTBLANK(E288:N288) = 10,"",IF(AND(NOT(ISBLANK(E288)),COUNTBLANK(E288:N288) = 9),"3 Delete",IF(ISBLANK(E288),"2 Add",IF(JenkinsHashRange(E288:N288) = "644129328","0 Original","1 Modify"))))</f>
        <v>0 Original</v>
      </c>
      <c r="D288" s="3" t="s">
        <v>1812</v>
      </c>
      <c r="E288" s="5">
        <v>2613</v>
      </c>
      <c r="F288" t="s">
        <v>1158</v>
      </c>
      <c r="G288" t="s">
        <v>877</v>
      </c>
      <c r="H288" s="9">
        <v>8.99</v>
      </c>
      <c r="I288" s="5">
        <v>1</v>
      </c>
      <c r="J288" s="7" t="s">
        <v>970</v>
      </c>
      <c r="K288" s="7">
        <v>42748.047268518516</v>
      </c>
      <c r="L288" s="3" t="s">
        <v>970</v>
      </c>
      <c r="M288" s="7">
        <v>42748.047268518516</v>
      </c>
      <c r="N288" s="3" t="s">
        <v>970</v>
      </c>
      <c r="O288" s="16" t="str">
        <f>TEXT(DATEVALUE(LEFT(F288,10)),"mm-yyyy")</f>
        <v>02-2015</v>
      </c>
      <c r="P288" s="16">
        <f>H288*I288</f>
        <v>8.99</v>
      </c>
    </row>
    <row r="289" spans="3:16" x14ac:dyDescent="0.25">
      <c r="C289" t="str">
        <f>IF(COUNTBLANK(E289:N289) = 10,"",IF(AND(NOT(ISBLANK(E289)),COUNTBLANK(E289:N289) = 9),"3 Delete",IF(ISBLANK(E289),"2 Add",IF(JenkinsHashRange(E289:N289) = "1667818497","0 Original","1 Modify"))))</f>
        <v>0 Original</v>
      </c>
      <c r="D289" s="3" t="s">
        <v>1838</v>
      </c>
      <c r="E289" s="5">
        <v>2749</v>
      </c>
      <c r="F289" t="s">
        <v>1165</v>
      </c>
      <c r="G289" t="s">
        <v>400</v>
      </c>
      <c r="H289" s="9">
        <v>6.99</v>
      </c>
      <c r="I289" s="5">
        <v>1</v>
      </c>
      <c r="J289" s="7" t="s">
        <v>970</v>
      </c>
      <c r="K289" s="7">
        <v>42748.047268518516</v>
      </c>
      <c r="L289" s="3" t="s">
        <v>970</v>
      </c>
      <c r="M289" s="7">
        <v>42748.047268518516</v>
      </c>
      <c r="N289" s="3" t="s">
        <v>970</v>
      </c>
      <c r="O289" s="16" t="str">
        <f>TEXT(DATEVALUE(LEFT(F289,10)),"mm-yyyy")</f>
        <v>02-2015</v>
      </c>
      <c r="P289" s="16">
        <f>H289*I289</f>
        <v>6.99</v>
      </c>
    </row>
    <row r="290" spans="3:16" x14ac:dyDescent="0.25">
      <c r="C290" t="str">
        <f>IF(COUNTBLANK(E290:N290) = 10,"",IF(AND(NOT(ISBLANK(E290)),COUNTBLANK(E290:N290) = 9),"3 Delete",IF(ISBLANK(E290),"2 Add",IF(JenkinsHashRange(E290:N290) = "2012668922","0 Original","1 Modify"))))</f>
        <v>0 Original</v>
      </c>
      <c r="D290" s="3" t="s">
        <v>1839</v>
      </c>
      <c r="E290" s="5">
        <v>2750</v>
      </c>
      <c r="F290" t="s">
        <v>1165</v>
      </c>
      <c r="G290" t="s">
        <v>702</v>
      </c>
      <c r="H290" s="9">
        <v>7.99</v>
      </c>
      <c r="I290" s="5">
        <v>1</v>
      </c>
      <c r="J290" s="7" t="s">
        <v>970</v>
      </c>
      <c r="K290" s="7">
        <v>42748.047268518516</v>
      </c>
      <c r="L290" s="3" t="s">
        <v>970</v>
      </c>
      <c r="M290" s="7">
        <v>42748.047268518516</v>
      </c>
      <c r="N290" s="3" t="s">
        <v>970</v>
      </c>
      <c r="O290" s="16" t="str">
        <f>TEXT(DATEVALUE(LEFT(F290,10)),"mm-yyyy")</f>
        <v>02-2015</v>
      </c>
      <c r="P290" s="16">
        <f>H290*I290</f>
        <v>7.99</v>
      </c>
    </row>
    <row r="291" spans="3:16" x14ac:dyDescent="0.25">
      <c r="C291" t="str">
        <f>IF(COUNTBLANK(E291:N291) = 10,"",IF(AND(NOT(ISBLANK(E291)),COUNTBLANK(E291:N291) = 9),"3 Delete",IF(ISBLANK(E291),"2 Add",IF(JenkinsHashRange(E291:N291) = "1774205114","0 Original","1 Modify"))))</f>
        <v>0 Original</v>
      </c>
      <c r="D291" s="3" t="s">
        <v>1840</v>
      </c>
      <c r="E291" s="5">
        <v>2751</v>
      </c>
      <c r="F291" t="s">
        <v>1165</v>
      </c>
      <c r="G291" t="s">
        <v>453</v>
      </c>
      <c r="H291" s="9">
        <v>8.99</v>
      </c>
      <c r="I291" s="5">
        <v>2</v>
      </c>
      <c r="J291" s="7" t="s">
        <v>970</v>
      </c>
      <c r="K291" s="7">
        <v>42748.047268518516</v>
      </c>
      <c r="L291" s="3" t="s">
        <v>970</v>
      </c>
      <c r="M291" s="7">
        <v>42748.047268518516</v>
      </c>
      <c r="N291" s="3" t="s">
        <v>970</v>
      </c>
      <c r="O291" s="16" t="str">
        <f>TEXT(DATEVALUE(LEFT(F291,10)),"mm-yyyy")</f>
        <v>02-2015</v>
      </c>
      <c r="P291" s="16">
        <f>H291*I291</f>
        <v>17.98</v>
      </c>
    </row>
    <row r="292" spans="3:16" x14ac:dyDescent="0.25">
      <c r="C292" t="str">
        <f>IF(COUNTBLANK(E292:N292) = 10,"",IF(AND(NOT(ISBLANK(E292)),COUNTBLANK(E292:N292) = 9),"3 Delete",IF(ISBLANK(E292),"2 Add",IF(JenkinsHashRange(E292:N292) = "1426945540","0 Original","1 Modify"))))</f>
        <v>0 Original</v>
      </c>
      <c r="D292" s="3" t="s">
        <v>1841</v>
      </c>
      <c r="E292" s="5">
        <v>2752</v>
      </c>
      <c r="F292" t="s">
        <v>1165</v>
      </c>
      <c r="G292" t="s">
        <v>565</v>
      </c>
      <c r="H292" s="9">
        <v>5.99</v>
      </c>
      <c r="I292" s="5">
        <v>1</v>
      </c>
      <c r="J292" s="7" t="s">
        <v>970</v>
      </c>
      <c r="K292" s="7">
        <v>42748.047268518516</v>
      </c>
      <c r="L292" s="3" t="s">
        <v>970</v>
      </c>
      <c r="M292" s="7">
        <v>42748.047268518516</v>
      </c>
      <c r="N292" s="3" t="s">
        <v>970</v>
      </c>
      <c r="O292" s="16" t="str">
        <f>TEXT(DATEVALUE(LEFT(F292,10)),"mm-yyyy")</f>
        <v>02-2015</v>
      </c>
      <c r="P292" s="16">
        <f>H292*I292</f>
        <v>5.99</v>
      </c>
    </row>
    <row r="293" spans="3:16" x14ac:dyDescent="0.25">
      <c r="C293" t="str">
        <f>IF(COUNTBLANK(E293:N293) = 10,"",IF(AND(NOT(ISBLANK(E293)),COUNTBLANK(E293:N293) = 9),"3 Delete",IF(ISBLANK(E293),"2 Add",IF(JenkinsHashRange(E293:N293) = "878229228","0 Original","1 Modify"))))</f>
        <v>0 Original</v>
      </c>
      <c r="D293" s="3" t="s">
        <v>1842</v>
      </c>
      <c r="E293" s="5">
        <v>2774</v>
      </c>
      <c r="F293" t="s">
        <v>1166</v>
      </c>
      <c r="G293" t="s">
        <v>702</v>
      </c>
      <c r="H293" s="9">
        <v>7.99</v>
      </c>
      <c r="I293" s="5">
        <v>1</v>
      </c>
      <c r="J293" s="7" t="s">
        <v>970</v>
      </c>
      <c r="K293" s="7">
        <v>42748.047268518516</v>
      </c>
      <c r="L293" s="3" t="s">
        <v>970</v>
      </c>
      <c r="M293" s="7">
        <v>42748.047268518516</v>
      </c>
      <c r="N293" s="3" t="s">
        <v>970</v>
      </c>
      <c r="O293" s="16" t="str">
        <f>TEXT(DATEVALUE(LEFT(F293,10)),"mm-yyyy")</f>
        <v>02-2015</v>
      </c>
      <c r="P293" s="16">
        <f>H293*I293</f>
        <v>7.99</v>
      </c>
    </row>
    <row r="294" spans="3:16" x14ac:dyDescent="0.25">
      <c r="C294" t="str">
        <f>IF(COUNTBLANK(E294:N294) = 10,"",IF(AND(NOT(ISBLANK(E294)),COUNTBLANK(E294:N294) = 9),"3 Delete",IF(ISBLANK(E294),"2 Add",IF(JenkinsHashRange(E294:N294) = "1950623494","0 Original","1 Modify"))))</f>
        <v>0 Original</v>
      </c>
      <c r="D294" s="3" t="s">
        <v>1843</v>
      </c>
      <c r="E294" s="5">
        <v>2775</v>
      </c>
      <c r="F294" t="s">
        <v>1166</v>
      </c>
      <c r="G294" t="s">
        <v>904</v>
      </c>
      <c r="H294" s="9">
        <v>9.99</v>
      </c>
      <c r="I294" s="5">
        <v>1</v>
      </c>
      <c r="J294" s="7" t="s">
        <v>970</v>
      </c>
      <c r="K294" s="7">
        <v>42748.047268518516</v>
      </c>
      <c r="L294" s="3" t="s">
        <v>970</v>
      </c>
      <c r="M294" s="7">
        <v>42748.047268518516</v>
      </c>
      <c r="N294" s="3" t="s">
        <v>970</v>
      </c>
      <c r="O294" s="16" t="str">
        <f>TEXT(DATEVALUE(LEFT(F294,10)),"mm-yyyy")</f>
        <v>02-2015</v>
      </c>
      <c r="P294" s="16">
        <f>H294*I294</f>
        <v>9.99</v>
      </c>
    </row>
    <row r="295" spans="3:16" x14ac:dyDescent="0.25">
      <c r="C295" t="str">
        <f>IF(COUNTBLANK(E295:N295) = 10,"",IF(AND(NOT(ISBLANK(E295)),COUNTBLANK(E295:N295) = 9),"3 Delete",IF(ISBLANK(E295),"2 Add",IF(JenkinsHashRange(E295:N295) = "465308408","0 Original","1 Modify"))))</f>
        <v>0 Original</v>
      </c>
      <c r="D295" s="3" t="s">
        <v>1914</v>
      </c>
      <c r="E295" s="5">
        <v>3104</v>
      </c>
      <c r="F295" t="s">
        <v>1189</v>
      </c>
      <c r="G295" t="s">
        <v>957</v>
      </c>
      <c r="H295" s="9">
        <v>5.99</v>
      </c>
      <c r="I295" s="5">
        <v>1</v>
      </c>
      <c r="J295" s="7" t="s">
        <v>970</v>
      </c>
      <c r="K295" s="7">
        <v>42748.047268518516</v>
      </c>
      <c r="L295" s="3" t="s">
        <v>970</v>
      </c>
      <c r="M295" s="7">
        <v>42748.047268518516</v>
      </c>
      <c r="N295" s="3" t="s">
        <v>970</v>
      </c>
      <c r="O295" s="16" t="str">
        <f>TEXT(DATEVALUE(LEFT(F295,10)),"mm-yyyy")</f>
        <v>02-2015</v>
      </c>
      <c r="P295" s="16">
        <f>H295*I295</f>
        <v>5.99</v>
      </c>
    </row>
    <row r="296" spans="3:16" x14ac:dyDescent="0.25">
      <c r="C296" t="str">
        <f>IF(COUNTBLANK(E296:N296) = 10,"",IF(AND(NOT(ISBLANK(E296)),COUNTBLANK(E296:N296) = 9),"3 Delete",IF(ISBLANK(E296),"2 Add",IF(JenkinsHashRange(E296:N296) = "709564822","0 Original","1 Modify"))))</f>
        <v>0 Original</v>
      </c>
      <c r="D296" s="3" t="s">
        <v>1919</v>
      </c>
      <c r="E296" s="5">
        <v>3173</v>
      </c>
      <c r="F296" t="s">
        <v>1192</v>
      </c>
      <c r="G296" t="s">
        <v>877</v>
      </c>
      <c r="H296" s="9">
        <v>8.99</v>
      </c>
      <c r="I296" s="5">
        <v>1</v>
      </c>
      <c r="J296" s="7" t="s">
        <v>970</v>
      </c>
      <c r="K296" s="7">
        <v>42748.047268518516</v>
      </c>
      <c r="L296" s="3" t="s">
        <v>970</v>
      </c>
      <c r="M296" s="7">
        <v>42748.047268518516</v>
      </c>
      <c r="N296" s="3" t="s">
        <v>970</v>
      </c>
      <c r="O296" s="16" t="str">
        <f>TEXT(DATEVALUE(LEFT(F296,10)),"mm-yyyy")</f>
        <v>02-2015</v>
      </c>
      <c r="P296" s="16">
        <f>H296*I296</f>
        <v>8.99</v>
      </c>
    </row>
    <row r="297" spans="3:16" x14ac:dyDescent="0.25">
      <c r="C297" t="str">
        <f>IF(COUNTBLANK(E297:N297) = 10,"",IF(AND(NOT(ISBLANK(E297)),COUNTBLANK(E297:N297) = 9),"3 Delete",IF(ISBLANK(E297),"2 Add",IF(JenkinsHashRange(E297:N297) = "958830250","0 Original","1 Modify"))))</f>
        <v>0 Original</v>
      </c>
      <c r="D297" s="3" t="s">
        <v>1920</v>
      </c>
      <c r="E297" s="5">
        <v>3174</v>
      </c>
      <c r="F297" t="s">
        <v>1192</v>
      </c>
      <c r="G297" t="s">
        <v>914</v>
      </c>
      <c r="H297" s="9">
        <v>8.99</v>
      </c>
      <c r="I297" s="5">
        <v>2</v>
      </c>
      <c r="J297" s="7" t="s">
        <v>970</v>
      </c>
      <c r="K297" s="7">
        <v>42748.047268518516</v>
      </c>
      <c r="L297" s="3" t="s">
        <v>970</v>
      </c>
      <c r="M297" s="7">
        <v>42748.047268518516</v>
      </c>
      <c r="N297" s="3" t="s">
        <v>970</v>
      </c>
      <c r="O297" s="16" t="str">
        <f>TEXT(DATEVALUE(LEFT(F297,10)),"mm-yyyy")</f>
        <v>02-2015</v>
      </c>
      <c r="P297" s="16">
        <f>H297*I297</f>
        <v>17.98</v>
      </c>
    </row>
    <row r="298" spans="3:16" x14ac:dyDescent="0.25">
      <c r="C298" t="str">
        <f>IF(COUNTBLANK(E298:N298) = 10,"",IF(AND(NOT(ISBLANK(E298)),COUNTBLANK(E298:N298) = 9),"3 Delete",IF(ISBLANK(E298),"2 Add",IF(JenkinsHashRange(E298:N298) = "501373137","0 Original","1 Modify"))))</f>
        <v>0 Original</v>
      </c>
      <c r="D298" s="3" t="s">
        <v>1921</v>
      </c>
      <c r="E298" s="5">
        <v>3175</v>
      </c>
      <c r="F298" t="s">
        <v>1192</v>
      </c>
      <c r="G298" t="s">
        <v>814</v>
      </c>
      <c r="H298" s="9">
        <v>9.99</v>
      </c>
      <c r="I298" s="5">
        <v>1</v>
      </c>
      <c r="J298" s="7" t="s">
        <v>970</v>
      </c>
      <c r="K298" s="7">
        <v>42748.047268518516</v>
      </c>
      <c r="L298" s="3" t="s">
        <v>970</v>
      </c>
      <c r="M298" s="7">
        <v>42748.047268518516</v>
      </c>
      <c r="N298" s="3" t="s">
        <v>970</v>
      </c>
      <c r="O298" s="16" t="str">
        <f>TEXT(DATEVALUE(LEFT(F298,10)),"mm-yyyy")</f>
        <v>02-2015</v>
      </c>
      <c r="P298" s="16">
        <f>H298*I298</f>
        <v>9.99</v>
      </c>
    </row>
    <row r="299" spans="3:16" x14ac:dyDescent="0.25">
      <c r="C299" t="str">
        <f>IF(COUNTBLANK(E299:N299) = 10,"",IF(AND(NOT(ISBLANK(E299)),COUNTBLANK(E299:N299) = 9),"3 Delete",IF(ISBLANK(E299),"2 Add",IF(JenkinsHashRange(E299:N299) = "1879686734","0 Original","1 Modify"))))</f>
        <v>0 Original</v>
      </c>
      <c r="D299" s="3" t="s">
        <v>1923</v>
      </c>
      <c r="E299" s="5">
        <v>3205</v>
      </c>
      <c r="F299" t="s">
        <v>1194</v>
      </c>
      <c r="G299" t="s">
        <v>814</v>
      </c>
      <c r="H299" s="9">
        <v>9.99</v>
      </c>
      <c r="I299" s="5">
        <v>1</v>
      </c>
      <c r="J299" s="7" t="s">
        <v>970</v>
      </c>
      <c r="K299" s="7">
        <v>42748.047268518516</v>
      </c>
      <c r="L299" s="3" t="s">
        <v>970</v>
      </c>
      <c r="M299" s="7">
        <v>42748.047268518516</v>
      </c>
      <c r="N299" s="3" t="s">
        <v>970</v>
      </c>
      <c r="O299" s="16" t="str">
        <f>TEXT(DATEVALUE(LEFT(F299,10)),"mm-yyyy")</f>
        <v>02-2015</v>
      </c>
      <c r="P299" s="16">
        <f>H299*I299</f>
        <v>9.99</v>
      </c>
    </row>
    <row r="300" spans="3:16" x14ac:dyDescent="0.25">
      <c r="C300" t="str">
        <f>IF(COUNTBLANK(E300:N300) = 10,"",IF(AND(NOT(ISBLANK(E300)),COUNTBLANK(E300:N300) = 9),"3 Delete",IF(ISBLANK(E300),"2 Add",IF(JenkinsHashRange(E300:N300) = "1729272622","0 Original","1 Modify"))))</f>
        <v>0 Original</v>
      </c>
      <c r="D300" s="3" t="s">
        <v>1924</v>
      </c>
      <c r="E300" s="5">
        <v>3206</v>
      </c>
      <c r="F300" t="s">
        <v>1194</v>
      </c>
      <c r="G300" t="s">
        <v>814</v>
      </c>
      <c r="H300" s="9">
        <v>9.99</v>
      </c>
      <c r="I300" s="5">
        <v>1</v>
      </c>
      <c r="J300" s="7" t="s">
        <v>970</v>
      </c>
      <c r="K300" s="7">
        <v>42748.047268518516</v>
      </c>
      <c r="L300" s="3" t="s">
        <v>970</v>
      </c>
      <c r="M300" s="7">
        <v>42748.047268518516</v>
      </c>
      <c r="N300" s="3" t="s">
        <v>970</v>
      </c>
      <c r="O300" s="16" t="str">
        <f>TEXT(DATEVALUE(LEFT(F300,10)),"mm-yyyy")</f>
        <v>02-2015</v>
      </c>
      <c r="P300" s="16">
        <f>H300*I300</f>
        <v>9.99</v>
      </c>
    </row>
    <row r="301" spans="3:16" x14ac:dyDescent="0.25">
      <c r="C301" t="str">
        <f>IF(COUNTBLANK(E301:N301) = 10,"",IF(AND(NOT(ISBLANK(E301)),COUNTBLANK(E301:N301) = 9),"3 Delete",IF(ISBLANK(E301),"2 Add",IF(JenkinsHashRange(E301:N301) = "1756729401","0 Original","1 Modify"))))</f>
        <v>0 Original</v>
      </c>
      <c r="D301" s="3" t="s">
        <v>1925</v>
      </c>
      <c r="E301" s="5">
        <v>3207</v>
      </c>
      <c r="F301" t="s">
        <v>1194</v>
      </c>
      <c r="G301" t="s">
        <v>904</v>
      </c>
      <c r="H301" s="9">
        <v>9.99</v>
      </c>
      <c r="I301" s="5">
        <v>1</v>
      </c>
      <c r="J301" s="7" t="s">
        <v>970</v>
      </c>
      <c r="K301" s="7">
        <v>42748.047268518516</v>
      </c>
      <c r="L301" s="3" t="s">
        <v>970</v>
      </c>
      <c r="M301" s="7">
        <v>42748.047268518516</v>
      </c>
      <c r="N301" s="3" t="s">
        <v>970</v>
      </c>
      <c r="O301" s="16" t="str">
        <f>TEXT(DATEVALUE(LEFT(F301,10)),"mm-yyyy")</f>
        <v>02-2015</v>
      </c>
      <c r="P301" s="16">
        <f>H301*I301</f>
        <v>9.99</v>
      </c>
    </row>
    <row r="302" spans="3:16" x14ac:dyDescent="0.25">
      <c r="C302" t="str">
        <f>IF(COUNTBLANK(E302:N302) = 10,"",IF(AND(NOT(ISBLANK(E302)),COUNTBLANK(E302:N302) = 9),"3 Delete",IF(ISBLANK(E302),"2 Add",IF(JenkinsHashRange(E302:N302) = "1137518998","0 Original","1 Modify"))))</f>
        <v>0 Original</v>
      </c>
      <c r="D302" s="3" t="s">
        <v>1929</v>
      </c>
      <c r="E302" s="5">
        <v>3266</v>
      </c>
      <c r="F302" t="s">
        <v>1197</v>
      </c>
      <c r="G302" t="s">
        <v>904</v>
      </c>
      <c r="H302" s="9">
        <v>9.99</v>
      </c>
      <c r="I302" s="5">
        <v>1</v>
      </c>
      <c r="J302" s="7" t="s">
        <v>970</v>
      </c>
      <c r="K302" s="7">
        <v>42748.047268518516</v>
      </c>
      <c r="L302" s="3" t="s">
        <v>970</v>
      </c>
      <c r="M302" s="7">
        <v>42748.047268518516</v>
      </c>
      <c r="N302" s="3" t="s">
        <v>970</v>
      </c>
      <c r="O302" s="16" t="str">
        <f>TEXT(DATEVALUE(LEFT(F302,10)),"mm-yyyy")</f>
        <v>02-2015</v>
      </c>
      <c r="P302" s="16">
        <f>H302*I302</f>
        <v>9.99</v>
      </c>
    </row>
    <row r="303" spans="3:16" x14ac:dyDescent="0.25">
      <c r="C303" t="str">
        <f>IF(COUNTBLANK(E303:N303) = 10,"",IF(AND(NOT(ISBLANK(E303)),COUNTBLANK(E303:N303) = 9),"3 Delete",IF(ISBLANK(E303),"2 Add",IF(JenkinsHashRange(E303:N303) = "341756225","0 Original","1 Modify"))))</f>
        <v>0 Original</v>
      </c>
      <c r="D303" s="3" t="s">
        <v>1930</v>
      </c>
      <c r="E303" s="5">
        <v>3267</v>
      </c>
      <c r="F303" t="s">
        <v>1197</v>
      </c>
      <c r="G303" t="s">
        <v>565</v>
      </c>
      <c r="H303" s="9">
        <v>5.99</v>
      </c>
      <c r="I303" s="5">
        <v>2</v>
      </c>
      <c r="J303" s="7" t="s">
        <v>970</v>
      </c>
      <c r="K303" s="7">
        <v>42748.047268518516</v>
      </c>
      <c r="L303" s="3" t="s">
        <v>970</v>
      </c>
      <c r="M303" s="7">
        <v>42748.047268518516</v>
      </c>
      <c r="N303" s="3" t="s">
        <v>970</v>
      </c>
      <c r="O303" s="16" t="str">
        <f>TEXT(DATEVALUE(LEFT(F303,10)),"mm-yyyy")</f>
        <v>02-2015</v>
      </c>
      <c r="P303" s="16">
        <f>H303*I303</f>
        <v>11.98</v>
      </c>
    </row>
    <row r="304" spans="3:16" x14ac:dyDescent="0.25">
      <c r="C304" t="str">
        <f>IF(COUNTBLANK(E304:N304) = 10,"",IF(AND(NOT(ISBLANK(E304)),COUNTBLANK(E304:N304) = 9),"3 Delete",IF(ISBLANK(E304),"2 Add",IF(JenkinsHashRange(E304:N304) = "1720171292","0 Original","1 Modify"))))</f>
        <v>0 Original</v>
      </c>
      <c r="D304" s="3" t="s">
        <v>1931</v>
      </c>
      <c r="E304" s="5">
        <v>3268</v>
      </c>
      <c r="F304" t="s">
        <v>1197</v>
      </c>
      <c r="G304" t="s">
        <v>957</v>
      </c>
      <c r="H304" s="9">
        <v>5.99</v>
      </c>
      <c r="I304" s="5">
        <v>1</v>
      </c>
      <c r="J304" s="7" t="s">
        <v>970</v>
      </c>
      <c r="K304" s="7">
        <v>42748.047268518516</v>
      </c>
      <c r="L304" s="3" t="s">
        <v>970</v>
      </c>
      <c r="M304" s="7">
        <v>42748.047268518516</v>
      </c>
      <c r="N304" s="3" t="s">
        <v>970</v>
      </c>
      <c r="O304" s="16" t="str">
        <f>TEXT(DATEVALUE(LEFT(F304,10)),"mm-yyyy")</f>
        <v>02-2015</v>
      </c>
      <c r="P304" s="16">
        <f>H304*I304</f>
        <v>5.99</v>
      </c>
    </row>
    <row r="305" spans="3:16" x14ac:dyDescent="0.25">
      <c r="C305" t="str">
        <f>IF(COUNTBLANK(E305:N305) = 10,"",IF(AND(NOT(ISBLANK(E305)),COUNTBLANK(E305:N305) = 9),"3 Delete",IF(ISBLANK(E305),"2 Add",IF(JenkinsHashRange(E305:N305) = "1870781551","0 Original","1 Modify"))))</f>
        <v>0 Original</v>
      </c>
      <c r="D305" s="3" t="s">
        <v>1932</v>
      </c>
      <c r="E305" s="5">
        <v>3269</v>
      </c>
      <c r="F305" t="s">
        <v>1197</v>
      </c>
      <c r="G305" t="s">
        <v>702</v>
      </c>
      <c r="H305" s="9">
        <v>7.99</v>
      </c>
      <c r="I305" s="5">
        <v>1</v>
      </c>
      <c r="J305" s="7" t="s">
        <v>970</v>
      </c>
      <c r="K305" s="7">
        <v>42748.047268518516</v>
      </c>
      <c r="L305" s="3" t="s">
        <v>970</v>
      </c>
      <c r="M305" s="7">
        <v>42748.047268518516</v>
      </c>
      <c r="N305" s="3" t="s">
        <v>970</v>
      </c>
      <c r="O305" s="16" t="str">
        <f>TEXT(DATEVALUE(LEFT(F305,10)),"mm-yyyy")</f>
        <v>02-2015</v>
      </c>
      <c r="P305" s="16">
        <f>H305*I305</f>
        <v>7.99</v>
      </c>
    </row>
    <row r="306" spans="3:16" x14ac:dyDescent="0.25">
      <c r="C306" t="str">
        <f>IF(COUNTBLANK(E306:N306) = 10,"",IF(AND(NOT(ISBLANK(E306)),COUNTBLANK(E306:N306) = 9),"3 Delete",IF(ISBLANK(E306),"2 Add",IF(JenkinsHashRange(E306:N306) = "1291159771","0 Original","1 Modify"))))</f>
        <v>0 Original</v>
      </c>
      <c r="D306" s="3" t="s">
        <v>1933</v>
      </c>
      <c r="E306" s="5">
        <v>3270</v>
      </c>
      <c r="F306" t="s">
        <v>1197</v>
      </c>
      <c r="G306" t="s">
        <v>400</v>
      </c>
      <c r="H306" s="9">
        <v>6.99</v>
      </c>
      <c r="I306" s="5">
        <v>2</v>
      </c>
      <c r="J306" s="7" t="s">
        <v>970</v>
      </c>
      <c r="K306" s="7">
        <v>42748.047268518516</v>
      </c>
      <c r="L306" s="3" t="s">
        <v>970</v>
      </c>
      <c r="M306" s="7">
        <v>42748.047268518516</v>
      </c>
      <c r="N306" s="3" t="s">
        <v>970</v>
      </c>
      <c r="O306" s="16" t="str">
        <f>TEXT(DATEVALUE(LEFT(F306,10)),"mm-yyyy")</f>
        <v>02-2015</v>
      </c>
      <c r="P306" s="16">
        <f>H306*I306</f>
        <v>13.98</v>
      </c>
    </row>
    <row r="307" spans="3:16" x14ac:dyDescent="0.25">
      <c r="C307" t="str">
        <f>IF(COUNTBLANK(E307:N307) = 10,"",IF(AND(NOT(ISBLANK(E307)),COUNTBLANK(E307:N307) = 9),"3 Delete",IF(ISBLANK(E307),"2 Add",IF(JenkinsHashRange(E307:N307) = "1107637588","0 Original","1 Modify"))))</f>
        <v>0 Original</v>
      </c>
      <c r="D307" s="3" t="s">
        <v>1934</v>
      </c>
      <c r="E307" s="5">
        <v>3288</v>
      </c>
      <c r="F307" t="s">
        <v>1198</v>
      </c>
      <c r="G307" t="s">
        <v>877</v>
      </c>
      <c r="H307" s="9">
        <v>8.99</v>
      </c>
      <c r="I307" s="5">
        <v>1</v>
      </c>
      <c r="J307" s="7" t="s">
        <v>970</v>
      </c>
      <c r="K307" s="7">
        <v>42748.047268518516</v>
      </c>
      <c r="L307" s="3" t="s">
        <v>970</v>
      </c>
      <c r="M307" s="7">
        <v>42748.047268518516</v>
      </c>
      <c r="N307" s="3" t="s">
        <v>970</v>
      </c>
      <c r="O307" s="16" t="str">
        <f>TEXT(DATEVALUE(LEFT(F307,10)),"mm-yyyy")</f>
        <v>02-2015</v>
      </c>
      <c r="P307" s="16">
        <f>H307*I307</f>
        <v>8.99</v>
      </c>
    </row>
    <row r="308" spans="3:16" x14ac:dyDescent="0.25">
      <c r="C308" t="str">
        <f>IF(COUNTBLANK(E308:N308) = 10,"",IF(AND(NOT(ISBLANK(E308)),COUNTBLANK(E308:N308) = 9),"3 Delete",IF(ISBLANK(E308),"2 Add",IF(JenkinsHashRange(E308:N308) = "1406033413","0 Original","1 Modify"))))</f>
        <v>0 Original</v>
      </c>
      <c r="D308" s="3" t="s">
        <v>1935</v>
      </c>
      <c r="E308" s="5">
        <v>3289</v>
      </c>
      <c r="F308" t="s">
        <v>1198</v>
      </c>
      <c r="G308" t="s">
        <v>400</v>
      </c>
      <c r="H308" s="9">
        <v>6.99</v>
      </c>
      <c r="I308" s="5">
        <v>2</v>
      </c>
      <c r="J308" s="7" t="s">
        <v>970</v>
      </c>
      <c r="K308" s="7">
        <v>42748.047268518516</v>
      </c>
      <c r="L308" s="3" t="s">
        <v>970</v>
      </c>
      <c r="M308" s="7">
        <v>42748.047268518516</v>
      </c>
      <c r="N308" s="3" t="s">
        <v>970</v>
      </c>
      <c r="O308" s="16" t="str">
        <f>TEXT(DATEVALUE(LEFT(F308,10)),"mm-yyyy")</f>
        <v>02-2015</v>
      </c>
      <c r="P308" s="16">
        <f>H308*I308</f>
        <v>13.98</v>
      </c>
    </row>
    <row r="309" spans="3:16" x14ac:dyDescent="0.25">
      <c r="C309" t="str">
        <f>IF(COUNTBLANK(E309:N309) = 10,"",IF(AND(NOT(ISBLANK(E309)),COUNTBLANK(E309:N309) = 9),"3 Delete",IF(ISBLANK(E309),"2 Add",IF(JenkinsHashRange(E309:N309) = "58669862","0 Original","1 Modify"))))</f>
        <v>0 Original</v>
      </c>
      <c r="D309" s="3" t="s">
        <v>1936</v>
      </c>
      <c r="E309" s="5">
        <v>3290</v>
      </c>
      <c r="F309" t="s">
        <v>1198</v>
      </c>
      <c r="G309" t="s">
        <v>945</v>
      </c>
      <c r="H309" s="9">
        <v>7.99</v>
      </c>
      <c r="I309" s="5">
        <v>1</v>
      </c>
      <c r="J309" s="7" t="s">
        <v>970</v>
      </c>
      <c r="K309" s="7">
        <v>42748.047268518516</v>
      </c>
      <c r="L309" s="3" t="s">
        <v>970</v>
      </c>
      <c r="M309" s="7">
        <v>42748.047268518516</v>
      </c>
      <c r="N309" s="3" t="s">
        <v>970</v>
      </c>
      <c r="O309" s="16" t="str">
        <f>TEXT(DATEVALUE(LEFT(F309,10)),"mm-yyyy")</f>
        <v>02-2015</v>
      </c>
      <c r="P309" s="16">
        <f>H309*I309</f>
        <v>7.99</v>
      </c>
    </row>
    <row r="310" spans="3:16" x14ac:dyDescent="0.25">
      <c r="C310" t="str">
        <f>IF(COUNTBLANK(E310:N310) = 10,"",IF(AND(NOT(ISBLANK(E310)),COUNTBLANK(E310:N310) = 9),"3 Delete",IF(ISBLANK(E310),"2 Add",IF(JenkinsHashRange(E310:N310) = "1510524731","0 Original","1 Modify"))))</f>
        <v>0 Original</v>
      </c>
      <c r="D310" s="3" t="s">
        <v>1951</v>
      </c>
      <c r="E310" s="5">
        <v>3383</v>
      </c>
      <c r="F310" t="s">
        <v>1202</v>
      </c>
      <c r="G310" t="s">
        <v>957</v>
      </c>
      <c r="H310" s="9">
        <v>5.99</v>
      </c>
      <c r="I310" s="5">
        <v>2</v>
      </c>
      <c r="J310" s="7" t="s">
        <v>970</v>
      </c>
      <c r="K310" s="7">
        <v>42748.047268518516</v>
      </c>
      <c r="L310" s="3" t="s">
        <v>970</v>
      </c>
      <c r="M310" s="7">
        <v>42748.047268518516</v>
      </c>
      <c r="N310" s="3" t="s">
        <v>970</v>
      </c>
      <c r="O310" s="16" t="str">
        <f>TEXT(DATEVALUE(LEFT(F310,10)),"mm-yyyy")</f>
        <v>02-2015</v>
      </c>
      <c r="P310" s="16">
        <f>H310*I310</f>
        <v>11.98</v>
      </c>
    </row>
    <row r="311" spans="3:16" x14ac:dyDescent="0.25">
      <c r="C311" t="str">
        <f>IF(COUNTBLANK(E311:N311) = 10,"",IF(AND(NOT(ISBLANK(E311)),COUNTBLANK(E311:N311) = 9),"3 Delete",IF(ISBLANK(E311),"2 Add",IF(JenkinsHashRange(E311:N311) = "817864010","0 Original","1 Modify"))))</f>
        <v>0 Original</v>
      </c>
      <c r="D311" s="3" t="s">
        <v>1952</v>
      </c>
      <c r="E311" s="5">
        <v>3384</v>
      </c>
      <c r="F311" t="s">
        <v>1202</v>
      </c>
      <c r="G311" t="s">
        <v>945</v>
      </c>
      <c r="H311" s="9">
        <v>7.99</v>
      </c>
      <c r="I311" s="5">
        <v>2</v>
      </c>
      <c r="J311" s="7" t="s">
        <v>970</v>
      </c>
      <c r="K311" s="7">
        <v>42748.047268518516</v>
      </c>
      <c r="L311" s="3" t="s">
        <v>970</v>
      </c>
      <c r="M311" s="7">
        <v>42748.047268518516</v>
      </c>
      <c r="N311" s="3" t="s">
        <v>970</v>
      </c>
      <c r="O311" s="16" t="str">
        <f>TEXT(DATEVALUE(LEFT(F311,10)),"mm-yyyy")</f>
        <v>02-2015</v>
      </c>
      <c r="P311" s="16">
        <f>H311*I311</f>
        <v>15.98</v>
      </c>
    </row>
    <row r="312" spans="3:16" x14ac:dyDescent="0.25">
      <c r="C312" t="str">
        <f>IF(COUNTBLANK(E312:N312) = 10,"",IF(AND(NOT(ISBLANK(E312)),COUNTBLANK(E312:N312) = 9),"3 Delete",IF(ISBLANK(E312),"2 Add",IF(JenkinsHashRange(E312:N312) = "376607936","0 Original","1 Modify"))))</f>
        <v>0 Original</v>
      </c>
      <c r="D312" s="3" t="s">
        <v>1953</v>
      </c>
      <c r="E312" s="5">
        <v>3385</v>
      </c>
      <c r="F312" t="s">
        <v>1202</v>
      </c>
      <c r="G312" t="s">
        <v>565</v>
      </c>
      <c r="H312" s="9">
        <v>5.99</v>
      </c>
      <c r="I312" s="5">
        <v>1</v>
      </c>
      <c r="J312" s="7" t="s">
        <v>970</v>
      </c>
      <c r="K312" s="7">
        <v>42748.047268518516</v>
      </c>
      <c r="L312" s="3" t="s">
        <v>970</v>
      </c>
      <c r="M312" s="7">
        <v>42748.047268518516</v>
      </c>
      <c r="N312" s="3" t="s">
        <v>970</v>
      </c>
      <c r="O312" s="16" t="str">
        <f>TEXT(DATEVALUE(LEFT(F312,10)),"mm-yyyy")</f>
        <v>02-2015</v>
      </c>
      <c r="P312" s="16">
        <f>H312*I312</f>
        <v>5.99</v>
      </c>
    </row>
    <row r="313" spans="3:16" x14ac:dyDescent="0.25">
      <c r="C313" t="str">
        <f>IF(COUNTBLANK(E313:N313) = 10,"",IF(AND(NOT(ISBLANK(E313)),COUNTBLANK(E313:N313) = 9),"3 Delete",IF(ISBLANK(E313),"2 Add",IF(JenkinsHashRange(E313:N313) = "575321795","0 Original","1 Modify"))))</f>
        <v>0 Original</v>
      </c>
      <c r="D313" s="3" t="s">
        <v>1954</v>
      </c>
      <c r="E313" s="5">
        <v>3386</v>
      </c>
      <c r="F313" t="s">
        <v>1202</v>
      </c>
      <c r="G313" t="s">
        <v>702</v>
      </c>
      <c r="H313" s="9">
        <v>7.99</v>
      </c>
      <c r="I313" s="5">
        <v>2</v>
      </c>
      <c r="J313" s="7" t="s">
        <v>970</v>
      </c>
      <c r="K313" s="7">
        <v>42748.047268518516</v>
      </c>
      <c r="L313" s="3" t="s">
        <v>970</v>
      </c>
      <c r="M313" s="7">
        <v>42748.047268518516</v>
      </c>
      <c r="N313" s="3" t="s">
        <v>970</v>
      </c>
      <c r="O313" s="16" t="str">
        <f>TEXT(DATEVALUE(LEFT(F313,10)),"mm-yyyy")</f>
        <v>02-2015</v>
      </c>
      <c r="P313" s="16">
        <f>H313*I313</f>
        <v>15.98</v>
      </c>
    </row>
    <row r="314" spans="3:16" x14ac:dyDescent="0.25">
      <c r="C314" t="str">
        <f>IF(COUNTBLANK(E314:N314) = 10,"",IF(AND(NOT(ISBLANK(E314)),COUNTBLANK(E314:N314) = 9),"3 Delete",IF(ISBLANK(E314),"2 Add",IF(JenkinsHashRange(E314:N314) = "1280098654","0 Original","1 Modify"))))</f>
        <v>0 Original</v>
      </c>
      <c r="D314" s="3" t="s">
        <v>1957</v>
      </c>
      <c r="E314" s="5">
        <v>3393</v>
      </c>
      <c r="F314" t="s">
        <v>1204</v>
      </c>
      <c r="G314" t="s">
        <v>904</v>
      </c>
      <c r="H314" s="9">
        <v>9.99</v>
      </c>
      <c r="I314" s="5">
        <v>1</v>
      </c>
      <c r="J314" s="7" t="s">
        <v>970</v>
      </c>
      <c r="K314" s="7">
        <v>42748.047268518516</v>
      </c>
      <c r="L314" s="3" t="s">
        <v>970</v>
      </c>
      <c r="M314" s="7">
        <v>42748.047268518516</v>
      </c>
      <c r="N314" s="3" t="s">
        <v>970</v>
      </c>
      <c r="O314" s="16" t="str">
        <f>TEXT(DATEVALUE(LEFT(F314,10)),"mm-yyyy")</f>
        <v>02-2015</v>
      </c>
      <c r="P314" s="16">
        <f>H314*I314</f>
        <v>9.99</v>
      </c>
    </row>
    <row r="315" spans="3:16" x14ac:dyDescent="0.25">
      <c r="C315" t="str">
        <f>IF(COUNTBLANK(E315:N315) = 10,"",IF(AND(NOT(ISBLANK(E315)),COUNTBLANK(E315:N315) = 9),"3 Delete",IF(ISBLANK(E315),"2 Add",IF(JenkinsHashRange(E315:N315) = "1071458730","0 Original","1 Modify"))))</f>
        <v>0 Original</v>
      </c>
      <c r="D315" s="3" t="s">
        <v>1958</v>
      </c>
      <c r="E315" s="5">
        <v>3394</v>
      </c>
      <c r="F315" t="s">
        <v>1204</v>
      </c>
      <c r="G315" t="s">
        <v>453</v>
      </c>
      <c r="H315" s="9">
        <v>8.99</v>
      </c>
      <c r="I315" s="5">
        <v>1</v>
      </c>
      <c r="J315" s="7" t="s">
        <v>970</v>
      </c>
      <c r="K315" s="7">
        <v>42748.047268518516</v>
      </c>
      <c r="L315" s="3" t="s">
        <v>970</v>
      </c>
      <c r="M315" s="7">
        <v>42748.047268518516</v>
      </c>
      <c r="N315" s="3" t="s">
        <v>970</v>
      </c>
      <c r="O315" s="16" t="str">
        <f>TEXT(DATEVALUE(LEFT(F315,10)),"mm-yyyy")</f>
        <v>02-2015</v>
      </c>
      <c r="P315" s="16">
        <f>H315*I315</f>
        <v>8.99</v>
      </c>
    </row>
    <row r="316" spans="3:16" x14ac:dyDescent="0.25">
      <c r="C316" t="str">
        <f>IF(COUNTBLANK(E316:N316) = 10,"",IF(AND(NOT(ISBLANK(E316)),COUNTBLANK(E316:N316) = 9),"3 Delete",IF(ISBLANK(E316),"2 Add",IF(JenkinsHashRange(E316:N316) = "1683773642","0 Original","1 Modify"))))</f>
        <v>0 Original</v>
      </c>
      <c r="D316" s="3" t="s">
        <v>1959</v>
      </c>
      <c r="E316" s="5">
        <v>3395</v>
      </c>
      <c r="F316" t="s">
        <v>1204</v>
      </c>
      <c r="G316" t="s">
        <v>904</v>
      </c>
      <c r="H316" s="9">
        <v>9.99</v>
      </c>
      <c r="I316" s="5">
        <v>1</v>
      </c>
      <c r="J316" s="7" t="s">
        <v>970</v>
      </c>
      <c r="K316" s="7">
        <v>42748.047268518516</v>
      </c>
      <c r="L316" s="3" t="s">
        <v>970</v>
      </c>
      <c r="M316" s="7">
        <v>42748.047268518516</v>
      </c>
      <c r="N316" s="3" t="s">
        <v>970</v>
      </c>
      <c r="O316" s="16" t="str">
        <f>TEXT(DATEVALUE(LEFT(F316,10)),"mm-yyyy")</f>
        <v>02-2015</v>
      </c>
      <c r="P316" s="16">
        <f>H316*I316</f>
        <v>9.99</v>
      </c>
    </row>
    <row r="317" spans="3:16" x14ac:dyDescent="0.25">
      <c r="C317" t="str">
        <f>IF(COUNTBLANK(E317:N317) = 10,"",IF(AND(NOT(ISBLANK(E317)),COUNTBLANK(E317:N317) = 9),"3 Delete",IF(ISBLANK(E317),"2 Add",IF(JenkinsHashRange(E317:N317) = "2039533557","0 Original","1 Modify"))))</f>
        <v>0 Original</v>
      </c>
      <c r="D317" s="3" t="s">
        <v>1960</v>
      </c>
      <c r="E317" s="5">
        <v>3396</v>
      </c>
      <c r="F317" t="s">
        <v>1204</v>
      </c>
      <c r="G317" t="s">
        <v>914</v>
      </c>
      <c r="H317" s="9">
        <v>8.99</v>
      </c>
      <c r="I317" s="5">
        <v>1</v>
      </c>
      <c r="J317" s="7" t="s">
        <v>970</v>
      </c>
      <c r="K317" s="7">
        <v>42748.047268518516</v>
      </c>
      <c r="L317" s="3" t="s">
        <v>970</v>
      </c>
      <c r="M317" s="7">
        <v>42748.047268518516</v>
      </c>
      <c r="N317" s="3" t="s">
        <v>970</v>
      </c>
      <c r="O317" s="16" t="str">
        <f>TEXT(DATEVALUE(LEFT(F317,10)),"mm-yyyy")</f>
        <v>02-2015</v>
      </c>
      <c r="P317" s="16">
        <f>H317*I317</f>
        <v>8.99</v>
      </c>
    </row>
    <row r="318" spans="3:16" x14ac:dyDescent="0.25">
      <c r="C318" t="str">
        <f>IF(COUNTBLANK(E318:N318) = 10,"",IF(AND(NOT(ISBLANK(E318)),COUNTBLANK(E318:N318) = 9),"3 Delete",IF(ISBLANK(E318),"2 Add",IF(JenkinsHashRange(E318:N318) = "83226909","0 Original","1 Modify"))))</f>
        <v>0 Original</v>
      </c>
      <c r="D318" s="3" t="s">
        <v>1961</v>
      </c>
      <c r="E318" s="5">
        <v>3397</v>
      </c>
      <c r="F318" t="s">
        <v>1204</v>
      </c>
      <c r="G318" t="s">
        <v>904</v>
      </c>
      <c r="H318" s="9">
        <v>9.99</v>
      </c>
      <c r="I318" s="5">
        <v>1</v>
      </c>
      <c r="J318" s="7" t="s">
        <v>970</v>
      </c>
      <c r="K318" s="7">
        <v>42748.047268518516</v>
      </c>
      <c r="L318" s="3" t="s">
        <v>970</v>
      </c>
      <c r="M318" s="7">
        <v>42748.047268518516</v>
      </c>
      <c r="N318" s="3" t="s">
        <v>970</v>
      </c>
      <c r="O318" s="16" t="str">
        <f>TEXT(DATEVALUE(LEFT(F318,10)),"mm-yyyy")</f>
        <v>02-2015</v>
      </c>
      <c r="P318" s="16">
        <f>H318*I318</f>
        <v>9.99</v>
      </c>
    </row>
    <row r="319" spans="3:16" x14ac:dyDescent="0.25">
      <c r="C319" t="str">
        <f>IF(COUNTBLANK(E319:N319) = 10,"",IF(AND(NOT(ISBLANK(E319)),COUNTBLANK(E319:N319) = 9),"3 Delete",IF(ISBLANK(E319),"2 Add",IF(JenkinsHashRange(E319:N319) = "729126703","0 Original","1 Modify"))))</f>
        <v>0 Original</v>
      </c>
      <c r="D319" s="3" t="s">
        <v>1962</v>
      </c>
      <c r="E319" s="5">
        <v>3426</v>
      </c>
      <c r="F319" t="s">
        <v>1205</v>
      </c>
      <c r="G319" t="s">
        <v>814</v>
      </c>
      <c r="H319" s="9">
        <v>9.99</v>
      </c>
      <c r="I319" s="5">
        <v>1</v>
      </c>
      <c r="J319" s="7" t="s">
        <v>970</v>
      </c>
      <c r="K319" s="7">
        <v>42748.047268518516</v>
      </c>
      <c r="L319" s="3" t="s">
        <v>970</v>
      </c>
      <c r="M319" s="7">
        <v>42748.047268518516</v>
      </c>
      <c r="N319" s="3" t="s">
        <v>970</v>
      </c>
      <c r="O319" s="16" t="str">
        <f>TEXT(DATEVALUE(LEFT(F319,10)),"mm-yyyy")</f>
        <v>02-2015</v>
      </c>
      <c r="P319" s="16">
        <f>H319*I319</f>
        <v>9.99</v>
      </c>
    </row>
    <row r="320" spans="3:16" x14ac:dyDescent="0.25">
      <c r="C320" t="str">
        <f>IF(COUNTBLANK(E320:N320) = 10,"",IF(AND(NOT(ISBLANK(E320)),COUNTBLANK(E320:N320) = 9),"3 Delete",IF(ISBLANK(E320),"2 Add",IF(JenkinsHashRange(E320:N320) = "1304701719","0 Original","1 Modify"))))</f>
        <v>0 Original</v>
      </c>
      <c r="D320" s="3" t="s">
        <v>1963</v>
      </c>
      <c r="E320" s="5">
        <v>3427</v>
      </c>
      <c r="F320" t="s">
        <v>1205</v>
      </c>
      <c r="G320" t="s">
        <v>814</v>
      </c>
      <c r="H320" s="9">
        <v>9.99</v>
      </c>
      <c r="I320" s="5">
        <v>2</v>
      </c>
      <c r="J320" s="7" t="s">
        <v>970</v>
      </c>
      <c r="K320" s="7">
        <v>42748.047268518516</v>
      </c>
      <c r="L320" s="3" t="s">
        <v>970</v>
      </c>
      <c r="M320" s="7">
        <v>42748.047268518516</v>
      </c>
      <c r="N320" s="3" t="s">
        <v>970</v>
      </c>
      <c r="O320" s="16" t="str">
        <f>TEXT(DATEVALUE(LEFT(F320,10)),"mm-yyyy")</f>
        <v>02-2015</v>
      </c>
      <c r="P320" s="16">
        <f>H320*I320</f>
        <v>19.98</v>
      </c>
    </row>
    <row r="321" spans="3:16" x14ac:dyDescent="0.25">
      <c r="C321" t="str">
        <f>IF(COUNTBLANK(E321:N321) = 10,"",IF(AND(NOT(ISBLANK(E321)),COUNTBLANK(E321:N321) = 9),"3 Delete",IF(ISBLANK(E321),"2 Add",IF(JenkinsHashRange(E321:N321) = "1879580682","0 Original","1 Modify"))))</f>
        <v>0 Original</v>
      </c>
      <c r="D321" s="3" t="s">
        <v>1987</v>
      </c>
      <c r="E321" s="5">
        <v>3554</v>
      </c>
      <c r="F321" t="s">
        <v>1214</v>
      </c>
      <c r="G321" t="s">
        <v>814</v>
      </c>
      <c r="H321" s="9">
        <v>9.99</v>
      </c>
      <c r="I321" s="5">
        <v>2</v>
      </c>
      <c r="J321" s="7" t="s">
        <v>970</v>
      </c>
      <c r="K321" s="7">
        <v>42748.047268518516</v>
      </c>
      <c r="L321" s="3" t="s">
        <v>970</v>
      </c>
      <c r="M321" s="7">
        <v>42748.047268518516</v>
      </c>
      <c r="N321" s="3" t="s">
        <v>970</v>
      </c>
      <c r="O321" s="16" t="str">
        <f>TEXT(DATEVALUE(LEFT(F321,10)),"mm-yyyy")</f>
        <v>02-2015</v>
      </c>
      <c r="P321" s="16">
        <f>H321*I321</f>
        <v>19.98</v>
      </c>
    </row>
    <row r="322" spans="3:16" x14ac:dyDescent="0.25">
      <c r="C322" t="str">
        <f>IF(COUNTBLANK(E322:N322) = 10,"",IF(AND(NOT(ISBLANK(E322)),COUNTBLANK(E322:N322) = 9),"3 Delete",IF(ISBLANK(E322),"2 Add",IF(JenkinsHashRange(E322:N322) = "941148724","0 Original","1 Modify"))))</f>
        <v>0 Original</v>
      </c>
      <c r="D322" s="3" t="s">
        <v>1988</v>
      </c>
      <c r="E322" s="5">
        <v>3555</v>
      </c>
      <c r="F322" t="s">
        <v>1214</v>
      </c>
      <c r="G322" t="s">
        <v>453</v>
      </c>
      <c r="H322" s="9">
        <v>8.99</v>
      </c>
      <c r="I322" s="5">
        <v>1</v>
      </c>
      <c r="J322" s="7" t="s">
        <v>970</v>
      </c>
      <c r="K322" s="7">
        <v>42748.047268518516</v>
      </c>
      <c r="L322" s="3" t="s">
        <v>970</v>
      </c>
      <c r="M322" s="7">
        <v>42748.047268518516</v>
      </c>
      <c r="N322" s="3" t="s">
        <v>970</v>
      </c>
      <c r="O322" s="16" t="str">
        <f>TEXT(DATEVALUE(LEFT(F322,10)),"mm-yyyy")</f>
        <v>02-2015</v>
      </c>
      <c r="P322" s="16">
        <f>H322*I322</f>
        <v>8.99</v>
      </c>
    </row>
    <row r="323" spans="3:16" x14ac:dyDescent="0.25">
      <c r="C323" t="str">
        <f>IF(COUNTBLANK(E323:N323) = 10,"",IF(AND(NOT(ISBLANK(E323)),COUNTBLANK(E323:N323) = 9),"3 Delete",IF(ISBLANK(E323),"2 Add",IF(JenkinsHashRange(E323:N323) = "152074475","0 Original","1 Modify"))))</f>
        <v>0 Original</v>
      </c>
      <c r="D323" s="3" t="s">
        <v>1989</v>
      </c>
      <c r="E323" s="5">
        <v>3556</v>
      </c>
      <c r="F323" t="s">
        <v>1214</v>
      </c>
      <c r="G323" t="s">
        <v>904</v>
      </c>
      <c r="H323" s="9">
        <v>9.99</v>
      </c>
      <c r="I323" s="5">
        <v>2</v>
      </c>
      <c r="J323" s="7" t="s">
        <v>970</v>
      </c>
      <c r="K323" s="7">
        <v>42748.047268518516</v>
      </c>
      <c r="L323" s="3" t="s">
        <v>970</v>
      </c>
      <c r="M323" s="7">
        <v>42748.047268518516</v>
      </c>
      <c r="N323" s="3" t="s">
        <v>970</v>
      </c>
      <c r="O323" s="16" t="str">
        <f>TEXT(DATEVALUE(LEFT(F323,10)),"mm-yyyy")</f>
        <v>02-2015</v>
      </c>
      <c r="P323" s="16">
        <f>H323*I323</f>
        <v>19.98</v>
      </c>
    </row>
    <row r="324" spans="3:16" x14ac:dyDescent="0.25">
      <c r="C324" t="str">
        <f>IF(COUNTBLANK(E324:N324) = 10,"",IF(AND(NOT(ISBLANK(E324)),COUNTBLANK(E324:N324) = 9),"3 Delete",IF(ISBLANK(E324),"2 Add",IF(JenkinsHashRange(E324:N324) = "1831132979","0 Original","1 Modify"))))</f>
        <v>0 Original</v>
      </c>
      <c r="D324" s="3" t="s">
        <v>1990</v>
      </c>
      <c r="E324" s="5">
        <v>3557</v>
      </c>
      <c r="F324" t="s">
        <v>1214</v>
      </c>
      <c r="G324" t="s">
        <v>453</v>
      </c>
      <c r="H324" s="9">
        <v>8.99</v>
      </c>
      <c r="I324" s="5">
        <v>2</v>
      </c>
      <c r="J324" s="7" t="s">
        <v>970</v>
      </c>
      <c r="K324" s="7">
        <v>42748.047268518516</v>
      </c>
      <c r="L324" s="3" t="s">
        <v>970</v>
      </c>
      <c r="M324" s="7">
        <v>42748.047268518516</v>
      </c>
      <c r="N324" s="3" t="s">
        <v>970</v>
      </c>
      <c r="O324" s="16" t="str">
        <f>TEXT(DATEVALUE(LEFT(F324,10)),"mm-yyyy")</f>
        <v>02-2015</v>
      </c>
      <c r="P324" s="16">
        <f>H324*I324</f>
        <v>17.98</v>
      </c>
    </row>
    <row r="325" spans="3:16" x14ac:dyDescent="0.25">
      <c r="C325" t="str">
        <f>IF(COUNTBLANK(E325:N325) = 10,"",IF(AND(NOT(ISBLANK(E325)),COUNTBLANK(E325:N325) = 9),"3 Delete",IF(ISBLANK(E325),"2 Add",IF(JenkinsHashRange(E325:N325) = "1808900552","0 Original","1 Modify"))))</f>
        <v>0 Original</v>
      </c>
      <c r="D325" s="3" t="s">
        <v>1991</v>
      </c>
      <c r="E325" s="5">
        <v>3558</v>
      </c>
      <c r="F325" t="s">
        <v>1214</v>
      </c>
      <c r="G325" t="s">
        <v>702</v>
      </c>
      <c r="H325" s="9">
        <v>7.99</v>
      </c>
      <c r="I325" s="5">
        <v>1</v>
      </c>
      <c r="J325" s="7" t="s">
        <v>970</v>
      </c>
      <c r="K325" s="7">
        <v>42748.047268518516</v>
      </c>
      <c r="L325" s="3" t="s">
        <v>970</v>
      </c>
      <c r="M325" s="7">
        <v>42748.047268518516</v>
      </c>
      <c r="N325" s="3" t="s">
        <v>970</v>
      </c>
      <c r="O325" s="16" t="str">
        <f>TEXT(DATEVALUE(LEFT(F325,10)),"mm-yyyy")</f>
        <v>02-2015</v>
      </c>
      <c r="P325" s="16">
        <f>H325*I325</f>
        <v>7.99</v>
      </c>
    </row>
    <row r="326" spans="3:16" x14ac:dyDescent="0.25">
      <c r="C326" t="str">
        <f>IF(COUNTBLANK(E326:N326) = 10,"",IF(AND(NOT(ISBLANK(E326)),COUNTBLANK(E326:N326) = 9),"3 Delete",IF(ISBLANK(E326),"2 Add",IF(JenkinsHashRange(E326:N326) = "643501986","0 Original","1 Modify"))))</f>
        <v>0 Original</v>
      </c>
      <c r="D326" s="3" t="s">
        <v>1992</v>
      </c>
      <c r="E326" s="5">
        <v>3559</v>
      </c>
      <c r="F326" t="s">
        <v>1214</v>
      </c>
      <c r="G326" t="s">
        <v>702</v>
      </c>
      <c r="H326" s="9">
        <v>7.99</v>
      </c>
      <c r="I326" s="5">
        <v>1</v>
      </c>
      <c r="J326" s="7" t="s">
        <v>970</v>
      </c>
      <c r="K326" s="7">
        <v>42748.047268518516</v>
      </c>
      <c r="L326" s="3" t="s">
        <v>970</v>
      </c>
      <c r="M326" s="7">
        <v>42748.047268518516</v>
      </c>
      <c r="N326" s="3" t="s">
        <v>970</v>
      </c>
      <c r="O326" s="16" t="str">
        <f>TEXT(DATEVALUE(LEFT(F326,10)),"mm-yyyy")</f>
        <v>02-2015</v>
      </c>
      <c r="P326" s="16">
        <f>H326*I326</f>
        <v>7.99</v>
      </c>
    </row>
    <row r="327" spans="3:16" x14ac:dyDescent="0.25">
      <c r="C327" t="str">
        <f>IF(COUNTBLANK(E327:N327) = 10,"",IF(AND(NOT(ISBLANK(E327)),COUNTBLANK(E327:N327) = 9),"3 Delete",IF(ISBLANK(E327),"2 Add",IF(JenkinsHashRange(E327:N327) = "740030525","0 Original","1 Modify"))))</f>
        <v>0 Original</v>
      </c>
      <c r="D327" s="3" t="s">
        <v>1993</v>
      </c>
      <c r="E327" s="5">
        <v>3560</v>
      </c>
      <c r="F327" t="s">
        <v>1214</v>
      </c>
      <c r="G327" t="s">
        <v>957</v>
      </c>
      <c r="H327" s="9">
        <v>5.99</v>
      </c>
      <c r="I327" s="5">
        <v>1</v>
      </c>
      <c r="J327" s="7" t="s">
        <v>970</v>
      </c>
      <c r="K327" s="7">
        <v>42748.047268518516</v>
      </c>
      <c r="L327" s="3" t="s">
        <v>970</v>
      </c>
      <c r="M327" s="7">
        <v>42748.047268518516</v>
      </c>
      <c r="N327" s="3" t="s">
        <v>970</v>
      </c>
      <c r="O327" s="16" t="str">
        <f>TEXT(DATEVALUE(LEFT(F327,10)),"mm-yyyy")</f>
        <v>02-2015</v>
      </c>
      <c r="P327" s="16">
        <f>H327*I327</f>
        <v>5.99</v>
      </c>
    </row>
    <row r="328" spans="3:16" x14ac:dyDescent="0.25">
      <c r="C328" t="str">
        <f>IF(COUNTBLANK(E328:N328) = 10,"",IF(AND(NOT(ISBLANK(E328)),COUNTBLANK(E328:N328) = 9),"3 Delete",IF(ISBLANK(E328),"2 Add",IF(JenkinsHashRange(E328:N328) = "180670974","0 Original","1 Modify"))))</f>
        <v>0 Original</v>
      </c>
      <c r="D328" s="3" t="s">
        <v>1994</v>
      </c>
      <c r="E328" s="5">
        <v>3561</v>
      </c>
      <c r="F328" t="s">
        <v>1214</v>
      </c>
      <c r="G328" t="s">
        <v>565</v>
      </c>
      <c r="H328" s="9">
        <v>5.99</v>
      </c>
      <c r="I328" s="5">
        <v>2</v>
      </c>
      <c r="J328" s="7" t="s">
        <v>970</v>
      </c>
      <c r="K328" s="7">
        <v>42748.047268518516</v>
      </c>
      <c r="L328" s="3" t="s">
        <v>970</v>
      </c>
      <c r="M328" s="7">
        <v>42748.047268518516</v>
      </c>
      <c r="N328" s="3" t="s">
        <v>970</v>
      </c>
      <c r="O328" s="16" t="str">
        <f>TEXT(DATEVALUE(LEFT(F328,10)),"mm-yyyy")</f>
        <v>02-2015</v>
      </c>
      <c r="P328" s="16">
        <f>H328*I328</f>
        <v>11.98</v>
      </c>
    </row>
    <row r="329" spans="3:16" x14ac:dyDescent="0.25">
      <c r="C329" t="str">
        <f>IF(COUNTBLANK(E329:N329) = 10,"",IF(AND(NOT(ISBLANK(E329)),COUNTBLANK(E329:N329) = 9),"3 Delete",IF(ISBLANK(E329),"2 Add",IF(JenkinsHashRange(E329:N329) = "358693725","0 Original","1 Modify"))))</f>
        <v>0 Original</v>
      </c>
      <c r="D329" s="3" t="s">
        <v>1997</v>
      </c>
      <c r="E329" s="5">
        <v>3588</v>
      </c>
      <c r="F329" t="s">
        <v>1216</v>
      </c>
      <c r="G329" t="s">
        <v>400</v>
      </c>
      <c r="H329" s="9">
        <v>6.99</v>
      </c>
      <c r="I329" s="5">
        <v>1</v>
      </c>
      <c r="J329" s="7" t="s">
        <v>970</v>
      </c>
      <c r="K329" s="7">
        <v>42748.047268518516</v>
      </c>
      <c r="L329" s="3" t="s">
        <v>970</v>
      </c>
      <c r="M329" s="7">
        <v>42748.047268518516</v>
      </c>
      <c r="N329" s="3" t="s">
        <v>970</v>
      </c>
      <c r="O329" s="16" t="str">
        <f>TEXT(DATEVALUE(LEFT(F329,10)),"mm-yyyy")</f>
        <v>02-2015</v>
      </c>
      <c r="P329" s="16">
        <f>H329*I329</f>
        <v>6.99</v>
      </c>
    </row>
    <row r="330" spans="3:16" x14ac:dyDescent="0.25">
      <c r="C330" t="str">
        <f>IF(COUNTBLANK(E330:N330) = 10,"",IF(AND(NOT(ISBLANK(E330)),COUNTBLANK(E330:N330) = 9),"3 Delete",IF(ISBLANK(E330),"2 Add",IF(JenkinsHashRange(E330:N330) = "527978455","0 Original","1 Modify"))))</f>
        <v>0 Original</v>
      </c>
      <c r="D330" s="3" t="s">
        <v>1998</v>
      </c>
      <c r="E330" s="5">
        <v>3589</v>
      </c>
      <c r="F330" t="s">
        <v>1216</v>
      </c>
      <c r="G330" t="s">
        <v>702</v>
      </c>
      <c r="H330" s="9">
        <v>7.99</v>
      </c>
      <c r="I330" s="5">
        <v>1</v>
      </c>
      <c r="J330" s="7" t="s">
        <v>970</v>
      </c>
      <c r="K330" s="7">
        <v>42748.047268518516</v>
      </c>
      <c r="L330" s="3" t="s">
        <v>970</v>
      </c>
      <c r="M330" s="7">
        <v>42748.047268518516</v>
      </c>
      <c r="N330" s="3" t="s">
        <v>970</v>
      </c>
      <c r="O330" s="16" t="str">
        <f>TEXT(DATEVALUE(LEFT(F330,10)),"mm-yyyy")</f>
        <v>02-2015</v>
      </c>
      <c r="P330" s="16">
        <f>H330*I330</f>
        <v>7.99</v>
      </c>
    </row>
    <row r="331" spans="3:16" x14ac:dyDescent="0.25">
      <c r="C331" t="str">
        <f>IF(COUNTBLANK(E331:N331) = 10,"",IF(AND(NOT(ISBLANK(E331)),COUNTBLANK(E331:N331) = 9),"3 Delete",IF(ISBLANK(E331),"2 Add",IF(JenkinsHashRange(E331:N331) = "1804724240","0 Original","1 Modify"))))</f>
        <v>0 Original</v>
      </c>
      <c r="D331" s="3" t="s">
        <v>1999</v>
      </c>
      <c r="E331" s="5">
        <v>3590</v>
      </c>
      <c r="F331" t="s">
        <v>1216</v>
      </c>
      <c r="G331" t="s">
        <v>877</v>
      </c>
      <c r="H331" s="9">
        <v>8.99</v>
      </c>
      <c r="I331" s="5">
        <v>2</v>
      </c>
      <c r="J331" s="7" t="s">
        <v>970</v>
      </c>
      <c r="K331" s="7">
        <v>42748.047268518516</v>
      </c>
      <c r="L331" s="3" t="s">
        <v>970</v>
      </c>
      <c r="M331" s="7">
        <v>42748.047268518516</v>
      </c>
      <c r="N331" s="3" t="s">
        <v>970</v>
      </c>
      <c r="O331" s="16" t="str">
        <f>TEXT(DATEVALUE(LEFT(F331,10)),"mm-yyyy")</f>
        <v>02-2015</v>
      </c>
      <c r="P331" s="16">
        <f>H331*I331</f>
        <v>17.98</v>
      </c>
    </row>
    <row r="332" spans="3:16" x14ac:dyDescent="0.25">
      <c r="C332" t="str">
        <f>IF(COUNTBLANK(E332:N332) = 10,"",IF(AND(NOT(ISBLANK(E332)),COUNTBLANK(E332:N332) = 9),"3 Delete",IF(ISBLANK(E332),"2 Add",IF(JenkinsHashRange(E332:N332) = "1394109714","0 Original","1 Modify"))))</f>
        <v>0 Original</v>
      </c>
      <c r="D332" s="3" t="s">
        <v>2000</v>
      </c>
      <c r="E332" s="5">
        <v>3591</v>
      </c>
      <c r="F332" t="s">
        <v>1216</v>
      </c>
      <c r="G332" t="s">
        <v>945</v>
      </c>
      <c r="H332" s="9">
        <v>7.99</v>
      </c>
      <c r="I332" s="5">
        <v>1</v>
      </c>
      <c r="J332" s="7" t="s">
        <v>970</v>
      </c>
      <c r="K332" s="7">
        <v>42748.047268518516</v>
      </c>
      <c r="L332" s="3" t="s">
        <v>970</v>
      </c>
      <c r="M332" s="7">
        <v>42748.047268518516</v>
      </c>
      <c r="N332" s="3" t="s">
        <v>970</v>
      </c>
      <c r="O332" s="16" t="str">
        <f>TEXT(DATEVALUE(LEFT(F332,10)),"mm-yyyy")</f>
        <v>02-2015</v>
      </c>
      <c r="P332" s="16">
        <f>H332*I332</f>
        <v>7.99</v>
      </c>
    </row>
    <row r="333" spans="3:16" x14ac:dyDescent="0.25">
      <c r="C333" t="str">
        <f>IF(COUNTBLANK(E333:N333) = 10,"",IF(AND(NOT(ISBLANK(E333)),COUNTBLANK(E333:N333) = 9),"3 Delete",IF(ISBLANK(E333),"2 Add",IF(JenkinsHashRange(E333:N333) = "1069569825","0 Original","1 Modify"))))</f>
        <v>0 Original</v>
      </c>
      <c r="D333" s="3" t="s">
        <v>2001</v>
      </c>
      <c r="E333" s="5">
        <v>3599</v>
      </c>
      <c r="F333" t="s">
        <v>1217</v>
      </c>
      <c r="G333" t="s">
        <v>904</v>
      </c>
      <c r="H333" s="9">
        <v>9.99</v>
      </c>
      <c r="I333" s="5">
        <v>1</v>
      </c>
      <c r="J333" s="7" t="s">
        <v>970</v>
      </c>
      <c r="K333" s="7">
        <v>42748.047268518516</v>
      </c>
      <c r="L333" s="3" t="s">
        <v>970</v>
      </c>
      <c r="M333" s="7">
        <v>42748.047268518516</v>
      </c>
      <c r="N333" s="3" t="s">
        <v>970</v>
      </c>
      <c r="O333" s="16" t="str">
        <f>TEXT(DATEVALUE(LEFT(F333,10)),"mm-yyyy")</f>
        <v>02-2015</v>
      </c>
      <c r="P333" s="16">
        <f>H333*I333</f>
        <v>9.99</v>
      </c>
    </row>
    <row r="334" spans="3:16" x14ac:dyDescent="0.25">
      <c r="C334" t="str">
        <f>IF(COUNTBLANK(E334:N334) = 10,"",IF(AND(NOT(ISBLANK(E334)),COUNTBLANK(E334:N334) = 9),"3 Delete",IF(ISBLANK(E334),"2 Add",IF(JenkinsHashRange(E334:N334) = "886909997","0 Original","1 Modify"))))</f>
        <v>0 Original</v>
      </c>
      <c r="D334" s="3" t="s">
        <v>2002</v>
      </c>
      <c r="E334" s="5">
        <v>3600</v>
      </c>
      <c r="F334" t="s">
        <v>1217</v>
      </c>
      <c r="G334" t="s">
        <v>904</v>
      </c>
      <c r="H334" s="9">
        <v>9.99</v>
      </c>
      <c r="I334" s="5">
        <v>2</v>
      </c>
      <c r="J334" s="7" t="s">
        <v>970</v>
      </c>
      <c r="K334" s="7">
        <v>42748.047268518516</v>
      </c>
      <c r="L334" s="3" t="s">
        <v>970</v>
      </c>
      <c r="M334" s="7">
        <v>42748.047268518516</v>
      </c>
      <c r="N334" s="3" t="s">
        <v>970</v>
      </c>
      <c r="O334" s="16" t="str">
        <f>TEXT(DATEVALUE(LEFT(F334,10)),"mm-yyyy")</f>
        <v>02-2015</v>
      </c>
      <c r="P334" s="16">
        <f>H334*I334</f>
        <v>19.98</v>
      </c>
    </row>
    <row r="335" spans="3:16" x14ac:dyDescent="0.25">
      <c r="C335" t="str">
        <f>IF(COUNTBLANK(E335:N335) = 10,"",IF(AND(NOT(ISBLANK(E335)),COUNTBLANK(E335:N335) = 9),"3 Delete",IF(ISBLANK(E335),"2 Add",IF(JenkinsHashRange(E335:N335) = "436636738","0 Original","1 Modify"))))</f>
        <v>0 Original</v>
      </c>
      <c r="D335" s="3" t="s">
        <v>2003</v>
      </c>
      <c r="E335" s="5">
        <v>3601</v>
      </c>
      <c r="F335" t="s">
        <v>1217</v>
      </c>
      <c r="G335" t="s">
        <v>702</v>
      </c>
      <c r="H335" s="9">
        <v>7.99</v>
      </c>
      <c r="I335" s="5">
        <v>1</v>
      </c>
      <c r="J335" s="7" t="s">
        <v>970</v>
      </c>
      <c r="K335" s="7">
        <v>42748.047268518516</v>
      </c>
      <c r="L335" s="3" t="s">
        <v>970</v>
      </c>
      <c r="M335" s="7">
        <v>42748.047268518516</v>
      </c>
      <c r="N335" s="3" t="s">
        <v>970</v>
      </c>
      <c r="O335" s="16" t="str">
        <f>TEXT(DATEVALUE(LEFT(F335,10)),"mm-yyyy")</f>
        <v>02-2015</v>
      </c>
      <c r="P335" s="16">
        <f>H335*I335</f>
        <v>7.99</v>
      </c>
    </row>
    <row r="336" spans="3:16" x14ac:dyDescent="0.25">
      <c r="C336" t="str">
        <f>IF(COUNTBLANK(E336:N336) = 10,"",IF(AND(NOT(ISBLANK(E336)),COUNTBLANK(E336:N336) = 9),"3 Delete",IF(ISBLANK(E336),"2 Add",IF(JenkinsHashRange(E336:N336) = "1329782971","0 Original","1 Modify"))))</f>
        <v>0 Original</v>
      </c>
      <c r="D336" s="3" t="s">
        <v>2007</v>
      </c>
      <c r="E336" s="5">
        <v>3615</v>
      </c>
      <c r="F336" t="s">
        <v>1219</v>
      </c>
      <c r="G336" t="s">
        <v>877</v>
      </c>
      <c r="H336" s="9">
        <v>8.99</v>
      </c>
      <c r="I336" s="5">
        <v>1</v>
      </c>
      <c r="J336" s="7" t="s">
        <v>970</v>
      </c>
      <c r="K336" s="7">
        <v>42748.047268518516</v>
      </c>
      <c r="L336" s="3" t="s">
        <v>970</v>
      </c>
      <c r="M336" s="7">
        <v>42748.047268518516</v>
      </c>
      <c r="N336" s="3" t="s">
        <v>970</v>
      </c>
      <c r="O336" s="16" t="str">
        <f>TEXT(DATEVALUE(LEFT(F336,10)),"mm-yyyy")</f>
        <v>02-2015</v>
      </c>
      <c r="P336" s="16">
        <f>H336*I336</f>
        <v>8.99</v>
      </c>
    </row>
    <row r="337" spans="3:16" x14ac:dyDescent="0.25">
      <c r="C337" t="str">
        <f>IF(COUNTBLANK(E337:N337) = 10,"",IF(AND(NOT(ISBLANK(E337)),COUNTBLANK(E337:N337) = 9),"3 Delete",IF(ISBLANK(E337),"2 Add",IF(JenkinsHashRange(E337:N337) = "979454631","0 Original","1 Modify"))))</f>
        <v>0 Original</v>
      </c>
      <c r="D337" s="3" t="s">
        <v>2008</v>
      </c>
      <c r="E337" s="5">
        <v>3616</v>
      </c>
      <c r="F337" t="s">
        <v>1219</v>
      </c>
      <c r="G337" t="s">
        <v>702</v>
      </c>
      <c r="H337" s="9">
        <v>7.99</v>
      </c>
      <c r="I337" s="5">
        <v>2</v>
      </c>
      <c r="J337" s="7" t="s">
        <v>970</v>
      </c>
      <c r="K337" s="7">
        <v>42748.047268518516</v>
      </c>
      <c r="L337" s="3" t="s">
        <v>970</v>
      </c>
      <c r="M337" s="7">
        <v>42748.047268518516</v>
      </c>
      <c r="N337" s="3" t="s">
        <v>970</v>
      </c>
      <c r="O337" s="16" t="str">
        <f>TEXT(DATEVALUE(LEFT(F337,10)),"mm-yyyy")</f>
        <v>02-2015</v>
      </c>
      <c r="P337" s="16">
        <f>H337*I337</f>
        <v>15.98</v>
      </c>
    </row>
    <row r="338" spans="3:16" x14ac:dyDescent="0.25">
      <c r="C338" t="str">
        <f>IF(COUNTBLANK(E338:N338) = 10,"",IF(AND(NOT(ISBLANK(E338)),COUNTBLANK(E338:N338) = 9),"3 Delete",IF(ISBLANK(E338),"2 Add",IF(JenkinsHashRange(E338:N338) = "570840759","0 Original","1 Modify"))))</f>
        <v>0 Original</v>
      </c>
      <c r="D338" s="3" t="s">
        <v>2014</v>
      </c>
      <c r="E338" s="5">
        <v>3642</v>
      </c>
      <c r="F338" t="s">
        <v>1222</v>
      </c>
      <c r="G338" t="s">
        <v>565</v>
      </c>
      <c r="H338" s="9">
        <v>5.99</v>
      </c>
      <c r="I338" s="5">
        <v>1</v>
      </c>
      <c r="J338" s="7" t="s">
        <v>970</v>
      </c>
      <c r="K338" s="7">
        <v>42748.047268518516</v>
      </c>
      <c r="L338" s="3" t="s">
        <v>970</v>
      </c>
      <c r="M338" s="7">
        <v>42748.047268518516</v>
      </c>
      <c r="N338" s="3" t="s">
        <v>970</v>
      </c>
      <c r="O338" s="16" t="str">
        <f>TEXT(DATEVALUE(LEFT(F338,10)),"mm-yyyy")</f>
        <v>02-2015</v>
      </c>
      <c r="P338" s="16">
        <f>H338*I338</f>
        <v>5.99</v>
      </c>
    </row>
    <row r="339" spans="3:16" x14ac:dyDescent="0.25">
      <c r="C339" t="str">
        <f>IF(COUNTBLANK(E339:N339) = 10,"",IF(AND(NOT(ISBLANK(E339)),COUNTBLANK(E339:N339) = 9),"3 Delete",IF(ISBLANK(E339),"2 Add",IF(JenkinsHashRange(E339:N339) = "2077069448","0 Original","1 Modify"))))</f>
        <v>0 Original</v>
      </c>
      <c r="D339" s="3" t="s">
        <v>2015</v>
      </c>
      <c r="E339" s="5">
        <v>3643</v>
      </c>
      <c r="F339" t="s">
        <v>1222</v>
      </c>
      <c r="G339" t="s">
        <v>914</v>
      </c>
      <c r="H339" s="9">
        <v>8.99</v>
      </c>
      <c r="I339" s="5">
        <v>1</v>
      </c>
      <c r="J339" s="7" t="s">
        <v>970</v>
      </c>
      <c r="K339" s="7">
        <v>42748.047268518516</v>
      </c>
      <c r="L339" s="3" t="s">
        <v>970</v>
      </c>
      <c r="M339" s="7">
        <v>42748.047268518516</v>
      </c>
      <c r="N339" s="3" t="s">
        <v>970</v>
      </c>
      <c r="O339" s="16" t="str">
        <f>TEXT(DATEVALUE(LEFT(F339,10)),"mm-yyyy")</f>
        <v>02-2015</v>
      </c>
      <c r="P339" s="16">
        <f>H339*I339</f>
        <v>8.99</v>
      </c>
    </row>
    <row r="340" spans="3:16" x14ac:dyDescent="0.25">
      <c r="C340" t="str">
        <f>IF(COUNTBLANK(E340:N340) = 10,"",IF(AND(NOT(ISBLANK(E340)),COUNTBLANK(E340:N340) = 9),"3 Delete",IF(ISBLANK(E340),"2 Add",IF(JenkinsHashRange(E340:N340) = "840879956","0 Original","1 Modify"))))</f>
        <v>0 Original</v>
      </c>
      <c r="D340" s="3" t="s">
        <v>2016</v>
      </c>
      <c r="E340" s="5">
        <v>3644</v>
      </c>
      <c r="F340" t="s">
        <v>1222</v>
      </c>
      <c r="G340" t="s">
        <v>400</v>
      </c>
      <c r="H340" s="9">
        <v>6.99</v>
      </c>
      <c r="I340" s="5">
        <v>2</v>
      </c>
      <c r="J340" s="7" t="s">
        <v>970</v>
      </c>
      <c r="K340" s="7">
        <v>42748.047268518516</v>
      </c>
      <c r="L340" s="3" t="s">
        <v>970</v>
      </c>
      <c r="M340" s="7">
        <v>42748.047268518516</v>
      </c>
      <c r="N340" s="3" t="s">
        <v>970</v>
      </c>
      <c r="O340" s="16" t="str">
        <f>TEXT(DATEVALUE(LEFT(F340,10)),"mm-yyyy")</f>
        <v>02-2015</v>
      </c>
      <c r="P340" s="16">
        <f>H340*I340</f>
        <v>13.98</v>
      </c>
    </row>
    <row r="341" spans="3:16" x14ac:dyDescent="0.25">
      <c r="C341" t="str">
        <f>IF(COUNTBLANK(E341:N341) = 10,"",IF(AND(NOT(ISBLANK(E341)),COUNTBLANK(E341:N341) = 9),"3 Delete",IF(ISBLANK(E341),"2 Add",IF(JenkinsHashRange(E341:N341) = "1934354161","0 Original","1 Modify"))))</f>
        <v>0 Original</v>
      </c>
      <c r="D341" s="3" t="s">
        <v>2017</v>
      </c>
      <c r="E341" s="5">
        <v>3645</v>
      </c>
      <c r="F341" t="s">
        <v>1222</v>
      </c>
      <c r="G341" t="s">
        <v>914</v>
      </c>
      <c r="H341" s="9">
        <v>8.99</v>
      </c>
      <c r="I341" s="5">
        <v>1</v>
      </c>
      <c r="J341" s="7" t="s">
        <v>970</v>
      </c>
      <c r="K341" s="7">
        <v>42748.047268518516</v>
      </c>
      <c r="L341" s="3" t="s">
        <v>970</v>
      </c>
      <c r="M341" s="7">
        <v>42748.047268518516</v>
      </c>
      <c r="N341" s="3" t="s">
        <v>970</v>
      </c>
      <c r="O341" s="16" t="str">
        <f>TEXT(DATEVALUE(LEFT(F341,10)),"mm-yyyy")</f>
        <v>02-2015</v>
      </c>
      <c r="P341" s="16">
        <f>H341*I341</f>
        <v>8.99</v>
      </c>
    </row>
    <row r="342" spans="3:16" x14ac:dyDescent="0.25">
      <c r="C342" t="str">
        <f>IF(COUNTBLANK(E342:N342) = 10,"",IF(AND(NOT(ISBLANK(E342)),COUNTBLANK(E342:N342) = 9),"3 Delete",IF(ISBLANK(E342),"2 Add",IF(JenkinsHashRange(E342:N342) = "19591066","0 Original","1 Modify"))))</f>
        <v>0 Original</v>
      </c>
      <c r="D342" s="3" t="s">
        <v>2018</v>
      </c>
      <c r="E342" s="5">
        <v>3646</v>
      </c>
      <c r="F342" t="s">
        <v>1222</v>
      </c>
      <c r="G342" t="s">
        <v>814</v>
      </c>
      <c r="H342" s="9">
        <v>9.99</v>
      </c>
      <c r="I342" s="5">
        <v>1</v>
      </c>
      <c r="J342" s="7" t="s">
        <v>970</v>
      </c>
      <c r="K342" s="7">
        <v>42748.047268518516</v>
      </c>
      <c r="L342" s="3" t="s">
        <v>970</v>
      </c>
      <c r="M342" s="7">
        <v>42748.047268518516</v>
      </c>
      <c r="N342" s="3" t="s">
        <v>970</v>
      </c>
      <c r="O342" s="16" t="str">
        <f>TEXT(DATEVALUE(LEFT(F342,10)),"mm-yyyy")</f>
        <v>02-2015</v>
      </c>
      <c r="P342" s="16">
        <f>H342*I342</f>
        <v>9.99</v>
      </c>
    </row>
    <row r="343" spans="3:16" x14ac:dyDescent="0.25">
      <c r="C343" t="str">
        <f>IF(COUNTBLANK(E343:N343) = 10,"",IF(AND(NOT(ISBLANK(E343)),COUNTBLANK(E343:N343) = 9),"3 Delete",IF(ISBLANK(E343),"2 Add",IF(JenkinsHashRange(E343:N343) = "1936450775","0 Original","1 Modify"))))</f>
        <v>0 Original</v>
      </c>
      <c r="D343" s="3" t="s">
        <v>2019</v>
      </c>
      <c r="E343" s="5">
        <v>3647</v>
      </c>
      <c r="F343" t="s">
        <v>1222</v>
      </c>
      <c r="G343" t="s">
        <v>914</v>
      </c>
      <c r="H343" s="9">
        <v>8.99</v>
      </c>
      <c r="I343" s="5">
        <v>2</v>
      </c>
      <c r="J343" s="7" t="s">
        <v>970</v>
      </c>
      <c r="K343" s="7">
        <v>42748.047268518516</v>
      </c>
      <c r="L343" s="3" t="s">
        <v>970</v>
      </c>
      <c r="M343" s="7">
        <v>42748.047268518516</v>
      </c>
      <c r="N343" s="3" t="s">
        <v>970</v>
      </c>
      <c r="O343" s="16" t="str">
        <f>TEXT(DATEVALUE(LEFT(F343,10)),"mm-yyyy")</f>
        <v>02-2015</v>
      </c>
      <c r="P343" s="16">
        <f>H343*I343</f>
        <v>17.98</v>
      </c>
    </row>
    <row r="344" spans="3:16" x14ac:dyDescent="0.25">
      <c r="C344" t="str">
        <f>IF(COUNTBLANK(E344:N344) = 10,"",IF(AND(NOT(ISBLANK(E344)),COUNTBLANK(E344:N344) = 9),"3 Delete",IF(ISBLANK(E344),"2 Add",IF(JenkinsHashRange(E344:N344) = "677003271","0 Original","1 Modify"))))</f>
        <v>0 Original</v>
      </c>
      <c r="D344" s="3" t="s">
        <v>2021</v>
      </c>
      <c r="E344" s="5">
        <v>3661</v>
      </c>
      <c r="F344" t="s">
        <v>1224</v>
      </c>
      <c r="G344" t="s">
        <v>945</v>
      </c>
      <c r="H344" s="9">
        <v>7.99</v>
      </c>
      <c r="I344" s="5">
        <v>1</v>
      </c>
      <c r="J344" s="7" t="s">
        <v>970</v>
      </c>
      <c r="K344" s="7">
        <v>42748.047268518516</v>
      </c>
      <c r="L344" s="3" t="s">
        <v>970</v>
      </c>
      <c r="M344" s="7">
        <v>42748.047268518516</v>
      </c>
      <c r="N344" s="3" t="s">
        <v>970</v>
      </c>
      <c r="O344" s="16" t="str">
        <f>TEXT(DATEVALUE(LEFT(F344,10)),"mm-yyyy")</f>
        <v>02-2015</v>
      </c>
      <c r="P344" s="16">
        <f>H344*I344</f>
        <v>7.99</v>
      </c>
    </row>
    <row r="345" spans="3:16" x14ac:dyDescent="0.25">
      <c r="C345" t="str">
        <f>IF(COUNTBLANK(E345:N345) = 10,"",IF(AND(NOT(ISBLANK(E345)),COUNTBLANK(E345:N345) = 9),"3 Delete",IF(ISBLANK(E345),"2 Add",IF(JenkinsHashRange(E345:N345) = "821753239","0 Original","1 Modify"))))</f>
        <v>0 Original</v>
      </c>
      <c r="D345" s="3" t="s">
        <v>2022</v>
      </c>
      <c r="E345" s="5">
        <v>3662</v>
      </c>
      <c r="F345" t="s">
        <v>1224</v>
      </c>
      <c r="G345" t="s">
        <v>945</v>
      </c>
      <c r="H345" s="9">
        <v>7.99</v>
      </c>
      <c r="I345" s="5">
        <v>2</v>
      </c>
      <c r="J345" s="7" t="s">
        <v>970</v>
      </c>
      <c r="K345" s="7">
        <v>42748.047268518516</v>
      </c>
      <c r="L345" s="3" t="s">
        <v>970</v>
      </c>
      <c r="M345" s="7">
        <v>42748.047268518516</v>
      </c>
      <c r="N345" s="3" t="s">
        <v>970</v>
      </c>
      <c r="O345" s="16" t="str">
        <f>TEXT(DATEVALUE(LEFT(F345,10)),"mm-yyyy")</f>
        <v>02-2015</v>
      </c>
      <c r="P345" s="16">
        <f>H345*I345</f>
        <v>15.98</v>
      </c>
    </row>
    <row r="346" spans="3:16" x14ac:dyDescent="0.25">
      <c r="C346" t="str">
        <f>IF(COUNTBLANK(E346:N346) = 10,"",IF(AND(NOT(ISBLANK(E346)),COUNTBLANK(E346:N346) = 9),"3 Delete",IF(ISBLANK(E346),"2 Add",IF(JenkinsHashRange(E346:N346) = "341218124","0 Original","1 Modify"))))</f>
        <v>0 Original</v>
      </c>
      <c r="D346" s="3" t="s">
        <v>2029</v>
      </c>
      <c r="E346" s="5">
        <v>3699</v>
      </c>
      <c r="F346" t="s">
        <v>1227</v>
      </c>
      <c r="G346" t="s">
        <v>453</v>
      </c>
      <c r="H346" s="9">
        <v>8.99</v>
      </c>
      <c r="I346" s="5">
        <v>1</v>
      </c>
      <c r="J346" s="7" t="s">
        <v>970</v>
      </c>
      <c r="K346" s="7">
        <v>42748.047268518516</v>
      </c>
      <c r="L346" s="3" t="s">
        <v>970</v>
      </c>
      <c r="M346" s="7">
        <v>42748.047268518516</v>
      </c>
      <c r="N346" s="3" t="s">
        <v>970</v>
      </c>
      <c r="O346" s="16" t="str">
        <f>TEXT(DATEVALUE(LEFT(F346,10)),"mm-yyyy")</f>
        <v>02-2015</v>
      </c>
      <c r="P346" s="16">
        <f>H346*I346</f>
        <v>8.99</v>
      </c>
    </row>
    <row r="347" spans="3:16" x14ac:dyDescent="0.25">
      <c r="C347" t="str">
        <f>IF(COUNTBLANK(E347:N347) = 10,"",IF(AND(NOT(ISBLANK(E347)),COUNTBLANK(E347:N347) = 9),"3 Delete",IF(ISBLANK(E347),"2 Add",IF(JenkinsHashRange(E347:N347) = "1018411046","0 Original","1 Modify"))))</f>
        <v>0 Original</v>
      </c>
      <c r="D347" s="3" t="s">
        <v>2052</v>
      </c>
      <c r="E347" s="5">
        <v>3773</v>
      </c>
      <c r="F347" t="s">
        <v>1233</v>
      </c>
      <c r="G347" t="s">
        <v>914</v>
      </c>
      <c r="H347" s="9">
        <v>8.99</v>
      </c>
      <c r="I347" s="5">
        <v>2</v>
      </c>
      <c r="J347" s="7" t="s">
        <v>970</v>
      </c>
      <c r="K347" s="7">
        <v>42748.047268518516</v>
      </c>
      <c r="L347" s="3" t="s">
        <v>970</v>
      </c>
      <c r="M347" s="7">
        <v>42748.047268518516</v>
      </c>
      <c r="N347" s="3" t="s">
        <v>970</v>
      </c>
      <c r="O347" s="16" t="str">
        <f>TEXT(DATEVALUE(LEFT(F347,10)),"mm-yyyy")</f>
        <v>02-2015</v>
      </c>
      <c r="P347" s="16">
        <f>H347*I347</f>
        <v>17.98</v>
      </c>
    </row>
    <row r="348" spans="3:16" x14ac:dyDescent="0.25">
      <c r="C348" t="str">
        <f>IF(COUNTBLANK(E348:N348) = 10,"",IF(AND(NOT(ISBLANK(E348)),COUNTBLANK(E348:N348) = 9),"3 Delete",IF(ISBLANK(E348),"2 Add",IF(JenkinsHashRange(E348:N348) = "654916229","0 Original","1 Modify"))))</f>
        <v>0 Original</v>
      </c>
      <c r="D348" s="3" t="s">
        <v>2053</v>
      </c>
      <c r="E348" s="5">
        <v>3774</v>
      </c>
      <c r="F348" t="s">
        <v>1233</v>
      </c>
      <c r="G348" t="s">
        <v>957</v>
      </c>
      <c r="H348" s="9">
        <v>5.99</v>
      </c>
      <c r="I348" s="5">
        <v>1</v>
      </c>
      <c r="J348" s="7" t="s">
        <v>970</v>
      </c>
      <c r="K348" s="7">
        <v>42748.047268518516</v>
      </c>
      <c r="L348" s="3" t="s">
        <v>970</v>
      </c>
      <c r="M348" s="7">
        <v>42748.047268518516</v>
      </c>
      <c r="N348" s="3" t="s">
        <v>970</v>
      </c>
      <c r="O348" s="16" t="str">
        <f>TEXT(DATEVALUE(LEFT(F348,10)),"mm-yyyy")</f>
        <v>02-2015</v>
      </c>
      <c r="P348" s="16">
        <f>H348*I348</f>
        <v>5.99</v>
      </c>
    </row>
    <row r="349" spans="3:16" x14ac:dyDescent="0.25">
      <c r="C349" t="str">
        <f>IF(COUNTBLANK(E349:N349) = 10,"",IF(AND(NOT(ISBLANK(E349)),COUNTBLANK(E349:N349) = 9),"3 Delete",IF(ISBLANK(E349),"2 Add",IF(JenkinsHashRange(E349:N349) = "1900456416","0 Original","1 Modify"))))</f>
        <v>0 Original</v>
      </c>
      <c r="D349" s="3" t="s">
        <v>2054</v>
      </c>
      <c r="E349" s="5">
        <v>3775</v>
      </c>
      <c r="F349" t="s">
        <v>1233</v>
      </c>
      <c r="G349" t="s">
        <v>565</v>
      </c>
      <c r="H349" s="9">
        <v>5.99</v>
      </c>
      <c r="I349" s="5">
        <v>1</v>
      </c>
      <c r="J349" s="7" t="s">
        <v>970</v>
      </c>
      <c r="K349" s="7">
        <v>42748.047268518516</v>
      </c>
      <c r="L349" s="3" t="s">
        <v>970</v>
      </c>
      <c r="M349" s="7">
        <v>42748.047268518516</v>
      </c>
      <c r="N349" s="3" t="s">
        <v>970</v>
      </c>
      <c r="O349" s="16" t="str">
        <f>TEXT(DATEVALUE(LEFT(F349,10)),"mm-yyyy")</f>
        <v>02-2015</v>
      </c>
      <c r="P349" s="16">
        <f>H349*I349</f>
        <v>5.99</v>
      </c>
    </row>
    <row r="350" spans="3:16" x14ac:dyDescent="0.25">
      <c r="C350" t="str">
        <f>IF(COUNTBLANK(E350:N350) = 10,"",IF(AND(NOT(ISBLANK(E350)),COUNTBLANK(E350:N350) = 9),"3 Delete",IF(ISBLANK(E350),"2 Add",IF(JenkinsHashRange(E350:N350) = "1022354704","0 Original","1 Modify"))))</f>
        <v>0 Original</v>
      </c>
      <c r="D350" s="3" t="s">
        <v>2055</v>
      </c>
      <c r="E350" s="5">
        <v>3776</v>
      </c>
      <c r="F350" t="s">
        <v>1233</v>
      </c>
      <c r="G350" t="s">
        <v>814</v>
      </c>
      <c r="H350" s="9">
        <v>9.99</v>
      </c>
      <c r="I350" s="5">
        <v>2</v>
      </c>
      <c r="J350" s="7" t="s">
        <v>970</v>
      </c>
      <c r="K350" s="7">
        <v>42748.047268518516</v>
      </c>
      <c r="L350" s="3" t="s">
        <v>970</v>
      </c>
      <c r="M350" s="7">
        <v>42748.047268518516</v>
      </c>
      <c r="N350" s="3" t="s">
        <v>970</v>
      </c>
      <c r="O350" s="16" t="str">
        <f>TEXT(DATEVALUE(LEFT(F350,10)),"mm-yyyy")</f>
        <v>02-2015</v>
      </c>
      <c r="P350" s="16">
        <f>H350*I350</f>
        <v>19.98</v>
      </c>
    </row>
    <row r="351" spans="3:16" x14ac:dyDescent="0.25">
      <c r="C351" t="str">
        <f>IF(COUNTBLANK(E351:N351) = 10,"",IF(AND(NOT(ISBLANK(E351)),COUNTBLANK(E351:N351) = 9),"3 Delete",IF(ISBLANK(E351),"2 Add",IF(JenkinsHashRange(E351:N351) = "251488119","0 Original","1 Modify"))))</f>
        <v>0 Original</v>
      </c>
      <c r="D351" s="3" t="s">
        <v>2056</v>
      </c>
      <c r="E351" s="5">
        <v>3777</v>
      </c>
      <c r="F351" t="s">
        <v>1233</v>
      </c>
      <c r="G351" t="s">
        <v>945</v>
      </c>
      <c r="H351" s="9">
        <v>7.99</v>
      </c>
      <c r="I351" s="5">
        <v>1</v>
      </c>
      <c r="J351" s="7" t="s">
        <v>970</v>
      </c>
      <c r="K351" s="7">
        <v>42748.047268518516</v>
      </c>
      <c r="L351" s="3" t="s">
        <v>970</v>
      </c>
      <c r="M351" s="7">
        <v>42748.047268518516</v>
      </c>
      <c r="N351" s="3" t="s">
        <v>970</v>
      </c>
      <c r="O351" s="16" t="str">
        <f>TEXT(DATEVALUE(LEFT(F351,10)),"mm-yyyy")</f>
        <v>02-2015</v>
      </c>
      <c r="P351" s="16">
        <f>H351*I351</f>
        <v>7.99</v>
      </c>
    </row>
    <row r="352" spans="3:16" x14ac:dyDescent="0.25">
      <c r="C352" t="str">
        <f>IF(COUNTBLANK(E352:N352) = 10,"",IF(AND(NOT(ISBLANK(E352)),COUNTBLANK(E352:N352) = 9),"3 Delete",IF(ISBLANK(E352),"2 Add",IF(JenkinsHashRange(E352:N352) = "1008419072","0 Original","1 Modify"))))</f>
        <v>0 Original</v>
      </c>
      <c r="D352" s="3" t="s">
        <v>2065</v>
      </c>
      <c r="E352" s="5">
        <v>3901</v>
      </c>
      <c r="F352" t="s">
        <v>1238</v>
      </c>
      <c r="G352" t="s">
        <v>914</v>
      </c>
      <c r="H352" s="9">
        <v>8.99</v>
      </c>
      <c r="I352" s="5">
        <v>1</v>
      </c>
      <c r="J352" s="7" t="s">
        <v>970</v>
      </c>
      <c r="K352" s="7">
        <v>42748.047268518516</v>
      </c>
      <c r="L352" s="3" t="s">
        <v>970</v>
      </c>
      <c r="M352" s="7">
        <v>42748.047268518516</v>
      </c>
      <c r="N352" s="3" t="s">
        <v>970</v>
      </c>
      <c r="O352" s="16" t="str">
        <f>TEXT(DATEVALUE(LEFT(F352,10)),"mm-yyyy")</f>
        <v>02-2015</v>
      </c>
      <c r="P352" s="16">
        <f>H352*I352</f>
        <v>8.99</v>
      </c>
    </row>
    <row r="353" spans="3:16" x14ac:dyDescent="0.25">
      <c r="C353" t="str">
        <f>IF(COUNTBLANK(E353:N353) = 10,"",IF(AND(NOT(ISBLANK(E353)),COUNTBLANK(E353:N353) = 9),"3 Delete",IF(ISBLANK(E353),"2 Add",IF(JenkinsHashRange(E353:N353) = "603285028","0 Original","1 Modify"))))</f>
        <v>0 Original</v>
      </c>
      <c r="D353" s="3" t="s">
        <v>2066</v>
      </c>
      <c r="E353" s="5">
        <v>3902</v>
      </c>
      <c r="F353" t="s">
        <v>1238</v>
      </c>
      <c r="G353" t="s">
        <v>702</v>
      </c>
      <c r="H353" s="9">
        <v>7.99</v>
      </c>
      <c r="I353" s="5">
        <v>1</v>
      </c>
      <c r="J353" s="7" t="s">
        <v>970</v>
      </c>
      <c r="K353" s="7">
        <v>42748.047268518516</v>
      </c>
      <c r="L353" s="3" t="s">
        <v>970</v>
      </c>
      <c r="M353" s="7">
        <v>42748.047268518516</v>
      </c>
      <c r="N353" s="3" t="s">
        <v>970</v>
      </c>
      <c r="O353" s="16" t="str">
        <f>TEXT(DATEVALUE(LEFT(F353,10)),"mm-yyyy")</f>
        <v>02-2015</v>
      </c>
      <c r="P353" s="16">
        <f>H353*I353</f>
        <v>7.99</v>
      </c>
    </row>
    <row r="354" spans="3:16" x14ac:dyDescent="0.25">
      <c r="C354" t="str">
        <f>IF(COUNTBLANK(E354:N354) = 10,"",IF(AND(NOT(ISBLANK(E354)),COUNTBLANK(E354:N354) = 9),"3 Delete",IF(ISBLANK(E354),"2 Add",IF(JenkinsHashRange(E354:N354) = "1990014221","0 Original","1 Modify"))))</f>
        <v>0 Original</v>
      </c>
      <c r="D354" s="3" t="s">
        <v>2067</v>
      </c>
      <c r="E354" s="5">
        <v>3903</v>
      </c>
      <c r="F354" t="s">
        <v>1238</v>
      </c>
      <c r="G354" t="s">
        <v>400</v>
      </c>
      <c r="H354" s="9">
        <v>6.99</v>
      </c>
      <c r="I354" s="5">
        <v>2</v>
      </c>
      <c r="J354" s="7" t="s">
        <v>970</v>
      </c>
      <c r="K354" s="7">
        <v>42748.047268518516</v>
      </c>
      <c r="L354" s="3" t="s">
        <v>970</v>
      </c>
      <c r="M354" s="7">
        <v>42748.047268518516</v>
      </c>
      <c r="N354" s="3" t="s">
        <v>970</v>
      </c>
      <c r="O354" s="16" t="str">
        <f>TEXT(DATEVALUE(LEFT(F354,10)),"mm-yyyy")</f>
        <v>02-2015</v>
      </c>
      <c r="P354" s="16">
        <f>H354*I354</f>
        <v>13.98</v>
      </c>
    </row>
    <row r="355" spans="3:16" x14ac:dyDescent="0.25">
      <c r="C355" t="str">
        <f>IF(COUNTBLANK(E355:N355) = 10,"",IF(AND(NOT(ISBLANK(E355)),COUNTBLANK(E355:N355) = 9),"3 Delete",IF(ISBLANK(E355),"2 Add",IF(JenkinsHashRange(E355:N355) = "1532154666","0 Original","1 Modify"))))</f>
        <v>0 Original</v>
      </c>
      <c r="D355" s="3" t="s">
        <v>2068</v>
      </c>
      <c r="E355" s="5">
        <v>3904</v>
      </c>
      <c r="F355" t="s">
        <v>1238</v>
      </c>
      <c r="G355" t="s">
        <v>565</v>
      </c>
      <c r="H355" s="9">
        <v>5.99</v>
      </c>
      <c r="I355" s="5">
        <v>1</v>
      </c>
      <c r="J355" s="7" t="s">
        <v>970</v>
      </c>
      <c r="K355" s="7">
        <v>42748.047268518516</v>
      </c>
      <c r="L355" s="3" t="s">
        <v>970</v>
      </c>
      <c r="M355" s="7">
        <v>42748.047268518516</v>
      </c>
      <c r="N355" s="3" t="s">
        <v>970</v>
      </c>
      <c r="O355" s="16" t="str">
        <f>TEXT(DATEVALUE(LEFT(F355,10)),"mm-yyyy")</f>
        <v>02-2015</v>
      </c>
      <c r="P355" s="16">
        <f>H355*I355</f>
        <v>5.99</v>
      </c>
    </row>
    <row r="356" spans="3:16" x14ac:dyDescent="0.25">
      <c r="C356" t="str">
        <f>IF(COUNTBLANK(E356:N356) = 10,"",IF(AND(NOT(ISBLANK(E356)),COUNTBLANK(E356:N356) = 9),"3 Delete",IF(ISBLANK(E356),"2 Add",IF(JenkinsHashRange(E356:N356) = "311040074","0 Original","1 Modify"))))</f>
        <v>0 Original</v>
      </c>
      <c r="D356" s="3" t="s">
        <v>2069</v>
      </c>
      <c r="E356" s="5">
        <v>3905</v>
      </c>
      <c r="F356" t="s">
        <v>1238</v>
      </c>
      <c r="G356" t="s">
        <v>945</v>
      </c>
      <c r="H356" s="9">
        <v>7.99</v>
      </c>
      <c r="I356" s="5">
        <v>1</v>
      </c>
      <c r="J356" s="7" t="s">
        <v>970</v>
      </c>
      <c r="K356" s="7">
        <v>42748.047268518516</v>
      </c>
      <c r="L356" s="3" t="s">
        <v>970</v>
      </c>
      <c r="M356" s="7">
        <v>42748.047268518516</v>
      </c>
      <c r="N356" s="3" t="s">
        <v>970</v>
      </c>
      <c r="O356" s="16" t="str">
        <f>TEXT(DATEVALUE(LEFT(F356,10)),"mm-yyyy")</f>
        <v>02-2015</v>
      </c>
      <c r="P356" s="16">
        <f>H356*I356</f>
        <v>7.99</v>
      </c>
    </row>
    <row r="357" spans="3:16" x14ac:dyDescent="0.25">
      <c r="C357" t="str">
        <f>IF(COUNTBLANK(E357:N357) = 10,"",IF(AND(NOT(ISBLANK(E357)),COUNTBLANK(E357:N357) = 9),"3 Delete",IF(ISBLANK(E357),"2 Add",IF(JenkinsHashRange(E357:N357) = "694623986","0 Original","1 Modify"))))</f>
        <v>0 Original</v>
      </c>
      <c r="D357" s="3" t="s">
        <v>2070</v>
      </c>
      <c r="E357" s="5">
        <v>3906</v>
      </c>
      <c r="F357" t="s">
        <v>1238</v>
      </c>
      <c r="G357" t="s">
        <v>453</v>
      </c>
      <c r="H357" s="9">
        <v>8.99</v>
      </c>
      <c r="I357" s="5">
        <v>1</v>
      </c>
      <c r="J357" s="7" t="s">
        <v>970</v>
      </c>
      <c r="K357" s="7">
        <v>42748.047268518516</v>
      </c>
      <c r="L357" s="3" t="s">
        <v>970</v>
      </c>
      <c r="M357" s="7">
        <v>42748.047268518516</v>
      </c>
      <c r="N357" s="3" t="s">
        <v>970</v>
      </c>
      <c r="O357" s="16" t="str">
        <f>TEXT(DATEVALUE(LEFT(F357,10)),"mm-yyyy")</f>
        <v>02-2015</v>
      </c>
      <c r="P357" s="16">
        <f>H357*I357</f>
        <v>8.99</v>
      </c>
    </row>
    <row r="358" spans="3:16" x14ac:dyDescent="0.25">
      <c r="C358" t="str">
        <f>IF(COUNTBLANK(E358:N358) = 10,"",IF(AND(NOT(ISBLANK(E358)),COUNTBLANK(E358:N358) = 9),"3 Delete",IF(ISBLANK(E358),"2 Add",IF(JenkinsHashRange(E358:N358) = "950637237","0 Original","1 Modify"))))</f>
        <v>0 Original</v>
      </c>
      <c r="D358" s="3" t="s">
        <v>2071</v>
      </c>
      <c r="E358" s="5">
        <v>3907</v>
      </c>
      <c r="F358" t="s">
        <v>1238</v>
      </c>
      <c r="G358" t="s">
        <v>945</v>
      </c>
      <c r="H358" s="9">
        <v>7.99</v>
      </c>
      <c r="I358" s="5">
        <v>1</v>
      </c>
      <c r="J358" s="7" t="s">
        <v>970</v>
      </c>
      <c r="K358" s="7">
        <v>42748.047268518516</v>
      </c>
      <c r="L358" s="3" t="s">
        <v>970</v>
      </c>
      <c r="M358" s="7">
        <v>42748.047268518516</v>
      </c>
      <c r="N358" s="3" t="s">
        <v>970</v>
      </c>
      <c r="O358" s="16" t="str">
        <f>TEXT(DATEVALUE(LEFT(F358,10)),"mm-yyyy")</f>
        <v>02-2015</v>
      </c>
      <c r="P358" s="16">
        <f>H358*I358</f>
        <v>7.99</v>
      </c>
    </row>
    <row r="359" spans="3:16" x14ac:dyDescent="0.25">
      <c r="C359" t="str">
        <f>IF(COUNTBLANK(E359:N359) = 10,"",IF(AND(NOT(ISBLANK(E359)),COUNTBLANK(E359:N359) = 9),"3 Delete",IF(ISBLANK(E359),"2 Add",IF(JenkinsHashRange(E359:N359) = "119302006","0 Original","1 Modify"))))</f>
        <v>0 Original</v>
      </c>
      <c r="D359" s="3" t="s">
        <v>2072</v>
      </c>
      <c r="E359" s="5">
        <v>3917</v>
      </c>
      <c r="F359" t="s">
        <v>1239</v>
      </c>
      <c r="G359" t="s">
        <v>904</v>
      </c>
      <c r="H359" s="9">
        <v>9.99</v>
      </c>
      <c r="I359" s="5">
        <v>1</v>
      </c>
      <c r="J359" s="7" t="s">
        <v>970</v>
      </c>
      <c r="K359" s="7">
        <v>42748.047268518516</v>
      </c>
      <c r="L359" s="3" t="s">
        <v>970</v>
      </c>
      <c r="M359" s="7">
        <v>42748.047268518516</v>
      </c>
      <c r="N359" s="3" t="s">
        <v>970</v>
      </c>
      <c r="O359" s="16" t="str">
        <f>TEXT(DATEVALUE(LEFT(F359,10)),"mm-yyyy")</f>
        <v>02-2015</v>
      </c>
      <c r="P359" s="16">
        <f>H359*I359</f>
        <v>9.99</v>
      </c>
    </row>
    <row r="360" spans="3:16" x14ac:dyDescent="0.25">
      <c r="C360" t="str">
        <f>IF(COUNTBLANK(E360:N360) = 10,"",IF(AND(NOT(ISBLANK(E360)),COUNTBLANK(E360:N360) = 9),"3 Delete",IF(ISBLANK(E360),"2 Add",IF(JenkinsHashRange(E360:N360) = "263815492","0 Original","1 Modify"))))</f>
        <v>0 Original</v>
      </c>
      <c r="D360" s="3" t="s">
        <v>1248</v>
      </c>
      <c r="E360" s="5">
        <v>7</v>
      </c>
      <c r="F360" t="s">
        <v>987</v>
      </c>
      <c r="G360" t="s">
        <v>427</v>
      </c>
      <c r="H360" s="9">
        <v>5.99</v>
      </c>
      <c r="I360" s="5">
        <v>1</v>
      </c>
      <c r="J360" s="7" t="s">
        <v>970</v>
      </c>
      <c r="K360" s="7">
        <v>42748.047268518516</v>
      </c>
      <c r="L360" s="3" t="s">
        <v>970</v>
      </c>
      <c r="M360" s="7">
        <v>42748.047268518516</v>
      </c>
      <c r="N360" s="3" t="s">
        <v>970</v>
      </c>
      <c r="O360" s="16" t="str">
        <f>TEXT(DATEVALUE(LEFT(F360,10)),"mm-yyyy")</f>
        <v>03-2015</v>
      </c>
      <c r="P360" s="16">
        <f>H360*I360</f>
        <v>5.99</v>
      </c>
    </row>
    <row r="361" spans="3:16" x14ac:dyDescent="0.25">
      <c r="C361" t="str">
        <f>IF(COUNTBLANK(E361:N361) = 10,"",IF(AND(NOT(ISBLANK(E361)),COUNTBLANK(E361:N361) = 9),"3 Delete",IF(ISBLANK(E361),"2 Add",IF(JenkinsHashRange(E361:N361) = "1263156191","0 Original","1 Modify"))))</f>
        <v>0 Original</v>
      </c>
      <c r="D361" s="3" t="s">
        <v>1249</v>
      </c>
      <c r="E361" s="5">
        <v>8</v>
      </c>
      <c r="F361" t="s">
        <v>987</v>
      </c>
      <c r="G361" t="s">
        <v>730</v>
      </c>
      <c r="H361" s="9">
        <v>9.99</v>
      </c>
      <c r="I361" s="5">
        <v>1</v>
      </c>
      <c r="J361" s="7" t="s">
        <v>970</v>
      </c>
      <c r="K361" s="7">
        <v>42748.047268518516</v>
      </c>
      <c r="L361" s="3" t="s">
        <v>970</v>
      </c>
      <c r="M361" s="7">
        <v>42748.047268518516</v>
      </c>
      <c r="N361" s="3" t="s">
        <v>970</v>
      </c>
      <c r="O361" s="16" t="str">
        <f>TEXT(DATEVALUE(LEFT(F361,10)),"mm-yyyy")</f>
        <v>03-2015</v>
      </c>
      <c r="P361" s="16">
        <f>H361*I361</f>
        <v>9.99</v>
      </c>
    </row>
    <row r="362" spans="3:16" x14ac:dyDescent="0.25">
      <c r="C362" t="str">
        <f>IF(COUNTBLANK(E362:N362) = 10,"",IF(AND(NOT(ISBLANK(E362)),COUNTBLANK(E362:N362) = 9),"3 Delete",IF(ISBLANK(E362),"2 Add",IF(JenkinsHashRange(E362:N362) = "740945522","0 Original","1 Modify"))))</f>
        <v>0 Original</v>
      </c>
      <c r="D362" s="3" t="s">
        <v>1254</v>
      </c>
      <c r="E362" s="5">
        <v>18</v>
      </c>
      <c r="F362" t="s">
        <v>989</v>
      </c>
      <c r="G362" t="s">
        <v>550</v>
      </c>
      <c r="H362" s="9">
        <v>8.99</v>
      </c>
      <c r="I362" s="5">
        <v>1</v>
      </c>
      <c r="J362" s="7" t="s">
        <v>970</v>
      </c>
      <c r="K362" s="7">
        <v>42748.047268518516</v>
      </c>
      <c r="L362" s="3" t="s">
        <v>970</v>
      </c>
      <c r="M362" s="7">
        <v>42748.047268518516</v>
      </c>
      <c r="N362" s="3" t="s">
        <v>970</v>
      </c>
      <c r="O362" s="16" t="str">
        <f>TEXT(DATEVALUE(LEFT(F362,10)),"mm-yyyy")</f>
        <v>03-2015</v>
      </c>
      <c r="P362" s="16">
        <f>H362*I362</f>
        <v>8.99</v>
      </c>
    </row>
    <row r="363" spans="3:16" x14ac:dyDescent="0.25">
      <c r="C363" t="str">
        <f>IF(COUNTBLANK(E363:N363) = 10,"",IF(AND(NOT(ISBLANK(E363)),COUNTBLANK(E363:N363) = 9),"3 Delete",IF(ISBLANK(E363),"2 Add",IF(JenkinsHashRange(E363:N363) = "600171909","0 Original","1 Modify"))))</f>
        <v>0 Original</v>
      </c>
      <c r="D363" s="3" t="s">
        <v>1255</v>
      </c>
      <c r="E363" s="5">
        <v>19</v>
      </c>
      <c r="F363" t="s">
        <v>989</v>
      </c>
      <c r="G363" t="s">
        <v>646</v>
      </c>
      <c r="H363" s="9">
        <v>7.99</v>
      </c>
      <c r="I363" s="5">
        <v>1</v>
      </c>
      <c r="J363" s="7" t="s">
        <v>970</v>
      </c>
      <c r="K363" s="7">
        <v>42748.047268518516</v>
      </c>
      <c r="L363" s="3" t="s">
        <v>970</v>
      </c>
      <c r="M363" s="7">
        <v>42748.047268518516</v>
      </c>
      <c r="N363" s="3" t="s">
        <v>970</v>
      </c>
      <c r="O363" s="16" t="str">
        <f>TEXT(DATEVALUE(LEFT(F363,10)),"mm-yyyy")</f>
        <v>03-2015</v>
      </c>
      <c r="P363" s="16">
        <f>H363*I363</f>
        <v>7.99</v>
      </c>
    </row>
    <row r="364" spans="3:16" x14ac:dyDescent="0.25">
      <c r="C364" t="str">
        <f>IF(COUNTBLANK(E364:N364) = 10,"",IF(AND(NOT(ISBLANK(E364)),COUNTBLANK(E364:N364) = 9),"3 Delete",IF(ISBLANK(E364),"2 Add",IF(JenkinsHashRange(E364:N364) = "370944186","0 Original","1 Modify"))))</f>
        <v>0 Original</v>
      </c>
      <c r="D364" s="3" t="s">
        <v>1256</v>
      </c>
      <c r="E364" s="5">
        <v>20</v>
      </c>
      <c r="F364" t="s">
        <v>989</v>
      </c>
      <c r="G364" t="s">
        <v>801</v>
      </c>
      <c r="H364" s="9">
        <v>6.99</v>
      </c>
      <c r="I364" s="5">
        <v>1</v>
      </c>
      <c r="J364" s="7" t="s">
        <v>970</v>
      </c>
      <c r="K364" s="7">
        <v>42748.047268518516</v>
      </c>
      <c r="L364" s="3" t="s">
        <v>970</v>
      </c>
      <c r="M364" s="7">
        <v>42748.047268518516</v>
      </c>
      <c r="N364" s="3" t="s">
        <v>970</v>
      </c>
      <c r="O364" s="16" t="str">
        <f>TEXT(DATEVALUE(LEFT(F364,10)),"mm-yyyy")</f>
        <v>03-2015</v>
      </c>
      <c r="P364" s="16">
        <f>H364*I364</f>
        <v>6.99</v>
      </c>
    </row>
    <row r="365" spans="3:16" x14ac:dyDescent="0.25">
      <c r="C365" t="str">
        <f>IF(COUNTBLANK(E365:N365) = 10,"",IF(AND(NOT(ISBLANK(E365)),COUNTBLANK(E365:N365) = 9),"3 Delete",IF(ISBLANK(E365),"2 Add",IF(JenkinsHashRange(E365:N365) = "2037171683","0 Original","1 Modify"))))</f>
        <v>0 Original</v>
      </c>
      <c r="D365" s="3" t="s">
        <v>1257</v>
      </c>
      <c r="E365" s="5">
        <v>21</v>
      </c>
      <c r="F365" t="s">
        <v>989</v>
      </c>
      <c r="G365" t="s">
        <v>460</v>
      </c>
      <c r="H365" s="9">
        <v>4.99</v>
      </c>
      <c r="I365" s="5">
        <v>2</v>
      </c>
      <c r="J365" s="7" t="s">
        <v>970</v>
      </c>
      <c r="K365" s="7">
        <v>42748.047268518516</v>
      </c>
      <c r="L365" s="3" t="s">
        <v>970</v>
      </c>
      <c r="M365" s="7">
        <v>42748.047268518516</v>
      </c>
      <c r="N365" s="3" t="s">
        <v>970</v>
      </c>
      <c r="O365" s="16" t="str">
        <f>TEXT(DATEVALUE(LEFT(F365,10)),"mm-yyyy")</f>
        <v>03-2015</v>
      </c>
      <c r="P365" s="16">
        <f>H365*I365</f>
        <v>9.98</v>
      </c>
    </row>
    <row r="366" spans="3:16" x14ac:dyDescent="0.25">
      <c r="C366" t="str">
        <f>IF(COUNTBLANK(E366:N366) = 10,"",IF(AND(NOT(ISBLANK(E366)),COUNTBLANK(E366:N366) = 9),"3 Delete",IF(ISBLANK(E366),"2 Add",IF(JenkinsHashRange(E366:N366) = "1330367342","0 Original","1 Modify"))))</f>
        <v>0 Original</v>
      </c>
      <c r="D366" s="3" t="s">
        <v>1263</v>
      </c>
      <c r="E366" s="5">
        <v>50</v>
      </c>
      <c r="F366" t="s">
        <v>991</v>
      </c>
      <c r="G366" t="s">
        <v>901</v>
      </c>
      <c r="H366" s="9">
        <v>8.99</v>
      </c>
      <c r="I366" s="5">
        <v>1</v>
      </c>
      <c r="J366" s="7" t="s">
        <v>970</v>
      </c>
      <c r="K366" s="7">
        <v>42748.047268518516</v>
      </c>
      <c r="L366" s="3" t="s">
        <v>970</v>
      </c>
      <c r="M366" s="7">
        <v>42748.047268518516</v>
      </c>
      <c r="N366" s="3" t="s">
        <v>970</v>
      </c>
      <c r="O366" s="16" t="str">
        <f>TEXT(DATEVALUE(LEFT(F366,10)),"mm-yyyy")</f>
        <v>03-2015</v>
      </c>
      <c r="P366" s="16">
        <f>H366*I366</f>
        <v>8.99</v>
      </c>
    </row>
    <row r="367" spans="3:16" x14ac:dyDescent="0.25">
      <c r="C367" t="str">
        <f>IF(COUNTBLANK(E367:N367) = 10,"",IF(AND(NOT(ISBLANK(E367)),COUNTBLANK(E367:N367) = 9),"3 Delete",IF(ISBLANK(E367),"2 Add",IF(JenkinsHashRange(E367:N367) = "1037824612","0 Original","1 Modify"))))</f>
        <v>0 Original</v>
      </c>
      <c r="D367" s="3" t="s">
        <v>1264</v>
      </c>
      <c r="E367" s="5">
        <v>51</v>
      </c>
      <c r="F367" t="s">
        <v>991</v>
      </c>
      <c r="G367" t="s">
        <v>846</v>
      </c>
      <c r="H367" s="9">
        <v>8.99</v>
      </c>
      <c r="I367" s="5">
        <v>2</v>
      </c>
      <c r="J367" s="7" t="s">
        <v>970</v>
      </c>
      <c r="K367" s="7">
        <v>42748.047268518516</v>
      </c>
      <c r="L367" s="3" t="s">
        <v>970</v>
      </c>
      <c r="M367" s="7">
        <v>42748.047268518516</v>
      </c>
      <c r="N367" s="3" t="s">
        <v>970</v>
      </c>
      <c r="O367" s="16" t="str">
        <f>TEXT(DATEVALUE(LEFT(F367,10)),"mm-yyyy")</f>
        <v>03-2015</v>
      </c>
      <c r="P367" s="16">
        <f>H367*I367</f>
        <v>17.98</v>
      </c>
    </row>
    <row r="368" spans="3:16" x14ac:dyDescent="0.25">
      <c r="C368" t="str">
        <f>IF(COUNTBLANK(E368:N368) = 10,"",IF(AND(NOT(ISBLANK(E368)),COUNTBLANK(E368:N368) = 9),"3 Delete",IF(ISBLANK(E368),"2 Add",IF(JenkinsHashRange(E368:N368) = "188799131","0 Original","1 Modify"))))</f>
        <v>0 Original</v>
      </c>
      <c r="D368" s="3" t="s">
        <v>1265</v>
      </c>
      <c r="E368" s="5">
        <v>52</v>
      </c>
      <c r="F368" t="s">
        <v>991</v>
      </c>
      <c r="G368" t="s">
        <v>960</v>
      </c>
      <c r="H368" s="9">
        <v>7.99</v>
      </c>
      <c r="I368" s="5">
        <v>2</v>
      </c>
      <c r="J368" s="7" t="s">
        <v>970</v>
      </c>
      <c r="K368" s="7">
        <v>42748.047268518516</v>
      </c>
      <c r="L368" s="3" t="s">
        <v>970</v>
      </c>
      <c r="M368" s="7">
        <v>42748.047268518516</v>
      </c>
      <c r="N368" s="3" t="s">
        <v>970</v>
      </c>
      <c r="O368" s="16" t="str">
        <f>TEXT(DATEVALUE(LEFT(F368,10)),"mm-yyyy")</f>
        <v>03-2015</v>
      </c>
      <c r="P368" s="16">
        <f>H368*I368</f>
        <v>15.98</v>
      </c>
    </row>
    <row r="369" spans="3:16" x14ac:dyDescent="0.25">
      <c r="C369" t="str">
        <f>IF(COUNTBLANK(E369:N369) = 10,"",IF(AND(NOT(ISBLANK(E369)),COUNTBLANK(E369:N369) = 9),"3 Delete",IF(ISBLANK(E369),"2 Add",IF(JenkinsHashRange(E369:N369) = "655202363","0 Original","1 Modify"))))</f>
        <v>0 Original</v>
      </c>
      <c r="D369" s="3" t="s">
        <v>1276</v>
      </c>
      <c r="E369" s="5">
        <v>113</v>
      </c>
      <c r="F369" t="s">
        <v>994</v>
      </c>
      <c r="G369" t="s">
        <v>730</v>
      </c>
      <c r="H369" s="9">
        <v>9.99</v>
      </c>
      <c r="I369" s="5">
        <v>2</v>
      </c>
      <c r="J369" s="7" t="s">
        <v>970</v>
      </c>
      <c r="K369" s="7">
        <v>42748.047268518516</v>
      </c>
      <c r="L369" s="3" t="s">
        <v>970</v>
      </c>
      <c r="M369" s="7">
        <v>42748.047268518516</v>
      </c>
      <c r="N369" s="3" t="s">
        <v>970</v>
      </c>
      <c r="O369" s="16" t="str">
        <f>TEXT(DATEVALUE(LEFT(F369,10)),"mm-yyyy")</f>
        <v>03-2015</v>
      </c>
      <c r="P369" s="16">
        <f>H369*I369</f>
        <v>19.98</v>
      </c>
    </row>
    <row r="370" spans="3:16" x14ac:dyDescent="0.25">
      <c r="C370" t="str">
        <f>IF(COUNTBLANK(E370:N370) = 10,"",IF(AND(NOT(ISBLANK(E370)),COUNTBLANK(E370:N370) = 9),"3 Delete",IF(ISBLANK(E370),"2 Add",IF(JenkinsHashRange(E370:N370) = "616499282","0 Original","1 Modify"))))</f>
        <v>0 Original</v>
      </c>
      <c r="D370" s="3" t="s">
        <v>1277</v>
      </c>
      <c r="E370" s="5">
        <v>114</v>
      </c>
      <c r="F370" t="s">
        <v>994</v>
      </c>
      <c r="G370" t="s">
        <v>460</v>
      </c>
      <c r="H370" s="9">
        <v>4.99</v>
      </c>
      <c r="I370" s="5">
        <v>1</v>
      </c>
      <c r="J370" s="7" t="s">
        <v>970</v>
      </c>
      <c r="K370" s="7">
        <v>42748.047268518516</v>
      </c>
      <c r="L370" s="3" t="s">
        <v>970</v>
      </c>
      <c r="M370" s="7">
        <v>42748.047268518516</v>
      </c>
      <c r="N370" s="3" t="s">
        <v>970</v>
      </c>
      <c r="O370" s="16" t="str">
        <f>TEXT(DATEVALUE(LEFT(F370,10)),"mm-yyyy")</f>
        <v>03-2015</v>
      </c>
      <c r="P370" s="16">
        <f>H370*I370</f>
        <v>4.99</v>
      </c>
    </row>
    <row r="371" spans="3:16" x14ac:dyDescent="0.25">
      <c r="C371" t="str">
        <f>IF(COUNTBLANK(E371:N371) = 10,"",IF(AND(NOT(ISBLANK(E371)),COUNTBLANK(E371:N371) = 9),"3 Delete",IF(ISBLANK(E371),"2 Add",IF(JenkinsHashRange(E371:N371) = "1586615195","0 Original","1 Modify"))))</f>
        <v>0 Original</v>
      </c>
      <c r="D371" s="3" t="s">
        <v>1278</v>
      </c>
      <c r="E371" s="5">
        <v>123</v>
      </c>
      <c r="F371" t="s">
        <v>995</v>
      </c>
      <c r="G371" t="s">
        <v>793</v>
      </c>
      <c r="H371" s="9">
        <v>6.99</v>
      </c>
      <c r="I371" s="5">
        <v>1</v>
      </c>
      <c r="J371" s="7" t="s">
        <v>970</v>
      </c>
      <c r="K371" s="7">
        <v>42748.047268518516</v>
      </c>
      <c r="L371" s="3" t="s">
        <v>970</v>
      </c>
      <c r="M371" s="7">
        <v>42748.047268518516</v>
      </c>
      <c r="N371" s="3" t="s">
        <v>970</v>
      </c>
      <c r="O371" s="16" t="str">
        <f>TEXT(DATEVALUE(LEFT(F371,10)),"mm-yyyy")</f>
        <v>03-2015</v>
      </c>
      <c r="P371" s="16">
        <f>H371*I371</f>
        <v>6.99</v>
      </c>
    </row>
    <row r="372" spans="3:16" x14ac:dyDescent="0.25">
      <c r="C372" t="str">
        <f>IF(COUNTBLANK(E372:N372) = 10,"",IF(AND(NOT(ISBLANK(E372)),COUNTBLANK(E372:N372) = 9),"3 Delete",IF(ISBLANK(E372),"2 Add",IF(JenkinsHashRange(E372:N372) = "1529443506","0 Original","1 Modify"))))</f>
        <v>0 Original</v>
      </c>
      <c r="D372" s="3" t="s">
        <v>1279</v>
      </c>
      <c r="E372" s="5">
        <v>124</v>
      </c>
      <c r="F372" t="s">
        <v>995</v>
      </c>
      <c r="G372" t="s">
        <v>379</v>
      </c>
      <c r="H372" s="9">
        <v>8.99</v>
      </c>
      <c r="I372" s="5">
        <v>2</v>
      </c>
      <c r="J372" s="7" t="s">
        <v>970</v>
      </c>
      <c r="K372" s="7">
        <v>42748.047268518516</v>
      </c>
      <c r="L372" s="3" t="s">
        <v>970</v>
      </c>
      <c r="M372" s="7">
        <v>42748.047268518516</v>
      </c>
      <c r="N372" s="3" t="s">
        <v>970</v>
      </c>
      <c r="O372" s="16" t="str">
        <f>TEXT(DATEVALUE(LEFT(F372,10)),"mm-yyyy")</f>
        <v>03-2015</v>
      </c>
      <c r="P372" s="16">
        <f>H372*I372</f>
        <v>17.98</v>
      </c>
    </row>
    <row r="373" spans="3:16" x14ac:dyDescent="0.25">
      <c r="C373" t="str">
        <f>IF(COUNTBLANK(E373:N373) = 10,"",IF(AND(NOT(ISBLANK(E373)),COUNTBLANK(E373:N373) = 9),"3 Delete",IF(ISBLANK(E373),"2 Add",IF(JenkinsHashRange(E373:N373) = "2040811157","0 Original","1 Modify"))))</f>
        <v>0 Original</v>
      </c>
      <c r="D373" s="3" t="s">
        <v>1280</v>
      </c>
      <c r="E373" s="5">
        <v>149</v>
      </c>
      <c r="F373" t="s">
        <v>996</v>
      </c>
      <c r="G373" t="s">
        <v>453</v>
      </c>
      <c r="H373" s="9">
        <v>8.99</v>
      </c>
      <c r="I373" s="5">
        <v>2</v>
      </c>
      <c r="J373" s="7" t="s">
        <v>970</v>
      </c>
      <c r="K373" s="7">
        <v>42748.047268518516</v>
      </c>
      <c r="L373" s="3" t="s">
        <v>970</v>
      </c>
      <c r="M373" s="7">
        <v>42748.047268518516</v>
      </c>
      <c r="N373" s="3" t="s">
        <v>970</v>
      </c>
      <c r="O373" s="16" t="str">
        <f>TEXT(DATEVALUE(LEFT(F373,10)),"mm-yyyy")</f>
        <v>03-2015</v>
      </c>
      <c r="P373" s="16">
        <f>H373*I373</f>
        <v>17.98</v>
      </c>
    </row>
    <row r="374" spans="3:16" x14ac:dyDescent="0.25">
      <c r="C374" t="str">
        <f>IF(COUNTBLANK(E374:N374) = 10,"",IF(AND(NOT(ISBLANK(E374)),COUNTBLANK(E374:N374) = 9),"3 Delete",IF(ISBLANK(E374),"2 Add",IF(JenkinsHashRange(E374:N374) = "549285006","0 Original","1 Modify"))))</f>
        <v>0 Original</v>
      </c>
      <c r="D374" s="3" t="s">
        <v>1291</v>
      </c>
      <c r="E374" s="5">
        <v>216</v>
      </c>
      <c r="F374" t="s">
        <v>1001</v>
      </c>
      <c r="G374" t="s">
        <v>786</v>
      </c>
      <c r="H374" s="9">
        <v>8.99</v>
      </c>
      <c r="I374" s="5">
        <v>2</v>
      </c>
      <c r="J374" s="7" t="s">
        <v>970</v>
      </c>
      <c r="K374" s="7">
        <v>42748.047268518516</v>
      </c>
      <c r="L374" s="3" t="s">
        <v>970</v>
      </c>
      <c r="M374" s="7">
        <v>42748.047268518516</v>
      </c>
      <c r="N374" s="3" t="s">
        <v>970</v>
      </c>
      <c r="O374" s="16" t="str">
        <f>TEXT(DATEVALUE(LEFT(F374,10)),"mm-yyyy")</f>
        <v>03-2015</v>
      </c>
      <c r="P374" s="16">
        <f>H374*I374</f>
        <v>17.98</v>
      </c>
    </row>
    <row r="375" spans="3:16" x14ac:dyDescent="0.25">
      <c r="C375" t="str">
        <f>IF(COUNTBLANK(E375:N375) = 10,"",IF(AND(NOT(ISBLANK(E375)),COUNTBLANK(E375:N375) = 9),"3 Delete",IF(ISBLANK(E375),"2 Add",IF(JenkinsHashRange(E375:N375) = "1786783999","0 Original","1 Modify"))))</f>
        <v>0 Original</v>
      </c>
      <c r="D375" s="3" t="s">
        <v>1292</v>
      </c>
      <c r="E375" s="5">
        <v>217</v>
      </c>
      <c r="F375" t="s">
        <v>1001</v>
      </c>
      <c r="G375" t="s">
        <v>779</v>
      </c>
      <c r="H375" s="9">
        <v>6.99</v>
      </c>
      <c r="I375" s="5">
        <v>1</v>
      </c>
      <c r="J375" s="7" t="s">
        <v>970</v>
      </c>
      <c r="K375" s="7">
        <v>42748.047268518516</v>
      </c>
      <c r="L375" s="3" t="s">
        <v>970</v>
      </c>
      <c r="M375" s="7">
        <v>42748.047268518516</v>
      </c>
      <c r="N375" s="3" t="s">
        <v>970</v>
      </c>
      <c r="O375" s="16" t="str">
        <f>TEXT(DATEVALUE(LEFT(F375,10)),"mm-yyyy")</f>
        <v>03-2015</v>
      </c>
      <c r="P375" s="16">
        <f>H375*I375</f>
        <v>6.99</v>
      </c>
    </row>
    <row r="376" spans="3:16" x14ac:dyDescent="0.25">
      <c r="C376" t="str">
        <f>IF(COUNTBLANK(E376:N376) = 10,"",IF(AND(NOT(ISBLANK(E376)),COUNTBLANK(E376:N376) = 9),"3 Delete",IF(ISBLANK(E376),"2 Add",IF(JenkinsHashRange(E376:N376) = "1395220072","0 Original","1 Modify"))))</f>
        <v>0 Original</v>
      </c>
      <c r="D376" s="3" t="s">
        <v>1293</v>
      </c>
      <c r="E376" s="5">
        <v>218</v>
      </c>
      <c r="F376" t="s">
        <v>1001</v>
      </c>
      <c r="G376" t="s">
        <v>676</v>
      </c>
      <c r="H376" s="9">
        <v>6.99</v>
      </c>
      <c r="I376" s="5">
        <v>1</v>
      </c>
      <c r="J376" s="7" t="s">
        <v>970</v>
      </c>
      <c r="K376" s="7">
        <v>42748.047268518516</v>
      </c>
      <c r="L376" s="3" t="s">
        <v>970</v>
      </c>
      <c r="M376" s="7">
        <v>42748.047268518516</v>
      </c>
      <c r="N376" s="3" t="s">
        <v>970</v>
      </c>
      <c r="O376" s="16" t="str">
        <f>TEXT(DATEVALUE(LEFT(F376,10)),"mm-yyyy")</f>
        <v>03-2015</v>
      </c>
      <c r="P376" s="16">
        <f>H376*I376</f>
        <v>6.99</v>
      </c>
    </row>
    <row r="377" spans="3:16" x14ac:dyDescent="0.25">
      <c r="C377" t="str">
        <f>IF(COUNTBLANK(E377:N377) = 10,"",IF(AND(NOT(ISBLANK(E377)),COUNTBLANK(E377:N377) = 9),"3 Delete",IF(ISBLANK(E377),"2 Add",IF(JenkinsHashRange(E377:N377) = "236858414","0 Original","1 Modify"))))</f>
        <v>0 Original</v>
      </c>
      <c r="D377" s="3" t="s">
        <v>1294</v>
      </c>
      <c r="E377" s="5">
        <v>219</v>
      </c>
      <c r="F377" t="s">
        <v>1001</v>
      </c>
      <c r="G377" t="s">
        <v>553</v>
      </c>
      <c r="H377" s="9">
        <v>9.99</v>
      </c>
      <c r="I377" s="5">
        <v>2</v>
      </c>
      <c r="J377" s="7" t="s">
        <v>970</v>
      </c>
      <c r="K377" s="7">
        <v>42748.047268518516</v>
      </c>
      <c r="L377" s="3" t="s">
        <v>970</v>
      </c>
      <c r="M377" s="7">
        <v>42748.047268518516</v>
      </c>
      <c r="N377" s="3" t="s">
        <v>970</v>
      </c>
      <c r="O377" s="16" t="str">
        <f>TEXT(DATEVALUE(LEFT(F377,10)),"mm-yyyy")</f>
        <v>03-2015</v>
      </c>
      <c r="P377" s="16">
        <f>H377*I377</f>
        <v>19.98</v>
      </c>
    </row>
    <row r="378" spans="3:16" x14ac:dyDescent="0.25">
      <c r="C378" t="str">
        <f>IF(COUNTBLANK(E378:N378) = 10,"",IF(AND(NOT(ISBLANK(E378)),COUNTBLANK(E378:N378) = 9),"3 Delete",IF(ISBLANK(E378),"2 Add",IF(JenkinsHashRange(E378:N378) = "99273347","0 Original","1 Modify"))))</f>
        <v>0 Original</v>
      </c>
      <c r="D378" s="3" t="s">
        <v>1295</v>
      </c>
      <c r="E378" s="5">
        <v>220</v>
      </c>
      <c r="F378" t="s">
        <v>1001</v>
      </c>
      <c r="G378" t="s">
        <v>706</v>
      </c>
      <c r="H378" s="9">
        <v>9.99</v>
      </c>
      <c r="I378" s="5">
        <v>1</v>
      </c>
      <c r="J378" s="7" t="s">
        <v>970</v>
      </c>
      <c r="K378" s="7">
        <v>42748.047268518516</v>
      </c>
      <c r="L378" s="3" t="s">
        <v>970</v>
      </c>
      <c r="M378" s="7">
        <v>42748.047268518516</v>
      </c>
      <c r="N378" s="3" t="s">
        <v>970</v>
      </c>
      <c r="O378" s="16" t="str">
        <f>TEXT(DATEVALUE(LEFT(F378,10)),"mm-yyyy")</f>
        <v>03-2015</v>
      </c>
      <c r="P378" s="16">
        <f>H378*I378</f>
        <v>9.99</v>
      </c>
    </row>
    <row r="379" spans="3:16" x14ac:dyDescent="0.25">
      <c r="C379" t="str">
        <f>IF(COUNTBLANK(E379:N379) = 10,"",IF(AND(NOT(ISBLANK(E379)),COUNTBLANK(E379:N379) = 9),"3 Delete",IF(ISBLANK(E379),"2 Add",IF(JenkinsHashRange(E379:N379) = "241929451","0 Original","1 Modify"))))</f>
        <v>0 Original</v>
      </c>
      <c r="D379" s="3" t="s">
        <v>1307</v>
      </c>
      <c r="E379" s="5">
        <v>263</v>
      </c>
      <c r="F379" t="s">
        <v>1005</v>
      </c>
      <c r="G379" t="s">
        <v>765</v>
      </c>
      <c r="H379" s="9">
        <v>9.99</v>
      </c>
      <c r="I379" s="5">
        <v>1</v>
      </c>
      <c r="J379" s="7" t="s">
        <v>970</v>
      </c>
      <c r="K379" s="7">
        <v>42748.047268518516</v>
      </c>
      <c r="L379" s="3" t="s">
        <v>970</v>
      </c>
      <c r="M379" s="7">
        <v>42748.047268518516</v>
      </c>
      <c r="N379" s="3" t="s">
        <v>970</v>
      </c>
      <c r="O379" s="16" t="str">
        <f>TEXT(DATEVALUE(LEFT(F379,10)),"mm-yyyy")</f>
        <v>03-2015</v>
      </c>
      <c r="P379" s="16">
        <f>H379*I379</f>
        <v>9.99</v>
      </c>
    </row>
    <row r="380" spans="3:16" x14ac:dyDescent="0.25">
      <c r="C380" t="str">
        <f>IF(COUNTBLANK(E380:N380) = 10,"",IF(AND(NOT(ISBLANK(E380)),COUNTBLANK(E380:N380) = 9),"3 Delete",IF(ISBLANK(E380),"2 Add",IF(JenkinsHashRange(E380:N380) = "1557723276","0 Original","1 Modify"))))</f>
        <v>0 Original</v>
      </c>
      <c r="D380" s="3" t="s">
        <v>1308</v>
      </c>
      <c r="E380" s="5">
        <v>264</v>
      </c>
      <c r="F380" t="s">
        <v>1005</v>
      </c>
      <c r="G380" t="s">
        <v>510</v>
      </c>
      <c r="H380" s="9">
        <v>5.99</v>
      </c>
      <c r="I380" s="5">
        <v>2</v>
      </c>
      <c r="J380" s="7" t="s">
        <v>970</v>
      </c>
      <c r="K380" s="7">
        <v>42748.047268518516</v>
      </c>
      <c r="L380" s="3" t="s">
        <v>970</v>
      </c>
      <c r="M380" s="7">
        <v>42748.047268518516</v>
      </c>
      <c r="N380" s="3" t="s">
        <v>970</v>
      </c>
      <c r="O380" s="16" t="str">
        <f>TEXT(DATEVALUE(LEFT(F380,10)),"mm-yyyy")</f>
        <v>03-2015</v>
      </c>
      <c r="P380" s="16">
        <f>H380*I380</f>
        <v>11.98</v>
      </c>
    </row>
    <row r="381" spans="3:16" x14ac:dyDescent="0.25">
      <c r="C381" t="str">
        <f>IF(COUNTBLANK(E381:N381) = 10,"",IF(AND(NOT(ISBLANK(E381)),COUNTBLANK(E381:N381) = 9),"3 Delete",IF(ISBLANK(E381),"2 Add",IF(JenkinsHashRange(E381:N381) = "1584682015","0 Original","1 Modify"))))</f>
        <v>0 Original</v>
      </c>
      <c r="D381" s="3" t="s">
        <v>1309</v>
      </c>
      <c r="E381" s="5">
        <v>279</v>
      </c>
      <c r="F381" t="s">
        <v>1006</v>
      </c>
      <c r="G381" t="s">
        <v>772</v>
      </c>
      <c r="H381" s="9">
        <v>4.99</v>
      </c>
      <c r="I381" s="5">
        <v>1</v>
      </c>
      <c r="J381" s="7" t="s">
        <v>970</v>
      </c>
      <c r="K381" s="7">
        <v>42748.047268518516</v>
      </c>
      <c r="L381" s="3" t="s">
        <v>970</v>
      </c>
      <c r="M381" s="7">
        <v>42748.047268518516</v>
      </c>
      <c r="N381" s="3" t="s">
        <v>970</v>
      </c>
      <c r="O381" s="16" t="str">
        <f>TEXT(DATEVALUE(LEFT(F381,10)),"mm-yyyy")</f>
        <v>03-2015</v>
      </c>
      <c r="P381" s="16">
        <f>H381*I381</f>
        <v>4.99</v>
      </c>
    </row>
    <row r="382" spans="3:16" x14ac:dyDescent="0.25">
      <c r="C382" t="str">
        <f>IF(COUNTBLANK(E382:N382) = 10,"",IF(AND(NOT(ISBLANK(E382)),COUNTBLANK(E382:N382) = 9),"3 Delete",IF(ISBLANK(E382),"2 Add",IF(JenkinsHashRange(E382:N382) = "1042263296","0 Original","1 Modify"))))</f>
        <v>0 Original</v>
      </c>
      <c r="D382" s="3" t="s">
        <v>1310</v>
      </c>
      <c r="E382" s="5">
        <v>280</v>
      </c>
      <c r="F382" t="s">
        <v>1006</v>
      </c>
      <c r="G382" t="s">
        <v>424</v>
      </c>
      <c r="H382" s="9">
        <v>6.99</v>
      </c>
      <c r="I382" s="5">
        <v>1</v>
      </c>
      <c r="J382" s="7" t="s">
        <v>970</v>
      </c>
      <c r="K382" s="7">
        <v>42748.047268518516</v>
      </c>
      <c r="L382" s="3" t="s">
        <v>970</v>
      </c>
      <c r="M382" s="7">
        <v>42748.047268518516</v>
      </c>
      <c r="N382" s="3" t="s">
        <v>970</v>
      </c>
      <c r="O382" s="16" t="str">
        <f>TEXT(DATEVALUE(LEFT(F382,10)),"mm-yyyy")</f>
        <v>03-2015</v>
      </c>
      <c r="P382" s="16">
        <f>H382*I382</f>
        <v>6.99</v>
      </c>
    </row>
    <row r="383" spans="3:16" x14ac:dyDescent="0.25">
      <c r="C383" t="str">
        <f>IF(COUNTBLANK(E383:N383) = 10,"",IF(AND(NOT(ISBLANK(E383)),COUNTBLANK(E383:N383) = 9),"3 Delete",IF(ISBLANK(E383),"2 Add",IF(JenkinsHashRange(E383:N383) = "1437981084","0 Original","1 Modify"))))</f>
        <v>0 Original</v>
      </c>
      <c r="D383" s="3" t="s">
        <v>1311</v>
      </c>
      <c r="E383" s="5">
        <v>281</v>
      </c>
      <c r="F383" t="s">
        <v>1006</v>
      </c>
      <c r="G383" t="s">
        <v>941</v>
      </c>
      <c r="H383" s="9">
        <v>8.99</v>
      </c>
      <c r="I383" s="5">
        <v>1</v>
      </c>
      <c r="J383" s="7" t="s">
        <v>970</v>
      </c>
      <c r="K383" s="7">
        <v>42748.047268518516</v>
      </c>
      <c r="L383" s="3" t="s">
        <v>970</v>
      </c>
      <c r="M383" s="7">
        <v>42748.047268518516</v>
      </c>
      <c r="N383" s="3" t="s">
        <v>970</v>
      </c>
      <c r="O383" s="16" t="str">
        <f>TEXT(DATEVALUE(LEFT(F383,10)),"mm-yyyy")</f>
        <v>03-2015</v>
      </c>
      <c r="P383" s="16">
        <f>H383*I383</f>
        <v>8.99</v>
      </c>
    </row>
    <row r="384" spans="3:16" x14ac:dyDescent="0.25">
      <c r="C384" t="str">
        <f>IF(COUNTBLANK(E384:N384) = 10,"",IF(AND(NOT(ISBLANK(E384)),COUNTBLANK(E384:N384) = 9),"3 Delete",IF(ISBLANK(E384),"2 Add",IF(JenkinsHashRange(E384:N384) = "1939863550","0 Original","1 Modify"))))</f>
        <v>0 Original</v>
      </c>
      <c r="D384" s="3" t="s">
        <v>1312</v>
      </c>
      <c r="E384" s="5">
        <v>282</v>
      </c>
      <c r="F384" t="s">
        <v>1006</v>
      </c>
      <c r="G384" t="s">
        <v>550</v>
      </c>
      <c r="H384" s="9">
        <v>8.99</v>
      </c>
      <c r="I384" s="5">
        <v>1</v>
      </c>
      <c r="J384" s="7" t="s">
        <v>970</v>
      </c>
      <c r="K384" s="7">
        <v>42748.047268518516</v>
      </c>
      <c r="L384" s="3" t="s">
        <v>970</v>
      </c>
      <c r="M384" s="7">
        <v>42748.047268518516</v>
      </c>
      <c r="N384" s="3" t="s">
        <v>970</v>
      </c>
      <c r="O384" s="16" t="str">
        <f>TEXT(DATEVALUE(LEFT(F384,10)),"mm-yyyy")</f>
        <v>03-2015</v>
      </c>
      <c r="P384" s="16">
        <f>H384*I384</f>
        <v>8.99</v>
      </c>
    </row>
    <row r="385" spans="3:16" x14ac:dyDescent="0.25">
      <c r="C385" t="str">
        <f>IF(COUNTBLANK(E385:N385) = 10,"",IF(AND(NOT(ISBLANK(E385)),COUNTBLANK(E385:N385) = 9),"3 Delete",IF(ISBLANK(E385),"2 Add",IF(JenkinsHashRange(E385:N385) = "2057375390","0 Original","1 Modify"))))</f>
        <v>0 Original</v>
      </c>
      <c r="D385" s="3" t="s">
        <v>1340</v>
      </c>
      <c r="E385" s="5">
        <v>532</v>
      </c>
      <c r="F385" t="s">
        <v>1017</v>
      </c>
      <c r="G385" t="s">
        <v>618</v>
      </c>
      <c r="H385" s="9">
        <v>8.99</v>
      </c>
      <c r="I385" s="5">
        <v>1</v>
      </c>
      <c r="J385" s="7" t="s">
        <v>970</v>
      </c>
      <c r="K385" s="7">
        <v>42748.047268518516</v>
      </c>
      <c r="L385" s="3" t="s">
        <v>970</v>
      </c>
      <c r="M385" s="7">
        <v>42748.047268518516</v>
      </c>
      <c r="N385" s="3" t="s">
        <v>970</v>
      </c>
      <c r="O385" s="16" t="str">
        <f>TEXT(DATEVALUE(LEFT(F385,10)),"mm-yyyy")</f>
        <v>03-2015</v>
      </c>
      <c r="P385" s="16">
        <f>H385*I385</f>
        <v>8.99</v>
      </c>
    </row>
    <row r="386" spans="3:16" x14ac:dyDescent="0.25">
      <c r="C386" t="str">
        <f>IF(COUNTBLANK(E386:N386) = 10,"",IF(AND(NOT(ISBLANK(E386)),COUNTBLANK(E386:N386) = 9),"3 Delete",IF(ISBLANK(E386),"2 Add",IF(JenkinsHashRange(E386:N386) = "1986090377","0 Original","1 Modify"))))</f>
        <v>0 Original</v>
      </c>
      <c r="D386" s="3" t="s">
        <v>1341</v>
      </c>
      <c r="E386" s="5">
        <v>533</v>
      </c>
      <c r="F386" t="s">
        <v>1017</v>
      </c>
      <c r="G386" t="s">
        <v>759</v>
      </c>
      <c r="H386" s="9">
        <v>9.99</v>
      </c>
      <c r="I386" s="5">
        <v>2</v>
      </c>
      <c r="J386" s="7" t="s">
        <v>970</v>
      </c>
      <c r="K386" s="7">
        <v>42748.047268518516</v>
      </c>
      <c r="L386" s="3" t="s">
        <v>970</v>
      </c>
      <c r="M386" s="7">
        <v>42748.047268518516</v>
      </c>
      <c r="N386" s="3" t="s">
        <v>970</v>
      </c>
      <c r="O386" s="16" t="str">
        <f>TEXT(DATEVALUE(LEFT(F386,10)),"mm-yyyy")</f>
        <v>03-2015</v>
      </c>
      <c r="P386" s="16">
        <f>H386*I386</f>
        <v>19.98</v>
      </c>
    </row>
    <row r="387" spans="3:16" x14ac:dyDescent="0.25">
      <c r="C387" t="str">
        <f>IF(COUNTBLANK(E387:N387) = 10,"",IF(AND(NOT(ISBLANK(E387)),COUNTBLANK(E387:N387) = 9),"3 Delete",IF(ISBLANK(E387),"2 Add",IF(JenkinsHashRange(E387:N387) = "165601935","0 Original","1 Modify"))))</f>
        <v>0 Original</v>
      </c>
      <c r="D387" s="3" t="s">
        <v>1342</v>
      </c>
      <c r="E387" s="5">
        <v>539</v>
      </c>
      <c r="F387" t="s">
        <v>1018</v>
      </c>
      <c r="G387" t="s">
        <v>507</v>
      </c>
      <c r="H387" s="9">
        <v>7.99</v>
      </c>
      <c r="I387" s="5">
        <v>2</v>
      </c>
      <c r="J387" s="7" t="s">
        <v>970</v>
      </c>
      <c r="K387" s="7">
        <v>42748.047268518516</v>
      </c>
      <c r="L387" s="3" t="s">
        <v>970</v>
      </c>
      <c r="M387" s="7">
        <v>42748.047268518516</v>
      </c>
      <c r="N387" s="3" t="s">
        <v>970</v>
      </c>
      <c r="O387" s="16" t="str">
        <f>TEXT(DATEVALUE(LEFT(F387,10)),"mm-yyyy")</f>
        <v>03-2015</v>
      </c>
      <c r="P387" s="16">
        <f>H387*I387</f>
        <v>15.98</v>
      </c>
    </row>
    <row r="388" spans="3:16" x14ac:dyDescent="0.25">
      <c r="C388" t="str">
        <f>IF(COUNTBLANK(E388:N388) = 10,"",IF(AND(NOT(ISBLANK(E388)),COUNTBLANK(E388:N388) = 9),"3 Delete",IF(ISBLANK(E388),"2 Add",IF(JenkinsHashRange(E388:N388) = "1397234028","0 Original","1 Modify"))))</f>
        <v>0 Original</v>
      </c>
      <c r="D388" s="3" t="s">
        <v>1343</v>
      </c>
      <c r="E388" s="5">
        <v>540</v>
      </c>
      <c r="F388" t="s">
        <v>1018</v>
      </c>
      <c r="G388" t="s">
        <v>568</v>
      </c>
      <c r="H388" s="9">
        <v>4.99</v>
      </c>
      <c r="I388" s="5">
        <v>1</v>
      </c>
      <c r="J388" s="7" t="s">
        <v>970</v>
      </c>
      <c r="K388" s="7">
        <v>42748.047268518516</v>
      </c>
      <c r="L388" s="3" t="s">
        <v>970</v>
      </c>
      <c r="M388" s="7">
        <v>42748.047268518516</v>
      </c>
      <c r="N388" s="3" t="s">
        <v>970</v>
      </c>
      <c r="O388" s="16" t="str">
        <f>TEXT(DATEVALUE(LEFT(F388,10)),"mm-yyyy")</f>
        <v>03-2015</v>
      </c>
      <c r="P388" s="16">
        <f>H388*I388</f>
        <v>4.99</v>
      </c>
    </row>
    <row r="389" spans="3:16" x14ac:dyDescent="0.25">
      <c r="C389" t="str">
        <f>IF(COUNTBLANK(E389:N389) = 10,"",IF(AND(NOT(ISBLANK(E389)),COUNTBLANK(E389:N389) = 9),"3 Delete",IF(ISBLANK(E389),"2 Add",IF(JenkinsHashRange(E389:N389) = "896659007","0 Original","1 Modify"))))</f>
        <v>0 Original</v>
      </c>
      <c r="D389" s="3" t="s">
        <v>1344</v>
      </c>
      <c r="E389" s="5">
        <v>541</v>
      </c>
      <c r="F389" t="s">
        <v>1018</v>
      </c>
      <c r="G389" t="s">
        <v>746</v>
      </c>
      <c r="H389" s="9">
        <v>5.99</v>
      </c>
      <c r="I389" s="5">
        <v>1</v>
      </c>
      <c r="J389" s="7" t="s">
        <v>970</v>
      </c>
      <c r="K389" s="7">
        <v>42748.047268518516</v>
      </c>
      <c r="L389" s="3" t="s">
        <v>970</v>
      </c>
      <c r="M389" s="7">
        <v>42748.047268518516</v>
      </c>
      <c r="N389" s="3" t="s">
        <v>970</v>
      </c>
      <c r="O389" s="16" t="str">
        <f>TEXT(DATEVALUE(LEFT(F389,10)),"mm-yyyy")</f>
        <v>03-2015</v>
      </c>
      <c r="P389" s="16">
        <f>H389*I389</f>
        <v>5.99</v>
      </c>
    </row>
    <row r="390" spans="3:16" x14ac:dyDescent="0.25">
      <c r="C390" t="str">
        <f>IF(COUNTBLANK(E390:N390) = 10,"",IF(AND(NOT(ISBLANK(E390)),COUNTBLANK(E390:N390) = 9),"3 Delete",IF(ISBLANK(E390),"2 Add",IF(JenkinsHashRange(E390:N390) = "824864848","0 Original","1 Modify"))))</f>
        <v>0 Original</v>
      </c>
      <c r="D390" s="3" t="s">
        <v>1345</v>
      </c>
      <c r="E390" s="5">
        <v>542</v>
      </c>
      <c r="F390" t="s">
        <v>1018</v>
      </c>
      <c r="G390" t="s">
        <v>588</v>
      </c>
      <c r="H390" s="9">
        <v>5.99</v>
      </c>
      <c r="I390" s="5">
        <v>1</v>
      </c>
      <c r="J390" s="7" t="s">
        <v>970</v>
      </c>
      <c r="K390" s="7">
        <v>42748.047268518516</v>
      </c>
      <c r="L390" s="3" t="s">
        <v>970</v>
      </c>
      <c r="M390" s="7">
        <v>42748.047268518516</v>
      </c>
      <c r="N390" s="3" t="s">
        <v>970</v>
      </c>
      <c r="O390" s="16" t="str">
        <f>TEXT(DATEVALUE(LEFT(F390,10)),"mm-yyyy")</f>
        <v>03-2015</v>
      </c>
      <c r="P390" s="16">
        <f>H390*I390</f>
        <v>5.99</v>
      </c>
    </row>
    <row r="391" spans="3:16" x14ac:dyDescent="0.25">
      <c r="C391" t="str">
        <f>IF(COUNTBLANK(E391:N391) = 10,"",IF(AND(NOT(ISBLANK(E391)),COUNTBLANK(E391:N391) = 9),"3 Delete",IF(ISBLANK(E391),"2 Add",IF(JenkinsHashRange(E391:N391) = "1473154040","0 Original","1 Modify"))))</f>
        <v>0 Original</v>
      </c>
      <c r="D391" s="3" t="s">
        <v>1346</v>
      </c>
      <c r="E391" s="5">
        <v>543</v>
      </c>
      <c r="F391" t="s">
        <v>1018</v>
      </c>
      <c r="G391" t="s">
        <v>883</v>
      </c>
      <c r="H391" s="9">
        <v>4.99</v>
      </c>
      <c r="I391" s="5">
        <v>1</v>
      </c>
      <c r="J391" s="7" t="s">
        <v>970</v>
      </c>
      <c r="K391" s="7">
        <v>42748.047268518516</v>
      </c>
      <c r="L391" s="3" t="s">
        <v>970</v>
      </c>
      <c r="M391" s="7">
        <v>42748.047268518516</v>
      </c>
      <c r="N391" s="3" t="s">
        <v>970</v>
      </c>
      <c r="O391" s="16" t="str">
        <f>TEXT(DATEVALUE(LEFT(F391,10)),"mm-yyyy")</f>
        <v>03-2015</v>
      </c>
      <c r="P391" s="16">
        <f>H391*I391</f>
        <v>4.99</v>
      </c>
    </row>
    <row r="392" spans="3:16" x14ac:dyDescent="0.25">
      <c r="C392" t="str">
        <f>IF(COUNTBLANK(E392:N392) = 10,"",IF(AND(NOT(ISBLANK(E392)),COUNTBLANK(E392:N392) = 9),"3 Delete",IF(ISBLANK(E392),"2 Add",IF(JenkinsHashRange(E392:N392) = "620549201","0 Original","1 Modify"))))</f>
        <v>0 Original</v>
      </c>
      <c r="D392" s="3" t="s">
        <v>1347</v>
      </c>
      <c r="E392" s="5">
        <v>544</v>
      </c>
      <c r="F392" t="s">
        <v>1018</v>
      </c>
      <c r="G392" t="s">
        <v>871</v>
      </c>
      <c r="H392" s="9">
        <v>4.99</v>
      </c>
      <c r="I392" s="5">
        <v>1</v>
      </c>
      <c r="J392" s="7" t="s">
        <v>970</v>
      </c>
      <c r="K392" s="7">
        <v>42748.047268518516</v>
      </c>
      <c r="L392" s="3" t="s">
        <v>970</v>
      </c>
      <c r="M392" s="7">
        <v>42748.047268518516</v>
      </c>
      <c r="N392" s="3" t="s">
        <v>970</v>
      </c>
      <c r="O392" s="16" t="str">
        <f>TEXT(DATEVALUE(LEFT(F392,10)),"mm-yyyy")</f>
        <v>03-2015</v>
      </c>
      <c r="P392" s="16">
        <f>H392*I392</f>
        <v>4.99</v>
      </c>
    </row>
    <row r="393" spans="3:16" x14ac:dyDescent="0.25">
      <c r="C393" t="str">
        <f>IF(COUNTBLANK(E393:N393) = 10,"",IF(AND(NOT(ISBLANK(E393)),COUNTBLANK(E393:N393) = 9),"3 Delete",IF(ISBLANK(E393),"2 Add",IF(JenkinsHashRange(E393:N393) = "789829699","0 Original","1 Modify"))))</f>
        <v>0 Original</v>
      </c>
      <c r="D393" s="3" t="s">
        <v>1348</v>
      </c>
      <c r="E393" s="5">
        <v>545</v>
      </c>
      <c r="F393" t="s">
        <v>1018</v>
      </c>
      <c r="G393" t="s">
        <v>413</v>
      </c>
      <c r="H393" s="9">
        <v>5.99</v>
      </c>
      <c r="I393" s="5">
        <v>1</v>
      </c>
      <c r="J393" s="7" t="s">
        <v>970</v>
      </c>
      <c r="K393" s="7">
        <v>42748.047268518516</v>
      </c>
      <c r="L393" s="3" t="s">
        <v>970</v>
      </c>
      <c r="M393" s="7">
        <v>42748.047268518516</v>
      </c>
      <c r="N393" s="3" t="s">
        <v>970</v>
      </c>
      <c r="O393" s="16" t="str">
        <f>TEXT(DATEVALUE(LEFT(F393,10)),"mm-yyyy")</f>
        <v>03-2015</v>
      </c>
      <c r="P393" s="16">
        <f>H393*I393</f>
        <v>5.99</v>
      </c>
    </row>
    <row r="394" spans="3:16" x14ac:dyDescent="0.25">
      <c r="C394" t="str">
        <f>IF(COUNTBLANK(E394:N394) = 10,"",IF(AND(NOT(ISBLANK(E394)),COUNTBLANK(E394:N394) = 9),"3 Delete",IF(ISBLANK(E394),"2 Add",IF(JenkinsHashRange(E394:N394) = "1786293565","0 Original","1 Modify"))))</f>
        <v>0 Original</v>
      </c>
      <c r="D394" s="3" t="s">
        <v>1349</v>
      </c>
      <c r="E394" s="5">
        <v>552</v>
      </c>
      <c r="F394" t="s">
        <v>1019</v>
      </c>
      <c r="G394" t="s">
        <v>503</v>
      </c>
      <c r="H394" s="9">
        <v>4.99</v>
      </c>
      <c r="I394" s="5">
        <v>1</v>
      </c>
      <c r="J394" s="7" t="s">
        <v>970</v>
      </c>
      <c r="K394" s="7">
        <v>42748.047268518516</v>
      </c>
      <c r="L394" s="3" t="s">
        <v>970</v>
      </c>
      <c r="M394" s="7">
        <v>42748.047268518516</v>
      </c>
      <c r="N394" s="3" t="s">
        <v>970</v>
      </c>
      <c r="O394" s="16" t="str">
        <f>TEXT(DATEVALUE(LEFT(F394,10)),"mm-yyyy")</f>
        <v>03-2015</v>
      </c>
      <c r="P394" s="16">
        <f>H394*I394</f>
        <v>4.99</v>
      </c>
    </row>
    <row r="395" spans="3:16" x14ac:dyDescent="0.25">
      <c r="C395" t="str">
        <f>IF(COUNTBLANK(E395:N395) = 10,"",IF(AND(NOT(ISBLANK(E395)),COUNTBLANK(E395:N395) = 9),"3 Delete",IF(ISBLANK(E395),"2 Add",IF(JenkinsHashRange(E395:N395) = "757374545","0 Original","1 Modify"))))</f>
        <v>0 Original</v>
      </c>
      <c r="D395" s="3" t="s">
        <v>1350</v>
      </c>
      <c r="E395" s="5">
        <v>553</v>
      </c>
      <c r="F395" t="s">
        <v>1019</v>
      </c>
      <c r="G395" t="s">
        <v>806</v>
      </c>
      <c r="H395" s="9">
        <v>8.99</v>
      </c>
      <c r="I395" s="5">
        <v>2</v>
      </c>
      <c r="J395" s="7" t="s">
        <v>970</v>
      </c>
      <c r="K395" s="7">
        <v>42748.047268518516</v>
      </c>
      <c r="L395" s="3" t="s">
        <v>970</v>
      </c>
      <c r="M395" s="7">
        <v>42748.047268518516</v>
      </c>
      <c r="N395" s="3" t="s">
        <v>970</v>
      </c>
      <c r="O395" s="16" t="str">
        <f>TEXT(DATEVALUE(LEFT(F395,10)),"mm-yyyy")</f>
        <v>03-2015</v>
      </c>
      <c r="P395" s="16">
        <f>H395*I395</f>
        <v>17.98</v>
      </c>
    </row>
    <row r="396" spans="3:16" x14ac:dyDescent="0.25">
      <c r="C396" t="str">
        <f>IF(COUNTBLANK(E396:N396) = 10,"",IF(AND(NOT(ISBLANK(E396)),COUNTBLANK(E396:N396) = 9),"3 Delete",IF(ISBLANK(E396),"2 Add",IF(JenkinsHashRange(E396:N396) = "1756107195","0 Original","1 Modify"))))</f>
        <v>0 Original</v>
      </c>
      <c r="D396" s="3" t="s">
        <v>1351</v>
      </c>
      <c r="E396" s="5">
        <v>554</v>
      </c>
      <c r="F396" t="s">
        <v>1019</v>
      </c>
      <c r="G396" t="s">
        <v>494</v>
      </c>
      <c r="H396" s="9">
        <v>8.99</v>
      </c>
      <c r="I396" s="5">
        <v>2</v>
      </c>
      <c r="J396" s="7" t="s">
        <v>970</v>
      </c>
      <c r="K396" s="7">
        <v>42748.047268518516</v>
      </c>
      <c r="L396" s="3" t="s">
        <v>970</v>
      </c>
      <c r="M396" s="7">
        <v>42748.047268518516</v>
      </c>
      <c r="N396" s="3" t="s">
        <v>970</v>
      </c>
      <c r="O396" s="16" t="str">
        <f>TEXT(DATEVALUE(LEFT(F396,10)),"mm-yyyy")</f>
        <v>03-2015</v>
      </c>
      <c r="P396" s="16">
        <f>H396*I396</f>
        <v>17.98</v>
      </c>
    </row>
    <row r="397" spans="3:16" x14ac:dyDescent="0.25">
      <c r="C397" t="str">
        <f>IF(COUNTBLANK(E397:N397) = 10,"",IF(AND(NOT(ISBLANK(E397)),COUNTBLANK(E397:N397) = 9),"3 Delete",IF(ISBLANK(E397),"2 Add",IF(JenkinsHashRange(E397:N397) = "933817189","0 Original","1 Modify"))))</f>
        <v>0 Original</v>
      </c>
      <c r="D397" s="3" t="s">
        <v>1352</v>
      </c>
      <c r="E397" s="5">
        <v>555</v>
      </c>
      <c r="F397" t="s">
        <v>1019</v>
      </c>
      <c r="G397" t="s">
        <v>683</v>
      </c>
      <c r="H397" s="9">
        <v>7.99</v>
      </c>
      <c r="I397" s="5">
        <v>1</v>
      </c>
      <c r="J397" s="7" t="s">
        <v>970</v>
      </c>
      <c r="K397" s="7">
        <v>42748.047268518516</v>
      </c>
      <c r="L397" s="3" t="s">
        <v>970</v>
      </c>
      <c r="M397" s="7">
        <v>42748.047268518516</v>
      </c>
      <c r="N397" s="3" t="s">
        <v>970</v>
      </c>
      <c r="O397" s="16" t="str">
        <f>TEXT(DATEVALUE(LEFT(F397,10)),"mm-yyyy")</f>
        <v>03-2015</v>
      </c>
      <c r="P397" s="16">
        <f>H397*I397</f>
        <v>7.99</v>
      </c>
    </row>
    <row r="398" spans="3:16" x14ac:dyDescent="0.25">
      <c r="C398" t="str">
        <f>IF(COUNTBLANK(E398:N398) = 10,"",IF(AND(NOT(ISBLANK(E398)),COUNTBLANK(E398:N398) = 9),"3 Delete",IF(ISBLANK(E398),"2 Add",IF(JenkinsHashRange(E398:N398) = "896610669","0 Original","1 Modify"))))</f>
        <v>0 Original</v>
      </c>
      <c r="D398" s="3" t="s">
        <v>1353</v>
      </c>
      <c r="E398" s="5">
        <v>556</v>
      </c>
      <c r="F398" t="s">
        <v>1019</v>
      </c>
      <c r="G398" t="s">
        <v>579</v>
      </c>
      <c r="H398" s="9">
        <v>6.99</v>
      </c>
      <c r="I398" s="5">
        <v>2</v>
      </c>
      <c r="J398" s="7" t="s">
        <v>970</v>
      </c>
      <c r="K398" s="7">
        <v>42748.047268518516</v>
      </c>
      <c r="L398" s="3" t="s">
        <v>970</v>
      </c>
      <c r="M398" s="7">
        <v>42748.047268518516</v>
      </c>
      <c r="N398" s="3" t="s">
        <v>970</v>
      </c>
      <c r="O398" s="16" t="str">
        <f>TEXT(DATEVALUE(LEFT(F398,10)),"mm-yyyy")</f>
        <v>03-2015</v>
      </c>
      <c r="P398" s="16">
        <f>H398*I398</f>
        <v>13.98</v>
      </c>
    </row>
    <row r="399" spans="3:16" x14ac:dyDescent="0.25">
      <c r="C399" t="str">
        <f>IF(COUNTBLANK(E399:N399) = 10,"",IF(AND(NOT(ISBLANK(E399)),COUNTBLANK(E399:N399) = 9),"3 Delete",IF(ISBLANK(E399),"2 Add",IF(JenkinsHashRange(E399:N399) = "896430686","0 Original","1 Modify"))))</f>
        <v>0 Original</v>
      </c>
      <c r="D399" s="3" t="s">
        <v>1354</v>
      </c>
      <c r="E399" s="5">
        <v>568</v>
      </c>
      <c r="F399" t="s">
        <v>1020</v>
      </c>
      <c r="G399" t="s">
        <v>460</v>
      </c>
      <c r="H399" s="9">
        <v>4.99</v>
      </c>
      <c r="I399" s="5">
        <v>1</v>
      </c>
      <c r="J399" s="7" t="s">
        <v>970</v>
      </c>
      <c r="K399" s="7">
        <v>42748.047268518516</v>
      </c>
      <c r="L399" s="3" t="s">
        <v>970</v>
      </c>
      <c r="M399" s="7">
        <v>42748.047268518516</v>
      </c>
      <c r="N399" s="3" t="s">
        <v>970</v>
      </c>
      <c r="O399" s="16" t="str">
        <f>TEXT(DATEVALUE(LEFT(F399,10)),"mm-yyyy")</f>
        <v>03-2015</v>
      </c>
      <c r="P399" s="16">
        <f>H399*I399</f>
        <v>4.99</v>
      </c>
    </row>
    <row r="400" spans="3:16" x14ac:dyDescent="0.25">
      <c r="C400" t="str">
        <f>IF(COUNTBLANK(E400:N400) = 10,"",IF(AND(NOT(ISBLANK(E400)),COUNTBLANK(E400:N400) = 9),"3 Delete",IF(ISBLANK(E400),"2 Add",IF(JenkinsHashRange(E400:N400) = "444647038","0 Original","1 Modify"))))</f>
        <v>0 Original</v>
      </c>
      <c r="D400" s="3" t="s">
        <v>1355</v>
      </c>
      <c r="E400" s="5">
        <v>569</v>
      </c>
      <c r="F400" t="s">
        <v>1020</v>
      </c>
      <c r="G400" t="s">
        <v>530</v>
      </c>
      <c r="H400" s="9">
        <v>5.99</v>
      </c>
      <c r="I400" s="5">
        <v>2</v>
      </c>
      <c r="J400" s="7" t="s">
        <v>970</v>
      </c>
      <c r="K400" s="7">
        <v>42748.047268518516</v>
      </c>
      <c r="L400" s="3" t="s">
        <v>970</v>
      </c>
      <c r="M400" s="7">
        <v>42748.047268518516</v>
      </c>
      <c r="N400" s="3" t="s">
        <v>970</v>
      </c>
      <c r="O400" s="16" t="str">
        <f>TEXT(DATEVALUE(LEFT(F400,10)),"mm-yyyy")</f>
        <v>03-2015</v>
      </c>
      <c r="P400" s="16">
        <f>H400*I400</f>
        <v>11.98</v>
      </c>
    </row>
    <row r="401" spans="3:16" x14ac:dyDescent="0.25">
      <c r="C401" t="str">
        <f>IF(COUNTBLANK(E401:N401) = 10,"",IF(AND(NOT(ISBLANK(E401)),COUNTBLANK(E401:N401) = 9),"3 Delete",IF(ISBLANK(E401),"2 Add",IF(JenkinsHashRange(E401:N401) = "2005083720","0 Original","1 Modify"))))</f>
        <v>0 Original</v>
      </c>
      <c r="D401" s="3" t="s">
        <v>1356</v>
      </c>
      <c r="E401" s="5">
        <v>570</v>
      </c>
      <c r="F401" t="s">
        <v>1020</v>
      </c>
      <c r="G401" t="s">
        <v>951</v>
      </c>
      <c r="H401" s="9">
        <v>9.99</v>
      </c>
      <c r="I401" s="5">
        <v>2</v>
      </c>
      <c r="J401" s="7" t="s">
        <v>970</v>
      </c>
      <c r="K401" s="7">
        <v>42748.047268518516</v>
      </c>
      <c r="L401" s="3" t="s">
        <v>970</v>
      </c>
      <c r="M401" s="7">
        <v>42748.047268518516</v>
      </c>
      <c r="N401" s="3" t="s">
        <v>970</v>
      </c>
      <c r="O401" s="16" t="str">
        <f>TEXT(DATEVALUE(LEFT(F401,10)),"mm-yyyy")</f>
        <v>03-2015</v>
      </c>
      <c r="P401" s="16">
        <f>H401*I401</f>
        <v>19.98</v>
      </c>
    </row>
    <row r="402" spans="3:16" x14ac:dyDescent="0.25">
      <c r="C402" t="str">
        <f>IF(COUNTBLANK(E402:N402) = 10,"",IF(AND(NOT(ISBLANK(E402)),COUNTBLANK(E402:N402) = 9),"3 Delete",IF(ISBLANK(E402),"2 Add",IF(JenkinsHashRange(E402:N402) = "311839872","0 Original","1 Modify"))))</f>
        <v>0 Original</v>
      </c>
      <c r="D402" s="3" t="s">
        <v>1357</v>
      </c>
      <c r="E402" s="5">
        <v>571</v>
      </c>
      <c r="F402" t="s">
        <v>1020</v>
      </c>
      <c r="G402" t="s">
        <v>768</v>
      </c>
      <c r="H402" s="9">
        <v>6.99</v>
      </c>
      <c r="I402" s="5">
        <v>1</v>
      </c>
      <c r="J402" s="7" t="s">
        <v>970</v>
      </c>
      <c r="K402" s="7">
        <v>42748.047268518516</v>
      </c>
      <c r="L402" s="3" t="s">
        <v>970</v>
      </c>
      <c r="M402" s="7">
        <v>42748.047268518516</v>
      </c>
      <c r="N402" s="3" t="s">
        <v>970</v>
      </c>
      <c r="O402" s="16" t="str">
        <f>TEXT(DATEVALUE(LEFT(F402,10)),"mm-yyyy")</f>
        <v>03-2015</v>
      </c>
      <c r="P402" s="16">
        <f>H402*I402</f>
        <v>6.99</v>
      </c>
    </row>
    <row r="403" spans="3:16" x14ac:dyDescent="0.25">
      <c r="C403" t="str">
        <f>IF(COUNTBLANK(E403:N403) = 10,"",IF(AND(NOT(ISBLANK(E403)),COUNTBLANK(E403:N403) = 9),"3 Delete",IF(ISBLANK(E403),"2 Add",IF(JenkinsHashRange(E403:N403) = "667748753","0 Original","1 Modify"))))</f>
        <v>0 Original</v>
      </c>
      <c r="D403" s="3" t="s">
        <v>1358</v>
      </c>
      <c r="E403" s="5">
        <v>578</v>
      </c>
      <c r="F403" t="s">
        <v>1021</v>
      </c>
      <c r="G403" t="s">
        <v>665</v>
      </c>
      <c r="H403" s="9">
        <v>8.99</v>
      </c>
      <c r="I403" s="5">
        <v>1</v>
      </c>
      <c r="J403" s="7" t="s">
        <v>970</v>
      </c>
      <c r="K403" s="7">
        <v>42748.047268518516</v>
      </c>
      <c r="L403" s="3" t="s">
        <v>970</v>
      </c>
      <c r="M403" s="7">
        <v>42748.047268518516</v>
      </c>
      <c r="N403" s="3" t="s">
        <v>970</v>
      </c>
      <c r="O403" s="16" t="str">
        <f>TEXT(DATEVALUE(LEFT(F403,10)),"mm-yyyy")</f>
        <v>03-2015</v>
      </c>
      <c r="P403" s="16">
        <f>H403*I403</f>
        <v>8.99</v>
      </c>
    </row>
    <row r="404" spans="3:16" x14ac:dyDescent="0.25">
      <c r="C404" t="str">
        <f>IF(COUNTBLANK(E404:N404) = 10,"",IF(AND(NOT(ISBLANK(E404)),COUNTBLANK(E404:N404) = 9),"3 Delete",IF(ISBLANK(E404),"2 Add",IF(JenkinsHashRange(E404:N404) = "587402390","0 Original","1 Modify"))))</f>
        <v>0 Original</v>
      </c>
      <c r="D404" s="3" t="s">
        <v>1359</v>
      </c>
      <c r="E404" s="5">
        <v>579</v>
      </c>
      <c r="F404" t="s">
        <v>1021</v>
      </c>
      <c r="G404" t="s">
        <v>889</v>
      </c>
      <c r="H404" s="9">
        <v>5.99</v>
      </c>
      <c r="I404" s="5">
        <v>1</v>
      </c>
      <c r="J404" s="7" t="s">
        <v>970</v>
      </c>
      <c r="K404" s="7">
        <v>42748.047268518516</v>
      </c>
      <c r="L404" s="3" t="s">
        <v>970</v>
      </c>
      <c r="M404" s="7">
        <v>42748.047268518516</v>
      </c>
      <c r="N404" s="3" t="s">
        <v>970</v>
      </c>
      <c r="O404" s="16" t="str">
        <f>TEXT(DATEVALUE(LEFT(F404,10)),"mm-yyyy")</f>
        <v>03-2015</v>
      </c>
      <c r="P404" s="16">
        <f>H404*I404</f>
        <v>5.99</v>
      </c>
    </row>
    <row r="405" spans="3:16" x14ac:dyDescent="0.25">
      <c r="C405" t="str">
        <f>IF(COUNTBLANK(E405:N405) = 10,"",IF(AND(NOT(ISBLANK(E405)),COUNTBLANK(E405:N405) = 9),"3 Delete",IF(ISBLANK(E405),"2 Add",IF(JenkinsHashRange(E405:N405) = "1581499942","0 Original","1 Modify"))))</f>
        <v>0 Original</v>
      </c>
      <c r="D405" s="3" t="s">
        <v>1362</v>
      </c>
      <c r="E405" s="5">
        <v>648</v>
      </c>
      <c r="F405" t="s">
        <v>1023</v>
      </c>
      <c r="G405" t="s">
        <v>846</v>
      </c>
      <c r="H405" s="9">
        <v>8.99</v>
      </c>
      <c r="I405" s="5">
        <v>1</v>
      </c>
      <c r="J405" s="7" t="s">
        <v>970</v>
      </c>
      <c r="K405" s="7">
        <v>42748.047268518516</v>
      </c>
      <c r="L405" s="3" t="s">
        <v>970</v>
      </c>
      <c r="M405" s="7">
        <v>42748.047268518516</v>
      </c>
      <c r="N405" s="3" t="s">
        <v>970</v>
      </c>
      <c r="O405" s="16" t="str">
        <f>TEXT(DATEVALUE(LEFT(F405,10)),"mm-yyyy")</f>
        <v>03-2015</v>
      </c>
      <c r="P405" s="16">
        <f>H405*I405</f>
        <v>8.99</v>
      </c>
    </row>
    <row r="406" spans="3:16" x14ac:dyDescent="0.25">
      <c r="C406" t="str">
        <f>IF(COUNTBLANK(E406:N406) = 10,"",IF(AND(NOT(ISBLANK(E406)),COUNTBLANK(E406:N406) = 9),"3 Delete",IF(ISBLANK(E406),"2 Add",IF(JenkinsHashRange(E406:N406) = "757525960","0 Original","1 Modify"))))</f>
        <v>0 Original</v>
      </c>
      <c r="D406" s="3" t="s">
        <v>1363</v>
      </c>
      <c r="E406" s="5">
        <v>649</v>
      </c>
      <c r="F406" t="s">
        <v>1023</v>
      </c>
      <c r="G406" t="s">
        <v>713</v>
      </c>
      <c r="H406" s="9">
        <v>6.99</v>
      </c>
      <c r="I406" s="5">
        <v>1</v>
      </c>
      <c r="J406" s="7" t="s">
        <v>970</v>
      </c>
      <c r="K406" s="7">
        <v>42748.047268518516</v>
      </c>
      <c r="L406" s="3" t="s">
        <v>970</v>
      </c>
      <c r="M406" s="7">
        <v>42748.047268518516</v>
      </c>
      <c r="N406" s="3" t="s">
        <v>970</v>
      </c>
      <c r="O406" s="16" t="str">
        <f>TEXT(DATEVALUE(LEFT(F406,10)),"mm-yyyy")</f>
        <v>03-2015</v>
      </c>
      <c r="P406" s="16">
        <f>H406*I406</f>
        <v>6.99</v>
      </c>
    </row>
    <row r="407" spans="3:16" x14ac:dyDescent="0.25">
      <c r="C407" t="str">
        <f>IF(COUNTBLANK(E407:N407) = 10,"",IF(AND(NOT(ISBLANK(E407)),COUNTBLANK(E407:N407) = 9),"3 Delete",IF(ISBLANK(E407),"2 Add",IF(JenkinsHashRange(E407:N407) = "415854380","0 Original","1 Modify"))))</f>
        <v>0 Original</v>
      </c>
      <c r="D407" s="3" t="s">
        <v>1364</v>
      </c>
      <c r="E407" s="5">
        <v>650</v>
      </c>
      <c r="F407" t="s">
        <v>1023</v>
      </c>
      <c r="G407" t="s">
        <v>400</v>
      </c>
      <c r="H407" s="9">
        <v>6.99</v>
      </c>
      <c r="I407" s="5">
        <v>2</v>
      </c>
      <c r="J407" s="7" t="s">
        <v>970</v>
      </c>
      <c r="K407" s="7">
        <v>42748.047268518516</v>
      </c>
      <c r="L407" s="3" t="s">
        <v>970</v>
      </c>
      <c r="M407" s="7">
        <v>42748.047268518516</v>
      </c>
      <c r="N407" s="3" t="s">
        <v>970</v>
      </c>
      <c r="O407" s="16" t="str">
        <f>TEXT(DATEVALUE(LEFT(F407,10)),"mm-yyyy")</f>
        <v>03-2015</v>
      </c>
      <c r="P407" s="16">
        <f>H407*I407</f>
        <v>13.98</v>
      </c>
    </row>
    <row r="408" spans="3:16" x14ac:dyDescent="0.25">
      <c r="C408" t="str">
        <f>IF(COUNTBLANK(E408:N408) = 10,"",IF(AND(NOT(ISBLANK(E408)),COUNTBLANK(E408:N408) = 9),"3 Delete",IF(ISBLANK(E408),"2 Add",IF(JenkinsHashRange(E408:N408) = "508327883","0 Original","1 Modify"))))</f>
        <v>0 Original</v>
      </c>
      <c r="D408" s="3" t="s">
        <v>1365</v>
      </c>
      <c r="E408" s="5">
        <v>651</v>
      </c>
      <c r="F408" t="s">
        <v>1023</v>
      </c>
      <c r="G408" t="s">
        <v>804</v>
      </c>
      <c r="H408" s="9">
        <v>4.99</v>
      </c>
      <c r="I408" s="5">
        <v>1</v>
      </c>
      <c r="J408" s="7" t="s">
        <v>970</v>
      </c>
      <c r="K408" s="7">
        <v>42748.047268518516</v>
      </c>
      <c r="L408" s="3" t="s">
        <v>970</v>
      </c>
      <c r="M408" s="7">
        <v>42748.047268518516</v>
      </c>
      <c r="N408" s="3" t="s">
        <v>970</v>
      </c>
      <c r="O408" s="16" t="str">
        <f>TEXT(DATEVALUE(LEFT(F408,10)),"mm-yyyy")</f>
        <v>03-2015</v>
      </c>
      <c r="P408" s="16">
        <f>H408*I408</f>
        <v>4.99</v>
      </c>
    </row>
    <row r="409" spans="3:16" x14ac:dyDescent="0.25">
      <c r="C409" t="str">
        <f>IF(COUNTBLANK(E409:N409) = 10,"",IF(AND(NOT(ISBLANK(E409)),COUNTBLANK(E409:N409) = 9),"3 Delete",IF(ISBLANK(E409),"2 Add",IF(JenkinsHashRange(E409:N409) = "1360359675","0 Original","1 Modify"))))</f>
        <v>0 Original</v>
      </c>
      <c r="D409" s="3" t="s">
        <v>1396</v>
      </c>
      <c r="E409" s="5">
        <v>813</v>
      </c>
      <c r="F409" t="s">
        <v>1034</v>
      </c>
      <c r="G409" t="s">
        <v>453</v>
      </c>
      <c r="H409" s="9">
        <v>8.99</v>
      </c>
      <c r="I409" s="5">
        <v>2</v>
      </c>
      <c r="J409" s="7" t="s">
        <v>970</v>
      </c>
      <c r="K409" s="7">
        <v>42748.047268518516</v>
      </c>
      <c r="L409" s="3" t="s">
        <v>970</v>
      </c>
      <c r="M409" s="7">
        <v>42748.047268518516</v>
      </c>
      <c r="N409" s="3" t="s">
        <v>970</v>
      </c>
      <c r="O409" s="16" t="str">
        <f>TEXT(DATEVALUE(LEFT(F409,10)),"mm-yyyy")</f>
        <v>03-2015</v>
      </c>
      <c r="P409" s="16">
        <f>H409*I409</f>
        <v>17.98</v>
      </c>
    </row>
    <row r="410" spans="3:16" x14ac:dyDescent="0.25">
      <c r="C410" t="str">
        <f>IF(COUNTBLANK(E410:N410) = 10,"",IF(AND(NOT(ISBLANK(E410)),COUNTBLANK(E410:N410) = 9),"3 Delete",IF(ISBLANK(E410),"2 Add",IF(JenkinsHashRange(E410:N410) = "1432091897","0 Original","1 Modify"))))</f>
        <v>0 Original</v>
      </c>
      <c r="D410" s="3" t="s">
        <v>1397</v>
      </c>
      <c r="E410" s="5">
        <v>814</v>
      </c>
      <c r="F410" t="s">
        <v>1034</v>
      </c>
      <c r="G410" t="s">
        <v>600</v>
      </c>
      <c r="H410" s="9">
        <v>7.99</v>
      </c>
      <c r="I410" s="5">
        <v>2</v>
      </c>
      <c r="J410" s="7" t="s">
        <v>970</v>
      </c>
      <c r="K410" s="7">
        <v>42748.047268518516</v>
      </c>
      <c r="L410" s="3" t="s">
        <v>970</v>
      </c>
      <c r="M410" s="7">
        <v>42748.047268518516</v>
      </c>
      <c r="N410" s="3" t="s">
        <v>970</v>
      </c>
      <c r="O410" s="16" t="str">
        <f>TEXT(DATEVALUE(LEFT(F410,10)),"mm-yyyy")</f>
        <v>03-2015</v>
      </c>
      <c r="P410" s="16">
        <f>H410*I410</f>
        <v>15.98</v>
      </c>
    </row>
    <row r="411" spans="3:16" x14ac:dyDescent="0.25">
      <c r="C411" t="str">
        <f>IF(COUNTBLANK(E411:N411) = 10,"",IF(AND(NOT(ISBLANK(E411)),COUNTBLANK(E411:N411) = 9),"3 Delete",IF(ISBLANK(E411),"2 Add",IF(JenkinsHashRange(E411:N411) = "1490555348","0 Original","1 Modify"))))</f>
        <v>0 Original</v>
      </c>
      <c r="D411" s="3" t="s">
        <v>1398</v>
      </c>
      <c r="E411" s="5">
        <v>821</v>
      </c>
      <c r="F411" t="s">
        <v>1035</v>
      </c>
      <c r="G411" t="s">
        <v>920</v>
      </c>
      <c r="H411" s="9">
        <v>5.99</v>
      </c>
      <c r="I411" s="5">
        <v>1</v>
      </c>
      <c r="J411" s="7" t="s">
        <v>970</v>
      </c>
      <c r="K411" s="7">
        <v>42748.047268518516</v>
      </c>
      <c r="L411" s="3" t="s">
        <v>970</v>
      </c>
      <c r="M411" s="7">
        <v>42748.047268518516</v>
      </c>
      <c r="N411" s="3" t="s">
        <v>970</v>
      </c>
      <c r="O411" s="16" t="str">
        <f>TEXT(DATEVALUE(LEFT(F411,10)),"mm-yyyy")</f>
        <v>03-2015</v>
      </c>
      <c r="P411" s="16">
        <f>H411*I411</f>
        <v>5.99</v>
      </c>
    </row>
    <row r="412" spans="3:16" x14ac:dyDescent="0.25">
      <c r="C412" t="str">
        <f>IF(COUNTBLANK(E412:N412) = 10,"",IF(AND(NOT(ISBLANK(E412)),COUNTBLANK(E412:N412) = 9),"3 Delete",IF(ISBLANK(E412),"2 Add",IF(JenkinsHashRange(E412:N412) = "1009633018","0 Original","1 Modify"))))</f>
        <v>0 Original</v>
      </c>
      <c r="D412" s="3" t="s">
        <v>1399</v>
      </c>
      <c r="E412" s="5">
        <v>822</v>
      </c>
      <c r="F412" t="s">
        <v>1035</v>
      </c>
      <c r="G412" t="s">
        <v>435</v>
      </c>
      <c r="H412" s="9">
        <v>8.99</v>
      </c>
      <c r="I412" s="5">
        <v>1</v>
      </c>
      <c r="J412" s="7" t="s">
        <v>970</v>
      </c>
      <c r="K412" s="7">
        <v>42748.047268518516</v>
      </c>
      <c r="L412" s="3" t="s">
        <v>970</v>
      </c>
      <c r="M412" s="7">
        <v>42748.047268518516</v>
      </c>
      <c r="N412" s="3" t="s">
        <v>970</v>
      </c>
      <c r="O412" s="16" t="str">
        <f>TEXT(DATEVALUE(LEFT(F412,10)),"mm-yyyy")</f>
        <v>03-2015</v>
      </c>
      <c r="P412" s="16">
        <f>H412*I412</f>
        <v>8.99</v>
      </c>
    </row>
    <row r="413" spans="3:16" x14ac:dyDescent="0.25">
      <c r="C413" t="str">
        <f>IF(COUNTBLANK(E413:N413) = 10,"",IF(AND(NOT(ISBLANK(E413)),COUNTBLANK(E413:N413) = 9),"3 Delete",IF(ISBLANK(E413),"2 Add",IF(JenkinsHashRange(E413:N413) = "1699801525","0 Original","1 Modify"))))</f>
        <v>0 Original</v>
      </c>
      <c r="D413" s="3" t="s">
        <v>1400</v>
      </c>
      <c r="E413" s="5">
        <v>823</v>
      </c>
      <c r="F413" t="s">
        <v>1035</v>
      </c>
      <c r="G413" t="s">
        <v>553</v>
      </c>
      <c r="H413" s="9">
        <v>9.99</v>
      </c>
      <c r="I413" s="5">
        <v>1</v>
      </c>
      <c r="J413" s="7" t="s">
        <v>970</v>
      </c>
      <c r="K413" s="7">
        <v>42748.047268518516</v>
      </c>
      <c r="L413" s="3" t="s">
        <v>970</v>
      </c>
      <c r="M413" s="7">
        <v>42748.047268518516</v>
      </c>
      <c r="N413" s="3" t="s">
        <v>970</v>
      </c>
      <c r="O413" s="16" t="str">
        <f>TEXT(DATEVALUE(LEFT(F413,10)),"mm-yyyy")</f>
        <v>03-2015</v>
      </c>
      <c r="P413" s="16">
        <f>H413*I413</f>
        <v>9.99</v>
      </c>
    </row>
    <row r="414" spans="3:16" x14ac:dyDescent="0.25">
      <c r="C414" t="str">
        <f>IF(COUNTBLANK(E414:N414) = 10,"",IF(AND(NOT(ISBLANK(E414)),COUNTBLANK(E414:N414) = 9),"3 Delete",IF(ISBLANK(E414),"2 Add",IF(JenkinsHashRange(E414:N414) = "552900699","0 Original","1 Modify"))))</f>
        <v>0 Original</v>
      </c>
      <c r="D414" s="3" t="s">
        <v>1401</v>
      </c>
      <c r="E414" s="5">
        <v>824</v>
      </c>
      <c r="F414" t="s">
        <v>1035</v>
      </c>
      <c r="G414" t="s">
        <v>453</v>
      </c>
      <c r="H414" s="9">
        <v>8.99</v>
      </c>
      <c r="I414" s="5">
        <v>2</v>
      </c>
      <c r="J414" s="7" t="s">
        <v>970</v>
      </c>
      <c r="K414" s="7">
        <v>42748.047268518516</v>
      </c>
      <c r="L414" s="3" t="s">
        <v>970</v>
      </c>
      <c r="M414" s="7">
        <v>42748.047268518516</v>
      </c>
      <c r="N414" s="3" t="s">
        <v>970</v>
      </c>
      <c r="O414" s="16" t="str">
        <f>TEXT(DATEVALUE(LEFT(F414,10)),"mm-yyyy")</f>
        <v>03-2015</v>
      </c>
      <c r="P414" s="16">
        <f>H414*I414</f>
        <v>17.98</v>
      </c>
    </row>
    <row r="415" spans="3:16" x14ac:dyDescent="0.25">
      <c r="C415" t="str">
        <f>IF(COUNTBLANK(E415:N415) = 10,"",IF(AND(NOT(ISBLANK(E415)),COUNTBLANK(E415:N415) = 9),"3 Delete",IF(ISBLANK(E415),"2 Add",IF(JenkinsHashRange(E415:N415) = "352377397","0 Original","1 Modify"))))</f>
        <v>0 Original</v>
      </c>
      <c r="D415" s="3" t="s">
        <v>1402</v>
      </c>
      <c r="E415" s="5">
        <v>825</v>
      </c>
      <c r="F415" t="s">
        <v>1035</v>
      </c>
      <c r="G415" t="s">
        <v>730</v>
      </c>
      <c r="H415" s="9">
        <v>9.99</v>
      </c>
      <c r="I415" s="5">
        <v>1</v>
      </c>
      <c r="J415" s="7" t="s">
        <v>970</v>
      </c>
      <c r="K415" s="7">
        <v>42748.047268518516</v>
      </c>
      <c r="L415" s="3" t="s">
        <v>970</v>
      </c>
      <c r="M415" s="7">
        <v>42748.047268518516</v>
      </c>
      <c r="N415" s="3" t="s">
        <v>970</v>
      </c>
      <c r="O415" s="16" t="str">
        <f>TEXT(DATEVALUE(LEFT(F415,10)),"mm-yyyy")</f>
        <v>03-2015</v>
      </c>
      <c r="P415" s="16">
        <f>H415*I415</f>
        <v>9.99</v>
      </c>
    </row>
    <row r="416" spans="3:16" x14ac:dyDescent="0.25">
      <c r="C416" t="str">
        <f>IF(COUNTBLANK(E416:N416) = 10,"",IF(AND(NOT(ISBLANK(E416)),COUNTBLANK(E416:N416) = 9),"3 Delete",IF(ISBLANK(E416),"2 Add",IF(JenkinsHashRange(E416:N416) = "594703530","0 Original","1 Modify"))))</f>
        <v>0 Original</v>
      </c>
      <c r="D416" s="3" t="s">
        <v>1403</v>
      </c>
      <c r="E416" s="5">
        <v>826</v>
      </c>
      <c r="F416" t="s">
        <v>1035</v>
      </c>
      <c r="G416" t="s">
        <v>713</v>
      </c>
      <c r="H416" s="9">
        <v>6.99</v>
      </c>
      <c r="I416" s="5">
        <v>1</v>
      </c>
      <c r="J416" s="7" t="s">
        <v>970</v>
      </c>
      <c r="K416" s="7">
        <v>42748.047268518516</v>
      </c>
      <c r="L416" s="3" t="s">
        <v>970</v>
      </c>
      <c r="M416" s="7">
        <v>42748.047268518516</v>
      </c>
      <c r="N416" s="3" t="s">
        <v>970</v>
      </c>
      <c r="O416" s="16" t="str">
        <f>TEXT(DATEVALUE(LEFT(F416,10)),"mm-yyyy")</f>
        <v>03-2015</v>
      </c>
      <c r="P416" s="16">
        <f>H416*I416</f>
        <v>6.99</v>
      </c>
    </row>
    <row r="417" spans="3:16" x14ac:dyDescent="0.25">
      <c r="C417" t="str">
        <f>IF(COUNTBLANK(E417:N417) = 10,"",IF(AND(NOT(ISBLANK(E417)),COUNTBLANK(E417:N417) = 9),"3 Delete",IF(ISBLANK(E417),"2 Add",IF(JenkinsHashRange(E417:N417) = "1274336280","0 Original","1 Modify"))))</f>
        <v>0 Original</v>
      </c>
      <c r="D417" s="3" t="s">
        <v>1404</v>
      </c>
      <c r="E417" s="5">
        <v>832</v>
      </c>
      <c r="F417" t="s">
        <v>1036</v>
      </c>
      <c r="G417" t="s">
        <v>880</v>
      </c>
      <c r="H417" s="9">
        <v>6.99</v>
      </c>
      <c r="I417" s="5">
        <v>1</v>
      </c>
      <c r="J417" s="7" t="s">
        <v>970</v>
      </c>
      <c r="K417" s="7">
        <v>42748.047268518516</v>
      </c>
      <c r="L417" s="3" t="s">
        <v>970</v>
      </c>
      <c r="M417" s="7">
        <v>42748.047268518516</v>
      </c>
      <c r="N417" s="3" t="s">
        <v>970</v>
      </c>
      <c r="O417" s="16" t="str">
        <f>TEXT(DATEVALUE(LEFT(F417,10)),"mm-yyyy")</f>
        <v>03-2015</v>
      </c>
      <c r="P417" s="16">
        <f>H417*I417</f>
        <v>6.99</v>
      </c>
    </row>
    <row r="418" spans="3:16" x14ac:dyDescent="0.25">
      <c r="C418" t="str">
        <f>IF(COUNTBLANK(E418:N418) = 10,"",IF(AND(NOT(ISBLANK(E418)),COUNTBLANK(E418:N418) = 9),"3 Delete",IF(ISBLANK(E418),"2 Add",IF(JenkinsHashRange(E418:N418) = "343940736","0 Original","1 Modify"))))</f>
        <v>0 Original</v>
      </c>
      <c r="D418" s="3" t="s">
        <v>1405</v>
      </c>
      <c r="E418" s="5">
        <v>833</v>
      </c>
      <c r="F418" t="s">
        <v>1036</v>
      </c>
      <c r="G418" t="s">
        <v>443</v>
      </c>
      <c r="H418" s="9">
        <v>6.99</v>
      </c>
      <c r="I418" s="5">
        <v>1</v>
      </c>
      <c r="J418" s="7" t="s">
        <v>970</v>
      </c>
      <c r="K418" s="7">
        <v>42748.047268518516</v>
      </c>
      <c r="L418" s="3" t="s">
        <v>970</v>
      </c>
      <c r="M418" s="7">
        <v>42748.047268518516</v>
      </c>
      <c r="N418" s="3" t="s">
        <v>970</v>
      </c>
      <c r="O418" s="16" t="str">
        <f>TEXT(DATEVALUE(LEFT(F418,10)),"mm-yyyy")</f>
        <v>03-2015</v>
      </c>
      <c r="P418" s="16">
        <f>H418*I418</f>
        <v>6.99</v>
      </c>
    </row>
    <row r="419" spans="3:16" x14ac:dyDescent="0.25">
      <c r="C419" t="str">
        <f>IF(COUNTBLANK(E419:N419) = 10,"",IF(AND(NOT(ISBLANK(E419)),COUNTBLANK(E419:N419) = 9),"3 Delete",IF(ISBLANK(E419),"2 Add",IF(JenkinsHashRange(E419:N419) = "1428271522","0 Original","1 Modify"))))</f>
        <v>0 Original</v>
      </c>
      <c r="D419" s="3" t="s">
        <v>1406</v>
      </c>
      <c r="E419" s="5">
        <v>834</v>
      </c>
      <c r="F419" t="s">
        <v>1036</v>
      </c>
      <c r="G419" t="s">
        <v>407</v>
      </c>
      <c r="H419" s="9">
        <v>9.99</v>
      </c>
      <c r="I419" s="5">
        <v>1</v>
      </c>
      <c r="J419" s="7" t="s">
        <v>970</v>
      </c>
      <c r="K419" s="7">
        <v>42748.047268518516</v>
      </c>
      <c r="L419" s="3" t="s">
        <v>970</v>
      </c>
      <c r="M419" s="7">
        <v>42748.047268518516</v>
      </c>
      <c r="N419" s="3" t="s">
        <v>970</v>
      </c>
      <c r="O419" s="16" t="str">
        <f>TEXT(DATEVALUE(LEFT(F419,10)),"mm-yyyy")</f>
        <v>03-2015</v>
      </c>
      <c r="P419" s="16">
        <f>H419*I419</f>
        <v>9.99</v>
      </c>
    </row>
    <row r="420" spans="3:16" x14ac:dyDescent="0.25">
      <c r="C420" t="str">
        <f>IF(COUNTBLANK(E420:N420) = 10,"",IF(AND(NOT(ISBLANK(E420)),COUNTBLANK(E420:N420) = 9),"3 Delete",IF(ISBLANK(E420),"2 Add",IF(JenkinsHashRange(E420:N420) = "1679016840","0 Original","1 Modify"))))</f>
        <v>0 Original</v>
      </c>
      <c r="D420" s="3" t="s">
        <v>1407</v>
      </c>
      <c r="E420" s="5">
        <v>835</v>
      </c>
      <c r="F420" t="s">
        <v>1036</v>
      </c>
      <c r="G420" t="s">
        <v>450</v>
      </c>
      <c r="H420" s="9">
        <v>8.99</v>
      </c>
      <c r="I420" s="5">
        <v>1</v>
      </c>
      <c r="J420" s="7" t="s">
        <v>970</v>
      </c>
      <c r="K420" s="7">
        <v>42748.047268518516</v>
      </c>
      <c r="L420" s="3" t="s">
        <v>970</v>
      </c>
      <c r="M420" s="7">
        <v>42748.047268518516</v>
      </c>
      <c r="N420" s="3" t="s">
        <v>970</v>
      </c>
      <c r="O420" s="16" t="str">
        <f>TEXT(DATEVALUE(LEFT(F420,10)),"mm-yyyy")</f>
        <v>03-2015</v>
      </c>
      <c r="P420" s="16">
        <f>H420*I420</f>
        <v>8.99</v>
      </c>
    </row>
    <row r="421" spans="3:16" x14ac:dyDescent="0.25">
      <c r="C421" t="str">
        <f>IF(COUNTBLANK(E421:N421) = 10,"",IF(AND(NOT(ISBLANK(E421)),COUNTBLANK(E421:N421) = 9),"3 Delete",IF(ISBLANK(E421),"2 Add",IF(JenkinsHashRange(E421:N421) = "1080375648","0 Original","1 Modify"))))</f>
        <v>0 Original</v>
      </c>
      <c r="D421" s="3" t="s">
        <v>1421</v>
      </c>
      <c r="E421" s="5">
        <v>887</v>
      </c>
      <c r="F421" t="s">
        <v>1041</v>
      </c>
      <c r="G421" t="s">
        <v>443</v>
      </c>
      <c r="H421" s="9">
        <v>6.99</v>
      </c>
      <c r="I421" s="5">
        <v>2</v>
      </c>
      <c r="J421" s="7" t="s">
        <v>970</v>
      </c>
      <c r="K421" s="7">
        <v>42748.047268518516</v>
      </c>
      <c r="L421" s="3" t="s">
        <v>970</v>
      </c>
      <c r="M421" s="7">
        <v>42748.047268518516</v>
      </c>
      <c r="N421" s="3" t="s">
        <v>970</v>
      </c>
      <c r="O421" s="16" t="str">
        <f>TEXT(DATEVALUE(LEFT(F421,10)),"mm-yyyy")</f>
        <v>03-2015</v>
      </c>
      <c r="P421" s="16">
        <f>H421*I421</f>
        <v>13.98</v>
      </c>
    </row>
    <row r="422" spans="3:16" x14ac:dyDescent="0.25">
      <c r="C422" t="str">
        <f>IF(COUNTBLANK(E422:N422) = 10,"",IF(AND(NOT(ISBLANK(E422)),COUNTBLANK(E422:N422) = 9),"3 Delete",IF(ISBLANK(E422),"2 Add",IF(JenkinsHashRange(E422:N422) = "1806226309","0 Original","1 Modify"))))</f>
        <v>0 Original</v>
      </c>
      <c r="D422" s="3" t="s">
        <v>1422</v>
      </c>
      <c r="E422" s="5">
        <v>888</v>
      </c>
      <c r="F422" t="s">
        <v>1041</v>
      </c>
      <c r="G422" t="s">
        <v>920</v>
      </c>
      <c r="H422" s="9">
        <v>5.99</v>
      </c>
      <c r="I422" s="5">
        <v>1</v>
      </c>
      <c r="J422" s="7" t="s">
        <v>970</v>
      </c>
      <c r="K422" s="7">
        <v>42748.047268518516</v>
      </c>
      <c r="L422" s="3" t="s">
        <v>970</v>
      </c>
      <c r="M422" s="7">
        <v>42748.047268518516</v>
      </c>
      <c r="N422" s="3" t="s">
        <v>970</v>
      </c>
      <c r="O422" s="16" t="str">
        <f>TEXT(DATEVALUE(LEFT(F422,10)),"mm-yyyy")</f>
        <v>03-2015</v>
      </c>
      <c r="P422" s="16">
        <f>H422*I422</f>
        <v>5.99</v>
      </c>
    </row>
    <row r="423" spans="3:16" x14ac:dyDescent="0.25">
      <c r="C423" t="str">
        <f>IF(COUNTBLANK(E423:N423) = 10,"",IF(AND(NOT(ISBLANK(E423)),COUNTBLANK(E423:N423) = 9),"3 Delete",IF(ISBLANK(E423),"2 Add",IF(JenkinsHashRange(E423:N423) = "793212512","0 Original","1 Modify"))))</f>
        <v>0 Original</v>
      </c>
      <c r="D423" s="3" t="s">
        <v>1423</v>
      </c>
      <c r="E423" s="5">
        <v>889</v>
      </c>
      <c r="F423" t="s">
        <v>1041</v>
      </c>
      <c r="G423" t="s">
        <v>927</v>
      </c>
      <c r="H423" s="9">
        <v>9.99</v>
      </c>
      <c r="I423" s="5">
        <v>1</v>
      </c>
      <c r="J423" s="7" t="s">
        <v>970</v>
      </c>
      <c r="K423" s="7">
        <v>42748.047268518516</v>
      </c>
      <c r="L423" s="3" t="s">
        <v>970</v>
      </c>
      <c r="M423" s="7">
        <v>42748.047268518516</v>
      </c>
      <c r="N423" s="3" t="s">
        <v>970</v>
      </c>
      <c r="O423" s="16" t="str">
        <f>TEXT(DATEVALUE(LEFT(F423,10)),"mm-yyyy")</f>
        <v>03-2015</v>
      </c>
      <c r="P423" s="16">
        <f>H423*I423</f>
        <v>9.99</v>
      </c>
    </row>
    <row r="424" spans="3:16" x14ac:dyDescent="0.25">
      <c r="C424" t="str">
        <f>IF(COUNTBLANK(E424:N424) = 10,"",IF(AND(NOT(ISBLANK(E424)),COUNTBLANK(E424:N424) = 9),"3 Delete",IF(ISBLANK(E424),"2 Add",IF(JenkinsHashRange(E424:N424) = "1366168043","0 Original","1 Modify"))))</f>
        <v>0 Original</v>
      </c>
      <c r="D424" s="3" t="s">
        <v>1446</v>
      </c>
      <c r="E424" s="5">
        <v>1061</v>
      </c>
      <c r="F424" t="s">
        <v>1049</v>
      </c>
      <c r="G424" t="s">
        <v>446</v>
      </c>
      <c r="H424" s="9">
        <v>7.99</v>
      </c>
      <c r="I424" s="5">
        <v>1</v>
      </c>
      <c r="J424" s="7" t="s">
        <v>970</v>
      </c>
      <c r="K424" s="7">
        <v>42748.047268518516</v>
      </c>
      <c r="L424" s="3" t="s">
        <v>970</v>
      </c>
      <c r="M424" s="7">
        <v>42748.047268518516</v>
      </c>
      <c r="N424" s="3" t="s">
        <v>970</v>
      </c>
      <c r="O424" s="16" t="str">
        <f>TEXT(DATEVALUE(LEFT(F424,10)),"mm-yyyy")</f>
        <v>03-2015</v>
      </c>
      <c r="P424" s="16">
        <f>H424*I424</f>
        <v>7.99</v>
      </c>
    </row>
    <row r="425" spans="3:16" x14ac:dyDescent="0.25">
      <c r="C425" t="str">
        <f>IF(COUNTBLANK(E425:N425) = 10,"",IF(AND(NOT(ISBLANK(E425)),COUNTBLANK(E425:N425) = 9),"3 Delete",IF(ISBLANK(E425),"2 Add",IF(JenkinsHashRange(E425:N425) = "1187180337","0 Original","1 Modify"))))</f>
        <v>0 Original</v>
      </c>
      <c r="D425" s="3" t="s">
        <v>1460</v>
      </c>
      <c r="E425" s="5">
        <v>1118</v>
      </c>
      <c r="F425" t="s">
        <v>1053</v>
      </c>
      <c r="G425" t="s">
        <v>673</v>
      </c>
      <c r="H425" s="9">
        <v>5.99</v>
      </c>
      <c r="I425" s="5">
        <v>1</v>
      </c>
      <c r="J425" s="7" t="s">
        <v>970</v>
      </c>
      <c r="K425" s="7">
        <v>42748.047268518516</v>
      </c>
      <c r="L425" s="3" t="s">
        <v>970</v>
      </c>
      <c r="M425" s="7">
        <v>42748.047268518516</v>
      </c>
      <c r="N425" s="3" t="s">
        <v>970</v>
      </c>
      <c r="O425" s="16" t="str">
        <f>TEXT(DATEVALUE(LEFT(F425,10)),"mm-yyyy")</f>
        <v>03-2015</v>
      </c>
      <c r="P425" s="16">
        <f>H425*I425</f>
        <v>5.99</v>
      </c>
    </row>
    <row r="426" spans="3:16" x14ac:dyDescent="0.25">
      <c r="C426" t="str">
        <f>IF(COUNTBLANK(E426:N426) = 10,"",IF(AND(NOT(ISBLANK(E426)),COUNTBLANK(E426:N426) = 9),"3 Delete",IF(ISBLANK(E426),"2 Add",IF(JenkinsHashRange(E426:N426) = "1237886254","0 Original","1 Modify"))))</f>
        <v>0 Original</v>
      </c>
      <c r="D426" s="3" t="s">
        <v>1461</v>
      </c>
      <c r="E426" s="5">
        <v>1119</v>
      </c>
      <c r="F426" t="s">
        <v>1053</v>
      </c>
      <c r="G426" t="s">
        <v>553</v>
      </c>
      <c r="H426" s="9">
        <v>9.99</v>
      </c>
      <c r="I426" s="5">
        <v>1</v>
      </c>
      <c r="J426" s="7" t="s">
        <v>970</v>
      </c>
      <c r="K426" s="7">
        <v>42748.047268518516</v>
      </c>
      <c r="L426" s="3" t="s">
        <v>970</v>
      </c>
      <c r="M426" s="7">
        <v>42748.047268518516</v>
      </c>
      <c r="N426" s="3" t="s">
        <v>970</v>
      </c>
      <c r="O426" s="16" t="str">
        <f>TEXT(DATEVALUE(LEFT(F426,10)),"mm-yyyy")</f>
        <v>03-2015</v>
      </c>
      <c r="P426" s="16">
        <f>H426*I426</f>
        <v>9.99</v>
      </c>
    </row>
    <row r="427" spans="3:16" x14ac:dyDescent="0.25">
      <c r="C427" t="str">
        <f>IF(COUNTBLANK(E427:N427) = 10,"",IF(AND(NOT(ISBLANK(E427)),COUNTBLANK(E427:N427) = 9),"3 Delete",IF(ISBLANK(E427),"2 Add",IF(JenkinsHashRange(E427:N427) = "272274792","0 Original","1 Modify"))))</f>
        <v>0 Original</v>
      </c>
      <c r="D427" s="3" t="s">
        <v>1462</v>
      </c>
      <c r="E427" s="5">
        <v>1120</v>
      </c>
      <c r="F427" t="s">
        <v>1053</v>
      </c>
      <c r="G427" t="s">
        <v>397</v>
      </c>
      <c r="H427" s="9">
        <v>5.99</v>
      </c>
      <c r="I427" s="5">
        <v>1</v>
      </c>
      <c r="J427" s="7" t="s">
        <v>970</v>
      </c>
      <c r="K427" s="7">
        <v>42748.047268518516</v>
      </c>
      <c r="L427" s="3" t="s">
        <v>970</v>
      </c>
      <c r="M427" s="7">
        <v>42748.047268518516</v>
      </c>
      <c r="N427" s="3" t="s">
        <v>970</v>
      </c>
      <c r="O427" s="16" t="str">
        <f>TEXT(DATEVALUE(LEFT(F427,10)),"mm-yyyy")</f>
        <v>03-2015</v>
      </c>
      <c r="P427" s="16">
        <f>H427*I427</f>
        <v>5.99</v>
      </c>
    </row>
    <row r="428" spans="3:16" x14ac:dyDescent="0.25">
      <c r="C428" t="str">
        <f>IF(COUNTBLANK(E428:N428) = 10,"",IF(AND(NOT(ISBLANK(E428)),COUNTBLANK(E428:N428) = 9),"3 Delete",IF(ISBLANK(E428),"2 Add",IF(JenkinsHashRange(E428:N428) = "497441578","0 Original","1 Modify"))))</f>
        <v>0 Original</v>
      </c>
      <c r="D428" s="3" t="s">
        <v>1492</v>
      </c>
      <c r="E428" s="5">
        <v>1227</v>
      </c>
      <c r="F428" t="s">
        <v>1062</v>
      </c>
      <c r="G428" t="s">
        <v>649</v>
      </c>
      <c r="H428" s="9">
        <v>5.99</v>
      </c>
      <c r="I428" s="5">
        <v>1</v>
      </c>
      <c r="J428" s="7" t="s">
        <v>970</v>
      </c>
      <c r="K428" s="7">
        <v>42748.047268518516</v>
      </c>
      <c r="L428" s="3" t="s">
        <v>970</v>
      </c>
      <c r="M428" s="7">
        <v>42748.047268518516</v>
      </c>
      <c r="N428" s="3" t="s">
        <v>970</v>
      </c>
      <c r="O428" s="16" t="str">
        <f>TEXT(DATEVALUE(LEFT(F428,10)),"mm-yyyy")</f>
        <v>03-2015</v>
      </c>
      <c r="P428" s="16">
        <f>H428*I428</f>
        <v>5.99</v>
      </c>
    </row>
    <row r="429" spans="3:16" x14ac:dyDescent="0.25">
      <c r="C429" t="str">
        <f>IF(COUNTBLANK(E429:N429) = 10,"",IF(AND(NOT(ISBLANK(E429)),COUNTBLANK(E429:N429) = 9),"3 Delete",IF(ISBLANK(E429),"2 Add",IF(JenkinsHashRange(E429:N429) = "1166674566","0 Original","1 Modify"))))</f>
        <v>0 Original</v>
      </c>
      <c r="D429" s="3" t="s">
        <v>1493</v>
      </c>
      <c r="E429" s="5">
        <v>1228</v>
      </c>
      <c r="F429" t="s">
        <v>1062</v>
      </c>
      <c r="G429" t="s">
        <v>467</v>
      </c>
      <c r="H429" s="9">
        <v>8.99</v>
      </c>
      <c r="I429" s="5">
        <v>1</v>
      </c>
      <c r="J429" s="7" t="s">
        <v>970</v>
      </c>
      <c r="K429" s="7">
        <v>42748.047268518516</v>
      </c>
      <c r="L429" s="3" t="s">
        <v>970</v>
      </c>
      <c r="M429" s="7">
        <v>42748.047268518516</v>
      </c>
      <c r="N429" s="3" t="s">
        <v>970</v>
      </c>
      <c r="O429" s="16" t="str">
        <f>TEXT(DATEVALUE(LEFT(F429,10)),"mm-yyyy")</f>
        <v>03-2015</v>
      </c>
      <c r="P429" s="16">
        <f>H429*I429</f>
        <v>8.99</v>
      </c>
    </row>
    <row r="430" spans="3:16" x14ac:dyDescent="0.25">
      <c r="C430" t="str">
        <f>IF(COUNTBLANK(E430:N430) = 10,"",IF(AND(NOT(ISBLANK(E430)),COUNTBLANK(E430:N430) = 9),"3 Delete",IF(ISBLANK(E430),"2 Add",IF(JenkinsHashRange(E430:N430) = "1992644872","0 Original","1 Modify"))))</f>
        <v>0 Original</v>
      </c>
      <c r="D430" s="3" t="s">
        <v>1494</v>
      </c>
      <c r="E430" s="5">
        <v>1229</v>
      </c>
      <c r="F430" t="s">
        <v>1062</v>
      </c>
      <c r="G430" t="s">
        <v>457</v>
      </c>
      <c r="H430" s="9">
        <v>5.99</v>
      </c>
      <c r="I430" s="5">
        <v>1</v>
      </c>
      <c r="J430" s="7" t="s">
        <v>970</v>
      </c>
      <c r="K430" s="7">
        <v>42748.047268518516</v>
      </c>
      <c r="L430" s="3" t="s">
        <v>970</v>
      </c>
      <c r="M430" s="7">
        <v>42748.047268518516</v>
      </c>
      <c r="N430" s="3" t="s">
        <v>970</v>
      </c>
      <c r="O430" s="16" t="str">
        <f>TEXT(DATEVALUE(LEFT(F430,10)),"mm-yyyy")</f>
        <v>03-2015</v>
      </c>
      <c r="P430" s="16">
        <f>H430*I430</f>
        <v>5.99</v>
      </c>
    </row>
    <row r="431" spans="3:16" x14ac:dyDescent="0.25">
      <c r="C431" t="str">
        <f>IF(COUNTBLANK(E431:N431) = 10,"",IF(AND(NOT(ISBLANK(E431)),COUNTBLANK(E431:N431) = 9),"3 Delete",IF(ISBLANK(E431),"2 Add",IF(JenkinsHashRange(E431:N431) = "1463102758","0 Original","1 Modify"))))</f>
        <v>0 Original</v>
      </c>
      <c r="D431" s="3" t="s">
        <v>1495</v>
      </c>
      <c r="E431" s="5">
        <v>1230</v>
      </c>
      <c r="F431" t="s">
        <v>1062</v>
      </c>
      <c r="G431" t="s">
        <v>553</v>
      </c>
      <c r="H431" s="9">
        <v>9.99</v>
      </c>
      <c r="I431" s="5">
        <v>1</v>
      </c>
      <c r="J431" s="7" t="s">
        <v>970</v>
      </c>
      <c r="K431" s="7">
        <v>42748.047268518516</v>
      </c>
      <c r="L431" s="3" t="s">
        <v>970</v>
      </c>
      <c r="M431" s="7">
        <v>42748.047268518516</v>
      </c>
      <c r="N431" s="3" t="s">
        <v>970</v>
      </c>
      <c r="O431" s="16" t="str">
        <f>TEXT(DATEVALUE(LEFT(F431,10)),"mm-yyyy")</f>
        <v>03-2015</v>
      </c>
      <c r="P431" s="16">
        <f>H431*I431</f>
        <v>9.99</v>
      </c>
    </row>
    <row r="432" spans="3:16" x14ac:dyDescent="0.25">
      <c r="C432" t="str">
        <f>IF(COUNTBLANK(E432:N432) = 10,"",IF(AND(NOT(ISBLANK(E432)),COUNTBLANK(E432:N432) = 9),"3 Delete",IF(ISBLANK(E432),"2 Add",IF(JenkinsHashRange(E432:N432) = "462741100","0 Original","1 Modify"))))</f>
        <v>0 Original</v>
      </c>
      <c r="D432" s="3" t="s">
        <v>1510</v>
      </c>
      <c r="E432" s="5">
        <v>1257</v>
      </c>
      <c r="F432" t="s">
        <v>1068</v>
      </c>
      <c r="G432" t="s">
        <v>453</v>
      </c>
      <c r="H432" s="9">
        <v>8.99</v>
      </c>
      <c r="I432" s="5">
        <v>1</v>
      </c>
      <c r="J432" s="7" t="s">
        <v>970</v>
      </c>
      <c r="K432" s="7">
        <v>42748.047268518516</v>
      </c>
      <c r="L432" s="3" t="s">
        <v>970</v>
      </c>
      <c r="M432" s="7">
        <v>42748.047268518516</v>
      </c>
      <c r="N432" s="3" t="s">
        <v>970</v>
      </c>
      <c r="O432" s="16" t="str">
        <f>TEXT(DATEVALUE(LEFT(F432,10)),"mm-yyyy")</f>
        <v>03-2015</v>
      </c>
      <c r="P432" s="16">
        <f>H432*I432</f>
        <v>8.99</v>
      </c>
    </row>
    <row r="433" spans="3:16" x14ac:dyDescent="0.25">
      <c r="C433" t="str">
        <f>IF(COUNTBLANK(E433:N433) = 10,"",IF(AND(NOT(ISBLANK(E433)),COUNTBLANK(E433:N433) = 9),"3 Delete",IF(ISBLANK(E433),"2 Add",IF(JenkinsHashRange(E433:N433) = "245458053","0 Original","1 Modify"))))</f>
        <v>0 Original</v>
      </c>
      <c r="D433" s="3" t="s">
        <v>1511</v>
      </c>
      <c r="E433" s="5">
        <v>1258</v>
      </c>
      <c r="F433" t="s">
        <v>1068</v>
      </c>
      <c r="G433" t="s">
        <v>883</v>
      </c>
      <c r="H433" s="9">
        <v>4.99</v>
      </c>
      <c r="I433" s="5">
        <v>1</v>
      </c>
      <c r="J433" s="7" t="s">
        <v>970</v>
      </c>
      <c r="K433" s="7">
        <v>42748.047268518516</v>
      </c>
      <c r="L433" s="3" t="s">
        <v>970</v>
      </c>
      <c r="M433" s="7">
        <v>42748.047268518516</v>
      </c>
      <c r="N433" s="3" t="s">
        <v>970</v>
      </c>
      <c r="O433" s="16" t="str">
        <f>TEXT(DATEVALUE(LEFT(F433,10)),"mm-yyyy")</f>
        <v>03-2015</v>
      </c>
      <c r="P433" s="16">
        <f>H433*I433</f>
        <v>4.99</v>
      </c>
    </row>
    <row r="434" spans="3:16" x14ac:dyDescent="0.25">
      <c r="C434" t="str">
        <f>IF(COUNTBLANK(E434:N434) = 10,"",IF(AND(NOT(ISBLANK(E434)),COUNTBLANK(E434:N434) = 9),"3 Delete",IF(ISBLANK(E434),"2 Add",IF(JenkinsHashRange(E434:N434) = "554247801","0 Original","1 Modify"))))</f>
        <v>0 Original</v>
      </c>
      <c r="D434" s="3" t="s">
        <v>1529</v>
      </c>
      <c r="E434" s="5">
        <v>1302</v>
      </c>
      <c r="F434" t="s">
        <v>1073</v>
      </c>
      <c r="G434" t="s">
        <v>706</v>
      </c>
      <c r="H434" s="9">
        <v>9.99</v>
      </c>
      <c r="I434" s="5">
        <v>1</v>
      </c>
      <c r="J434" s="7" t="s">
        <v>970</v>
      </c>
      <c r="K434" s="7">
        <v>42748.047268518516</v>
      </c>
      <c r="L434" s="3" t="s">
        <v>970</v>
      </c>
      <c r="M434" s="7">
        <v>42748.047268518516</v>
      </c>
      <c r="N434" s="3" t="s">
        <v>970</v>
      </c>
      <c r="O434" s="16" t="str">
        <f>TEXT(DATEVALUE(LEFT(F434,10)),"mm-yyyy")</f>
        <v>03-2015</v>
      </c>
      <c r="P434" s="16">
        <f>H434*I434</f>
        <v>9.99</v>
      </c>
    </row>
    <row r="435" spans="3:16" x14ac:dyDescent="0.25">
      <c r="C435" t="str">
        <f>IF(COUNTBLANK(E435:N435) = 10,"",IF(AND(NOT(ISBLANK(E435)),COUNTBLANK(E435:N435) = 9),"3 Delete",IF(ISBLANK(E435),"2 Add",IF(JenkinsHashRange(E435:N435) = "1354244736","0 Original","1 Modify"))))</f>
        <v>0 Original</v>
      </c>
      <c r="D435" s="3" t="s">
        <v>1530</v>
      </c>
      <c r="E435" s="5">
        <v>1303</v>
      </c>
      <c r="F435" t="s">
        <v>1073</v>
      </c>
      <c r="G435" t="s">
        <v>453</v>
      </c>
      <c r="H435" s="9">
        <v>8.99</v>
      </c>
      <c r="I435" s="5">
        <v>1</v>
      </c>
      <c r="J435" s="7" t="s">
        <v>970</v>
      </c>
      <c r="K435" s="7">
        <v>42748.047268518516</v>
      </c>
      <c r="L435" s="3" t="s">
        <v>970</v>
      </c>
      <c r="M435" s="7">
        <v>42748.047268518516</v>
      </c>
      <c r="N435" s="3" t="s">
        <v>970</v>
      </c>
      <c r="O435" s="16" t="str">
        <f>TEXT(DATEVALUE(LEFT(F435,10)),"mm-yyyy")</f>
        <v>03-2015</v>
      </c>
      <c r="P435" s="16">
        <f>H435*I435</f>
        <v>8.99</v>
      </c>
    </row>
    <row r="436" spans="3:16" x14ac:dyDescent="0.25">
      <c r="C436" t="str">
        <f>IF(COUNTBLANK(E436:N436) = 10,"",IF(AND(NOT(ISBLANK(E436)),COUNTBLANK(E436:N436) = 9),"3 Delete",IF(ISBLANK(E436),"2 Add",IF(JenkinsHashRange(E436:N436) = "219073846","0 Original","1 Modify"))))</f>
        <v>0 Original</v>
      </c>
      <c r="D436" s="3" t="s">
        <v>1553</v>
      </c>
      <c r="E436" s="5">
        <v>1412</v>
      </c>
      <c r="F436" t="s">
        <v>1081</v>
      </c>
      <c r="G436" t="s">
        <v>709</v>
      </c>
      <c r="H436" s="9">
        <v>6.99</v>
      </c>
      <c r="I436" s="5">
        <v>2</v>
      </c>
      <c r="J436" s="7" t="s">
        <v>970</v>
      </c>
      <c r="K436" s="7">
        <v>42748.047268518516</v>
      </c>
      <c r="L436" s="3" t="s">
        <v>970</v>
      </c>
      <c r="M436" s="7">
        <v>42748.047268518516</v>
      </c>
      <c r="N436" s="3" t="s">
        <v>970</v>
      </c>
      <c r="O436" s="16" t="str">
        <f>TEXT(DATEVALUE(LEFT(F436,10)),"mm-yyyy")</f>
        <v>03-2015</v>
      </c>
      <c r="P436" s="16">
        <f>H436*I436</f>
        <v>13.98</v>
      </c>
    </row>
    <row r="437" spans="3:16" x14ac:dyDescent="0.25">
      <c r="C437" t="str">
        <f>IF(COUNTBLANK(E437:N437) = 10,"",IF(AND(NOT(ISBLANK(E437)),COUNTBLANK(E437:N437) = 9),"3 Delete",IF(ISBLANK(E437),"2 Add",IF(JenkinsHashRange(E437:N437) = "1174655481","0 Original","1 Modify"))))</f>
        <v>0 Original</v>
      </c>
      <c r="D437" s="3" t="s">
        <v>1554</v>
      </c>
      <c r="E437" s="5">
        <v>1413</v>
      </c>
      <c r="F437" t="s">
        <v>1081</v>
      </c>
      <c r="G437" t="s">
        <v>713</v>
      </c>
      <c r="H437" s="9">
        <v>6.99</v>
      </c>
      <c r="I437" s="5">
        <v>1</v>
      </c>
      <c r="J437" s="7" t="s">
        <v>970</v>
      </c>
      <c r="K437" s="7">
        <v>42748.047268518516</v>
      </c>
      <c r="L437" s="3" t="s">
        <v>970</v>
      </c>
      <c r="M437" s="7">
        <v>42748.047268518516</v>
      </c>
      <c r="N437" s="3" t="s">
        <v>970</v>
      </c>
      <c r="O437" s="16" t="str">
        <f>TEXT(DATEVALUE(LEFT(F437,10)),"mm-yyyy")</f>
        <v>03-2015</v>
      </c>
      <c r="P437" s="16">
        <f>H437*I437</f>
        <v>6.99</v>
      </c>
    </row>
    <row r="438" spans="3:16" x14ac:dyDescent="0.25">
      <c r="C438" t="str">
        <f>IF(COUNTBLANK(E438:N438) = 10,"",IF(AND(NOT(ISBLANK(E438)),COUNTBLANK(E438:N438) = 9),"3 Delete",IF(ISBLANK(E438),"2 Add",IF(JenkinsHashRange(E438:N438) = "979246017","0 Original","1 Modify"))))</f>
        <v>0 Original</v>
      </c>
      <c r="D438" s="3" t="s">
        <v>1558</v>
      </c>
      <c r="E438" s="5">
        <v>1452</v>
      </c>
      <c r="F438" t="s">
        <v>1083</v>
      </c>
      <c r="G438" t="s">
        <v>945</v>
      </c>
      <c r="H438" s="9">
        <v>7.99</v>
      </c>
      <c r="I438" s="5">
        <v>1</v>
      </c>
      <c r="J438" s="7" t="s">
        <v>970</v>
      </c>
      <c r="K438" s="7">
        <v>42748.047268518516</v>
      </c>
      <c r="L438" s="3" t="s">
        <v>970</v>
      </c>
      <c r="M438" s="7">
        <v>42748.047268518516</v>
      </c>
      <c r="N438" s="3" t="s">
        <v>970</v>
      </c>
      <c r="O438" s="16" t="str">
        <f>TEXT(DATEVALUE(LEFT(F438,10)),"mm-yyyy")</f>
        <v>03-2015</v>
      </c>
      <c r="P438" s="16">
        <f>H438*I438</f>
        <v>7.99</v>
      </c>
    </row>
    <row r="439" spans="3:16" x14ac:dyDescent="0.25">
      <c r="C439" t="str">
        <f>IF(COUNTBLANK(E439:N439) = 10,"",IF(AND(NOT(ISBLANK(E439)),COUNTBLANK(E439:N439) = 9),"3 Delete",IF(ISBLANK(E439),"2 Add",IF(JenkinsHashRange(E439:N439) = "517452891","0 Original","1 Modify"))))</f>
        <v>0 Original</v>
      </c>
      <c r="D439" s="3" t="s">
        <v>1559</v>
      </c>
      <c r="E439" s="5">
        <v>1453</v>
      </c>
      <c r="F439" t="s">
        <v>1083</v>
      </c>
      <c r="G439" t="s">
        <v>709</v>
      </c>
      <c r="H439" s="9">
        <v>6.99</v>
      </c>
      <c r="I439" s="5">
        <v>2</v>
      </c>
      <c r="J439" s="7" t="s">
        <v>970</v>
      </c>
      <c r="K439" s="7">
        <v>42748.047268518516</v>
      </c>
      <c r="L439" s="3" t="s">
        <v>970</v>
      </c>
      <c r="M439" s="7">
        <v>42748.047268518516</v>
      </c>
      <c r="N439" s="3" t="s">
        <v>970</v>
      </c>
      <c r="O439" s="16" t="str">
        <f>TEXT(DATEVALUE(LEFT(F439,10)),"mm-yyyy")</f>
        <v>03-2015</v>
      </c>
      <c r="P439" s="16">
        <f>H439*I439</f>
        <v>13.98</v>
      </c>
    </row>
    <row r="440" spans="3:16" x14ac:dyDescent="0.25">
      <c r="C440" t="str">
        <f>IF(COUNTBLANK(E440:N440) = 10,"",IF(AND(NOT(ISBLANK(E440)),COUNTBLANK(E440:N440) = 9),"3 Delete",IF(ISBLANK(E440),"2 Add",IF(JenkinsHashRange(E440:N440) = "1015800789","0 Original","1 Modify"))))</f>
        <v>0 Original</v>
      </c>
      <c r="D440" s="3" t="s">
        <v>1560</v>
      </c>
      <c r="E440" s="5">
        <v>1454</v>
      </c>
      <c r="F440" t="s">
        <v>1083</v>
      </c>
      <c r="G440" t="s">
        <v>649</v>
      </c>
      <c r="H440" s="9">
        <v>5.99</v>
      </c>
      <c r="I440" s="5">
        <v>1</v>
      </c>
      <c r="J440" s="7" t="s">
        <v>970</v>
      </c>
      <c r="K440" s="7">
        <v>42748.047268518516</v>
      </c>
      <c r="L440" s="3" t="s">
        <v>970</v>
      </c>
      <c r="M440" s="7">
        <v>42748.047268518516</v>
      </c>
      <c r="N440" s="3" t="s">
        <v>970</v>
      </c>
      <c r="O440" s="16" t="str">
        <f>TEXT(DATEVALUE(LEFT(F440,10)),"mm-yyyy")</f>
        <v>03-2015</v>
      </c>
      <c r="P440" s="16">
        <f>H440*I440</f>
        <v>5.99</v>
      </c>
    </row>
    <row r="441" spans="3:16" x14ac:dyDescent="0.25">
      <c r="C441" t="str">
        <f>IF(COUNTBLANK(E441:N441) = 10,"",IF(AND(NOT(ISBLANK(E441)),COUNTBLANK(E441:N441) = 9),"3 Delete",IF(ISBLANK(E441),"2 Add",IF(JenkinsHashRange(E441:N441) = "634122463","0 Original","1 Modify"))))</f>
        <v>0 Original</v>
      </c>
      <c r="D441" s="3" t="s">
        <v>1561</v>
      </c>
      <c r="E441" s="5">
        <v>1455</v>
      </c>
      <c r="F441" t="s">
        <v>1083</v>
      </c>
      <c r="G441" t="s">
        <v>706</v>
      </c>
      <c r="H441" s="9">
        <v>9.99</v>
      </c>
      <c r="I441" s="5">
        <v>2</v>
      </c>
      <c r="J441" s="7" t="s">
        <v>970</v>
      </c>
      <c r="K441" s="7">
        <v>42748.047268518516</v>
      </c>
      <c r="L441" s="3" t="s">
        <v>970</v>
      </c>
      <c r="M441" s="7">
        <v>42748.047268518516</v>
      </c>
      <c r="N441" s="3" t="s">
        <v>970</v>
      </c>
      <c r="O441" s="16" t="str">
        <f>TEXT(DATEVALUE(LEFT(F441,10)),"mm-yyyy")</f>
        <v>03-2015</v>
      </c>
      <c r="P441" s="16">
        <f>H441*I441</f>
        <v>19.98</v>
      </c>
    </row>
    <row r="442" spans="3:16" x14ac:dyDescent="0.25">
      <c r="C442" t="str">
        <f>IF(COUNTBLANK(E442:N442) = 10,"",IF(AND(NOT(ISBLANK(E442)),COUNTBLANK(E442:N442) = 9),"3 Delete",IF(ISBLANK(E442),"2 Add",IF(JenkinsHashRange(E442:N442) = "64681358","0 Original","1 Modify"))))</f>
        <v>0 Original</v>
      </c>
      <c r="D442" s="3" t="s">
        <v>1562</v>
      </c>
      <c r="E442" s="5">
        <v>1456</v>
      </c>
      <c r="F442" t="s">
        <v>1083</v>
      </c>
      <c r="G442" t="s">
        <v>804</v>
      </c>
      <c r="H442" s="9">
        <v>4.99</v>
      </c>
      <c r="I442" s="5">
        <v>1</v>
      </c>
      <c r="J442" s="7" t="s">
        <v>970</v>
      </c>
      <c r="K442" s="7">
        <v>42748.047268518516</v>
      </c>
      <c r="L442" s="3" t="s">
        <v>970</v>
      </c>
      <c r="M442" s="7">
        <v>42748.047268518516</v>
      </c>
      <c r="N442" s="3" t="s">
        <v>970</v>
      </c>
      <c r="O442" s="16" t="str">
        <f>TEXT(DATEVALUE(LEFT(F442,10)),"mm-yyyy")</f>
        <v>03-2015</v>
      </c>
      <c r="P442" s="16">
        <f>H442*I442</f>
        <v>4.99</v>
      </c>
    </row>
    <row r="443" spans="3:16" x14ac:dyDescent="0.25">
      <c r="C443" t="str">
        <f>IF(COUNTBLANK(E443:N443) = 10,"",IF(AND(NOT(ISBLANK(E443)),COUNTBLANK(E443:N443) = 9),"3 Delete",IF(ISBLANK(E443),"2 Add",IF(JenkinsHashRange(E443:N443) = "205539670","0 Original","1 Modify"))))</f>
        <v>0 Original</v>
      </c>
      <c r="D443" s="3" t="s">
        <v>1563</v>
      </c>
      <c r="E443" s="5">
        <v>1457</v>
      </c>
      <c r="F443" t="s">
        <v>1083</v>
      </c>
      <c r="G443" t="s">
        <v>450</v>
      </c>
      <c r="H443" s="9">
        <v>8.99</v>
      </c>
      <c r="I443" s="5">
        <v>2</v>
      </c>
      <c r="J443" s="7" t="s">
        <v>970</v>
      </c>
      <c r="K443" s="7">
        <v>42748.047268518516</v>
      </c>
      <c r="L443" s="3" t="s">
        <v>970</v>
      </c>
      <c r="M443" s="7">
        <v>42748.047268518516</v>
      </c>
      <c r="N443" s="3" t="s">
        <v>970</v>
      </c>
      <c r="O443" s="16" t="str">
        <f>TEXT(DATEVALUE(LEFT(F443,10)),"mm-yyyy")</f>
        <v>03-2015</v>
      </c>
      <c r="P443" s="16">
        <f>H443*I443</f>
        <v>17.98</v>
      </c>
    </row>
    <row r="444" spans="3:16" x14ac:dyDescent="0.25">
      <c r="C444" t="str">
        <f>IF(COUNTBLANK(E444:N444) = 10,"",IF(AND(NOT(ISBLANK(E444)),COUNTBLANK(E444:N444) = 9),"3 Delete",IF(ISBLANK(E444),"2 Add",IF(JenkinsHashRange(E444:N444) = "742743690","0 Original","1 Modify"))))</f>
        <v>0 Original</v>
      </c>
      <c r="D444" s="3" t="s">
        <v>1564</v>
      </c>
      <c r="E444" s="5">
        <v>1458</v>
      </c>
      <c r="F444" t="s">
        <v>1083</v>
      </c>
      <c r="G444" t="s">
        <v>453</v>
      </c>
      <c r="H444" s="9">
        <v>8.99</v>
      </c>
      <c r="I444" s="5">
        <v>2</v>
      </c>
      <c r="J444" s="7" t="s">
        <v>970</v>
      </c>
      <c r="K444" s="7">
        <v>42748.047268518516</v>
      </c>
      <c r="L444" s="3" t="s">
        <v>970</v>
      </c>
      <c r="M444" s="7">
        <v>42748.047268518516</v>
      </c>
      <c r="N444" s="3" t="s">
        <v>970</v>
      </c>
      <c r="O444" s="16" t="str">
        <f>TEXT(DATEVALUE(LEFT(F444,10)),"mm-yyyy")</f>
        <v>03-2015</v>
      </c>
      <c r="P444" s="16">
        <f>H444*I444</f>
        <v>17.98</v>
      </c>
    </row>
    <row r="445" spans="3:16" x14ac:dyDescent="0.25">
      <c r="C445" t="str">
        <f>IF(COUNTBLANK(E445:N445) = 10,"",IF(AND(NOT(ISBLANK(E445)),COUNTBLANK(E445:N445) = 9),"3 Delete",IF(ISBLANK(E445),"2 Add",IF(JenkinsHashRange(E445:N445) = "1084204129","0 Original","1 Modify"))))</f>
        <v>0 Original</v>
      </c>
      <c r="D445" s="3" t="s">
        <v>1565</v>
      </c>
      <c r="E445" s="5">
        <v>1459</v>
      </c>
      <c r="F445" t="s">
        <v>1083</v>
      </c>
      <c r="G445" t="s">
        <v>880</v>
      </c>
      <c r="H445" s="9">
        <v>6.99</v>
      </c>
      <c r="I445" s="5">
        <v>1</v>
      </c>
      <c r="J445" s="7" t="s">
        <v>970</v>
      </c>
      <c r="K445" s="7">
        <v>42748.047268518516</v>
      </c>
      <c r="L445" s="3" t="s">
        <v>970</v>
      </c>
      <c r="M445" s="7">
        <v>42748.047268518516</v>
      </c>
      <c r="N445" s="3" t="s">
        <v>970</v>
      </c>
      <c r="O445" s="16" t="str">
        <f>TEXT(DATEVALUE(LEFT(F445,10)),"mm-yyyy")</f>
        <v>03-2015</v>
      </c>
      <c r="P445" s="16">
        <f>H445*I445</f>
        <v>6.99</v>
      </c>
    </row>
    <row r="446" spans="3:16" x14ac:dyDescent="0.25">
      <c r="C446" t="str">
        <f>IF(COUNTBLANK(E446:N446) = 10,"",IF(AND(NOT(ISBLANK(E446)),COUNTBLANK(E446:N446) = 9),"3 Delete",IF(ISBLANK(E446),"2 Add",IF(JenkinsHashRange(E446:N446) = "576973374","0 Original","1 Modify"))))</f>
        <v>0 Original</v>
      </c>
      <c r="D446" s="3" t="s">
        <v>1566</v>
      </c>
      <c r="E446" s="5">
        <v>1462</v>
      </c>
      <c r="F446" t="s">
        <v>1084</v>
      </c>
      <c r="G446" t="s">
        <v>550</v>
      </c>
      <c r="H446" s="9">
        <v>8.99</v>
      </c>
      <c r="I446" s="5">
        <v>1</v>
      </c>
      <c r="J446" s="7" t="s">
        <v>970</v>
      </c>
      <c r="K446" s="7">
        <v>42748.047268518516</v>
      </c>
      <c r="L446" s="3" t="s">
        <v>970</v>
      </c>
      <c r="M446" s="7">
        <v>42748.047268518516</v>
      </c>
      <c r="N446" s="3" t="s">
        <v>970</v>
      </c>
      <c r="O446" s="16" t="str">
        <f>TEXT(DATEVALUE(LEFT(F446,10)),"mm-yyyy")</f>
        <v>03-2015</v>
      </c>
      <c r="P446" s="16">
        <f>H446*I446</f>
        <v>8.99</v>
      </c>
    </row>
    <row r="447" spans="3:16" x14ac:dyDescent="0.25">
      <c r="C447" t="str">
        <f>IF(COUNTBLANK(E447:N447) = 10,"",IF(AND(NOT(ISBLANK(E447)),COUNTBLANK(E447:N447) = 9),"3 Delete",IF(ISBLANK(E447),"2 Add",IF(JenkinsHashRange(E447:N447) = "1322753216","0 Original","1 Modify"))))</f>
        <v>0 Original</v>
      </c>
      <c r="D447" s="3" t="s">
        <v>1567</v>
      </c>
      <c r="E447" s="5">
        <v>1463</v>
      </c>
      <c r="F447" t="s">
        <v>1084</v>
      </c>
      <c r="G447" t="s">
        <v>945</v>
      </c>
      <c r="H447" s="9">
        <v>7.99</v>
      </c>
      <c r="I447" s="5">
        <v>2</v>
      </c>
      <c r="J447" s="7" t="s">
        <v>970</v>
      </c>
      <c r="K447" s="7">
        <v>42748.047268518516</v>
      </c>
      <c r="L447" s="3" t="s">
        <v>970</v>
      </c>
      <c r="M447" s="7">
        <v>42748.047268518516</v>
      </c>
      <c r="N447" s="3" t="s">
        <v>970</v>
      </c>
      <c r="O447" s="16" t="str">
        <f>TEXT(DATEVALUE(LEFT(F447,10)),"mm-yyyy")</f>
        <v>03-2015</v>
      </c>
      <c r="P447" s="16">
        <f>H447*I447</f>
        <v>15.98</v>
      </c>
    </row>
    <row r="448" spans="3:16" x14ac:dyDescent="0.25">
      <c r="C448" t="str">
        <f>IF(COUNTBLANK(E448:N448) = 10,"",IF(AND(NOT(ISBLANK(E448)),COUNTBLANK(E448:N448) = 9),"3 Delete",IF(ISBLANK(E448),"2 Add",IF(JenkinsHashRange(E448:N448) = "823082370","0 Original","1 Modify"))))</f>
        <v>0 Original</v>
      </c>
      <c r="D448" s="3" t="s">
        <v>1568</v>
      </c>
      <c r="E448" s="5">
        <v>1468</v>
      </c>
      <c r="F448" t="s">
        <v>1085</v>
      </c>
      <c r="G448" t="s">
        <v>920</v>
      </c>
      <c r="H448" s="9">
        <v>5.99</v>
      </c>
      <c r="I448" s="5">
        <v>1</v>
      </c>
      <c r="J448" s="7" t="s">
        <v>970</v>
      </c>
      <c r="K448" s="7">
        <v>42748.047268518516</v>
      </c>
      <c r="L448" s="3" t="s">
        <v>970</v>
      </c>
      <c r="M448" s="7">
        <v>42748.047268518516</v>
      </c>
      <c r="N448" s="3" t="s">
        <v>970</v>
      </c>
      <c r="O448" s="16" t="str">
        <f>TEXT(DATEVALUE(LEFT(F448,10)),"mm-yyyy")</f>
        <v>03-2015</v>
      </c>
      <c r="P448" s="16">
        <f>H448*I448</f>
        <v>5.99</v>
      </c>
    </row>
    <row r="449" spans="3:16" x14ac:dyDescent="0.25">
      <c r="C449" t="str">
        <f>IF(COUNTBLANK(E449:N449) = 10,"",IF(AND(NOT(ISBLANK(E449)),COUNTBLANK(E449:N449) = 9),"3 Delete",IF(ISBLANK(E449),"2 Add",IF(JenkinsHashRange(E449:N449) = "1651596883","0 Original","1 Modify"))))</f>
        <v>0 Original</v>
      </c>
      <c r="D449" s="3" t="s">
        <v>1569</v>
      </c>
      <c r="E449" s="5">
        <v>1469</v>
      </c>
      <c r="F449" t="s">
        <v>1085</v>
      </c>
      <c r="G449" t="s">
        <v>446</v>
      </c>
      <c r="H449" s="9">
        <v>7.99</v>
      </c>
      <c r="I449" s="5">
        <v>1</v>
      </c>
      <c r="J449" s="7" t="s">
        <v>970</v>
      </c>
      <c r="K449" s="7">
        <v>42748.047268518516</v>
      </c>
      <c r="L449" s="3" t="s">
        <v>970</v>
      </c>
      <c r="M449" s="7">
        <v>42748.047268518516</v>
      </c>
      <c r="N449" s="3" t="s">
        <v>970</v>
      </c>
      <c r="O449" s="16" t="str">
        <f>TEXT(DATEVALUE(LEFT(F449,10)),"mm-yyyy")</f>
        <v>03-2015</v>
      </c>
      <c r="P449" s="16">
        <f>H449*I449</f>
        <v>7.99</v>
      </c>
    </row>
    <row r="450" spans="3:16" x14ac:dyDescent="0.25">
      <c r="C450" t="str">
        <f>IF(COUNTBLANK(E450:N450) = 10,"",IF(AND(NOT(ISBLANK(E450)),COUNTBLANK(E450:N450) = 9),"3 Delete",IF(ISBLANK(E450),"2 Add",IF(JenkinsHashRange(E450:N450) = "116318173","0 Original","1 Modify"))))</f>
        <v>0 Original</v>
      </c>
      <c r="D450" s="3" t="s">
        <v>1570</v>
      </c>
      <c r="E450" s="5">
        <v>1470</v>
      </c>
      <c r="F450" t="s">
        <v>1085</v>
      </c>
      <c r="G450" t="s">
        <v>883</v>
      </c>
      <c r="H450" s="9">
        <v>4.99</v>
      </c>
      <c r="I450" s="5">
        <v>2</v>
      </c>
      <c r="J450" s="7" t="s">
        <v>970</v>
      </c>
      <c r="K450" s="7">
        <v>42748.047268518516</v>
      </c>
      <c r="L450" s="3" t="s">
        <v>970</v>
      </c>
      <c r="M450" s="7">
        <v>42748.047268518516</v>
      </c>
      <c r="N450" s="3" t="s">
        <v>970</v>
      </c>
      <c r="O450" s="16" t="str">
        <f>TEXT(DATEVALUE(LEFT(F450,10)),"mm-yyyy")</f>
        <v>03-2015</v>
      </c>
      <c r="P450" s="16">
        <f>H450*I450</f>
        <v>9.98</v>
      </c>
    </row>
    <row r="451" spans="3:16" x14ac:dyDescent="0.25">
      <c r="C451" t="str">
        <f>IF(COUNTBLANK(E451:N451) = 10,"",IF(AND(NOT(ISBLANK(E451)),COUNTBLANK(E451:N451) = 9),"3 Delete",IF(ISBLANK(E451),"2 Add",IF(JenkinsHashRange(E451:N451) = "991989607","0 Original","1 Modify"))))</f>
        <v>0 Original</v>
      </c>
      <c r="D451" s="3" t="s">
        <v>1571</v>
      </c>
      <c r="E451" s="5">
        <v>1471</v>
      </c>
      <c r="F451" t="s">
        <v>1085</v>
      </c>
      <c r="G451" t="s">
        <v>706</v>
      </c>
      <c r="H451" s="9">
        <v>9.99</v>
      </c>
      <c r="I451" s="5">
        <v>2</v>
      </c>
      <c r="J451" s="7" t="s">
        <v>970</v>
      </c>
      <c r="K451" s="7">
        <v>42748.047268518516</v>
      </c>
      <c r="L451" s="3" t="s">
        <v>970</v>
      </c>
      <c r="M451" s="7">
        <v>42748.047268518516</v>
      </c>
      <c r="N451" s="3" t="s">
        <v>970</v>
      </c>
      <c r="O451" s="16" t="str">
        <f>TEXT(DATEVALUE(LEFT(F451,10)),"mm-yyyy")</f>
        <v>03-2015</v>
      </c>
      <c r="P451" s="16">
        <f>H451*I451</f>
        <v>19.98</v>
      </c>
    </row>
    <row r="452" spans="3:16" x14ac:dyDescent="0.25">
      <c r="C452" t="str">
        <f>IF(COUNTBLANK(E452:N452) = 10,"",IF(AND(NOT(ISBLANK(E452)),COUNTBLANK(E452:N452) = 9),"3 Delete",IF(ISBLANK(E452),"2 Add",IF(JenkinsHashRange(E452:N452) = "260806196","0 Original","1 Modify"))))</f>
        <v>0 Original</v>
      </c>
      <c r="D452" s="3" t="s">
        <v>1572</v>
      </c>
      <c r="E452" s="5">
        <v>1472</v>
      </c>
      <c r="F452" t="s">
        <v>1085</v>
      </c>
      <c r="G452" t="s">
        <v>850</v>
      </c>
      <c r="H452" s="9">
        <v>7.99</v>
      </c>
      <c r="I452" s="5">
        <v>1</v>
      </c>
      <c r="J452" s="7" t="s">
        <v>970</v>
      </c>
      <c r="K452" s="7">
        <v>42748.047268518516</v>
      </c>
      <c r="L452" s="3" t="s">
        <v>970</v>
      </c>
      <c r="M452" s="7">
        <v>42748.047268518516</v>
      </c>
      <c r="N452" s="3" t="s">
        <v>970</v>
      </c>
      <c r="O452" s="16" t="str">
        <f>TEXT(DATEVALUE(LEFT(F452,10)),"mm-yyyy")</f>
        <v>03-2015</v>
      </c>
      <c r="P452" s="16">
        <f>H452*I452</f>
        <v>7.99</v>
      </c>
    </row>
    <row r="453" spans="3:16" x14ac:dyDescent="0.25">
      <c r="C453" t="str">
        <f>IF(COUNTBLANK(E453:N453) = 10,"",IF(AND(NOT(ISBLANK(E453)),COUNTBLANK(E453:N453) = 9),"3 Delete",IF(ISBLANK(E453),"2 Add",IF(JenkinsHashRange(E453:N453) = "2026567237","0 Original","1 Modify"))))</f>
        <v>0 Original</v>
      </c>
      <c r="D453" s="3" t="s">
        <v>1592</v>
      </c>
      <c r="E453" s="5">
        <v>1610</v>
      </c>
      <c r="F453" t="s">
        <v>1090</v>
      </c>
      <c r="G453" t="s">
        <v>920</v>
      </c>
      <c r="H453" s="9">
        <v>5.99</v>
      </c>
      <c r="I453" s="5">
        <v>1</v>
      </c>
      <c r="J453" s="7" t="s">
        <v>970</v>
      </c>
      <c r="K453" s="7">
        <v>42748.047268518516</v>
      </c>
      <c r="L453" s="3" t="s">
        <v>970</v>
      </c>
      <c r="M453" s="7">
        <v>42748.047268518516</v>
      </c>
      <c r="N453" s="3" t="s">
        <v>970</v>
      </c>
      <c r="O453" s="16" t="str">
        <f>TEXT(DATEVALUE(LEFT(F453,10)),"mm-yyyy")</f>
        <v>03-2015</v>
      </c>
      <c r="P453" s="16">
        <f>H453*I453</f>
        <v>5.99</v>
      </c>
    </row>
    <row r="454" spans="3:16" x14ac:dyDescent="0.25">
      <c r="C454" t="str">
        <f>IF(COUNTBLANK(E454:N454) = 10,"",IF(AND(NOT(ISBLANK(E454)),COUNTBLANK(E454:N454) = 9),"3 Delete",IF(ISBLANK(E454),"2 Add",IF(JenkinsHashRange(E454:N454) = "2090223133","0 Original","1 Modify"))))</f>
        <v>0 Original</v>
      </c>
      <c r="D454" s="3" t="s">
        <v>1614</v>
      </c>
      <c r="E454" s="5">
        <v>1760</v>
      </c>
      <c r="F454" t="s">
        <v>1096</v>
      </c>
      <c r="G454" t="s">
        <v>450</v>
      </c>
      <c r="H454" s="9">
        <v>8.99</v>
      </c>
      <c r="I454" s="5">
        <v>2</v>
      </c>
      <c r="J454" s="7" t="s">
        <v>970</v>
      </c>
      <c r="K454" s="7">
        <v>42748.047268518516</v>
      </c>
      <c r="L454" s="3" t="s">
        <v>970</v>
      </c>
      <c r="M454" s="7">
        <v>42748.047268518516</v>
      </c>
      <c r="N454" s="3" t="s">
        <v>970</v>
      </c>
      <c r="O454" s="16" t="str">
        <f>TEXT(DATEVALUE(LEFT(F454,10)),"mm-yyyy")</f>
        <v>03-2015</v>
      </c>
      <c r="P454" s="16">
        <f>H454*I454</f>
        <v>17.98</v>
      </c>
    </row>
    <row r="455" spans="3:16" x14ac:dyDescent="0.25">
      <c r="C455" t="str">
        <f>IF(COUNTBLANK(E455:N455) = 10,"",IF(AND(NOT(ISBLANK(E455)),COUNTBLANK(E455:N455) = 9),"3 Delete",IF(ISBLANK(E455),"2 Add",IF(JenkinsHashRange(E455:N455) = "609115144","0 Original","1 Modify"))))</f>
        <v>0 Original</v>
      </c>
      <c r="D455" s="3" t="s">
        <v>1615</v>
      </c>
      <c r="E455" s="5">
        <v>1761</v>
      </c>
      <c r="F455" t="s">
        <v>1096</v>
      </c>
      <c r="G455" t="s">
        <v>804</v>
      </c>
      <c r="H455" s="9">
        <v>4.99</v>
      </c>
      <c r="I455" s="5">
        <v>3</v>
      </c>
      <c r="J455" s="7" t="s">
        <v>970</v>
      </c>
      <c r="K455" s="7">
        <v>42748.047268518516</v>
      </c>
      <c r="L455" s="3" t="s">
        <v>970</v>
      </c>
      <c r="M455" s="7">
        <v>42748.047268518516</v>
      </c>
      <c r="N455" s="3" t="s">
        <v>970</v>
      </c>
      <c r="O455" s="16" t="str">
        <f>TEXT(DATEVALUE(LEFT(F455,10)),"mm-yyyy")</f>
        <v>03-2015</v>
      </c>
      <c r="P455" s="16">
        <f>H455*I455</f>
        <v>14.97</v>
      </c>
    </row>
    <row r="456" spans="3:16" x14ac:dyDescent="0.25">
      <c r="C456" t="str">
        <f>IF(COUNTBLANK(E456:N456) = 10,"",IF(AND(NOT(ISBLANK(E456)),COUNTBLANK(E456:N456) = 9),"3 Delete",IF(ISBLANK(E456),"2 Add",IF(JenkinsHashRange(E456:N456) = "1487890255","0 Original","1 Modify"))))</f>
        <v>0 Original</v>
      </c>
      <c r="D456" s="3" t="s">
        <v>1616</v>
      </c>
      <c r="E456" s="5">
        <v>1762</v>
      </c>
      <c r="F456" t="s">
        <v>1096</v>
      </c>
      <c r="G456" t="s">
        <v>443</v>
      </c>
      <c r="H456" s="9">
        <v>6.99</v>
      </c>
      <c r="I456" s="5">
        <v>2</v>
      </c>
      <c r="J456" s="7" t="s">
        <v>970</v>
      </c>
      <c r="K456" s="7">
        <v>42748.047268518516</v>
      </c>
      <c r="L456" s="3" t="s">
        <v>970</v>
      </c>
      <c r="M456" s="7">
        <v>42748.047268518516</v>
      </c>
      <c r="N456" s="3" t="s">
        <v>970</v>
      </c>
      <c r="O456" s="16" t="str">
        <f>TEXT(DATEVALUE(LEFT(F456,10)),"mm-yyyy")</f>
        <v>03-2015</v>
      </c>
      <c r="P456" s="16">
        <f>H456*I456</f>
        <v>13.98</v>
      </c>
    </row>
    <row r="457" spans="3:16" x14ac:dyDescent="0.25">
      <c r="C457" t="str">
        <f>IF(COUNTBLANK(E457:N457) = 10,"",IF(AND(NOT(ISBLANK(E457)),COUNTBLANK(E457:N457) = 9),"3 Delete",IF(ISBLANK(E457),"2 Add",IF(JenkinsHashRange(E457:N457) = "1152014175","0 Original","1 Modify"))))</f>
        <v>0 Original</v>
      </c>
      <c r="D457" s="3" t="s">
        <v>1622</v>
      </c>
      <c r="E457" s="5">
        <v>1808</v>
      </c>
      <c r="F457" t="s">
        <v>1099</v>
      </c>
      <c r="G457" t="s">
        <v>649</v>
      </c>
      <c r="H457" s="9">
        <v>5.99</v>
      </c>
      <c r="I457" s="5">
        <v>2</v>
      </c>
      <c r="J457" s="7" t="s">
        <v>970</v>
      </c>
      <c r="K457" s="7">
        <v>42748.047268518516</v>
      </c>
      <c r="L457" s="3" t="s">
        <v>970</v>
      </c>
      <c r="M457" s="7">
        <v>42748.047268518516</v>
      </c>
      <c r="N457" s="3" t="s">
        <v>970</v>
      </c>
      <c r="O457" s="16" t="str">
        <f>TEXT(DATEVALUE(LEFT(F457,10)),"mm-yyyy")</f>
        <v>03-2015</v>
      </c>
      <c r="P457" s="16">
        <f>H457*I457</f>
        <v>11.98</v>
      </c>
    </row>
    <row r="458" spans="3:16" x14ac:dyDescent="0.25">
      <c r="C458" t="str">
        <f>IF(COUNTBLANK(E458:N458) = 10,"",IF(AND(NOT(ISBLANK(E458)),COUNTBLANK(E458:N458) = 9),"3 Delete",IF(ISBLANK(E458),"2 Add",IF(JenkinsHashRange(E458:N458) = "1638738495","0 Original","1 Modify"))))</f>
        <v>0 Original</v>
      </c>
      <c r="D458" s="3" t="s">
        <v>1636</v>
      </c>
      <c r="E458" s="5">
        <v>1894</v>
      </c>
      <c r="F458" t="s">
        <v>1104</v>
      </c>
      <c r="G458" t="s">
        <v>917</v>
      </c>
      <c r="H458" s="9">
        <v>4.99</v>
      </c>
      <c r="I458" s="5">
        <v>1</v>
      </c>
      <c r="J458" s="7" t="s">
        <v>970</v>
      </c>
      <c r="K458" s="7">
        <v>42748.047268518516</v>
      </c>
      <c r="L458" s="3" t="s">
        <v>970</v>
      </c>
      <c r="M458" s="7">
        <v>42748.047268518516</v>
      </c>
      <c r="N458" s="3" t="s">
        <v>970</v>
      </c>
      <c r="O458" s="16" t="str">
        <f>TEXT(DATEVALUE(LEFT(F458,10)),"mm-yyyy")</f>
        <v>03-2015</v>
      </c>
      <c r="P458" s="16">
        <f>H458*I458</f>
        <v>4.99</v>
      </c>
    </row>
    <row r="459" spans="3:16" x14ac:dyDescent="0.25">
      <c r="C459" t="str">
        <f>IF(COUNTBLANK(E459:N459) = 10,"",IF(AND(NOT(ISBLANK(E459)),COUNTBLANK(E459:N459) = 9),"3 Delete",IF(ISBLANK(E459),"2 Add",IF(JenkinsHashRange(E459:N459) = "613933753","0 Original","1 Modify"))))</f>
        <v>0 Original</v>
      </c>
      <c r="D459" s="3" t="s">
        <v>1646</v>
      </c>
      <c r="E459" s="5">
        <v>1947</v>
      </c>
      <c r="F459" t="s">
        <v>1108</v>
      </c>
      <c r="G459" t="s">
        <v>743</v>
      </c>
      <c r="H459" s="9">
        <v>9.99</v>
      </c>
      <c r="I459" s="5">
        <v>1</v>
      </c>
      <c r="J459" s="7" t="s">
        <v>970</v>
      </c>
      <c r="K459" s="7">
        <v>42748.047268518516</v>
      </c>
      <c r="L459" s="3" t="s">
        <v>970</v>
      </c>
      <c r="M459" s="7">
        <v>42748.047268518516</v>
      </c>
      <c r="N459" s="3" t="s">
        <v>970</v>
      </c>
      <c r="O459" s="16" t="str">
        <f>TEXT(DATEVALUE(LEFT(F459,10)),"mm-yyyy")</f>
        <v>03-2015</v>
      </c>
      <c r="P459" s="16">
        <f>H459*I459</f>
        <v>9.99</v>
      </c>
    </row>
    <row r="460" spans="3:16" x14ac:dyDescent="0.25">
      <c r="C460" t="str">
        <f>IF(COUNTBLANK(E460:N460) = 10,"",IF(AND(NOT(ISBLANK(E460)),COUNTBLANK(E460:N460) = 9),"3 Delete",IF(ISBLANK(E460),"2 Add",IF(JenkinsHashRange(E460:N460) = "1499140410","0 Original","1 Modify"))))</f>
        <v>0 Original</v>
      </c>
      <c r="D460" s="3" t="s">
        <v>1647</v>
      </c>
      <c r="E460" s="5">
        <v>1948</v>
      </c>
      <c r="F460" t="s">
        <v>1108</v>
      </c>
      <c r="G460" t="s">
        <v>453</v>
      </c>
      <c r="H460" s="9">
        <v>8.99</v>
      </c>
      <c r="I460" s="5">
        <v>1</v>
      </c>
      <c r="J460" s="7" t="s">
        <v>970</v>
      </c>
      <c r="K460" s="7">
        <v>42748.047268518516</v>
      </c>
      <c r="L460" s="3" t="s">
        <v>970</v>
      </c>
      <c r="M460" s="7">
        <v>42748.047268518516</v>
      </c>
      <c r="N460" s="3" t="s">
        <v>970</v>
      </c>
      <c r="O460" s="16" t="str">
        <f>TEXT(DATEVALUE(LEFT(F460,10)),"mm-yyyy")</f>
        <v>03-2015</v>
      </c>
      <c r="P460" s="16">
        <f>H460*I460</f>
        <v>8.99</v>
      </c>
    </row>
    <row r="461" spans="3:16" x14ac:dyDescent="0.25">
      <c r="C461" t="str">
        <f>IF(COUNTBLANK(E461:N461) = 10,"",IF(AND(NOT(ISBLANK(E461)),COUNTBLANK(E461:N461) = 9),"3 Delete",IF(ISBLANK(E461),"2 Add",IF(JenkinsHashRange(E461:N461) = "928416430","0 Original","1 Modify"))))</f>
        <v>0 Original</v>
      </c>
      <c r="D461" s="3" t="s">
        <v>1656</v>
      </c>
      <c r="E461" s="5">
        <v>2023</v>
      </c>
      <c r="F461" t="s">
        <v>1112</v>
      </c>
      <c r="G461" t="s">
        <v>797</v>
      </c>
      <c r="H461" s="9">
        <v>5.99</v>
      </c>
      <c r="I461" s="5">
        <v>1</v>
      </c>
      <c r="J461" s="7" t="s">
        <v>970</v>
      </c>
      <c r="K461" s="7">
        <v>42748.047268518516</v>
      </c>
      <c r="L461" s="3" t="s">
        <v>970</v>
      </c>
      <c r="M461" s="7">
        <v>42748.047268518516</v>
      </c>
      <c r="N461" s="3" t="s">
        <v>970</v>
      </c>
      <c r="O461" s="16" t="str">
        <f>TEXT(DATEVALUE(LEFT(F461,10)),"mm-yyyy")</f>
        <v>03-2015</v>
      </c>
      <c r="P461" s="16">
        <f>H461*I461</f>
        <v>5.99</v>
      </c>
    </row>
    <row r="462" spans="3:16" x14ac:dyDescent="0.25">
      <c r="C462" t="str">
        <f>IF(COUNTBLANK(E462:N462) = 10,"",IF(AND(NOT(ISBLANK(E462)),COUNTBLANK(E462:N462) = 9),"3 Delete",IF(ISBLANK(E462),"2 Add",IF(JenkinsHashRange(E462:N462) = "1010387719","0 Original","1 Modify"))))</f>
        <v>0 Original</v>
      </c>
      <c r="D462" s="3" t="s">
        <v>1657</v>
      </c>
      <c r="E462" s="5">
        <v>2024</v>
      </c>
      <c r="F462" t="s">
        <v>1112</v>
      </c>
      <c r="G462" t="s">
        <v>484</v>
      </c>
      <c r="H462" s="9">
        <v>6.99</v>
      </c>
      <c r="I462" s="5">
        <v>1</v>
      </c>
      <c r="J462" s="7" t="s">
        <v>970</v>
      </c>
      <c r="K462" s="7">
        <v>42748.047268518516</v>
      </c>
      <c r="L462" s="3" t="s">
        <v>970</v>
      </c>
      <c r="M462" s="7">
        <v>42748.047268518516</v>
      </c>
      <c r="N462" s="3" t="s">
        <v>970</v>
      </c>
      <c r="O462" s="16" t="str">
        <f>TEXT(DATEVALUE(LEFT(F462,10)),"mm-yyyy")</f>
        <v>03-2015</v>
      </c>
      <c r="P462" s="16">
        <f>H462*I462</f>
        <v>6.99</v>
      </c>
    </row>
    <row r="463" spans="3:16" x14ac:dyDescent="0.25">
      <c r="C463" t="str">
        <f>IF(COUNTBLANK(E463:N463) = 10,"",IF(AND(NOT(ISBLANK(E463)),COUNTBLANK(E463:N463) = 9),"3 Delete",IF(ISBLANK(E463),"2 Add",IF(JenkinsHashRange(E463:N463) = "7442257","0 Original","1 Modify"))))</f>
        <v>0 Original</v>
      </c>
      <c r="D463" s="3" t="s">
        <v>1658</v>
      </c>
      <c r="E463" s="5">
        <v>2025</v>
      </c>
      <c r="F463" t="s">
        <v>1112</v>
      </c>
      <c r="G463" t="s">
        <v>846</v>
      </c>
      <c r="H463" s="9">
        <v>8.99</v>
      </c>
      <c r="I463" s="5">
        <v>1</v>
      </c>
      <c r="J463" s="7" t="s">
        <v>970</v>
      </c>
      <c r="K463" s="7">
        <v>42748.047268518516</v>
      </c>
      <c r="L463" s="3" t="s">
        <v>970</v>
      </c>
      <c r="M463" s="7">
        <v>42748.047268518516</v>
      </c>
      <c r="N463" s="3" t="s">
        <v>970</v>
      </c>
      <c r="O463" s="16" t="str">
        <f>TEXT(DATEVALUE(LEFT(F463,10)),"mm-yyyy")</f>
        <v>03-2015</v>
      </c>
      <c r="P463" s="16">
        <f>H463*I463</f>
        <v>8.99</v>
      </c>
    </row>
    <row r="464" spans="3:16" x14ac:dyDescent="0.25">
      <c r="C464" t="str">
        <f>IF(COUNTBLANK(E464:N464) = 10,"",IF(AND(NOT(ISBLANK(E464)),COUNTBLANK(E464:N464) = 9),"3 Delete",IF(ISBLANK(E464),"2 Add",IF(JenkinsHashRange(E464:N464) = "892535368","0 Original","1 Modify"))))</f>
        <v>0 Original</v>
      </c>
      <c r="D464" s="3" t="s">
        <v>1659</v>
      </c>
      <c r="E464" s="5">
        <v>2026</v>
      </c>
      <c r="F464" t="s">
        <v>1112</v>
      </c>
      <c r="G464" t="s">
        <v>443</v>
      </c>
      <c r="H464" s="9">
        <v>6.99</v>
      </c>
      <c r="I464" s="5">
        <v>1</v>
      </c>
      <c r="J464" s="7" t="s">
        <v>970</v>
      </c>
      <c r="K464" s="7">
        <v>42748.047268518516</v>
      </c>
      <c r="L464" s="3" t="s">
        <v>970</v>
      </c>
      <c r="M464" s="7">
        <v>42748.047268518516</v>
      </c>
      <c r="N464" s="3" t="s">
        <v>970</v>
      </c>
      <c r="O464" s="16" t="str">
        <f>TEXT(DATEVALUE(LEFT(F464,10)),"mm-yyyy")</f>
        <v>03-2015</v>
      </c>
      <c r="P464" s="16">
        <f>H464*I464</f>
        <v>6.99</v>
      </c>
    </row>
    <row r="465" spans="3:16" x14ac:dyDescent="0.25">
      <c r="C465" t="str">
        <f>IF(COUNTBLANK(E465:N465) = 10,"",IF(AND(NOT(ISBLANK(E465)),COUNTBLANK(E465:N465) = 9),"3 Delete",IF(ISBLANK(E465),"2 Add",IF(JenkinsHashRange(E465:N465) = "142854237","0 Original","1 Modify"))))</f>
        <v>0 Original</v>
      </c>
      <c r="D465" s="3" t="s">
        <v>1660</v>
      </c>
      <c r="E465" s="5">
        <v>2027</v>
      </c>
      <c r="F465" t="s">
        <v>1112</v>
      </c>
      <c r="G465" t="s">
        <v>730</v>
      </c>
      <c r="H465" s="9">
        <v>9.99</v>
      </c>
      <c r="I465" s="5">
        <v>1</v>
      </c>
      <c r="J465" s="7" t="s">
        <v>970</v>
      </c>
      <c r="K465" s="7">
        <v>42748.047268518516</v>
      </c>
      <c r="L465" s="3" t="s">
        <v>970</v>
      </c>
      <c r="M465" s="7">
        <v>42748.047268518516</v>
      </c>
      <c r="N465" s="3" t="s">
        <v>970</v>
      </c>
      <c r="O465" s="16" t="str">
        <f>TEXT(DATEVALUE(LEFT(F465,10)),"mm-yyyy")</f>
        <v>03-2015</v>
      </c>
      <c r="P465" s="16">
        <f>H465*I465</f>
        <v>9.99</v>
      </c>
    </row>
    <row r="466" spans="3:16" x14ac:dyDescent="0.25">
      <c r="C466" t="str">
        <f>IF(COUNTBLANK(E466:N466) = 10,"",IF(AND(NOT(ISBLANK(E466)),COUNTBLANK(E466:N466) = 9),"3 Delete",IF(ISBLANK(E466),"2 Add",IF(JenkinsHashRange(E466:N466) = "432092644","0 Original","1 Modify"))))</f>
        <v>0 Original</v>
      </c>
      <c r="D466" s="3" t="s">
        <v>1661</v>
      </c>
      <c r="E466" s="5">
        <v>2040</v>
      </c>
      <c r="F466" t="s">
        <v>1113</v>
      </c>
      <c r="G466" t="s">
        <v>864</v>
      </c>
      <c r="H466" s="9">
        <v>6.99</v>
      </c>
      <c r="I466" s="5">
        <v>1</v>
      </c>
      <c r="J466" s="7" t="s">
        <v>970</v>
      </c>
      <c r="K466" s="7">
        <v>42748.047268518516</v>
      </c>
      <c r="L466" s="3" t="s">
        <v>970</v>
      </c>
      <c r="M466" s="7">
        <v>42748.047268518516</v>
      </c>
      <c r="N466" s="3" t="s">
        <v>970</v>
      </c>
      <c r="O466" s="16" t="str">
        <f>TEXT(DATEVALUE(LEFT(F466,10)),"mm-yyyy")</f>
        <v>03-2015</v>
      </c>
      <c r="P466" s="16">
        <f>H466*I466</f>
        <v>6.99</v>
      </c>
    </row>
    <row r="467" spans="3:16" x14ac:dyDescent="0.25">
      <c r="C467" t="str">
        <f>IF(COUNTBLANK(E467:N467) = 10,"",IF(AND(NOT(ISBLANK(E467)),COUNTBLANK(E467:N467) = 9),"3 Delete",IF(ISBLANK(E467),"2 Add",IF(JenkinsHashRange(E467:N467) = "961713675","0 Original","1 Modify"))))</f>
        <v>0 Original</v>
      </c>
      <c r="D467" s="3" t="s">
        <v>1662</v>
      </c>
      <c r="E467" s="5">
        <v>2041</v>
      </c>
      <c r="F467" t="s">
        <v>1113</v>
      </c>
      <c r="G467" t="s">
        <v>733</v>
      </c>
      <c r="H467" s="9">
        <v>9.99</v>
      </c>
      <c r="I467" s="5">
        <v>1</v>
      </c>
      <c r="J467" s="7" t="s">
        <v>970</v>
      </c>
      <c r="K467" s="7">
        <v>42748.047268518516</v>
      </c>
      <c r="L467" s="3" t="s">
        <v>970</v>
      </c>
      <c r="M467" s="7">
        <v>42748.047268518516</v>
      </c>
      <c r="N467" s="3" t="s">
        <v>970</v>
      </c>
      <c r="O467" s="16" t="str">
        <f>TEXT(DATEVALUE(LEFT(F467,10)),"mm-yyyy")</f>
        <v>03-2015</v>
      </c>
      <c r="P467" s="16">
        <f>H467*I467</f>
        <v>9.99</v>
      </c>
    </row>
    <row r="468" spans="3:16" x14ac:dyDescent="0.25">
      <c r="C468" t="str">
        <f>IF(COUNTBLANK(E468:N468) = 10,"",IF(AND(NOT(ISBLANK(E468)),COUNTBLANK(E468:N468) = 9),"3 Delete",IF(ISBLANK(E468),"2 Add",IF(JenkinsHashRange(E468:N468) = "951016745","0 Original","1 Modify"))))</f>
        <v>0 Original</v>
      </c>
      <c r="D468" s="3" t="s">
        <v>1663</v>
      </c>
      <c r="E468" s="5">
        <v>2042</v>
      </c>
      <c r="F468" t="s">
        <v>1113</v>
      </c>
      <c r="G468" t="s">
        <v>500</v>
      </c>
      <c r="H468" s="9">
        <v>4.99</v>
      </c>
      <c r="I468" s="5">
        <v>2</v>
      </c>
      <c r="J468" s="7" t="s">
        <v>970</v>
      </c>
      <c r="K468" s="7">
        <v>42748.047268518516</v>
      </c>
      <c r="L468" s="3" t="s">
        <v>970</v>
      </c>
      <c r="M468" s="7">
        <v>42748.047268518516</v>
      </c>
      <c r="N468" s="3" t="s">
        <v>970</v>
      </c>
      <c r="O468" s="16" t="str">
        <f>TEXT(DATEVALUE(LEFT(F468,10)),"mm-yyyy")</f>
        <v>03-2015</v>
      </c>
      <c r="P468" s="16">
        <f>H468*I468</f>
        <v>9.98</v>
      </c>
    </row>
    <row r="469" spans="3:16" x14ac:dyDescent="0.25">
      <c r="C469" t="str">
        <f>IF(COUNTBLANK(E469:N469) = 10,"",IF(AND(NOT(ISBLANK(E469)),COUNTBLANK(E469:N469) = 9),"3 Delete",IF(ISBLANK(E469),"2 Add",IF(JenkinsHashRange(E469:N469) = "474556522","0 Original","1 Modify"))))</f>
        <v>0 Original</v>
      </c>
      <c r="D469" s="3" t="s">
        <v>1664</v>
      </c>
      <c r="E469" s="5">
        <v>2043</v>
      </c>
      <c r="F469" t="s">
        <v>1113</v>
      </c>
      <c r="G469" t="s">
        <v>604</v>
      </c>
      <c r="H469" s="9">
        <v>7.99</v>
      </c>
      <c r="I469" s="5">
        <v>2</v>
      </c>
      <c r="J469" s="7" t="s">
        <v>970</v>
      </c>
      <c r="K469" s="7">
        <v>42748.047268518516</v>
      </c>
      <c r="L469" s="3" t="s">
        <v>970</v>
      </c>
      <c r="M469" s="7">
        <v>42748.047268518516</v>
      </c>
      <c r="N469" s="3" t="s">
        <v>970</v>
      </c>
      <c r="O469" s="16" t="str">
        <f>TEXT(DATEVALUE(LEFT(F469,10)),"mm-yyyy")</f>
        <v>03-2015</v>
      </c>
      <c r="P469" s="16">
        <f>H469*I469</f>
        <v>15.98</v>
      </c>
    </row>
    <row r="470" spans="3:16" x14ac:dyDescent="0.25">
      <c r="C470" t="str">
        <f>IF(COUNTBLANK(E470:N470) = 10,"",IF(AND(NOT(ISBLANK(E470)),COUNTBLANK(E470:N470) = 9),"3 Delete",IF(ISBLANK(E470),"2 Add",IF(JenkinsHashRange(E470:N470) = "1300999436","0 Original","1 Modify"))))</f>
        <v>0 Original</v>
      </c>
      <c r="D470" s="3" t="s">
        <v>1667</v>
      </c>
      <c r="E470" s="5">
        <v>2067</v>
      </c>
      <c r="F470" t="s">
        <v>1116</v>
      </c>
      <c r="G470" t="s">
        <v>553</v>
      </c>
      <c r="H470" s="9">
        <v>9.99</v>
      </c>
      <c r="I470" s="5">
        <v>1</v>
      </c>
      <c r="J470" s="7" t="s">
        <v>970</v>
      </c>
      <c r="K470" s="7">
        <v>42748.047268518516</v>
      </c>
      <c r="L470" s="3" t="s">
        <v>970</v>
      </c>
      <c r="M470" s="7">
        <v>42748.047268518516</v>
      </c>
      <c r="N470" s="3" t="s">
        <v>970</v>
      </c>
      <c r="O470" s="16" t="str">
        <f>TEXT(DATEVALUE(LEFT(F470,10)),"mm-yyyy")</f>
        <v>03-2015</v>
      </c>
      <c r="P470" s="16">
        <f>H470*I470</f>
        <v>9.99</v>
      </c>
    </row>
    <row r="471" spans="3:16" x14ac:dyDescent="0.25">
      <c r="C471" t="str">
        <f>IF(COUNTBLANK(E471:N471) = 10,"",IF(AND(NOT(ISBLANK(E471)),COUNTBLANK(E471:N471) = 9),"3 Delete",IF(ISBLANK(E471),"2 Add",IF(JenkinsHashRange(E471:N471) = "671029335","0 Original","1 Modify"))))</f>
        <v>0 Original</v>
      </c>
      <c r="D471" s="3" t="s">
        <v>1668</v>
      </c>
      <c r="E471" s="5">
        <v>2068</v>
      </c>
      <c r="F471" t="s">
        <v>1116</v>
      </c>
      <c r="G471" t="s">
        <v>659</v>
      </c>
      <c r="H471" s="9">
        <v>9.99</v>
      </c>
      <c r="I471" s="5">
        <v>1</v>
      </c>
      <c r="J471" s="7" t="s">
        <v>970</v>
      </c>
      <c r="K471" s="7">
        <v>42748.047268518516</v>
      </c>
      <c r="L471" s="3" t="s">
        <v>970</v>
      </c>
      <c r="M471" s="7">
        <v>42748.047268518516</v>
      </c>
      <c r="N471" s="3" t="s">
        <v>970</v>
      </c>
      <c r="O471" s="16" t="str">
        <f>TEXT(DATEVALUE(LEFT(F471,10)),"mm-yyyy")</f>
        <v>03-2015</v>
      </c>
      <c r="P471" s="16">
        <f>H471*I471</f>
        <v>9.99</v>
      </c>
    </row>
    <row r="472" spans="3:16" x14ac:dyDescent="0.25">
      <c r="C472" t="str">
        <f>IF(COUNTBLANK(E472:N472) = 10,"",IF(AND(NOT(ISBLANK(E472)),COUNTBLANK(E472:N472) = 9),"3 Delete",IF(ISBLANK(E472),"2 Add",IF(JenkinsHashRange(E472:N472) = "1043219976","0 Original","1 Modify"))))</f>
        <v>0 Original</v>
      </c>
      <c r="D472" s="3" t="s">
        <v>1669</v>
      </c>
      <c r="E472" s="5">
        <v>2069</v>
      </c>
      <c r="F472" t="s">
        <v>1116</v>
      </c>
      <c r="G472" t="s">
        <v>733</v>
      </c>
      <c r="H472" s="9">
        <v>9.99</v>
      </c>
      <c r="I472" s="5">
        <v>2</v>
      </c>
      <c r="J472" s="7" t="s">
        <v>970</v>
      </c>
      <c r="K472" s="7">
        <v>42748.047268518516</v>
      </c>
      <c r="L472" s="3" t="s">
        <v>970</v>
      </c>
      <c r="M472" s="7">
        <v>42748.047268518516</v>
      </c>
      <c r="N472" s="3" t="s">
        <v>970</v>
      </c>
      <c r="O472" s="16" t="str">
        <f>TEXT(DATEVALUE(LEFT(F472,10)),"mm-yyyy")</f>
        <v>03-2015</v>
      </c>
      <c r="P472" s="16">
        <f>H472*I472</f>
        <v>19.98</v>
      </c>
    </row>
    <row r="473" spans="3:16" x14ac:dyDescent="0.25">
      <c r="C473" t="str">
        <f>IF(COUNTBLANK(E473:N473) = 10,"",IF(AND(NOT(ISBLANK(E473)),COUNTBLANK(E473:N473) = 9),"3 Delete",IF(ISBLANK(E473),"2 Add",IF(JenkinsHashRange(E473:N473) = "1684020945","0 Original","1 Modify"))))</f>
        <v>0 Original</v>
      </c>
      <c r="D473" s="3" t="s">
        <v>1670</v>
      </c>
      <c r="E473" s="5">
        <v>2070</v>
      </c>
      <c r="F473" t="s">
        <v>1116</v>
      </c>
      <c r="G473" t="s">
        <v>820</v>
      </c>
      <c r="H473" s="9">
        <v>9.99</v>
      </c>
      <c r="I473" s="5">
        <v>1</v>
      </c>
      <c r="J473" s="7" t="s">
        <v>970</v>
      </c>
      <c r="K473" s="7">
        <v>42748.047268518516</v>
      </c>
      <c r="L473" s="3" t="s">
        <v>970</v>
      </c>
      <c r="M473" s="7">
        <v>42748.047268518516</v>
      </c>
      <c r="N473" s="3" t="s">
        <v>970</v>
      </c>
      <c r="O473" s="16" t="str">
        <f>TEXT(DATEVALUE(LEFT(F473,10)),"mm-yyyy")</f>
        <v>03-2015</v>
      </c>
      <c r="P473" s="16">
        <f>H473*I473</f>
        <v>9.99</v>
      </c>
    </row>
    <row r="474" spans="3:16" x14ac:dyDescent="0.25">
      <c r="C474" t="str">
        <f>IF(COUNTBLANK(E474:N474) = 10,"",IF(AND(NOT(ISBLANK(E474)),COUNTBLANK(E474:N474) = 9),"3 Delete",IF(ISBLANK(E474),"2 Add",IF(JenkinsHashRange(E474:N474) = "1312257557","0 Original","1 Modify"))))</f>
        <v>0 Original</v>
      </c>
      <c r="D474" s="3" t="s">
        <v>1671</v>
      </c>
      <c r="E474" s="5">
        <v>2071</v>
      </c>
      <c r="F474" t="s">
        <v>1116</v>
      </c>
      <c r="G474" t="s">
        <v>484</v>
      </c>
      <c r="H474" s="9">
        <v>6.99</v>
      </c>
      <c r="I474" s="5">
        <v>1</v>
      </c>
      <c r="J474" s="7" t="s">
        <v>970</v>
      </c>
      <c r="K474" s="7">
        <v>42748.047268518516</v>
      </c>
      <c r="L474" s="3" t="s">
        <v>970</v>
      </c>
      <c r="M474" s="7">
        <v>42748.047268518516</v>
      </c>
      <c r="N474" s="3" t="s">
        <v>970</v>
      </c>
      <c r="O474" s="16" t="str">
        <f>TEXT(DATEVALUE(LEFT(F474,10)),"mm-yyyy")</f>
        <v>03-2015</v>
      </c>
      <c r="P474" s="16">
        <f>H474*I474</f>
        <v>6.99</v>
      </c>
    </row>
    <row r="475" spans="3:16" x14ac:dyDescent="0.25">
      <c r="C475" t="str">
        <f>IF(COUNTBLANK(E475:N475) = 10,"",IF(AND(NOT(ISBLANK(E475)),COUNTBLANK(E475:N475) = 9),"3 Delete",IF(ISBLANK(E475),"2 Add",IF(JenkinsHashRange(E475:N475) = "1825068479","0 Original","1 Modify"))))</f>
        <v>0 Original</v>
      </c>
      <c r="D475" s="3" t="s">
        <v>1683</v>
      </c>
      <c r="E475" s="5">
        <v>2151</v>
      </c>
      <c r="F475" t="s">
        <v>1121</v>
      </c>
      <c r="G475" t="s">
        <v>768</v>
      </c>
      <c r="H475" s="9">
        <v>6.99</v>
      </c>
      <c r="I475" s="5">
        <v>2</v>
      </c>
      <c r="J475" s="7" t="s">
        <v>970</v>
      </c>
      <c r="K475" s="7">
        <v>42748.047268518516</v>
      </c>
      <c r="L475" s="3" t="s">
        <v>970</v>
      </c>
      <c r="M475" s="7">
        <v>42748.047268518516</v>
      </c>
      <c r="N475" s="3" t="s">
        <v>970</v>
      </c>
      <c r="O475" s="16" t="str">
        <f>TEXT(DATEVALUE(LEFT(F475,10)),"mm-yyyy")</f>
        <v>03-2015</v>
      </c>
      <c r="P475" s="16">
        <f>H475*I475</f>
        <v>13.98</v>
      </c>
    </row>
    <row r="476" spans="3:16" x14ac:dyDescent="0.25">
      <c r="C476" t="str">
        <f>IF(COUNTBLANK(E476:N476) = 10,"",IF(AND(NOT(ISBLANK(E476)),COUNTBLANK(E476:N476) = 9),"3 Delete",IF(ISBLANK(E476),"2 Add",IF(JenkinsHashRange(E476:N476) = "1817763995","0 Original","1 Modify"))))</f>
        <v>0 Original</v>
      </c>
      <c r="D476" s="3" t="s">
        <v>1684</v>
      </c>
      <c r="E476" s="5">
        <v>2152</v>
      </c>
      <c r="F476" t="s">
        <v>1121</v>
      </c>
      <c r="G476" t="s">
        <v>927</v>
      </c>
      <c r="H476" s="9">
        <v>9.99</v>
      </c>
      <c r="I476" s="5">
        <v>2</v>
      </c>
      <c r="J476" s="7" t="s">
        <v>970</v>
      </c>
      <c r="K476" s="7">
        <v>42748.047268518516</v>
      </c>
      <c r="L476" s="3" t="s">
        <v>970</v>
      </c>
      <c r="M476" s="7">
        <v>42748.047268518516</v>
      </c>
      <c r="N476" s="3" t="s">
        <v>970</v>
      </c>
      <c r="O476" s="16" t="str">
        <f>TEXT(DATEVALUE(LEFT(F476,10)),"mm-yyyy")</f>
        <v>03-2015</v>
      </c>
      <c r="P476" s="16">
        <f>H476*I476</f>
        <v>19.98</v>
      </c>
    </row>
    <row r="477" spans="3:16" x14ac:dyDescent="0.25">
      <c r="C477" t="str">
        <f>IF(COUNTBLANK(E477:N477) = 10,"",IF(AND(NOT(ISBLANK(E477)),COUNTBLANK(E477:N477) = 9),"3 Delete",IF(ISBLANK(E477),"2 Add",IF(JenkinsHashRange(E477:N477) = "493275926","0 Original","1 Modify"))))</f>
        <v>0 Original</v>
      </c>
      <c r="D477" s="3" t="s">
        <v>1689</v>
      </c>
      <c r="E477" s="5">
        <v>2174</v>
      </c>
      <c r="F477" t="s">
        <v>1123</v>
      </c>
      <c r="G477" t="s">
        <v>743</v>
      </c>
      <c r="H477" s="9">
        <v>9.99</v>
      </c>
      <c r="I477" s="5">
        <v>1</v>
      </c>
      <c r="J477" s="7" t="s">
        <v>970</v>
      </c>
      <c r="K477" s="7">
        <v>42748.047268518516</v>
      </c>
      <c r="L477" s="3" t="s">
        <v>970</v>
      </c>
      <c r="M477" s="7">
        <v>42748.047268518516</v>
      </c>
      <c r="N477" s="3" t="s">
        <v>970</v>
      </c>
      <c r="O477" s="16" t="str">
        <f>TEXT(DATEVALUE(LEFT(F477,10)),"mm-yyyy")</f>
        <v>03-2015</v>
      </c>
      <c r="P477" s="16">
        <f>H477*I477</f>
        <v>9.99</v>
      </c>
    </row>
    <row r="478" spans="3:16" x14ac:dyDescent="0.25">
      <c r="C478" t="str">
        <f>IF(COUNTBLANK(E478:N478) = 10,"",IF(AND(NOT(ISBLANK(E478)),COUNTBLANK(E478:N478) = 9),"3 Delete",IF(ISBLANK(E478),"2 Add",IF(JenkinsHashRange(E478:N478) = "883996697","0 Original","1 Modify"))))</f>
        <v>0 Original</v>
      </c>
      <c r="D478" s="3" t="s">
        <v>1708</v>
      </c>
      <c r="E478" s="5">
        <v>2225</v>
      </c>
      <c r="F478" t="s">
        <v>1130</v>
      </c>
      <c r="G478" t="s">
        <v>927</v>
      </c>
      <c r="H478" s="9">
        <v>9.99</v>
      </c>
      <c r="I478" s="5">
        <v>2</v>
      </c>
      <c r="J478" s="7" t="s">
        <v>970</v>
      </c>
      <c r="K478" s="7">
        <v>42748.047268518516</v>
      </c>
      <c r="L478" s="3" t="s">
        <v>970</v>
      </c>
      <c r="M478" s="7">
        <v>42748.047268518516</v>
      </c>
      <c r="N478" s="3" t="s">
        <v>970</v>
      </c>
      <c r="O478" s="16" t="str">
        <f>TEXT(DATEVALUE(LEFT(F478,10)),"mm-yyyy")</f>
        <v>03-2015</v>
      </c>
      <c r="P478" s="16">
        <f>H478*I478</f>
        <v>19.98</v>
      </c>
    </row>
    <row r="479" spans="3:16" x14ac:dyDescent="0.25">
      <c r="C479" t="str">
        <f>IF(COUNTBLANK(E479:N479) = 10,"",IF(AND(NOT(ISBLANK(E479)),COUNTBLANK(E479:N479) = 9),"3 Delete",IF(ISBLANK(E479),"2 Add",IF(JenkinsHashRange(E479:N479) = "1586130975","0 Original","1 Modify"))))</f>
        <v>0 Original</v>
      </c>
      <c r="D479" s="3" t="s">
        <v>1709</v>
      </c>
      <c r="E479" s="5">
        <v>2226</v>
      </c>
      <c r="F479" t="s">
        <v>1130</v>
      </c>
      <c r="G479" t="s">
        <v>397</v>
      </c>
      <c r="H479" s="9">
        <v>5.99</v>
      </c>
      <c r="I479" s="5">
        <v>1</v>
      </c>
      <c r="J479" s="7" t="s">
        <v>970</v>
      </c>
      <c r="K479" s="7">
        <v>42748.047268518516</v>
      </c>
      <c r="L479" s="3" t="s">
        <v>970</v>
      </c>
      <c r="M479" s="7">
        <v>42748.047268518516</v>
      </c>
      <c r="N479" s="3" t="s">
        <v>970</v>
      </c>
      <c r="O479" s="16" t="str">
        <f>TEXT(DATEVALUE(LEFT(F479,10)),"mm-yyyy")</f>
        <v>03-2015</v>
      </c>
      <c r="P479" s="16">
        <f>H479*I479</f>
        <v>5.99</v>
      </c>
    </row>
    <row r="480" spans="3:16" x14ac:dyDescent="0.25">
      <c r="C480" t="str">
        <f>IF(COUNTBLANK(E480:N480) = 10,"",IF(AND(NOT(ISBLANK(E480)),COUNTBLANK(E480:N480) = 9),"3 Delete",IF(ISBLANK(E480),"2 Add",IF(JenkinsHashRange(E480:N480) = "741970382","0 Original","1 Modify"))))</f>
        <v>0 Original</v>
      </c>
      <c r="D480" s="3" t="s">
        <v>1710</v>
      </c>
      <c r="E480" s="5">
        <v>2227</v>
      </c>
      <c r="F480" t="s">
        <v>1130</v>
      </c>
      <c r="G480" t="s">
        <v>696</v>
      </c>
      <c r="H480" s="9">
        <v>4.99</v>
      </c>
      <c r="I480" s="5">
        <v>1</v>
      </c>
      <c r="J480" s="7" t="s">
        <v>970</v>
      </c>
      <c r="K480" s="7">
        <v>42748.047268518516</v>
      </c>
      <c r="L480" s="3" t="s">
        <v>970</v>
      </c>
      <c r="M480" s="7">
        <v>42748.047268518516</v>
      </c>
      <c r="N480" s="3" t="s">
        <v>970</v>
      </c>
      <c r="O480" s="16" t="str">
        <f>TEXT(DATEVALUE(LEFT(F480,10)),"mm-yyyy")</f>
        <v>03-2015</v>
      </c>
      <c r="P480" s="16">
        <f>H480*I480</f>
        <v>4.99</v>
      </c>
    </row>
    <row r="481" spans="3:16" x14ac:dyDescent="0.25">
      <c r="C481" t="str">
        <f>IF(COUNTBLANK(E481:N481) = 10,"",IF(AND(NOT(ISBLANK(E481)),COUNTBLANK(E481:N481) = 9),"3 Delete",IF(ISBLANK(E481),"2 Add",IF(JenkinsHashRange(E481:N481) = "1940677451","0 Original","1 Modify"))))</f>
        <v>0 Original</v>
      </c>
      <c r="D481" s="3" t="s">
        <v>1711</v>
      </c>
      <c r="E481" s="5">
        <v>2228</v>
      </c>
      <c r="F481" t="s">
        <v>1130</v>
      </c>
      <c r="G481" t="s">
        <v>631</v>
      </c>
      <c r="H481" s="9">
        <v>8.99</v>
      </c>
      <c r="I481" s="5">
        <v>1</v>
      </c>
      <c r="J481" s="7" t="s">
        <v>970</v>
      </c>
      <c r="K481" s="7">
        <v>42748.047268518516</v>
      </c>
      <c r="L481" s="3" t="s">
        <v>970</v>
      </c>
      <c r="M481" s="7">
        <v>42748.047268518516</v>
      </c>
      <c r="N481" s="3" t="s">
        <v>970</v>
      </c>
      <c r="O481" s="16" t="str">
        <f>TEXT(DATEVALUE(LEFT(F481,10)),"mm-yyyy")</f>
        <v>03-2015</v>
      </c>
      <c r="P481" s="16">
        <f>H481*I481</f>
        <v>8.99</v>
      </c>
    </row>
    <row r="482" spans="3:16" x14ac:dyDescent="0.25">
      <c r="C482" t="str">
        <f>IF(COUNTBLANK(E482:N482) = 10,"",IF(AND(NOT(ISBLANK(E482)),COUNTBLANK(E482:N482) = 9),"3 Delete",IF(ISBLANK(E482),"2 Add",IF(JenkinsHashRange(E482:N482) = "655073635","0 Original","1 Modify"))))</f>
        <v>0 Original</v>
      </c>
      <c r="D482" s="3" t="s">
        <v>1712</v>
      </c>
      <c r="E482" s="5">
        <v>2229</v>
      </c>
      <c r="F482" t="s">
        <v>1130</v>
      </c>
      <c r="G482" t="s">
        <v>397</v>
      </c>
      <c r="H482" s="9">
        <v>5.99</v>
      </c>
      <c r="I482" s="5">
        <v>1</v>
      </c>
      <c r="J482" s="7" t="s">
        <v>970</v>
      </c>
      <c r="K482" s="7">
        <v>42748.047268518516</v>
      </c>
      <c r="L482" s="3" t="s">
        <v>970</v>
      </c>
      <c r="M482" s="7">
        <v>42748.047268518516</v>
      </c>
      <c r="N482" s="3" t="s">
        <v>970</v>
      </c>
      <c r="O482" s="16" t="str">
        <f>TEXT(DATEVALUE(LEFT(F482,10)),"mm-yyyy")</f>
        <v>03-2015</v>
      </c>
      <c r="P482" s="16">
        <f>H482*I482</f>
        <v>5.99</v>
      </c>
    </row>
    <row r="483" spans="3:16" x14ac:dyDescent="0.25">
      <c r="C483" t="str">
        <f>IF(COUNTBLANK(E483:N483) = 10,"",IF(AND(NOT(ISBLANK(E483)),COUNTBLANK(E483:N483) = 9),"3 Delete",IF(ISBLANK(E483),"2 Add",IF(JenkinsHashRange(E483:N483) = "758859168","0 Original","1 Modify"))))</f>
        <v>0 Original</v>
      </c>
      <c r="D483" s="3" t="s">
        <v>1714</v>
      </c>
      <c r="E483" s="5">
        <v>2268</v>
      </c>
      <c r="F483" t="s">
        <v>1132</v>
      </c>
      <c r="G483" t="s">
        <v>892</v>
      </c>
      <c r="H483" s="9">
        <v>8.99</v>
      </c>
      <c r="I483" s="5">
        <v>1</v>
      </c>
      <c r="J483" s="7" t="s">
        <v>970</v>
      </c>
      <c r="K483" s="7">
        <v>42748.047268518516</v>
      </c>
      <c r="L483" s="3" t="s">
        <v>970</v>
      </c>
      <c r="M483" s="7">
        <v>42748.047268518516</v>
      </c>
      <c r="N483" s="3" t="s">
        <v>970</v>
      </c>
      <c r="O483" s="16" t="str">
        <f>TEXT(DATEVALUE(LEFT(F483,10)),"mm-yyyy")</f>
        <v>03-2015</v>
      </c>
      <c r="P483" s="16">
        <f>H483*I483</f>
        <v>8.99</v>
      </c>
    </row>
    <row r="484" spans="3:16" x14ac:dyDescent="0.25">
      <c r="C484" t="str">
        <f>IF(COUNTBLANK(E484:N484) = 10,"",IF(AND(NOT(ISBLANK(E484)),COUNTBLANK(E484:N484) = 9),"3 Delete",IF(ISBLANK(E484),"2 Add",IF(JenkinsHashRange(E484:N484) = "614592681","0 Original","1 Modify"))))</f>
        <v>0 Original</v>
      </c>
      <c r="D484" s="3" t="s">
        <v>1715</v>
      </c>
      <c r="E484" s="5">
        <v>2269</v>
      </c>
      <c r="F484" t="s">
        <v>1132</v>
      </c>
      <c r="G484" t="s">
        <v>880</v>
      </c>
      <c r="H484" s="9">
        <v>6.99</v>
      </c>
      <c r="I484" s="5">
        <v>1</v>
      </c>
      <c r="J484" s="7" t="s">
        <v>970</v>
      </c>
      <c r="K484" s="7">
        <v>42748.047268518516</v>
      </c>
      <c r="L484" s="3" t="s">
        <v>970</v>
      </c>
      <c r="M484" s="7">
        <v>42748.047268518516</v>
      </c>
      <c r="N484" s="3" t="s">
        <v>970</v>
      </c>
      <c r="O484" s="16" t="str">
        <f>TEXT(DATEVALUE(LEFT(F484,10)),"mm-yyyy")</f>
        <v>03-2015</v>
      </c>
      <c r="P484" s="16">
        <f>H484*I484</f>
        <v>6.99</v>
      </c>
    </row>
    <row r="485" spans="3:16" x14ac:dyDescent="0.25">
      <c r="C485" t="str">
        <f>IF(COUNTBLANK(E485:N485) = 10,"",IF(AND(NOT(ISBLANK(E485)),COUNTBLANK(E485:N485) = 9),"3 Delete",IF(ISBLANK(E485),"2 Add",IF(JenkinsHashRange(E485:N485) = "324206554","0 Original","1 Modify"))))</f>
        <v>0 Original</v>
      </c>
      <c r="D485" s="3" t="s">
        <v>1716</v>
      </c>
      <c r="E485" s="5">
        <v>2270</v>
      </c>
      <c r="F485" t="s">
        <v>1132</v>
      </c>
      <c r="G485" t="s">
        <v>600</v>
      </c>
      <c r="H485" s="9">
        <v>7.99</v>
      </c>
      <c r="I485" s="5">
        <v>1</v>
      </c>
      <c r="J485" s="7" t="s">
        <v>970</v>
      </c>
      <c r="K485" s="7">
        <v>42748.047268518516</v>
      </c>
      <c r="L485" s="3" t="s">
        <v>970</v>
      </c>
      <c r="M485" s="7">
        <v>42748.047268518516</v>
      </c>
      <c r="N485" s="3" t="s">
        <v>970</v>
      </c>
      <c r="O485" s="16" t="str">
        <f>TEXT(DATEVALUE(LEFT(F485,10)),"mm-yyyy")</f>
        <v>03-2015</v>
      </c>
      <c r="P485" s="16">
        <f>H485*I485</f>
        <v>7.99</v>
      </c>
    </row>
    <row r="486" spans="3:16" x14ac:dyDescent="0.25">
      <c r="C486" t="str">
        <f>IF(COUNTBLANK(E486:N486) = 10,"",IF(AND(NOT(ISBLANK(E486)),COUNTBLANK(E486:N486) = 9),"3 Delete",IF(ISBLANK(E486),"2 Add",IF(JenkinsHashRange(E486:N486) = "40567791","0 Original","1 Modify"))))</f>
        <v>0 Original</v>
      </c>
      <c r="D486" s="3" t="s">
        <v>1717</v>
      </c>
      <c r="E486" s="5">
        <v>2271</v>
      </c>
      <c r="F486" t="s">
        <v>1132</v>
      </c>
      <c r="G486" t="s">
        <v>407</v>
      </c>
      <c r="H486" s="9">
        <v>9.99</v>
      </c>
      <c r="I486" s="5">
        <v>1</v>
      </c>
      <c r="J486" s="7" t="s">
        <v>970</v>
      </c>
      <c r="K486" s="7">
        <v>42748.047268518516</v>
      </c>
      <c r="L486" s="3" t="s">
        <v>970</v>
      </c>
      <c r="M486" s="7">
        <v>42748.047268518516</v>
      </c>
      <c r="N486" s="3" t="s">
        <v>970</v>
      </c>
      <c r="O486" s="16" t="str">
        <f>TEXT(DATEVALUE(LEFT(F486,10)),"mm-yyyy")</f>
        <v>03-2015</v>
      </c>
      <c r="P486" s="16">
        <f>H486*I486</f>
        <v>9.99</v>
      </c>
    </row>
    <row r="487" spans="3:16" x14ac:dyDescent="0.25">
      <c r="C487" t="str">
        <f>IF(COUNTBLANK(E487:N487) = 10,"",IF(AND(NOT(ISBLANK(E487)),COUNTBLANK(E487:N487) = 9),"3 Delete",IF(ISBLANK(E487),"2 Add",IF(JenkinsHashRange(E487:N487) = "1311554419","0 Original","1 Modify"))))</f>
        <v>0 Original</v>
      </c>
      <c r="D487" s="3" t="s">
        <v>1718</v>
      </c>
      <c r="E487" s="5">
        <v>2272</v>
      </c>
      <c r="F487" t="s">
        <v>1132</v>
      </c>
      <c r="G487" t="s">
        <v>920</v>
      </c>
      <c r="H487" s="9">
        <v>5.99</v>
      </c>
      <c r="I487" s="5">
        <v>1</v>
      </c>
      <c r="J487" s="7" t="s">
        <v>970</v>
      </c>
      <c r="K487" s="7">
        <v>42748.047268518516</v>
      </c>
      <c r="L487" s="3" t="s">
        <v>970</v>
      </c>
      <c r="M487" s="7">
        <v>42748.047268518516</v>
      </c>
      <c r="N487" s="3" t="s">
        <v>970</v>
      </c>
      <c r="O487" s="16" t="str">
        <f>TEXT(DATEVALUE(LEFT(F487,10)),"mm-yyyy")</f>
        <v>03-2015</v>
      </c>
      <c r="P487" s="16">
        <f>H487*I487</f>
        <v>5.99</v>
      </c>
    </row>
    <row r="488" spans="3:16" x14ac:dyDescent="0.25">
      <c r="C488" t="str">
        <f>IF(COUNTBLANK(E488:N488) = 10,"",IF(AND(NOT(ISBLANK(E488)),COUNTBLANK(E488:N488) = 9),"3 Delete",IF(ISBLANK(E488),"2 Add",IF(JenkinsHashRange(E488:N488) = "1876651208","0 Original","1 Modify"))))</f>
        <v>0 Original</v>
      </c>
      <c r="D488" s="3" t="s">
        <v>1719</v>
      </c>
      <c r="E488" s="5">
        <v>2273</v>
      </c>
      <c r="F488" t="s">
        <v>1132</v>
      </c>
      <c r="G488" t="s">
        <v>696</v>
      </c>
      <c r="H488" s="9">
        <v>4.99</v>
      </c>
      <c r="I488" s="5">
        <v>2</v>
      </c>
      <c r="J488" s="7" t="s">
        <v>970</v>
      </c>
      <c r="K488" s="7">
        <v>42748.047268518516</v>
      </c>
      <c r="L488" s="3" t="s">
        <v>970</v>
      </c>
      <c r="M488" s="7">
        <v>42748.047268518516</v>
      </c>
      <c r="N488" s="3" t="s">
        <v>970</v>
      </c>
      <c r="O488" s="16" t="str">
        <f>TEXT(DATEVALUE(LEFT(F488,10)),"mm-yyyy")</f>
        <v>03-2015</v>
      </c>
      <c r="P488" s="16">
        <f>H488*I488</f>
        <v>9.98</v>
      </c>
    </row>
    <row r="489" spans="3:16" x14ac:dyDescent="0.25">
      <c r="C489" t="str">
        <f>IF(COUNTBLANK(E489:N489) = 10,"",IF(AND(NOT(ISBLANK(E489)),COUNTBLANK(E489:N489) = 9),"3 Delete",IF(ISBLANK(E489),"2 Add",IF(JenkinsHashRange(E489:N489) = "401716640","0 Original","1 Modify"))))</f>
        <v>0 Original</v>
      </c>
      <c r="D489" s="3" t="s">
        <v>1720</v>
      </c>
      <c r="E489" s="5">
        <v>2274</v>
      </c>
      <c r="F489" t="s">
        <v>1132</v>
      </c>
      <c r="G489" t="s">
        <v>797</v>
      </c>
      <c r="H489" s="9">
        <v>5.99</v>
      </c>
      <c r="I489" s="5">
        <v>2</v>
      </c>
      <c r="J489" s="7" t="s">
        <v>970</v>
      </c>
      <c r="K489" s="7">
        <v>42748.047268518516</v>
      </c>
      <c r="L489" s="3" t="s">
        <v>970</v>
      </c>
      <c r="M489" s="7">
        <v>42748.047268518516</v>
      </c>
      <c r="N489" s="3" t="s">
        <v>970</v>
      </c>
      <c r="O489" s="16" t="str">
        <f>TEXT(DATEVALUE(LEFT(F489,10)),"mm-yyyy")</f>
        <v>03-2015</v>
      </c>
      <c r="P489" s="16">
        <f>H489*I489</f>
        <v>11.98</v>
      </c>
    </row>
    <row r="490" spans="3:16" x14ac:dyDescent="0.25">
      <c r="C490" t="str">
        <f>IF(COUNTBLANK(E490:N490) = 10,"",IF(AND(NOT(ISBLANK(E490)),COUNTBLANK(E490:N490) = 9),"3 Delete",IF(ISBLANK(E490),"2 Add",IF(JenkinsHashRange(E490:N490) = "2082510495","0 Original","1 Modify"))))</f>
        <v>0 Original</v>
      </c>
      <c r="D490" s="3" t="s">
        <v>1721</v>
      </c>
      <c r="E490" s="5">
        <v>2275</v>
      </c>
      <c r="F490" t="s">
        <v>1132</v>
      </c>
      <c r="G490" t="s">
        <v>649</v>
      </c>
      <c r="H490" s="9">
        <v>5.99</v>
      </c>
      <c r="I490" s="5">
        <v>1</v>
      </c>
      <c r="J490" s="7" t="s">
        <v>970</v>
      </c>
      <c r="K490" s="7">
        <v>42748.047268518516</v>
      </c>
      <c r="L490" s="3" t="s">
        <v>970</v>
      </c>
      <c r="M490" s="7">
        <v>42748.047268518516</v>
      </c>
      <c r="N490" s="3" t="s">
        <v>970</v>
      </c>
      <c r="O490" s="16" t="str">
        <f>TEXT(DATEVALUE(LEFT(F490,10)),"mm-yyyy")</f>
        <v>03-2015</v>
      </c>
      <c r="P490" s="16">
        <f>H490*I490</f>
        <v>5.99</v>
      </c>
    </row>
    <row r="491" spans="3:16" x14ac:dyDescent="0.25">
      <c r="C491" t="str">
        <f>IF(COUNTBLANK(E491:N491) = 10,"",IF(AND(NOT(ISBLANK(E491)),COUNTBLANK(E491:N491) = 9),"3 Delete",IF(ISBLANK(E491),"2 Add",IF(JenkinsHashRange(E491:N491) = "1775358838","0 Original","1 Modify"))))</f>
        <v>0 Original</v>
      </c>
      <c r="D491" s="3" t="s">
        <v>1734</v>
      </c>
      <c r="E491" s="5">
        <v>2319</v>
      </c>
      <c r="F491" t="s">
        <v>1136</v>
      </c>
      <c r="G491" t="s">
        <v>850</v>
      </c>
      <c r="H491" s="9">
        <v>7.99</v>
      </c>
      <c r="I491" s="5">
        <v>1</v>
      </c>
      <c r="J491" s="7" t="s">
        <v>970</v>
      </c>
      <c r="K491" s="7">
        <v>42748.047268518516</v>
      </c>
      <c r="L491" s="3" t="s">
        <v>970</v>
      </c>
      <c r="M491" s="7">
        <v>42748.047268518516</v>
      </c>
      <c r="N491" s="3" t="s">
        <v>970</v>
      </c>
      <c r="O491" s="16" t="str">
        <f>TEXT(DATEVALUE(LEFT(F491,10)),"mm-yyyy")</f>
        <v>03-2015</v>
      </c>
      <c r="P491" s="16">
        <f>H491*I491</f>
        <v>7.99</v>
      </c>
    </row>
    <row r="492" spans="3:16" x14ac:dyDescent="0.25">
      <c r="C492" t="str">
        <f>IF(COUNTBLANK(E492:N492) = 10,"",IF(AND(NOT(ISBLANK(E492)),COUNTBLANK(E492:N492) = 9),"3 Delete",IF(ISBLANK(E492),"2 Add",IF(JenkinsHashRange(E492:N492) = "1521114772","0 Original","1 Modify"))))</f>
        <v>0 Original</v>
      </c>
      <c r="D492" s="3" t="s">
        <v>1735</v>
      </c>
      <c r="E492" s="5">
        <v>2320</v>
      </c>
      <c r="F492" t="s">
        <v>1136</v>
      </c>
      <c r="G492" t="s">
        <v>945</v>
      </c>
      <c r="H492" s="9">
        <v>7.99</v>
      </c>
      <c r="I492" s="5">
        <v>1</v>
      </c>
      <c r="J492" s="7" t="s">
        <v>970</v>
      </c>
      <c r="K492" s="7">
        <v>42748.047268518516</v>
      </c>
      <c r="L492" s="3" t="s">
        <v>970</v>
      </c>
      <c r="M492" s="7">
        <v>42748.047268518516</v>
      </c>
      <c r="N492" s="3" t="s">
        <v>970</v>
      </c>
      <c r="O492" s="16" t="str">
        <f>TEXT(DATEVALUE(LEFT(F492,10)),"mm-yyyy")</f>
        <v>03-2015</v>
      </c>
      <c r="P492" s="16">
        <f>H492*I492</f>
        <v>7.99</v>
      </c>
    </row>
    <row r="493" spans="3:16" x14ac:dyDescent="0.25">
      <c r="C493" t="str">
        <f>IF(COUNTBLANK(E493:N493) = 10,"",IF(AND(NOT(ISBLANK(E493)),COUNTBLANK(E493:N493) = 9),"3 Delete",IF(ISBLANK(E493),"2 Add",IF(JenkinsHashRange(E493:N493) = "950038701","0 Original","1 Modify"))))</f>
        <v>0 Original</v>
      </c>
      <c r="D493" s="3" t="s">
        <v>1736</v>
      </c>
      <c r="E493" s="5">
        <v>2321</v>
      </c>
      <c r="F493" t="s">
        <v>1136</v>
      </c>
      <c r="G493" t="s">
        <v>686</v>
      </c>
      <c r="H493" s="9">
        <v>8.99</v>
      </c>
      <c r="I493" s="5">
        <v>1</v>
      </c>
      <c r="J493" s="7" t="s">
        <v>970</v>
      </c>
      <c r="K493" s="7">
        <v>42748.047268518516</v>
      </c>
      <c r="L493" s="3" t="s">
        <v>970</v>
      </c>
      <c r="M493" s="7">
        <v>42748.047268518516</v>
      </c>
      <c r="N493" s="3" t="s">
        <v>970</v>
      </c>
      <c r="O493" s="16" t="str">
        <f>TEXT(DATEVALUE(LEFT(F493,10)),"mm-yyyy")</f>
        <v>03-2015</v>
      </c>
      <c r="P493" s="16">
        <f>H493*I493</f>
        <v>8.99</v>
      </c>
    </row>
    <row r="494" spans="3:16" x14ac:dyDescent="0.25">
      <c r="C494" t="str">
        <f>IF(COUNTBLANK(E494:N494) = 10,"",IF(AND(NOT(ISBLANK(E494)),COUNTBLANK(E494:N494) = 9),"3 Delete",IF(ISBLANK(E494),"2 Add",IF(JenkinsHashRange(E494:N494) = "481092966","0 Original","1 Modify"))))</f>
        <v>0 Original</v>
      </c>
      <c r="D494" s="3" t="s">
        <v>1737</v>
      </c>
      <c r="E494" s="5">
        <v>2337</v>
      </c>
      <c r="F494" t="s">
        <v>1137</v>
      </c>
      <c r="G494" t="s">
        <v>659</v>
      </c>
      <c r="H494" s="9">
        <v>9.99</v>
      </c>
      <c r="I494" s="5">
        <v>1</v>
      </c>
      <c r="J494" s="7" t="s">
        <v>970</v>
      </c>
      <c r="K494" s="7">
        <v>42748.047268518516</v>
      </c>
      <c r="L494" s="3" t="s">
        <v>970</v>
      </c>
      <c r="M494" s="7">
        <v>42748.047268518516</v>
      </c>
      <c r="N494" s="3" t="s">
        <v>970</v>
      </c>
      <c r="O494" s="16" t="str">
        <f>TEXT(DATEVALUE(LEFT(F494,10)),"mm-yyyy")</f>
        <v>03-2015</v>
      </c>
      <c r="P494" s="16">
        <f>H494*I494</f>
        <v>9.99</v>
      </c>
    </row>
    <row r="495" spans="3:16" x14ac:dyDescent="0.25">
      <c r="C495" t="str">
        <f>IF(COUNTBLANK(E495:N495) = 10,"",IF(AND(NOT(ISBLANK(E495)),COUNTBLANK(E495:N495) = 9),"3 Delete",IF(ISBLANK(E495),"2 Add",IF(JenkinsHashRange(E495:N495) = "1972973475","0 Original","1 Modify"))))</f>
        <v>0 Original</v>
      </c>
      <c r="D495" s="3" t="s">
        <v>1738</v>
      </c>
      <c r="E495" s="5">
        <v>2338</v>
      </c>
      <c r="F495" t="s">
        <v>1137</v>
      </c>
      <c r="G495" t="s">
        <v>737</v>
      </c>
      <c r="H495" s="9">
        <v>9.99</v>
      </c>
      <c r="I495" s="5">
        <v>2</v>
      </c>
      <c r="J495" s="7" t="s">
        <v>970</v>
      </c>
      <c r="K495" s="7">
        <v>42748.047268518516</v>
      </c>
      <c r="L495" s="3" t="s">
        <v>970</v>
      </c>
      <c r="M495" s="7">
        <v>42748.047268518516</v>
      </c>
      <c r="N495" s="3" t="s">
        <v>970</v>
      </c>
      <c r="O495" s="16" t="str">
        <f>TEXT(DATEVALUE(LEFT(F495,10)),"mm-yyyy")</f>
        <v>03-2015</v>
      </c>
      <c r="P495" s="16">
        <f>H495*I495</f>
        <v>19.98</v>
      </c>
    </row>
    <row r="496" spans="3:16" x14ac:dyDescent="0.25">
      <c r="C496" t="str">
        <f>IF(COUNTBLANK(E496:N496) = 10,"",IF(AND(NOT(ISBLANK(E496)),COUNTBLANK(E496:N496) = 9),"3 Delete",IF(ISBLANK(E496),"2 Add",IF(JenkinsHashRange(E496:N496) = "1727601905","0 Original","1 Modify"))))</f>
        <v>0 Original</v>
      </c>
      <c r="D496" s="3" t="s">
        <v>1739</v>
      </c>
      <c r="E496" s="5">
        <v>2339</v>
      </c>
      <c r="F496" t="s">
        <v>1137</v>
      </c>
      <c r="G496" t="s">
        <v>453</v>
      </c>
      <c r="H496" s="9">
        <v>8.99</v>
      </c>
      <c r="I496" s="5">
        <v>1</v>
      </c>
      <c r="J496" s="7" t="s">
        <v>970</v>
      </c>
      <c r="K496" s="7">
        <v>42748.047268518516</v>
      </c>
      <c r="L496" s="3" t="s">
        <v>970</v>
      </c>
      <c r="M496" s="7">
        <v>42748.047268518516</v>
      </c>
      <c r="N496" s="3" t="s">
        <v>970</v>
      </c>
      <c r="O496" s="16" t="str">
        <f>TEXT(DATEVALUE(LEFT(F496,10)),"mm-yyyy")</f>
        <v>03-2015</v>
      </c>
      <c r="P496" s="16">
        <f>H496*I496</f>
        <v>8.99</v>
      </c>
    </row>
    <row r="497" spans="3:16" x14ac:dyDescent="0.25">
      <c r="C497" t="str">
        <f>IF(COUNTBLANK(E497:N497) = 10,"",IF(AND(NOT(ISBLANK(E497)),COUNTBLANK(E497:N497) = 9),"3 Delete",IF(ISBLANK(E497),"2 Add",IF(JenkinsHashRange(E497:N497) = "902905422","0 Original","1 Modify"))))</f>
        <v>0 Original</v>
      </c>
      <c r="D497" s="3" t="s">
        <v>1740</v>
      </c>
      <c r="E497" s="5">
        <v>2340</v>
      </c>
      <c r="F497" t="s">
        <v>1137</v>
      </c>
      <c r="G497" t="s">
        <v>713</v>
      </c>
      <c r="H497" s="9">
        <v>6.99</v>
      </c>
      <c r="I497" s="5">
        <v>1</v>
      </c>
      <c r="J497" s="7" t="s">
        <v>970</v>
      </c>
      <c r="K497" s="7">
        <v>42748.047268518516</v>
      </c>
      <c r="L497" s="3" t="s">
        <v>970</v>
      </c>
      <c r="M497" s="7">
        <v>42748.047268518516</v>
      </c>
      <c r="N497" s="3" t="s">
        <v>970</v>
      </c>
      <c r="O497" s="16" t="str">
        <f>TEXT(DATEVALUE(LEFT(F497,10)),"mm-yyyy")</f>
        <v>03-2015</v>
      </c>
      <c r="P497" s="16">
        <f>H497*I497</f>
        <v>6.99</v>
      </c>
    </row>
    <row r="498" spans="3:16" x14ac:dyDescent="0.25">
      <c r="C498" t="str">
        <f>IF(COUNTBLANK(E498:N498) = 10,"",IF(AND(NOT(ISBLANK(E498)),COUNTBLANK(E498:N498) = 9),"3 Delete",IF(ISBLANK(E498),"2 Add",IF(JenkinsHashRange(E498:N498) = "182395227","0 Original","1 Modify"))))</f>
        <v>0 Original</v>
      </c>
      <c r="D498" s="3" t="s">
        <v>1757</v>
      </c>
      <c r="E498" s="5">
        <v>2402</v>
      </c>
      <c r="F498" t="s">
        <v>1142</v>
      </c>
      <c r="G498" t="s">
        <v>400</v>
      </c>
      <c r="H498" s="9">
        <v>6.99</v>
      </c>
      <c r="I498" s="5">
        <v>1</v>
      </c>
      <c r="J498" s="7" t="s">
        <v>970</v>
      </c>
      <c r="K498" s="7">
        <v>42748.047268518516</v>
      </c>
      <c r="L498" s="3" t="s">
        <v>970</v>
      </c>
      <c r="M498" s="7">
        <v>42748.047268518516</v>
      </c>
      <c r="N498" s="3" t="s">
        <v>970</v>
      </c>
      <c r="O498" s="16" t="str">
        <f>TEXT(DATEVALUE(LEFT(F498,10)),"mm-yyyy")</f>
        <v>03-2015</v>
      </c>
      <c r="P498" s="16">
        <f>H498*I498</f>
        <v>6.99</v>
      </c>
    </row>
    <row r="499" spans="3:16" x14ac:dyDescent="0.25">
      <c r="C499" t="str">
        <f>IF(COUNTBLANK(E499:N499) = 10,"",IF(AND(NOT(ISBLANK(E499)),COUNTBLANK(E499:N499) = 9),"3 Delete",IF(ISBLANK(E499),"2 Add",IF(JenkinsHashRange(E499:N499) = "1002337689","0 Original","1 Modify"))))</f>
        <v>0 Original</v>
      </c>
      <c r="D499" s="3" t="s">
        <v>1758</v>
      </c>
      <c r="E499" s="5">
        <v>2403</v>
      </c>
      <c r="F499" t="s">
        <v>1142</v>
      </c>
      <c r="G499" t="s">
        <v>400</v>
      </c>
      <c r="H499" s="9">
        <v>6.99</v>
      </c>
      <c r="I499" s="5">
        <v>2</v>
      </c>
      <c r="J499" s="7" t="s">
        <v>970</v>
      </c>
      <c r="K499" s="7">
        <v>42748.047268518516</v>
      </c>
      <c r="L499" s="3" t="s">
        <v>970</v>
      </c>
      <c r="M499" s="7">
        <v>42748.047268518516</v>
      </c>
      <c r="N499" s="3" t="s">
        <v>970</v>
      </c>
      <c r="O499" s="16" t="str">
        <f>TEXT(DATEVALUE(LEFT(F499,10)),"mm-yyyy")</f>
        <v>03-2015</v>
      </c>
      <c r="P499" s="16">
        <f>H499*I499</f>
        <v>13.98</v>
      </c>
    </row>
    <row r="500" spans="3:16" x14ac:dyDescent="0.25">
      <c r="C500" t="str">
        <f>IF(COUNTBLANK(E500:N500) = 10,"",IF(AND(NOT(ISBLANK(E500)),COUNTBLANK(E500:N500) = 9),"3 Delete",IF(ISBLANK(E500),"2 Add",IF(JenkinsHashRange(E500:N500) = "1359424739","0 Original","1 Modify"))))</f>
        <v>0 Original</v>
      </c>
      <c r="D500" s="3" t="s">
        <v>1759</v>
      </c>
      <c r="E500" s="5">
        <v>2404</v>
      </c>
      <c r="F500" t="s">
        <v>1142</v>
      </c>
      <c r="G500" t="s">
        <v>453</v>
      </c>
      <c r="H500" s="9">
        <v>8.99</v>
      </c>
      <c r="I500" s="5">
        <v>1</v>
      </c>
      <c r="J500" s="7" t="s">
        <v>970</v>
      </c>
      <c r="K500" s="7">
        <v>42748.047268518516</v>
      </c>
      <c r="L500" s="3" t="s">
        <v>970</v>
      </c>
      <c r="M500" s="7">
        <v>42748.047268518516</v>
      </c>
      <c r="N500" s="3" t="s">
        <v>970</v>
      </c>
      <c r="O500" s="16" t="str">
        <f>TEXT(DATEVALUE(LEFT(F500,10)),"mm-yyyy")</f>
        <v>03-2015</v>
      </c>
      <c r="P500" s="16">
        <f>H500*I500</f>
        <v>8.99</v>
      </c>
    </row>
    <row r="501" spans="3:16" x14ac:dyDescent="0.25">
      <c r="C501" t="str">
        <f>IF(COUNTBLANK(E501:N501) = 10,"",IF(AND(NOT(ISBLANK(E501)),COUNTBLANK(E501:N501) = 9),"3 Delete",IF(ISBLANK(E501),"2 Add",IF(JenkinsHashRange(E501:N501) = "126928785","0 Original","1 Modify"))))</f>
        <v>0 Original</v>
      </c>
      <c r="D501" s="3" t="s">
        <v>1760</v>
      </c>
      <c r="E501" s="5">
        <v>2405</v>
      </c>
      <c r="F501" t="s">
        <v>1142</v>
      </c>
      <c r="G501" t="s">
        <v>945</v>
      </c>
      <c r="H501" s="9">
        <v>7.99</v>
      </c>
      <c r="I501" s="5">
        <v>1</v>
      </c>
      <c r="J501" s="7" t="s">
        <v>970</v>
      </c>
      <c r="K501" s="7">
        <v>42748.047268518516</v>
      </c>
      <c r="L501" s="3" t="s">
        <v>970</v>
      </c>
      <c r="M501" s="7">
        <v>42748.047268518516</v>
      </c>
      <c r="N501" s="3" t="s">
        <v>970</v>
      </c>
      <c r="O501" s="16" t="str">
        <f>TEXT(DATEVALUE(LEFT(F501,10)),"mm-yyyy")</f>
        <v>03-2015</v>
      </c>
      <c r="P501" s="16">
        <f>H501*I501</f>
        <v>7.99</v>
      </c>
    </row>
    <row r="502" spans="3:16" x14ac:dyDescent="0.25">
      <c r="C502" t="str">
        <f>IF(COUNTBLANK(E502:N502) = 10,"",IF(AND(NOT(ISBLANK(E502)),COUNTBLANK(E502:N502) = 9),"3 Delete",IF(ISBLANK(E502),"2 Add",IF(JenkinsHashRange(E502:N502) = "222833532","0 Original","1 Modify"))))</f>
        <v>0 Original</v>
      </c>
      <c r="D502" s="3" t="s">
        <v>1761</v>
      </c>
      <c r="E502" s="5">
        <v>2406</v>
      </c>
      <c r="F502" t="s">
        <v>1142</v>
      </c>
      <c r="G502" t="s">
        <v>702</v>
      </c>
      <c r="H502" s="9">
        <v>7.99</v>
      </c>
      <c r="I502" s="5">
        <v>1</v>
      </c>
      <c r="J502" s="7" t="s">
        <v>970</v>
      </c>
      <c r="K502" s="7">
        <v>42748.047268518516</v>
      </c>
      <c r="L502" s="3" t="s">
        <v>970</v>
      </c>
      <c r="M502" s="7">
        <v>42748.047268518516</v>
      </c>
      <c r="N502" s="3" t="s">
        <v>970</v>
      </c>
      <c r="O502" s="16" t="str">
        <f>TEXT(DATEVALUE(LEFT(F502,10)),"mm-yyyy")</f>
        <v>03-2015</v>
      </c>
      <c r="P502" s="16">
        <f>H502*I502</f>
        <v>7.99</v>
      </c>
    </row>
    <row r="503" spans="3:16" x14ac:dyDescent="0.25">
      <c r="C503" t="str">
        <f>IF(COUNTBLANK(E503:N503) = 10,"",IF(AND(NOT(ISBLANK(E503)),COUNTBLANK(E503:N503) = 9),"3 Delete",IF(ISBLANK(E503),"2 Add",IF(JenkinsHashRange(E503:N503) = "100600835","0 Original","1 Modify"))))</f>
        <v>0 Original</v>
      </c>
      <c r="D503" s="3" t="s">
        <v>1762</v>
      </c>
      <c r="E503" s="5">
        <v>2407</v>
      </c>
      <c r="F503" t="s">
        <v>1142</v>
      </c>
      <c r="G503" t="s">
        <v>957</v>
      </c>
      <c r="H503" s="9">
        <v>5.99</v>
      </c>
      <c r="I503" s="5">
        <v>2</v>
      </c>
      <c r="J503" s="7" t="s">
        <v>970</v>
      </c>
      <c r="K503" s="7">
        <v>42748.047268518516</v>
      </c>
      <c r="L503" s="3" t="s">
        <v>970</v>
      </c>
      <c r="M503" s="7">
        <v>42748.047268518516</v>
      </c>
      <c r="N503" s="3" t="s">
        <v>970</v>
      </c>
      <c r="O503" s="16" t="str">
        <f>TEXT(DATEVALUE(LEFT(F503,10)),"mm-yyyy")</f>
        <v>03-2015</v>
      </c>
      <c r="P503" s="16">
        <f>H503*I503</f>
        <v>11.98</v>
      </c>
    </row>
    <row r="504" spans="3:16" x14ac:dyDescent="0.25">
      <c r="C504" t="str">
        <f>IF(COUNTBLANK(E504:N504) = 10,"",IF(AND(NOT(ISBLANK(E504)),COUNTBLANK(E504:N504) = 9),"3 Delete",IF(ISBLANK(E504),"2 Add",IF(JenkinsHashRange(E504:N504) = "1650565740","0 Original","1 Modify"))))</f>
        <v>0 Original</v>
      </c>
      <c r="D504" s="3" t="s">
        <v>1786</v>
      </c>
      <c r="E504" s="5">
        <v>2508</v>
      </c>
      <c r="F504" t="s">
        <v>1151</v>
      </c>
      <c r="G504" t="s">
        <v>400</v>
      </c>
      <c r="H504" s="9">
        <v>6.99</v>
      </c>
      <c r="I504" s="5">
        <v>2</v>
      </c>
      <c r="J504" s="7" t="s">
        <v>970</v>
      </c>
      <c r="K504" s="7">
        <v>42748.047268518516</v>
      </c>
      <c r="L504" s="3" t="s">
        <v>970</v>
      </c>
      <c r="M504" s="7">
        <v>42748.047268518516</v>
      </c>
      <c r="N504" s="3" t="s">
        <v>970</v>
      </c>
      <c r="O504" s="16" t="str">
        <f>TEXT(DATEVALUE(LEFT(F504,10)),"mm-yyyy")</f>
        <v>03-2015</v>
      </c>
      <c r="P504" s="16">
        <f>H504*I504</f>
        <v>13.98</v>
      </c>
    </row>
    <row r="505" spans="3:16" x14ac:dyDescent="0.25">
      <c r="C505" t="str">
        <f>IF(COUNTBLANK(E505:N505) = 10,"",IF(AND(NOT(ISBLANK(E505)),COUNTBLANK(E505:N505) = 9),"3 Delete",IF(ISBLANK(E505),"2 Add",IF(JenkinsHashRange(E505:N505) = "1937268250","0 Original","1 Modify"))))</f>
        <v>0 Original</v>
      </c>
      <c r="D505" s="3" t="s">
        <v>1787</v>
      </c>
      <c r="E505" s="5">
        <v>2509</v>
      </c>
      <c r="F505" t="s">
        <v>1151</v>
      </c>
      <c r="G505" t="s">
        <v>453</v>
      </c>
      <c r="H505" s="9">
        <v>8.99</v>
      </c>
      <c r="I505" s="5">
        <v>2</v>
      </c>
      <c r="J505" s="7" t="s">
        <v>970</v>
      </c>
      <c r="K505" s="7">
        <v>42748.047268518516</v>
      </c>
      <c r="L505" s="3" t="s">
        <v>970</v>
      </c>
      <c r="M505" s="7">
        <v>42748.047268518516</v>
      </c>
      <c r="N505" s="3" t="s">
        <v>970</v>
      </c>
      <c r="O505" s="16" t="str">
        <f>TEXT(DATEVALUE(LEFT(F505,10)),"mm-yyyy")</f>
        <v>03-2015</v>
      </c>
      <c r="P505" s="16">
        <f>H505*I505</f>
        <v>17.98</v>
      </c>
    </row>
    <row r="506" spans="3:16" x14ac:dyDescent="0.25">
      <c r="C506" t="str">
        <f>IF(COUNTBLANK(E506:N506) = 10,"",IF(AND(NOT(ISBLANK(E506)),COUNTBLANK(E506:N506) = 9),"3 Delete",IF(ISBLANK(E506),"2 Add",IF(JenkinsHashRange(E506:N506) = "727132030","0 Original","1 Modify"))))</f>
        <v>0 Original</v>
      </c>
      <c r="D506" s="3" t="s">
        <v>1788</v>
      </c>
      <c r="E506" s="5">
        <v>2510</v>
      </c>
      <c r="F506" t="s">
        <v>1151</v>
      </c>
      <c r="G506" t="s">
        <v>814</v>
      </c>
      <c r="H506" s="9">
        <v>9.99</v>
      </c>
      <c r="I506" s="5">
        <v>1</v>
      </c>
      <c r="J506" s="7" t="s">
        <v>970</v>
      </c>
      <c r="K506" s="7">
        <v>42748.047268518516</v>
      </c>
      <c r="L506" s="3" t="s">
        <v>970</v>
      </c>
      <c r="M506" s="7">
        <v>42748.047268518516</v>
      </c>
      <c r="N506" s="3" t="s">
        <v>970</v>
      </c>
      <c r="O506" s="16" t="str">
        <f>TEXT(DATEVALUE(LEFT(F506,10)),"mm-yyyy")</f>
        <v>03-2015</v>
      </c>
      <c r="P506" s="16">
        <f>H506*I506</f>
        <v>9.99</v>
      </c>
    </row>
    <row r="507" spans="3:16" x14ac:dyDescent="0.25">
      <c r="C507" t="str">
        <f>IF(COUNTBLANK(E507:N507) = 10,"",IF(AND(NOT(ISBLANK(E507)),COUNTBLANK(E507:N507) = 9),"3 Delete",IF(ISBLANK(E507),"2 Add",IF(JenkinsHashRange(E507:N507) = "56280491","0 Original","1 Modify"))))</f>
        <v>0 Original</v>
      </c>
      <c r="D507" s="3" t="s">
        <v>1794</v>
      </c>
      <c r="E507" s="5">
        <v>2547</v>
      </c>
      <c r="F507" t="s">
        <v>1154</v>
      </c>
      <c r="G507" t="s">
        <v>877</v>
      </c>
      <c r="H507" s="9">
        <v>8.99</v>
      </c>
      <c r="I507" s="5">
        <v>1</v>
      </c>
      <c r="J507" s="7" t="s">
        <v>970</v>
      </c>
      <c r="K507" s="7">
        <v>42748.047268518516</v>
      </c>
      <c r="L507" s="3" t="s">
        <v>970</v>
      </c>
      <c r="M507" s="7">
        <v>42748.047268518516</v>
      </c>
      <c r="N507" s="3" t="s">
        <v>970</v>
      </c>
      <c r="O507" s="16" t="str">
        <f>TEXT(DATEVALUE(LEFT(F507,10)),"mm-yyyy")</f>
        <v>03-2015</v>
      </c>
      <c r="P507" s="16">
        <f>H507*I507</f>
        <v>8.99</v>
      </c>
    </row>
    <row r="508" spans="3:16" x14ac:dyDescent="0.25">
      <c r="C508" t="str">
        <f>IF(COUNTBLANK(E508:N508) = 10,"",IF(AND(NOT(ISBLANK(E508)),COUNTBLANK(E508:N508) = 9),"3 Delete",IF(ISBLANK(E508),"2 Add",IF(JenkinsHashRange(E508:N508) = "1335212516","0 Original","1 Modify"))))</f>
        <v>0 Original</v>
      </c>
      <c r="D508" s="3" t="s">
        <v>1801</v>
      </c>
      <c r="E508" s="5">
        <v>2602</v>
      </c>
      <c r="F508" t="s">
        <v>1157</v>
      </c>
      <c r="G508" t="s">
        <v>565</v>
      </c>
      <c r="H508" s="9">
        <v>5.99</v>
      </c>
      <c r="I508" s="5">
        <v>1</v>
      </c>
      <c r="J508" s="7" t="s">
        <v>970</v>
      </c>
      <c r="K508" s="7">
        <v>42748.047268518516</v>
      </c>
      <c r="L508" s="3" t="s">
        <v>970</v>
      </c>
      <c r="M508" s="7">
        <v>42748.047268518516</v>
      </c>
      <c r="N508" s="3" t="s">
        <v>970</v>
      </c>
      <c r="O508" s="16" t="str">
        <f>TEXT(DATEVALUE(LEFT(F508,10)),"mm-yyyy")</f>
        <v>03-2015</v>
      </c>
      <c r="P508" s="16">
        <f>H508*I508</f>
        <v>5.99</v>
      </c>
    </row>
    <row r="509" spans="3:16" x14ac:dyDescent="0.25">
      <c r="C509" t="str">
        <f>IF(COUNTBLANK(E509:N509) = 10,"",IF(AND(NOT(ISBLANK(E509)),COUNTBLANK(E509:N509) = 9),"3 Delete",IF(ISBLANK(E509),"2 Add",IF(JenkinsHashRange(E509:N509) = "776823276","0 Original","1 Modify"))))</f>
        <v>0 Original</v>
      </c>
      <c r="D509" s="3" t="s">
        <v>1802</v>
      </c>
      <c r="E509" s="5">
        <v>2603</v>
      </c>
      <c r="F509" t="s">
        <v>1157</v>
      </c>
      <c r="G509" t="s">
        <v>702</v>
      </c>
      <c r="H509" s="9">
        <v>7.99</v>
      </c>
      <c r="I509" s="5">
        <v>1</v>
      </c>
      <c r="J509" s="7" t="s">
        <v>970</v>
      </c>
      <c r="K509" s="7">
        <v>42748.047268518516</v>
      </c>
      <c r="L509" s="3" t="s">
        <v>970</v>
      </c>
      <c r="M509" s="7">
        <v>42748.047268518516</v>
      </c>
      <c r="N509" s="3" t="s">
        <v>970</v>
      </c>
      <c r="O509" s="16" t="str">
        <f>TEXT(DATEVALUE(LEFT(F509,10)),"mm-yyyy")</f>
        <v>03-2015</v>
      </c>
      <c r="P509" s="16">
        <f>H509*I509</f>
        <v>7.99</v>
      </c>
    </row>
    <row r="510" spans="3:16" x14ac:dyDescent="0.25">
      <c r="C510" t="str">
        <f>IF(COUNTBLANK(E510:N510) = 10,"",IF(AND(NOT(ISBLANK(E510)),COUNTBLANK(E510:N510) = 9),"3 Delete",IF(ISBLANK(E510),"2 Add",IF(JenkinsHashRange(E510:N510) = "844528689","0 Original","1 Modify"))))</f>
        <v>0 Original</v>
      </c>
      <c r="D510" s="3" t="s">
        <v>1803</v>
      </c>
      <c r="E510" s="5">
        <v>2604</v>
      </c>
      <c r="F510" t="s">
        <v>1157</v>
      </c>
      <c r="G510" t="s">
        <v>453</v>
      </c>
      <c r="H510" s="9">
        <v>8.99</v>
      </c>
      <c r="I510" s="5">
        <v>1</v>
      </c>
      <c r="J510" s="7" t="s">
        <v>970</v>
      </c>
      <c r="K510" s="7">
        <v>42748.047268518516</v>
      </c>
      <c r="L510" s="3" t="s">
        <v>970</v>
      </c>
      <c r="M510" s="7">
        <v>42748.047268518516</v>
      </c>
      <c r="N510" s="3" t="s">
        <v>970</v>
      </c>
      <c r="O510" s="16" t="str">
        <f>TEXT(DATEVALUE(LEFT(F510,10)),"mm-yyyy")</f>
        <v>03-2015</v>
      </c>
      <c r="P510" s="16">
        <f>H510*I510</f>
        <v>8.99</v>
      </c>
    </row>
    <row r="511" spans="3:16" x14ac:dyDescent="0.25">
      <c r="C511" t="str">
        <f>IF(COUNTBLANK(E511:N511) = 10,"",IF(AND(NOT(ISBLANK(E511)),COUNTBLANK(E511:N511) = 9),"3 Delete",IF(ISBLANK(E511),"2 Add",IF(JenkinsHashRange(E511:N511) = "86939306","0 Original","1 Modify"))))</f>
        <v>0 Original</v>
      </c>
      <c r="D511" s="3" t="s">
        <v>1804</v>
      </c>
      <c r="E511" s="5">
        <v>2605</v>
      </c>
      <c r="F511" t="s">
        <v>1157</v>
      </c>
      <c r="G511" t="s">
        <v>453</v>
      </c>
      <c r="H511" s="9">
        <v>8.99</v>
      </c>
      <c r="I511" s="5">
        <v>1</v>
      </c>
      <c r="J511" s="7" t="s">
        <v>970</v>
      </c>
      <c r="K511" s="7">
        <v>42748.047268518516</v>
      </c>
      <c r="L511" s="3" t="s">
        <v>970</v>
      </c>
      <c r="M511" s="7">
        <v>42748.047268518516</v>
      </c>
      <c r="N511" s="3" t="s">
        <v>970</v>
      </c>
      <c r="O511" s="16" t="str">
        <f>TEXT(DATEVALUE(LEFT(F511,10)),"mm-yyyy")</f>
        <v>03-2015</v>
      </c>
      <c r="P511" s="16">
        <f>H511*I511</f>
        <v>8.99</v>
      </c>
    </row>
    <row r="512" spans="3:16" x14ac:dyDescent="0.25">
      <c r="C512" t="str">
        <f>IF(COUNTBLANK(E512:N512) = 10,"",IF(AND(NOT(ISBLANK(E512)),COUNTBLANK(E512:N512) = 9),"3 Delete",IF(ISBLANK(E512),"2 Add",IF(JenkinsHashRange(E512:N512) = "882552954","0 Original","1 Modify"))))</f>
        <v>0 Original</v>
      </c>
      <c r="D512" s="3" t="s">
        <v>1805</v>
      </c>
      <c r="E512" s="5">
        <v>2606</v>
      </c>
      <c r="F512" t="s">
        <v>1157</v>
      </c>
      <c r="G512" t="s">
        <v>914</v>
      </c>
      <c r="H512" s="9">
        <v>8.99</v>
      </c>
      <c r="I512" s="5">
        <v>2</v>
      </c>
      <c r="J512" s="7" t="s">
        <v>970</v>
      </c>
      <c r="K512" s="7">
        <v>42748.047268518516</v>
      </c>
      <c r="L512" s="3" t="s">
        <v>970</v>
      </c>
      <c r="M512" s="7">
        <v>42748.047268518516</v>
      </c>
      <c r="N512" s="3" t="s">
        <v>970</v>
      </c>
      <c r="O512" s="16" t="str">
        <f>TEXT(DATEVALUE(LEFT(F512,10)),"mm-yyyy")</f>
        <v>03-2015</v>
      </c>
      <c r="P512" s="16">
        <f>H512*I512</f>
        <v>17.98</v>
      </c>
    </row>
    <row r="513" spans="3:16" x14ac:dyDescent="0.25">
      <c r="C513" t="str">
        <f>IF(COUNTBLANK(E513:N513) = 10,"",IF(AND(NOT(ISBLANK(E513)),COUNTBLANK(E513:N513) = 9),"3 Delete",IF(ISBLANK(E513),"2 Add",IF(JenkinsHashRange(E513:N513) = "617821088","0 Original","1 Modify"))))</f>
        <v>0 Original</v>
      </c>
      <c r="D513" s="3" t="s">
        <v>1806</v>
      </c>
      <c r="E513" s="5">
        <v>2607</v>
      </c>
      <c r="F513" t="s">
        <v>1157</v>
      </c>
      <c r="G513" t="s">
        <v>814</v>
      </c>
      <c r="H513" s="9">
        <v>9.99</v>
      </c>
      <c r="I513" s="5">
        <v>2</v>
      </c>
      <c r="J513" s="7" t="s">
        <v>970</v>
      </c>
      <c r="K513" s="7">
        <v>42748.047268518516</v>
      </c>
      <c r="L513" s="3" t="s">
        <v>970</v>
      </c>
      <c r="M513" s="7">
        <v>42748.047268518516</v>
      </c>
      <c r="N513" s="3" t="s">
        <v>970</v>
      </c>
      <c r="O513" s="16" t="str">
        <f>TEXT(DATEVALUE(LEFT(F513,10)),"mm-yyyy")</f>
        <v>03-2015</v>
      </c>
      <c r="P513" s="16">
        <f>H513*I513</f>
        <v>19.98</v>
      </c>
    </row>
    <row r="514" spans="3:16" x14ac:dyDescent="0.25">
      <c r="C514" t="str">
        <f>IF(COUNTBLANK(E514:N514) = 10,"",IF(AND(NOT(ISBLANK(E514)),COUNTBLANK(E514:N514) = 9),"3 Delete",IF(ISBLANK(E514),"2 Add",IF(JenkinsHashRange(E514:N514) = "2046290263","0 Original","1 Modify"))))</f>
        <v>0 Original</v>
      </c>
      <c r="D514" s="3" t="s">
        <v>1829</v>
      </c>
      <c r="E514" s="5">
        <v>2675</v>
      </c>
      <c r="F514" t="s">
        <v>1163</v>
      </c>
      <c r="G514" t="s">
        <v>814</v>
      </c>
      <c r="H514" s="9">
        <v>9.99</v>
      </c>
      <c r="I514" s="5">
        <v>1</v>
      </c>
      <c r="J514" s="7" t="s">
        <v>970</v>
      </c>
      <c r="K514" s="7">
        <v>42748.047268518516</v>
      </c>
      <c r="L514" s="3" t="s">
        <v>970</v>
      </c>
      <c r="M514" s="7">
        <v>42748.047268518516</v>
      </c>
      <c r="N514" s="3" t="s">
        <v>970</v>
      </c>
      <c r="O514" s="16" t="str">
        <f>TEXT(DATEVALUE(LEFT(F514,10)),"mm-yyyy")</f>
        <v>03-2015</v>
      </c>
      <c r="P514" s="16">
        <f>H514*I514</f>
        <v>9.99</v>
      </c>
    </row>
    <row r="515" spans="3:16" x14ac:dyDescent="0.25">
      <c r="C515" t="str">
        <f>IF(COUNTBLANK(E515:N515) = 10,"",IF(AND(NOT(ISBLANK(E515)),COUNTBLANK(E515:N515) = 9),"3 Delete",IF(ISBLANK(E515),"2 Add",IF(JenkinsHashRange(E515:N515) = "2125764237","0 Original","1 Modify"))))</f>
        <v>0 Original</v>
      </c>
      <c r="D515" s="3" t="s">
        <v>1849</v>
      </c>
      <c r="E515" s="5">
        <v>2821</v>
      </c>
      <c r="F515" t="s">
        <v>1169</v>
      </c>
      <c r="G515" t="s">
        <v>904</v>
      </c>
      <c r="H515" s="9">
        <v>9.99</v>
      </c>
      <c r="I515" s="5">
        <v>2</v>
      </c>
      <c r="J515" s="7" t="s">
        <v>970</v>
      </c>
      <c r="K515" s="7">
        <v>42748.047268518516</v>
      </c>
      <c r="L515" s="3" t="s">
        <v>970</v>
      </c>
      <c r="M515" s="7">
        <v>42748.047268518516</v>
      </c>
      <c r="N515" s="3" t="s">
        <v>970</v>
      </c>
      <c r="O515" s="16" t="str">
        <f>TEXT(DATEVALUE(LEFT(F515,10)),"mm-yyyy")</f>
        <v>03-2015</v>
      </c>
      <c r="P515" s="16">
        <f>H515*I515</f>
        <v>19.98</v>
      </c>
    </row>
    <row r="516" spans="3:16" x14ac:dyDescent="0.25">
      <c r="C516" t="str">
        <f>IF(COUNTBLANK(E516:N516) = 10,"",IF(AND(NOT(ISBLANK(E516)),COUNTBLANK(E516:N516) = 9),"3 Delete",IF(ISBLANK(E516),"2 Add",IF(JenkinsHashRange(E516:N516) = "714473839","0 Original","1 Modify"))))</f>
        <v>0 Original</v>
      </c>
      <c r="D516" s="3" t="s">
        <v>1850</v>
      </c>
      <c r="E516" s="5">
        <v>2822</v>
      </c>
      <c r="F516" t="s">
        <v>1169</v>
      </c>
      <c r="G516" t="s">
        <v>945</v>
      </c>
      <c r="H516" s="9">
        <v>7.99</v>
      </c>
      <c r="I516" s="5">
        <v>2</v>
      </c>
      <c r="J516" s="7" t="s">
        <v>970</v>
      </c>
      <c r="K516" s="7">
        <v>42748.047268518516</v>
      </c>
      <c r="L516" s="3" t="s">
        <v>970</v>
      </c>
      <c r="M516" s="7">
        <v>42748.047268518516</v>
      </c>
      <c r="N516" s="3" t="s">
        <v>970</v>
      </c>
      <c r="O516" s="16" t="str">
        <f>TEXT(DATEVALUE(LEFT(F516,10)),"mm-yyyy")</f>
        <v>03-2015</v>
      </c>
      <c r="P516" s="16">
        <f>H516*I516</f>
        <v>15.98</v>
      </c>
    </row>
    <row r="517" spans="3:16" x14ac:dyDescent="0.25">
      <c r="C517" t="str">
        <f>IF(COUNTBLANK(E517:N517) = 10,"",IF(AND(NOT(ISBLANK(E517)),COUNTBLANK(E517:N517) = 9),"3 Delete",IF(ISBLANK(E517),"2 Add",IF(JenkinsHashRange(E517:N517) = "846779480","0 Original","1 Modify"))))</f>
        <v>0 Original</v>
      </c>
      <c r="D517" s="3" t="s">
        <v>1851</v>
      </c>
      <c r="E517" s="5">
        <v>2823</v>
      </c>
      <c r="F517" t="s">
        <v>1169</v>
      </c>
      <c r="G517" t="s">
        <v>400</v>
      </c>
      <c r="H517" s="9">
        <v>6.99</v>
      </c>
      <c r="I517" s="5">
        <v>1</v>
      </c>
      <c r="J517" s="7" t="s">
        <v>970</v>
      </c>
      <c r="K517" s="7">
        <v>42748.047268518516</v>
      </c>
      <c r="L517" s="3" t="s">
        <v>970</v>
      </c>
      <c r="M517" s="7">
        <v>42748.047268518516</v>
      </c>
      <c r="N517" s="3" t="s">
        <v>970</v>
      </c>
      <c r="O517" s="16" t="str">
        <f>TEXT(DATEVALUE(LEFT(F517,10)),"mm-yyyy")</f>
        <v>03-2015</v>
      </c>
      <c r="P517" s="16">
        <f>H517*I517</f>
        <v>6.99</v>
      </c>
    </row>
    <row r="518" spans="3:16" x14ac:dyDescent="0.25">
      <c r="C518" t="str">
        <f>IF(COUNTBLANK(E518:N518) = 10,"",IF(AND(NOT(ISBLANK(E518)),COUNTBLANK(E518:N518) = 9),"3 Delete",IF(ISBLANK(E518),"2 Add",IF(JenkinsHashRange(E518:N518) = "1136928923","0 Original","1 Modify"))))</f>
        <v>0 Original</v>
      </c>
      <c r="D518" s="3" t="s">
        <v>1856</v>
      </c>
      <c r="E518" s="5">
        <v>2854</v>
      </c>
      <c r="F518" t="s">
        <v>1172</v>
      </c>
      <c r="G518" t="s">
        <v>702</v>
      </c>
      <c r="H518" s="9">
        <v>7.99</v>
      </c>
      <c r="I518" s="5">
        <v>1</v>
      </c>
      <c r="J518" s="7" t="s">
        <v>970</v>
      </c>
      <c r="K518" s="7">
        <v>42748.047268518516</v>
      </c>
      <c r="L518" s="3" t="s">
        <v>970</v>
      </c>
      <c r="M518" s="7">
        <v>42748.047268518516</v>
      </c>
      <c r="N518" s="3" t="s">
        <v>970</v>
      </c>
      <c r="O518" s="16" t="str">
        <f>TEXT(DATEVALUE(LEFT(F518,10)),"mm-yyyy")</f>
        <v>03-2015</v>
      </c>
      <c r="P518" s="16">
        <f>H518*I518</f>
        <v>7.99</v>
      </c>
    </row>
    <row r="519" spans="3:16" x14ac:dyDescent="0.25">
      <c r="C519" t="str">
        <f>IF(COUNTBLANK(E519:N519) = 10,"",IF(AND(NOT(ISBLANK(E519)),COUNTBLANK(E519:N519) = 9),"3 Delete",IF(ISBLANK(E519),"2 Add",IF(JenkinsHashRange(E519:N519) = "1902836750","0 Original","1 Modify"))))</f>
        <v>0 Original</v>
      </c>
      <c r="D519" s="3" t="s">
        <v>1857</v>
      </c>
      <c r="E519" s="5">
        <v>2855</v>
      </c>
      <c r="F519" t="s">
        <v>1172</v>
      </c>
      <c r="G519" t="s">
        <v>814</v>
      </c>
      <c r="H519" s="9">
        <v>9.99</v>
      </c>
      <c r="I519" s="5">
        <v>1</v>
      </c>
      <c r="J519" s="7" t="s">
        <v>970</v>
      </c>
      <c r="K519" s="7">
        <v>42748.047268518516</v>
      </c>
      <c r="L519" s="3" t="s">
        <v>970</v>
      </c>
      <c r="M519" s="7">
        <v>42748.047268518516</v>
      </c>
      <c r="N519" s="3" t="s">
        <v>970</v>
      </c>
      <c r="O519" s="16" t="str">
        <f>TEXT(DATEVALUE(LEFT(F519,10)),"mm-yyyy")</f>
        <v>03-2015</v>
      </c>
      <c r="P519" s="16">
        <f>H519*I519</f>
        <v>9.99</v>
      </c>
    </row>
    <row r="520" spans="3:16" x14ac:dyDescent="0.25">
      <c r="C520" t="str">
        <f>IF(COUNTBLANK(E520:N520) = 10,"",IF(AND(NOT(ISBLANK(E520)),COUNTBLANK(E520:N520) = 9),"3 Delete",IF(ISBLANK(E520),"2 Add",IF(JenkinsHashRange(E520:N520) = "1615898511","0 Original","1 Modify"))))</f>
        <v>0 Original</v>
      </c>
      <c r="D520" s="3" t="s">
        <v>1858</v>
      </c>
      <c r="E520" s="5">
        <v>2856</v>
      </c>
      <c r="F520" t="s">
        <v>1172</v>
      </c>
      <c r="G520" t="s">
        <v>945</v>
      </c>
      <c r="H520" s="9">
        <v>7.99</v>
      </c>
      <c r="I520" s="5">
        <v>1</v>
      </c>
      <c r="J520" s="7" t="s">
        <v>970</v>
      </c>
      <c r="K520" s="7">
        <v>42748.047268518516</v>
      </c>
      <c r="L520" s="3" t="s">
        <v>970</v>
      </c>
      <c r="M520" s="7">
        <v>42748.047268518516</v>
      </c>
      <c r="N520" s="3" t="s">
        <v>970</v>
      </c>
      <c r="O520" s="16" t="str">
        <f>TEXT(DATEVALUE(LEFT(F520,10)),"mm-yyyy")</f>
        <v>03-2015</v>
      </c>
      <c r="P520" s="16">
        <f>H520*I520</f>
        <v>7.99</v>
      </c>
    </row>
    <row r="521" spans="3:16" x14ac:dyDescent="0.25">
      <c r="C521" t="str">
        <f>IF(COUNTBLANK(E521:N521) = 10,"",IF(AND(NOT(ISBLANK(E521)),COUNTBLANK(E521:N521) = 9),"3 Delete",IF(ISBLANK(E521),"2 Add",IF(JenkinsHashRange(E521:N521) = "775210811","0 Original","1 Modify"))))</f>
        <v>0 Original</v>
      </c>
      <c r="D521" s="3" t="s">
        <v>1859</v>
      </c>
      <c r="E521" s="5">
        <v>2857</v>
      </c>
      <c r="F521" t="s">
        <v>1172</v>
      </c>
      <c r="G521" t="s">
        <v>877</v>
      </c>
      <c r="H521" s="9">
        <v>8.99</v>
      </c>
      <c r="I521" s="5">
        <v>2</v>
      </c>
      <c r="J521" s="7" t="s">
        <v>970</v>
      </c>
      <c r="K521" s="7">
        <v>42748.047268518516</v>
      </c>
      <c r="L521" s="3" t="s">
        <v>970</v>
      </c>
      <c r="M521" s="7">
        <v>42748.047268518516</v>
      </c>
      <c r="N521" s="3" t="s">
        <v>970</v>
      </c>
      <c r="O521" s="16" t="str">
        <f>TEXT(DATEVALUE(LEFT(F521,10)),"mm-yyyy")</f>
        <v>03-2015</v>
      </c>
      <c r="P521" s="16">
        <f>H521*I521</f>
        <v>17.98</v>
      </c>
    </row>
    <row r="522" spans="3:16" x14ac:dyDescent="0.25">
      <c r="C522" t="str">
        <f>IF(COUNTBLANK(E522:N522) = 10,"",IF(AND(NOT(ISBLANK(E522)),COUNTBLANK(E522:N522) = 9),"3 Delete",IF(ISBLANK(E522),"2 Add",IF(JenkinsHashRange(E522:N522) = "102459338","0 Original","1 Modify"))))</f>
        <v>0 Original</v>
      </c>
      <c r="D522" s="3" t="s">
        <v>1884</v>
      </c>
      <c r="E522" s="5">
        <v>2958</v>
      </c>
      <c r="F522" t="s">
        <v>1180</v>
      </c>
      <c r="G522" t="s">
        <v>877</v>
      </c>
      <c r="H522" s="9">
        <v>8.99</v>
      </c>
      <c r="I522" s="5">
        <v>1</v>
      </c>
      <c r="J522" s="7" t="s">
        <v>970</v>
      </c>
      <c r="K522" s="7">
        <v>42748.047268518516</v>
      </c>
      <c r="L522" s="3" t="s">
        <v>970</v>
      </c>
      <c r="M522" s="7">
        <v>42748.047268518516</v>
      </c>
      <c r="N522" s="3" t="s">
        <v>970</v>
      </c>
      <c r="O522" s="16" t="str">
        <f>TEXT(DATEVALUE(LEFT(F522,10)),"mm-yyyy")</f>
        <v>03-2015</v>
      </c>
      <c r="P522" s="16">
        <f>H522*I522</f>
        <v>8.99</v>
      </c>
    </row>
    <row r="523" spans="3:16" x14ac:dyDescent="0.25">
      <c r="C523" t="str">
        <f>IF(COUNTBLANK(E523:N523) = 10,"",IF(AND(NOT(ISBLANK(E523)),COUNTBLANK(E523:N523) = 9),"3 Delete",IF(ISBLANK(E523),"2 Add",IF(JenkinsHashRange(E523:N523) = "1446600763","0 Original","1 Modify"))))</f>
        <v>0 Original</v>
      </c>
      <c r="D523" s="3" t="s">
        <v>1885</v>
      </c>
      <c r="E523" s="5">
        <v>2959</v>
      </c>
      <c r="F523" t="s">
        <v>1180</v>
      </c>
      <c r="G523" t="s">
        <v>877</v>
      </c>
      <c r="H523" s="9">
        <v>8.99</v>
      </c>
      <c r="I523" s="5">
        <v>1</v>
      </c>
      <c r="J523" s="7" t="s">
        <v>970</v>
      </c>
      <c r="K523" s="7">
        <v>42748.047268518516</v>
      </c>
      <c r="L523" s="3" t="s">
        <v>970</v>
      </c>
      <c r="M523" s="7">
        <v>42748.047268518516</v>
      </c>
      <c r="N523" s="3" t="s">
        <v>970</v>
      </c>
      <c r="O523" s="16" t="str">
        <f>TEXT(DATEVALUE(LEFT(F523,10)),"mm-yyyy")</f>
        <v>03-2015</v>
      </c>
      <c r="P523" s="16">
        <f>H523*I523</f>
        <v>8.99</v>
      </c>
    </row>
    <row r="524" spans="3:16" x14ac:dyDescent="0.25">
      <c r="C524" t="str">
        <f>IF(COUNTBLANK(E524:N524) = 10,"",IF(AND(NOT(ISBLANK(E524)),COUNTBLANK(E524:N524) = 9),"3 Delete",IF(ISBLANK(E524),"2 Add",IF(JenkinsHashRange(E524:N524) = "729192958","0 Original","1 Modify"))))</f>
        <v>0 Original</v>
      </c>
      <c r="D524" s="3" t="s">
        <v>1892</v>
      </c>
      <c r="E524" s="5">
        <v>2986</v>
      </c>
      <c r="F524" t="s">
        <v>1183</v>
      </c>
      <c r="G524" t="s">
        <v>945</v>
      </c>
      <c r="H524" s="9">
        <v>7.99</v>
      </c>
      <c r="I524" s="5">
        <v>2</v>
      </c>
      <c r="J524" s="7" t="s">
        <v>970</v>
      </c>
      <c r="K524" s="7">
        <v>42748.047268518516</v>
      </c>
      <c r="L524" s="3" t="s">
        <v>970</v>
      </c>
      <c r="M524" s="7">
        <v>42748.047268518516</v>
      </c>
      <c r="N524" s="3" t="s">
        <v>970</v>
      </c>
      <c r="O524" s="16" t="str">
        <f>TEXT(DATEVALUE(LEFT(F524,10)),"mm-yyyy")</f>
        <v>03-2015</v>
      </c>
      <c r="P524" s="16">
        <f>H524*I524</f>
        <v>15.98</v>
      </c>
    </row>
    <row r="525" spans="3:16" x14ac:dyDescent="0.25">
      <c r="C525" t="str">
        <f>IF(COUNTBLANK(E525:N525) = 10,"",IF(AND(NOT(ISBLANK(E525)),COUNTBLANK(E525:N525) = 9),"3 Delete",IF(ISBLANK(E525),"2 Add",IF(JenkinsHashRange(E525:N525) = "1952440880","0 Original","1 Modify"))))</f>
        <v>0 Original</v>
      </c>
      <c r="D525" s="3" t="s">
        <v>1944</v>
      </c>
      <c r="E525" s="5">
        <v>3370</v>
      </c>
      <c r="F525" t="s">
        <v>1201</v>
      </c>
      <c r="G525" t="s">
        <v>904</v>
      </c>
      <c r="H525" s="9">
        <v>9.99</v>
      </c>
      <c r="I525" s="5">
        <v>1</v>
      </c>
      <c r="J525" s="7" t="s">
        <v>970</v>
      </c>
      <c r="K525" s="7">
        <v>42748.047268518516</v>
      </c>
      <c r="L525" s="3" t="s">
        <v>970</v>
      </c>
      <c r="M525" s="7">
        <v>42748.047268518516</v>
      </c>
      <c r="N525" s="3" t="s">
        <v>970</v>
      </c>
      <c r="O525" s="16" t="str">
        <f>TEXT(DATEVALUE(LEFT(F525,10)),"mm-yyyy")</f>
        <v>03-2015</v>
      </c>
      <c r="P525" s="16">
        <f>H525*I525</f>
        <v>9.99</v>
      </c>
    </row>
    <row r="526" spans="3:16" x14ac:dyDescent="0.25">
      <c r="C526" t="str">
        <f>IF(COUNTBLANK(E526:N526) = 10,"",IF(AND(NOT(ISBLANK(E526)),COUNTBLANK(E526:N526) = 9),"3 Delete",IF(ISBLANK(E526),"2 Add",IF(JenkinsHashRange(E526:N526) = "320560745","0 Original","1 Modify"))))</f>
        <v>0 Original</v>
      </c>
      <c r="D526" s="3" t="s">
        <v>1945</v>
      </c>
      <c r="E526" s="5">
        <v>3371</v>
      </c>
      <c r="F526" t="s">
        <v>1201</v>
      </c>
      <c r="G526" t="s">
        <v>914</v>
      </c>
      <c r="H526" s="9">
        <v>8.99</v>
      </c>
      <c r="I526" s="5">
        <v>1</v>
      </c>
      <c r="J526" s="7" t="s">
        <v>970</v>
      </c>
      <c r="K526" s="7">
        <v>42748.047268518516</v>
      </c>
      <c r="L526" s="3" t="s">
        <v>970</v>
      </c>
      <c r="M526" s="7">
        <v>42748.047268518516</v>
      </c>
      <c r="N526" s="3" t="s">
        <v>970</v>
      </c>
      <c r="O526" s="16" t="str">
        <f>TEXT(DATEVALUE(LEFT(F526,10)),"mm-yyyy")</f>
        <v>03-2015</v>
      </c>
      <c r="P526" s="16">
        <f>H526*I526</f>
        <v>8.99</v>
      </c>
    </row>
    <row r="527" spans="3:16" x14ac:dyDescent="0.25">
      <c r="C527" t="str">
        <f>IF(COUNTBLANK(E527:N527) = 10,"",IF(AND(NOT(ISBLANK(E527)),COUNTBLANK(E527:N527) = 9),"3 Delete",IF(ISBLANK(E527),"2 Add",IF(JenkinsHashRange(E527:N527) = "1278793873","0 Original","1 Modify"))))</f>
        <v>0 Original</v>
      </c>
      <c r="D527" s="3" t="s">
        <v>1946</v>
      </c>
      <c r="E527" s="5">
        <v>3372</v>
      </c>
      <c r="F527" t="s">
        <v>1201</v>
      </c>
      <c r="G527" t="s">
        <v>904</v>
      </c>
      <c r="H527" s="9">
        <v>9.99</v>
      </c>
      <c r="I527" s="5">
        <v>1</v>
      </c>
      <c r="J527" s="7" t="s">
        <v>970</v>
      </c>
      <c r="K527" s="7">
        <v>42748.047268518516</v>
      </c>
      <c r="L527" s="3" t="s">
        <v>970</v>
      </c>
      <c r="M527" s="7">
        <v>42748.047268518516</v>
      </c>
      <c r="N527" s="3" t="s">
        <v>970</v>
      </c>
      <c r="O527" s="16" t="str">
        <f>TEXT(DATEVALUE(LEFT(F527,10)),"mm-yyyy")</f>
        <v>03-2015</v>
      </c>
      <c r="P527" s="16">
        <f>H527*I527</f>
        <v>9.99</v>
      </c>
    </row>
    <row r="528" spans="3:16" x14ac:dyDescent="0.25">
      <c r="C528" t="str">
        <f>IF(COUNTBLANK(E528:N528) = 10,"",IF(AND(NOT(ISBLANK(E528)),COUNTBLANK(E528:N528) = 9),"3 Delete",IF(ISBLANK(E528),"2 Add",IF(JenkinsHashRange(E528:N528) = "1763791037","0 Original","1 Modify"))))</f>
        <v>0 Original</v>
      </c>
      <c r="D528" s="3" t="s">
        <v>1947</v>
      </c>
      <c r="E528" s="5">
        <v>3373</v>
      </c>
      <c r="F528" t="s">
        <v>1201</v>
      </c>
      <c r="G528" t="s">
        <v>877</v>
      </c>
      <c r="H528" s="9">
        <v>8.99</v>
      </c>
      <c r="I528" s="5">
        <v>1</v>
      </c>
      <c r="J528" s="7" t="s">
        <v>970</v>
      </c>
      <c r="K528" s="7">
        <v>42748.047268518516</v>
      </c>
      <c r="L528" s="3" t="s">
        <v>970</v>
      </c>
      <c r="M528" s="7">
        <v>42748.047268518516</v>
      </c>
      <c r="N528" s="3" t="s">
        <v>970</v>
      </c>
      <c r="O528" s="16" t="str">
        <f>TEXT(DATEVALUE(LEFT(F528,10)),"mm-yyyy")</f>
        <v>03-2015</v>
      </c>
      <c r="P528" s="16">
        <f>H528*I528</f>
        <v>8.99</v>
      </c>
    </row>
    <row r="529" spans="3:16" x14ac:dyDescent="0.25">
      <c r="C529" t="str">
        <f>IF(COUNTBLANK(E529:N529) = 10,"",IF(AND(NOT(ISBLANK(E529)),COUNTBLANK(E529:N529) = 9),"3 Delete",IF(ISBLANK(E529),"2 Add",IF(JenkinsHashRange(E529:N529) = "1763870810","0 Original","1 Modify"))))</f>
        <v>0 Original</v>
      </c>
      <c r="D529" s="3" t="s">
        <v>1948</v>
      </c>
      <c r="E529" s="5">
        <v>3374</v>
      </c>
      <c r="F529" t="s">
        <v>1201</v>
      </c>
      <c r="G529" t="s">
        <v>957</v>
      </c>
      <c r="H529" s="9">
        <v>5.99</v>
      </c>
      <c r="I529" s="5">
        <v>1</v>
      </c>
      <c r="J529" s="7" t="s">
        <v>970</v>
      </c>
      <c r="K529" s="7">
        <v>42748.047268518516</v>
      </c>
      <c r="L529" s="3" t="s">
        <v>970</v>
      </c>
      <c r="M529" s="7">
        <v>42748.047268518516</v>
      </c>
      <c r="N529" s="3" t="s">
        <v>970</v>
      </c>
      <c r="O529" s="16" t="str">
        <f>TEXT(DATEVALUE(LEFT(F529,10)),"mm-yyyy")</f>
        <v>03-2015</v>
      </c>
      <c r="P529" s="16">
        <f>H529*I529</f>
        <v>5.99</v>
      </c>
    </row>
    <row r="530" spans="3:16" x14ac:dyDescent="0.25">
      <c r="C530" t="str">
        <f>IF(COUNTBLANK(E530:N530) = 10,"",IF(AND(NOT(ISBLANK(E530)),COUNTBLANK(E530:N530) = 9),"3 Delete",IF(ISBLANK(E530),"2 Add",IF(JenkinsHashRange(E530:N530) = "1084973879","0 Original","1 Modify"))))</f>
        <v>0 Original</v>
      </c>
      <c r="D530" s="3" t="s">
        <v>1949</v>
      </c>
      <c r="E530" s="5">
        <v>3375</v>
      </c>
      <c r="F530" t="s">
        <v>1201</v>
      </c>
      <c r="G530" t="s">
        <v>945</v>
      </c>
      <c r="H530" s="9">
        <v>7.99</v>
      </c>
      <c r="I530" s="5">
        <v>1</v>
      </c>
      <c r="J530" s="7" t="s">
        <v>970</v>
      </c>
      <c r="K530" s="7">
        <v>42748.047268518516</v>
      </c>
      <c r="L530" s="3" t="s">
        <v>970</v>
      </c>
      <c r="M530" s="7">
        <v>42748.047268518516</v>
      </c>
      <c r="N530" s="3" t="s">
        <v>970</v>
      </c>
      <c r="O530" s="16" t="str">
        <f>TEXT(DATEVALUE(LEFT(F530,10)),"mm-yyyy")</f>
        <v>03-2015</v>
      </c>
      <c r="P530" s="16">
        <f>H530*I530</f>
        <v>7.99</v>
      </c>
    </row>
    <row r="531" spans="3:16" x14ac:dyDescent="0.25">
      <c r="C531" t="str">
        <f>IF(COUNTBLANK(E531:N531) = 10,"",IF(AND(NOT(ISBLANK(E531)),COUNTBLANK(E531:N531) = 9),"3 Delete",IF(ISBLANK(E531),"2 Add",IF(JenkinsHashRange(E531:N531) = "862869349","0 Original","1 Modify"))))</f>
        <v>0 Original</v>
      </c>
      <c r="D531" s="3" t="s">
        <v>1950</v>
      </c>
      <c r="E531" s="5">
        <v>3376</v>
      </c>
      <c r="F531" t="s">
        <v>1201</v>
      </c>
      <c r="G531" t="s">
        <v>904</v>
      </c>
      <c r="H531" s="9">
        <v>9.99</v>
      </c>
      <c r="I531" s="5">
        <v>1</v>
      </c>
      <c r="J531" s="7" t="s">
        <v>970</v>
      </c>
      <c r="K531" s="7">
        <v>42748.047268518516</v>
      </c>
      <c r="L531" s="3" t="s">
        <v>970</v>
      </c>
      <c r="M531" s="7">
        <v>42748.047268518516</v>
      </c>
      <c r="N531" s="3" t="s">
        <v>970</v>
      </c>
      <c r="O531" s="16" t="str">
        <f>TEXT(DATEVALUE(LEFT(F531,10)),"mm-yyyy")</f>
        <v>03-2015</v>
      </c>
      <c r="P531" s="16">
        <f>H531*I531</f>
        <v>9.99</v>
      </c>
    </row>
    <row r="532" spans="3:16" x14ac:dyDescent="0.25">
      <c r="C532" t="str">
        <f>IF(COUNTBLANK(E532:N532) = 10,"",IF(AND(NOT(ISBLANK(E532)),COUNTBLANK(E532:N532) = 9),"3 Delete",IF(ISBLANK(E532),"2 Add",IF(JenkinsHashRange(E532:N532) = "189510033","0 Original","1 Modify"))))</f>
        <v>0 Original</v>
      </c>
      <c r="D532" s="3" t="s">
        <v>1974</v>
      </c>
      <c r="E532" s="5">
        <v>3504</v>
      </c>
      <c r="F532" t="s">
        <v>1209</v>
      </c>
      <c r="G532" t="s">
        <v>400</v>
      </c>
      <c r="H532" s="9">
        <v>6.99</v>
      </c>
      <c r="I532" s="5">
        <v>1</v>
      </c>
      <c r="J532" s="7" t="s">
        <v>970</v>
      </c>
      <c r="K532" s="7">
        <v>42748.047268518516</v>
      </c>
      <c r="L532" s="3" t="s">
        <v>970</v>
      </c>
      <c r="M532" s="7">
        <v>42748.047268518516</v>
      </c>
      <c r="N532" s="3" t="s">
        <v>970</v>
      </c>
      <c r="O532" s="16" t="str">
        <f>TEXT(DATEVALUE(LEFT(F532,10)),"mm-yyyy")</f>
        <v>03-2015</v>
      </c>
      <c r="P532" s="16">
        <f>H532*I532</f>
        <v>6.99</v>
      </c>
    </row>
    <row r="533" spans="3:16" x14ac:dyDescent="0.25">
      <c r="C533" t="str">
        <f>IF(COUNTBLANK(E533:N533) = 10,"",IF(AND(NOT(ISBLANK(E533)),COUNTBLANK(E533:N533) = 9),"3 Delete",IF(ISBLANK(E533),"2 Add",IF(JenkinsHashRange(E533:N533) = "208830970","0 Original","1 Modify"))))</f>
        <v>0 Original</v>
      </c>
      <c r="D533" s="3" t="s">
        <v>1975</v>
      </c>
      <c r="E533" s="5">
        <v>3505</v>
      </c>
      <c r="F533" t="s">
        <v>1209</v>
      </c>
      <c r="G533" t="s">
        <v>945</v>
      </c>
      <c r="H533" s="9">
        <v>7.99</v>
      </c>
      <c r="I533" s="5">
        <v>1</v>
      </c>
      <c r="J533" s="7" t="s">
        <v>970</v>
      </c>
      <c r="K533" s="7">
        <v>42748.047268518516</v>
      </c>
      <c r="L533" s="3" t="s">
        <v>970</v>
      </c>
      <c r="M533" s="7">
        <v>42748.047268518516</v>
      </c>
      <c r="N533" s="3" t="s">
        <v>970</v>
      </c>
      <c r="O533" s="16" t="str">
        <f>TEXT(DATEVALUE(LEFT(F533,10)),"mm-yyyy")</f>
        <v>03-2015</v>
      </c>
      <c r="P533" s="16">
        <f>H533*I533</f>
        <v>7.99</v>
      </c>
    </row>
    <row r="534" spans="3:16" x14ac:dyDescent="0.25">
      <c r="C534" t="str">
        <f>IF(COUNTBLANK(E534:N534) = 10,"",IF(AND(NOT(ISBLANK(E534)),COUNTBLANK(E534:N534) = 9),"3 Delete",IF(ISBLANK(E534),"2 Add",IF(JenkinsHashRange(E534:N534) = "1268960919","0 Original","1 Modify"))))</f>
        <v>0 Original</v>
      </c>
      <c r="D534" s="3" t="s">
        <v>1976</v>
      </c>
      <c r="E534" s="5">
        <v>3506</v>
      </c>
      <c r="F534" t="s">
        <v>1209</v>
      </c>
      <c r="G534" t="s">
        <v>945</v>
      </c>
      <c r="H534" s="9">
        <v>7.99</v>
      </c>
      <c r="I534" s="5">
        <v>1</v>
      </c>
      <c r="J534" s="7" t="s">
        <v>970</v>
      </c>
      <c r="K534" s="7">
        <v>42748.047268518516</v>
      </c>
      <c r="L534" s="3" t="s">
        <v>970</v>
      </c>
      <c r="M534" s="7">
        <v>42748.047268518516</v>
      </c>
      <c r="N534" s="3" t="s">
        <v>970</v>
      </c>
      <c r="O534" s="16" t="str">
        <f>TEXT(DATEVALUE(LEFT(F534,10)),"mm-yyyy")</f>
        <v>03-2015</v>
      </c>
      <c r="P534" s="16">
        <f>H534*I534</f>
        <v>7.99</v>
      </c>
    </row>
    <row r="535" spans="3:16" x14ac:dyDescent="0.25">
      <c r="C535" t="str">
        <f>IF(COUNTBLANK(E535:N535) = 10,"",IF(AND(NOT(ISBLANK(E535)),COUNTBLANK(E535:N535) = 9),"3 Delete",IF(ISBLANK(E535),"2 Add",IF(JenkinsHashRange(E535:N535) = "1928462877","0 Original","1 Modify"))))</f>
        <v>0 Original</v>
      </c>
      <c r="D535" s="3" t="s">
        <v>1977</v>
      </c>
      <c r="E535" s="5">
        <v>3507</v>
      </c>
      <c r="F535" t="s">
        <v>1209</v>
      </c>
      <c r="G535" t="s">
        <v>453</v>
      </c>
      <c r="H535" s="9">
        <v>8.99</v>
      </c>
      <c r="I535" s="5">
        <v>1</v>
      </c>
      <c r="J535" s="7" t="s">
        <v>970</v>
      </c>
      <c r="K535" s="7">
        <v>42748.047268518516</v>
      </c>
      <c r="L535" s="3" t="s">
        <v>970</v>
      </c>
      <c r="M535" s="7">
        <v>42748.047268518516</v>
      </c>
      <c r="N535" s="3" t="s">
        <v>970</v>
      </c>
      <c r="O535" s="16" t="str">
        <f>TEXT(DATEVALUE(LEFT(F535,10)),"mm-yyyy")</f>
        <v>03-2015</v>
      </c>
      <c r="P535" s="16">
        <f>H535*I535</f>
        <v>8.99</v>
      </c>
    </row>
    <row r="536" spans="3:16" x14ac:dyDescent="0.25">
      <c r="C536" t="str">
        <f>IF(COUNTBLANK(E536:N536) = 10,"",IF(AND(NOT(ISBLANK(E536)),COUNTBLANK(E536:N536) = 9),"3 Delete",IF(ISBLANK(E536),"2 Add",IF(JenkinsHashRange(E536:N536) = "1244831593","0 Original","1 Modify"))))</f>
        <v>0 Original</v>
      </c>
      <c r="D536" s="3" t="s">
        <v>2023</v>
      </c>
      <c r="E536" s="5">
        <v>3684</v>
      </c>
      <c r="F536" t="s">
        <v>1225</v>
      </c>
      <c r="G536" t="s">
        <v>702</v>
      </c>
      <c r="H536" s="9">
        <v>7.99</v>
      </c>
      <c r="I536" s="5">
        <v>1</v>
      </c>
      <c r="J536" s="7" t="s">
        <v>970</v>
      </c>
      <c r="K536" s="7">
        <v>42748.047268518516</v>
      </c>
      <c r="L536" s="3" t="s">
        <v>970</v>
      </c>
      <c r="M536" s="7">
        <v>42748.047268518516</v>
      </c>
      <c r="N536" s="3" t="s">
        <v>970</v>
      </c>
      <c r="O536" s="16" t="str">
        <f>TEXT(DATEVALUE(LEFT(F536,10)),"mm-yyyy")</f>
        <v>03-2015</v>
      </c>
      <c r="P536" s="16">
        <f>H536*I536</f>
        <v>7.99</v>
      </c>
    </row>
    <row r="537" spans="3:16" x14ac:dyDescent="0.25">
      <c r="C537" t="str">
        <f>IF(COUNTBLANK(E537:N537) = 10,"",IF(AND(NOT(ISBLANK(E537)),COUNTBLANK(E537:N537) = 9),"3 Delete",IF(ISBLANK(E537),"2 Add",IF(JenkinsHashRange(E537:N537) = "1132889114","0 Original","1 Modify"))))</f>
        <v>0 Original</v>
      </c>
      <c r="D537" s="3" t="s">
        <v>2024</v>
      </c>
      <c r="E537" s="5">
        <v>3685</v>
      </c>
      <c r="F537" t="s">
        <v>1225</v>
      </c>
      <c r="G537" t="s">
        <v>945</v>
      </c>
      <c r="H537" s="9">
        <v>7.99</v>
      </c>
      <c r="I537" s="5">
        <v>1</v>
      </c>
      <c r="J537" s="7" t="s">
        <v>970</v>
      </c>
      <c r="K537" s="7">
        <v>42748.047268518516</v>
      </c>
      <c r="L537" s="3" t="s">
        <v>970</v>
      </c>
      <c r="M537" s="7">
        <v>42748.047268518516</v>
      </c>
      <c r="N537" s="3" t="s">
        <v>970</v>
      </c>
      <c r="O537" s="16" t="str">
        <f>TEXT(DATEVALUE(LEFT(F537,10)),"mm-yyyy")</f>
        <v>03-2015</v>
      </c>
      <c r="P537" s="16">
        <f>H537*I537</f>
        <v>7.99</v>
      </c>
    </row>
    <row r="538" spans="3:16" x14ac:dyDescent="0.25">
      <c r="C538" t="str">
        <f>IF(COUNTBLANK(E538:N538) = 10,"",IF(AND(NOT(ISBLANK(E538)),COUNTBLANK(E538:N538) = 9),"3 Delete",IF(ISBLANK(E538),"2 Add",IF(JenkinsHashRange(E538:N538) = "1126453140","0 Original","1 Modify"))))</f>
        <v>0 Original</v>
      </c>
      <c r="D538" s="3" t="s">
        <v>2025</v>
      </c>
      <c r="E538" s="5">
        <v>3686</v>
      </c>
      <c r="F538" t="s">
        <v>1225</v>
      </c>
      <c r="G538" t="s">
        <v>877</v>
      </c>
      <c r="H538" s="9">
        <v>8.99</v>
      </c>
      <c r="I538" s="5">
        <v>1</v>
      </c>
      <c r="J538" s="7" t="s">
        <v>970</v>
      </c>
      <c r="K538" s="7">
        <v>42748.047268518516</v>
      </c>
      <c r="L538" s="3" t="s">
        <v>970</v>
      </c>
      <c r="M538" s="7">
        <v>42748.047268518516</v>
      </c>
      <c r="N538" s="3" t="s">
        <v>970</v>
      </c>
      <c r="O538" s="16" t="str">
        <f>TEXT(DATEVALUE(LEFT(F538,10)),"mm-yyyy")</f>
        <v>03-2015</v>
      </c>
      <c r="P538" s="16">
        <f>H538*I538</f>
        <v>8.99</v>
      </c>
    </row>
    <row r="539" spans="3:16" x14ac:dyDescent="0.25">
      <c r="C539" t="str">
        <f>IF(COUNTBLANK(E539:N539) = 10,"",IF(AND(NOT(ISBLANK(E539)),COUNTBLANK(E539:N539) = 9),"3 Delete",IF(ISBLANK(E539),"2 Add",IF(JenkinsHashRange(E539:N539) = "1565060605","0 Original","1 Modify"))))</f>
        <v>0 Original</v>
      </c>
      <c r="D539" s="3" t="s">
        <v>2026</v>
      </c>
      <c r="E539" s="5">
        <v>3687</v>
      </c>
      <c r="F539" t="s">
        <v>1225</v>
      </c>
      <c r="G539" t="s">
        <v>945</v>
      </c>
      <c r="H539" s="9">
        <v>7.99</v>
      </c>
      <c r="I539" s="5">
        <v>1</v>
      </c>
      <c r="J539" s="7" t="s">
        <v>970</v>
      </c>
      <c r="K539" s="7">
        <v>42748.047268518516</v>
      </c>
      <c r="L539" s="3" t="s">
        <v>970</v>
      </c>
      <c r="M539" s="7">
        <v>42748.047268518516</v>
      </c>
      <c r="N539" s="3" t="s">
        <v>970</v>
      </c>
      <c r="O539" s="16" t="str">
        <f>TEXT(DATEVALUE(LEFT(F539,10)),"mm-yyyy")</f>
        <v>03-2015</v>
      </c>
      <c r="P539" s="16">
        <f>H539*I539</f>
        <v>7.99</v>
      </c>
    </row>
    <row r="540" spans="3:16" x14ac:dyDescent="0.25">
      <c r="C540" t="str">
        <f>IF(COUNTBLANK(E540:N540) = 10,"",IF(AND(NOT(ISBLANK(E540)),COUNTBLANK(E540:N540) = 9),"3 Delete",IF(ISBLANK(E540),"2 Add",IF(JenkinsHashRange(E540:N540) = "1971838659","0 Original","1 Modify"))))</f>
        <v>0 Original</v>
      </c>
      <c r="D540" s="3" t="s">
        <v>2027</v>
      </c>
      <c r="E540" s="5">
        <v>3688</v>
      </c>
      <c r="F540" t="s">
        <v>1225</v>
      </c>
      <c r="G540" t="s">
        <v>904</v>
      </c>
      <c r="H540" s="9">
        <v>9.99</v>
      </c>
      <c r="I540" s="5">
        <v>2</v>
      </c>
      <c r="J540" s="7" t="s">
        <v>970</v>
      </c>
      <c r="K540" s="7">
        <v>42748.047268518516</v>
      </c>
      <c r="L540" s="3" t="s">
        <v>970</v>
      </c>
      <c r="M540" s="7">
        <v>42748.047268518516</v>
      </c>
      <c r="N540" s="3" t="s">
        <v>970</v>
      </c>
      <c r="O540" s="16" t="str">
        <f>TEXT(DATEVALUE(LEFT(F540,10)),"mm-yyyy")</f>
        <v>03-2015</v>
      </c>
      <c r="P540" s="16">
        <f>H540*I540</f>
        <v>19.98</v>
      </c>
    </row>
    <row r="541" spans="3:16" x14ac:dyDescent="0.25">
      <c r="C541" t="str">
        <f>IF(COUNTBLANK(E541:N541) = 10,"",IF(AND(NOT(ISBLANK(E541)),COUNTBLANK(E541:N541) = 9),"3 Delete",IF(ISBLANK(E541),"2 Add",IF(JenkinsHashRange(E541:N541) = "2068246103","0 Original","1 Modify"))))</f>
        <v>0 Original</v>
      </c>
      <c r="D541" s="3" t="s">
        <v>2037</v>
      </c>
      <c r="E541" s="5">
        <v>3735</v>
      </c>
      <c r="F541" t="s">
        <v>1229</v>
      </c>
      <c r="G541" t="s">
        <v>877</v>
      </c>
      <c r="H541" s="9">
        <v>8.99</v>
      </c>
      <c r="I541" s="5">
        <v>2</v>
      </c>
      <c r="J541" s="7" t="s">
        <v>970</v>
      </c>
      <c r="K541" s="7">
        <v>42748.047268518516</v>
      </c>
      <c r="L541" s="3" t="s">
        <v>970</v>
      </c>
      <c r="M541" s="7">
        <v>42748.047268518516</v>
      </c>
      <c r="N541" s="3" t="s">
        <v>970</v>
      </c>
      <c r="O541" s="16" t="str">
        <f>TEXT(DATEVALUE(LEFT(F541,10)),"mm-yyyy")</f>
        <v>03-2015</v>
      </c>
      <c r="P541" s="16">
        <f>H541*I541</f>
        <v>17.98</v>
      </c>
    </row>
    <row r="542" spans="3:16" x14ac:dyDescent="0.25">
      <c r="C542" t="str">
        <f>IF(COUNTBLANK(E542:N542) = 10,"",IF(AND(NOT(ISBLANK(E542)),COUNTBLANK(E542:N542) = 9),"3 Delete",IF(ISBLANK(E542),"2 Add",IF(JenkinsHashRange(E542:N542) = "53993728","0 Original","1 Modify"))))</f>
        <v>0 Original</v>
      </c>
      <c r="D542" s="3" t="s">
        <v>2038</v>
      </c>
      <c r="E542" s="5">
        <v>3736</v>
      </c>
      <c r="F542" t="s">
        <v>1229</v>
      </c>
      <c r="G542" t="s">
        <v>565</v>
      </c>
      <c r="H542" s="9">
        <v>5.99</v>
      </c>
      <c r="I542" s="5">
        <v>1</v>
      </c>
      <c r="J542" s="7" t="s">
        <v>970</v>
      </c>
      <c r="K542" s="7">
        <v>42748.047268518516</v>
      </c>
      <c r="L542" s="3" t="s">
        <v>970</v>
      </c>
      <c r="M542" s="7">
        <v>42748.047268518516</v>
      </c>
      <c r="N542" s="3" t="s">
        <v>970</v>
      </c>
      <c r="O542" s="16" t="str">
        <f>TEXT(DATEVALUE(LEFT(F542,10)),"mm-yyyy")</f>
        <v>03-2015</v>
      </c>
      <c r="P542" s="16">
        <f>H542*I542</f>
        <v>5.99</v>
      </c>
    </row>
    <row r="543" spans="3:16" x14ac:dyDescent="0.25">
      <c r="C543" t="str">
        <f>IF(COUNTBLANK(E543:N543) = 10,"",IF(AND(NOT(ISBLANK(E543)),COUNTBLANK(E543:N543) = 9),"3 Delete",IF(ISBLANK(E543),"2 Add",IF(JenkinsHashRange(E543:N543) = "1785562277","0 Original","1 Modify"))))</f>
        <v>0 Original</v>
      </c>
      <c r="D543" s="3" t="s">
        <v>2039</v>
      </c>
      <c r="E543" s="5">
        <v>3737</v>
      </c>
      <c r="F543" t="s">
        <v>1229</v>
      </c>
      <c r="G543" t="s">
        <v>453</v>
      </c>
      <c r="H543" s="9">
        <v>8.99</v>
      </c>
      <c r="I543" s="5">
        <v>1</v>
      </c>
      <c r="J543" s="7" t="s">
        <v>970</v>
      </c>
      <c r="K543" s="7">
        <v>42748.047268518516</v>
      </c>
      <c r="L543" s="3" t="s">
        <v>970</v>
      </c>
      <c r="M543" s="7">
        <v>42748.047268518516</v>
      </c>
      <c r="N543" s="3" t="s">
        <v>970</v>
      </c>
      <c r="O543" s="16" t="str">
        <f>TEXT(DATEVALUE(LEFT(F543,10)),"mm-yyyy")</f>
        <v>03-2015</v>
      </c>
      <c r="P543" s="16">
        <f>H543*I543</f>
        <v>8.99</v>
      </c>
    </row>
    <row r="544" spans="3:16" x14ac:dyDescent="0.25">
      <c r="C544" t="str">
        <f>IF(COUNTBLANK(E544:N544) = 10,"",IF(AND(NOT(ISBLANK(E544)),COUNTBLANK(E544:N544) = 9),"3 Delete",IF(ISBLANK(E544),"2 Add",IF(JenkinsHashRange(E544:N544) = "2028242750","0 Original","1 Modify"))))</f>
        <v>0 Original</v>
      </c>
      <c r="D544" s="3" t="s">
        <v>2040</v>
      </c>
      <c r="E544" s="5">
        <v>3738</v>
      </c>
      <c r="F544" t="s">
        <v>1229</v>
      </c>
      <c r="G544" t="s">
        <v>400</v>
      </c>
      <c r="H544" s="9">
        <v>6.99</v>
      </c>
      <c r="I544" s="5">
        <v>1</v>
      </c>
      <c r="J544" s="7" t="s">
        <v>970</v>
      </c>
      <c r="K544" s="7">
        <v>42748.047268518516</v>
      </c>
      <c r="L544" s="3" t="s">
        <v>970</v>
      </c>
      <c r="M544" s="7">
        <v>42748.047268518516</v>
      </c>
      <c r="N544" s="3" t="s">
        <v>970</v>
      </c>
      <c r="O544" s="16" t="str">
        <f>TEXT(DATEVALUE(LEFT(F544,10)),"mm-yyyy")</f>
        <v>03-2015</v>
      </c>
      <c r="P544" s="16">
        <f>H544*I544</f>
        <v>6.99</v>
      </c>
    </row>
    <row r="545" spans="3:16" x14ac:dyDescent="0.25">
      <c r="C545" t="str">
        <f>IF(COUNTBLANK(E545:N545) = 10,"",IF(AND(NOT(ISBLANK(E545)),COUNTBLANK(E545:N545) = 9),"3 Delete",IF(ISBLANK(E545),"2 Add",IF(JenkinsHashRange(E545:N545) = "901729923","0 Original","1 Modify"))))</f>
        <v>0 Original</v>
      </c>
      <c r="D545" s="3" t="s">
        <v>2041</v>
      </c>
      <c r="E545" s="5">
        <v>3739</v>
      </c>
      <c r="F545" t="s">
        <v>1229</v>
      </c>
      <c r="G545" t="s">
        <v>702</v>
      </c>
      <c r="H545" s="9">
        <v>7.99</v>
      </c>
      <c r="I545" s="5">
        <v>2</v>
      </c>
      <c r="J545" s="7" t="s">
        <v>970</v>
      </c>
      <c r="K545" s="7">
        <v>42748.047268518516</v>
      </c>
      <c r="L545" s="3" t="s">
        <v>970</v>
      </c>
      <c r="M545" s="7">
        <v>42748.047268518516</v>
      </c>
      <c r="N545" s="3" t="s">
        <v>970</v>
      </c>
      <c r="O545" s="16" t="str">
        <f>TEXT(DATEVALUE(LEFT(F545,10)),"mm-yyyy")</f>
        <v>03-2015</v>
      </c>
      <c r="P545" s="16">
        <f>H545*I545</f>
        <v>15.98</v>
      </c>
    </row>
    <row r="546" spans="3:16" x14ac:dyDescent="0.25">
      <c r="C546" t="str">
        <f>IF(COUNTBLANK(E546:N546) = 10,"",IF(AND(NOT(ISBLANK(E546)),COUNTBLANK(E546:N546) = 9),"3 Delete",IF(ISBLANK(E546),"2 Add",IF(JenkinsHashRange(E546:N546) = "1763760935","0 Original","1 Modify"))))</f>
        <v>0 Original</v>
      </c>
      <c r="D546" s="3" t="s">
        <v>2042</v>
      </c>
      <c r="E546" s="5">
        <v>3740</v>
      </c>
      <c r="F546" t="s">
        <v>1229</v>
      </c>
      <c r="G546" t="s">
        <v>904</v>
      </c>
      <c r="H546" s="9">
        <v>9.99</v>
      </c>
      <c r="I546" s="5">
        <v>1</v>
      </c>
      <c r="J546" s="7" t="s">
        <v>970</v>
      </c>
      <c r="K546" s="7">
        <v>42748.047268518516</v>
      </c>
      <c r="L546" s="3" t="s">
        <v>970</v>
      </c>
      <c r="M546" s="7">
        <v>42748.047268518516</v>
      </c>
      <c r="N546" s="3" t="s">
        <v>970</v>
      </c>
      <c r="O546" s="16" t="str">
        <f>TEXT(DATEVALUE(LEFT(F546,10)),"mm-yyyy")</f>
        <v>03-2015</v>
      </c>
      <c r="P546" s="16">
        <f>H546*I546</f>
        <v>9.99</v>
      </c>
    </row>
    <row r="547" spans="3:16" x14ac:dyDescent="0.25">
      <c r="C547" t="str">
        <f>IF(COUNTBLANK(E547:N547) = 10,"",IF(AND(NOT(ISBLANK(E547)),COUNTBLANK(E547:N547) = 9),"3 Delete",IF(ISBLANK(E547),"2 Add",IF(JenkinsHashRange(E547:N547) = "652370647","0 Original","1 Modify"))))</f>
        <v>0 Original</v>
      </c>
      <c r="D547" s="3" t="s">
        <v>2050</v>
      </c>
      <c r="E547" s="5">
        <v>3761</v>
      </c>
      <c r="F547" t="s">
        <v>1232</v>
      </c>
      <c r="G547" t="s">
        <v>945</v>
      </c>
      <c r="H547" s="9">
        <v>7.99</v>
      </c>
      <c r="I547" s="5">
        <v>1</v>
      </c>
      <c r="J547" s="7" t="s">
        <v>970</v>
      </c>
      <c r="K547" s="7">
        <v>42748.047268518516</v>
      </c>
      <c r="L547" s="3" t="s">
        <v>970</v>
      </c>
      <c r="M547" s="7">
        <v>42748.047268518516</v>
      </c>
      <c r="N547" s="3" t="s">
        <v>970</v>
      </c>
      <c r="O547" s="16" t="str">
        <f>TEXT(DATEVALUE(LEFT(F547,10)),"mm-yyyy")</f>
        <v>03-2015</v>
      </c>
      <c r="P547" s="16">
        <f>H547*I547</f>
        <v>7.99</v>
      </c>
    </row>
    <row r="548" spans="3:16" x14ac:dyDescent="0.25">
      <c r="C548" t="str">
        <f>IF(COUNTBLANK(E548:N548) = 10,"",IF(AND(NOT(ISBLANK(E548)),COUNTBLANK(E548:N548) = 9),"3 Delete",IF(ISBLANK(E548),"2 Add",IF(JenkinsHashRange(E548:N548) = "1306558822","0 Original","1 Modify"))))</f>
        <v>0 Original</v>
      </c>
      <c r="D548" s="3" t="s">
        <v>2051</v>
      </c>
      <c r="E548" s="5">
        <v>3762</v>
      </c>
      <c r="F548" t="s">
        <v>1232</v>
      </c>
      <c r="G548" t="s">
        <v>945</v>
      </c>
      <c r="H548" s="9">
        <v>7.99</v>
      </c>
      <c r="I548" s="5">
        <v>1</v>
      </c>
      <c r="J548" s="7" t="s">
        <v>970</v>
      </c>
      <c r="K548" s="7">
        <v>42748.047268518516</v>
      </c>
      <c r="L548" s="3" t="s">
        <v>970</v>
      </c>
      <c r="M548" s="7">
        <v>42748.047268518516</v>
      </c>
      <c r="N548" s="3" t="s">
        <v>970</v>
      </c>
      <c r="O548" s="16" t="str">
        <f>TEXT(DATEVALUE(LEFT(F548,10)),"mm-yyyy")</f>
        <v>03-2015</v>
      </c>
      <c r="P548" s="16">
        <f>H548*I548</f>
        <v>7.99</v>
      </c>
    </row>
    <row r="549" spans="3:16" x14ac:dyDescent="0.25">
      <c r="C549" t="str">
        <f>IF(COUNTBLANK(E549:N549) = 10,"",IF(AND(NOT(ISBLANK(E549)),COUNTBLANK(E549:N549) = 9),"3 Delete",IF(ISBLANK(E549),"2 Add",IF(JenkinsHashRange(E549:N549) = "1069756157","0 Original","1 Modify"))))</f>
        <v>0 Original</v>
      </c>
      <c r="D549" s="3" t="s">
        <v>2060</v>
      </c>
      <c r="E549" s="5">
        <v>3853</v>
      </c>
      <c r="F549" t="s">
        <v>1236</v>
      </c>
      <c r="G549" t="s">
        <v>957</v>
      </c>
      <c r="H549" s="9">
        <v>5.99</v>
      </c>
      <c r="I549" s="5">
        <v>1</v>
      </c>
      <c r="J549" s="7" t="s">
        <v>970</v>
      </c>
      <c r="K549" s="7">
        <v>42748.047268518516</v>
      </c>
      <c r="L549" s="3" t="s">
        <v>970</v>
      </c>
      <c r="M549" s="7">
        <v>42748.047268518516</v>
      </c>
      <c r="N549" s="3" t="s">
        <v>970</v>
      </c>
      <c r="O549" s="16" t="str">
        <f>TEXT(DATEVALUE(LEFT(F549,10)),"mm-yyyy")</f>
        <v>03-2015</v>
      </c>
      <c r="P549" s="16">
        <f>H549*I549</f>
        <v>5.99</v>
      </c>
    </row>
    <row r="550" spans="3:16" x14ac:dyDescent="0.25">
      <c r="C550" t="str">
        <f>IF(COUNTBLANK(E550:N550) = 10,"",IF(AND(NOT(ISBLANK(E550)),COUNTBLANK(E550:N550) = 9),"3 Delete",IF(ISBLANK(E550),"2 Add",IF(JenkinsHashRange(E550:N550) = "1776951750","0 Original","1 Modify"))))</f>
        <v>0 Original</v>
      </c>
      <c r="D550" s="3" t="s">
        <v>2061</v>
      </c>
      <c r="E550" s="5">
        <v>3854</v>
      </c>
      <c r="F550" t="s">
        <v>1236</v>
      </c>
      <c r="G550" t="s">
        <v>702</v>
      </c>
      <c r="H550" s="9">
        <v>7.99</v>
      </c>
      <c r="I550" s="5">
        <v>1</v>
      </c>
      <c r="J550" s="7" t="s">
        <v>970</v>
      </c>
      <c r="K550" s="7">
        <v>42748.047268518516</v>
      </c>
      <c r="L550" s="3" t="s">
        <v>970</v>
      </c>
      <c r="M550" s="7">
        <v>42748.047268518516</v>
      </c>
      <c r="N550" s="3" t="s">
        <v>970</v>
      </c>
      <c r="O550" s="16" t="str">
        <f>TEXT(DATEVALUE(LEFT(F550,10)),"mm-yyyy")</f>
        <v>03-2015</v>
      </c>
      <c r="P550" s="16">
        <f>H550*I550</f>
        <v>7.99</v>
      </c>
    </row>
    <row r="551" spans="3:16" x14ac:dyDescent="0.25">
      <c r="C551" t="str">
        <f>IF(COUNTBLANK(E551:N551) = 10,"",IF(AND(NOT(ISBLANK(E551)),COUNTBLANK(E551:N551) = 9),"3 Delete",IF(ISBLANK(E551),"2 Add",IF(JenkinsHashRange(E551:N551) = "1568870661","0 Original","1 Modify"))))</f>
        <v>0 Original</v>
      </c>
      <c r="D551" s="3" t="s">
        <v>2062</v>
      </c>
      <c r="E551" s="5">
        <v>3855</v>
      </c>
      <c r="F551" t="s">
        <v>1236</v>
      </c>
      <c r="G551" t="s">
        <v>914</v>
      </c>
      <c r="H551" s="9">
        <v>8.99</v>
      </c>
      <c r="I551" s="5">
        <v>1</v>
      </c>
      <c r="J551" s="7" t="s">
        <v>970</v>
      </c>
      <c r="K551" s="7">
        <v>42748.047268518516</v>
      </c>
      <c r="L551" s="3" t="s">
        <v>970</v>
      </c>
      <c r="M551" s="7">
        <v>42748.047268518516</v>
      </c>
      <c r="N551" s="3" t="s">
        <v>970</v>
      </c>
      <c r="O551" s="16" t="str">
        <f>TEXT(DATEVALUE(LEFT(F551,10)),"mm-yyyy")</f>
        <v>03-2015</v>
      </c>
      <c r="P551" s="16">
        <f>H551*I551</f>
        <v>8.99</v>
      </c>
    </row>
    <row r="552" spans="3:16" x14ac:dyDescent="0.25">
      <c r="C552" t="str">
        <f>IF(COUNTBLANK(E552:N552) = 10,"",IF(AND(NOT(ISBLANK(E552)),COUNTBLANK(E552:N552) = 9),"3 Delete",IF(ISBLANK(E552),"2 Add",IF(JenkinsHashRange(E552:N552) = "1548397716","0 Original","1 Modify"))))</f>
        <v>0 Original</v>
      </c>
      <c r="D552" s="3" t="s">
        <v>2073</v>
      </c>
      <c r="E552" s="5">
        <v>3922</v>
      </c>
      <c r="F552" t="s">
        <v>1240</v>
      </c>
      <c r="G552" t="s">
        <v>945</v>
      </c>
      <c r="H552" s="9">
        <v>7.99</v>
      </c>
      <c r="I552" s="5">
        <v>1</v>
      </c>
      <c r="J552" s="7" t="s">
        <v>970</v>
      </c>
      <c r="K552" s="7">
        <v>42748.047268518516</v>
      </c>
      <c r="L552" s="3" t="s">
        <v>970</v>
      </c>
      <c r="M552" s="7">
        <v>42748.047268518516</v>
      </c>
      <c r="N552" s="3" t="s">
        <v>970</v>
      </c>
      <c r="O552" s="16" t="str">
        <f>TEXT(DATEVALUE(LEFT(F552,10)),"mm-yyyy")</f>
        <v>03-2015</v>
      </c>
      <c r="P552" s="16">
        <f>H552*I552</f>
        <v>7.99</v>
      </c>
    </row>
    <row r="553" spans="3:16" x14ac:dyDescent="0.25">
      <c r="C553" t="str">
        <f>IF(COUNTBLANK(E553:N553) = 10,"",IF(AND(NOT(ISBLANK(E553)),COUNTBLANK(E553:N553) = 9),"3 Delete",IF(ISBLANK(E553),"2 Add",IF(JenkinsHashRange(E553:N553) = "1604120455","0 Original","1 Modify"))))</f>
        <v>0 Original</v>
      </c>
      <c r="D553" s="3" t="s">
        <v>2074</v>
      </c>
      <c r="E553" s="5">
        <v>3923</v>
      </c>
      <c r="F553" t="s">
        <v>1240</v>
      </c>
      <c r="G553" t="s">
        <v>914</v>
      </c>
      <c r="H553" s="9">
        <v>8.99</v>
      </c>
      <c r="I553" s="5">
        <v>1</v>
      </c>
      <c r="J553" s="7" t="s">
        <v>970</v>
      </c>
      <c r="K553" s="7">
        <v>42748.047268518516</v>
      </c>
      <c r="L553" s="3" t="s">
        <v>970</v>
      </c>
      <c r="M553" s="7">
        <v>42748.047268518516</v>
      </c>
      <c r="N553" s="3" t="s">
        <v>970</v>
      </c>
      <c r="O553" s="16" t="str">
        <f>TEXT(DATEVALUE(LEFT(F553,10)),"mm-yyyy")</f>
        <v>03-2015</v>
      </c>
      <c r="P553" s="16">
        <f>H553*I553</f>
        <v>8.99</v>
      </c>
    </row>
    <row r="554" spans="3:16" x14ac:dyDescent="0.25">
      <c r="C554" t="str">
        <f>IF(COUNTBLANK(E554:N554) = 10,"",IF(AND(NOT(ISBLANK(E554)),COUNTBLANK(E554:N554) = 9),"3 Delete",IF(ISBLANK(E554),"2 Add",IF(JenkinsHashRange(E554:N554) = "1644824059","0 Original","1 Modify"))))</f>
        <v>0 Original</v>
      </c>
      <c r="D554" s="3" t="s">
        <v>2075</v>
      </c>
      <c r="E554" s="5">
        <v>3924</v>
      </c>
      <c r="F554" t="s">
        <v>1240</v>
      </c>
      <c r="G554" t="s">
        <v>565</v>
      </c>
      <c r="H554" s="9">
        <v>5.99</v>
      </c>
      <c r="I554" s="5">
        <v>1</v>
      </c>
      <c r="J554" s="7" t="s">
        <v>970</v>
      </c>
      <c r="K554" s="7">
        <v>42748.047268518516</v>
      </c>
      <c r="L554" s="3" t="s">
        <v>970</v>
      </c>
      <c r="M554" s="7">
        <v>42748.047268518516</v>
      </c>
      <c r="N554" s="3" t="s">
        <v>970</v>
      </c>
      <c r="O554" s="16" t="str">
        <f>TEXT(DATEVALUE(LEFT(F554,10)),"mm-yyyy")</f>
        <v>03-2015</v>
      </c>
      <c r="P554" s="16">
        <f>H554*I554</f>
        <v>5.99</v>
      </c>
    </row>
    <row r="555" spans="3:16" x14ac:dyDescent="0.25">
      <c r="C555" t="str">
        <f>IF(COUNTBLANK(E555:N555) = 10,"",IF(AND(NOT(ISBLANK(E555)),COUNTBLANK(E555:N555) = 9),"3 Delete",IF(ISBLANK(E555),"2 Add",IF(JenkinsHashRange(E555:N555) = "757978055","0 Original","1 Modify"))))</f>
        <v>0 Original</v>
      </c>
      <c r="D555" s="3" t="s">
        <v>2084</v>
      </c>
      <c r="E555" s="5">
        <v>3965</v>
      </c>
      <c r="F555" t="s">
        <v>1243</v>
      </c>
      <c r="G555" t="s">
        <v>400</v>
      </c>
      <c r="H555" s="9">
        <v>6.99</v>
      </c>
      <c r="I555" s="5">
        <v>2</v>
      </c>
      <c r="J555" s="7" t="s">
        <v>970</v>
      </c>
      <c r="K555" s="7">
        <v>42748.047268518516</v>
      </c>
      <c r="L555" s="3" t="s">
        <v>970</v>
      </c>
      <c r="M555" s="7">
        <v>42748.047268518516</v>
      </c>
      <c r="N555" s="3" t="s">
        <v>970</v>
      </c>
      <c r="O555" s="16" t="str">
        <f>TEXT(DATEVALUE(LEFT(F555,10)),"mm-yyyy")</f>
        <v>03-2015</v>
      </c>
      <c r="P555" s="16">
        <f>H555*I555</f>
        <v>13.98</v>
      </c>
    </row>
    <row r="556" spans="3:16" x14ac:dyDescent="0.25">
      <c r="C556" t="str">
        <f>IF(COUNTBLANK(E556:N556) = 10,"",IF(AND(NOT(ISBLANK(E556)),COUNTBLANK(E556:N556) = 9),"3 Delete",IF(ISBLANK(E556),"2 Add",IF(JenkinsHashRange(E556:N556) = "2056110684","0 Original","1 Modify"))))</f>
        <v>0 Original</v>
      </c>
      <c r="D556" s="3" t="s">
        <v>2085</v>
      </c>
      <c r="E556" s="5">
        <v>3966</v>
      </c>
      <c r="F556" t="s">
        <v>1243</v>
      </c>
      <c r="G556" t="s">
        <v>702</v>
      </c>
      <c r="H556" s="9">
        <v>7.99</v>
      </c>
      <c r="I556" s="5">
        <v>1</v>
      </c>
      <c r="J556" s="7" t="s">
        <v>970</v>
      </c>
      <c r="K556" s="7">
        <v>42748.047268518516</v>
      </c>
      <c r="L556" s="3" t="s">
        <v>970</v>
      </c>
      <c r="M556" s="7">
        <v>42748.047268518516</v>
      </c>
      <c r="N556" s="3" t="s">
        <v>970</v>
      </c>
      <c r="O556" s="16" t="str">
        <f>TEXT(DATEVALUE(LEFT(F556,10)),"mm-yyyy")</f>
        <v>03-2015</v>
      </c>
      <c r="P556" s="16">
        <f>H556*I556</f>
        <v>7.99</v>
      </c>
    </row>
    <row r="557" spans="3:16" x14ac:dyDescent="0.25">
      <c r="C557" t="str">
        <f>IF(COUNTBLANK(E557:N557) = 10,"",IF(AND(NOT(ISBLANK(E557)),COUNTBLANK(E557:N557) = 9),"3 Delete",IF(ISBLANK(E557),"2 Add",IF(JenkinsHashRange(E557:N557) = "524838134","0 Original","1 Modify"))))</f>
        <v>0 Original</v>
      </c>
      <c r="D557" s="3" t="s">
        <v>1250</v>
      </c>
      <c r="E557" s="5">
        <v>10</v>
      </c>
      <c r="F557" t="s">
        <v>988</v>
      </c>
      <c r="G557" t="s">
        <v>534</v>
      </c>
      <c r="H557" s="9">
        <v>7.99</v>
      </c>
      <c r="I557" s="5">
        <v>1</v>
      </c>
      <c r="J557" s="7" t="s">
        <v>970</v>
      </c>
      <c r="K557" s="7">
        <v>42748.047268518516</v>
      </c>
      <c r="L557" s="3" t="s">
        <v>970</v>
      </c>
      <c r="M557" s="7">
        <v>42748.047268518516</v>
      </c>
      <c r="N557" s="3" t="s">
        <v>970</v>
      </c>
      <c r="O557" s="16" t="str">
        <f>TEXT(DATEVALUE(LEFT(F557,10)),"mm-yyyy")</f>
        <v>04-2015</v>
      </c>
      <c r="P557" s="16">
        <f>H557*I557</f>
        <v>7.99</v>
      </c>
    </row>
    <row r="558" spans="3:16" x14ac:dyDescent="0.25">
      <c r="C558" t="str">
        <f>IF(COUNTBLANK(E558:N558) = 10,"",IF(AND(NOT(ISBLANK(E558)),COUNTBLANK(E558:N558) = 9),"3 Delete",IF(ISBLANK(E558),"2 Add",IF(JenkinsHashRange(E558:N558) = "1303968433","0 Original","1 Modify"))))</f>
        <v>0 Original</v>
      </c>
      <c r="D558" s="3" t="s">
        <v>1251</v>
      </c>
      <c r="E558" s="5">
        <v>11</v>
      </c>
      <c r="F558" t="s">
        <v>988</v>
      </c>
      <c r="G558" t="s">
        <v>639</v>
      </c>
      <c r="H558" s="9">
        <v>7.99</v>
      </c>
      <c r="I558" s="5">
        <v>1</v>
      </c>
      <c r="J558" s="7" t="s">
        <v>970</v>
      </c>
      <c r="K558" s="7">
        <v>42748.047268518516</v>
      </c>
      <c r="L558" s="3" t="s">
        <v>970</v>
      </c>
      <c r="M558" s="7">
        <v>42748.047268518516</v>
      </c>
      <c r="N558" s="3" t="s">
        <v>970</v>
      </c>
      <c r="O558" s="16" t="str">
        <f>TEXT(DATEVALUE(LEFT(F558,10)),"mm-yyyy")</f>
        <v>04-2015</v>
      </c>
      <c r="P558" s="16">
        <f>H558*I558</f>
        <v>7.99</v>
      </c>
    </row>
    <row r="559" spans="3:16" x14ac:dyDescent="0.25">
      <c r="C559" t="str">
        <f>IF(COUNTBLANK(E559:N559) = 10,"",IF(AND(NOT(ISBLANK(E559)),COUNTBLANK(E559:N559) = 9),"3 Delete",IF(ISBLANK(E559),"2 Add",IF(JenkinsHashRange(E559:N559) = "1104150544","0 Original","1 Modify"))))</f>
        <v>0 Original</v>
      </c>
      <c r="D559" s="3" t="s">
        <v>1252</v>
      </c>
      <c r="E559" s="5">
        <v>12</v>
      </c>
      <c r="F559" t="s">
        <v>988</v>
      </c>
      <c r="G559" t="s">
        <v>814</v>
      </c>
      <c r="H559" s="9">
        <v>9.99</v>
      </c>
      <c r="I559" s="5">
        <v>1</v>
      </c>
      <c r="J559" s="7" t="s">
        <v>970</v>
      </c>
      <c r="K559" s="7">
        <v>42748.047268518516</v>
      </c>
      <c r="L559" s="3" t="s">
        <v>970</v>
      </c>
      <c r="M559" s="7">
        <v>42748.047268518516</v>
      </c>
      <c r="N559" s="3" t="s">
        <v>970</v>
      </c>
      <c r="O559" s="16" t="str">
        <f>TEXT(DATEVALUE(LEFT(F559,10)),"mm-yyyy")</f>
        <v>04-2015</v>
      </c>
      <c r="P559" s="16">
        <f>H559*I559</f>
        <v>9.99</v>
      </c>
    </row>
    <row r="560" spans="3:16" x14ac:dyDescent="0.25">
      <c r="C560" t="str">
        <f>IF(COUNTBLANK(E560:N560) = 10,"",IF(AND(NOT(ISBLANK(E560)),COUNTBLANK(E560:N560) = 9),"3 Delete",IF(ISBLANK(E560),"2 Add",IF(JenkinsHashRange(E560:N560) = "978377629","0 Original","1 Modify"))))</f>
        <v>0 Original</v>
      </c>
      <c r="D560" s="3" t="s">
        <v>1253</v>
      </c>
      <c r="E560" s="5">
        <v>13</v>
      </c>
      <c r="F560" t="s">
        <v>988</v>
      </c>
      <c r="G560" t="s">
        <v>546</v>
      </c>
      <c r="H560" s="9">
        <v>7.99</v>
      </c>
      <c r="I560" s="5">
        <v>1</v>
      </c>
      <c r="J560" s="7" t="s">
        <v>970</v>
      </c>
      <c r="K560" s="7">
        <v>42748.047268518516</v>
      </c>
      <c r="L560" s="3" t="s">
        <v>970</v>
      </c>
      <c r="M560" s="7">
        <v>42748.047268518516</v>
      </c>
      <c r="N560" s="3" t="s">
        <v>970</v>
      </c>
      <c r="O560" s="16" t="str">
        <f>TEXT(DATEVALUE(LEFT(F560,10)),"mm-yyyy")</f>
        <v>04-2015</v>
      </c>
      <c r="P560" s="16">
        <f>H560*I560</f>
        <v>7.99</v>
      </c>
    </row>
    <row r="561" spans="3:16" x14ac:dyDescent="0.25">
      <c r="C561" t="str">
        <f>IF(COUNTBLANK(E561:N561) = 10,"",IF(AND(NOT(ISBLANK(E561)),COUNTBLANK(E561:N561) = 9),"3 Delete",IF(ISBLANK(E561),"2 Add",IF(JenkinsHashRange(E561:N561) = "1507456558","0 Original","1 Modify"))))</f>
        <v>0 Original</v>
      </c>
      <c r="D561" s="3" t="s">
        <v>1258</v>
      </c>
      <c r="E561" s="5">
        <v>35</v>
      </c>
      <c r="F561" t="s">
        <v>990</v>
      </c>
      <c r="G561" t="s">
        <v>810</v>
      </c>
      <c r="H561" s="9">
        <v>4.99</v>
      </c>
      <c r="I561" s="5">
        <v>1</v>
      </c>
      <c r="J561" s="7" t="s">
        <v>970</v>
      </c>
      <c r="K561" s="7">
        <v>42748.047268518516</v>
      </c>
      <c r="L561" s="3" t="s">
        <v>970</v>
      </c>
      <c r="M561" s="7">
        <v>42748.047268518516</v>
      </c>
      <c r="N561" s="3" t="s">
        <v>970</v>
      </c>
      <c r="O561" s="16" t="str">
        <f>TEXT(DATEVALUE(LEFT(F561,10)),"mm-yyyy")</f>
        <v>04-2015</v>
      </c>
      <c r="P561" s="16">
        <f>H561*I561</f>
        <v>4.99</v>
      </c>
    </row>
    <row r="562" spans="3:16" x14ac:dyDescent="0.25">
      <c r="C562" t="str">
        <f>IF(COUNTBLANK(E562:N562) = 10,"",IF(AND(NOT(ISBLANK(E562)),COUNTBLANK(E562:N562) = 9),"3 Delete",IF(ISBLANK(E562),"2 Add",IF(JenkinsHashRange(E562:N562) = "2093548447","0 Original","1 Modify"))))</f>
        <v>0 Original</v>
      </c>
      <c r="D562" s="3" t="s">
        <v>1259</v>
      </c>
      <c r="E562" s="5">
        <v>36</v>
      </c>
      <c r="F562" t="s">
        <v>990</v>
      </c>
      <c r="G562" t="s">
        <v>948</v>
      </c>
      <c r="H562" s="9">
        <v>4.99</v>
      </c>
      <c r="I562" s="5">
        <v>1</v>
      </c>
      <c r="J562" s="7" t="s">
        <v>970</v>
      </c>
      <c r="K562" s="7">
        <v>42748.047268518516</v>
      </c>
      <c r="L562" s="3" t="s">
        <v>970</v>
      </c>
      <c r="M562" s="7">
        <v>42748.047268518516</v>
      </c>
      <c r="N562" s="3" t="s">
        <v>970</v>
      </c>
      <c r="O562" s="16" t="str">
        <f>TEXT(DATEVALUE(LEFT(F562,10)),"mm-yyyy")</f>
        <v>04-2015</v>
      </c>
      <c r="P562" s="16">
        <f>H562*I562</f>
        <v>4.99</v>
      </c>
    </row>
    <row r="563" spans="3:16" x14ac:dyDescent="0.25">
      <c r="C563" t="str">
        <f>IF(COUNTBLANK(E563:N563) = 10,"",IF(AND(NOT(ISBLANK(E563)),COUNTBLANK(E563:N563) = 9),"3 Delete",IF(ISBLANK(E563),"2 Add",IF(JenkinsHashRange(E563:N563) = "1670285044","0 Original","1 Modify"))))</f>
        <v>0 Original</v>
      </c>
      <c r="D563" s="3" t="s">
        <v>1260</v>
      </c>
      <c r="E563" s="5">
        <v>37</v>
      </c>
      <c r="F563" t="s">
        <v>990</v>
      </c>
      <c r="G563" t="s">
        <v>393</v>
      </c>
      <c r="H563" s="9">
        <v>6.99</v>
      </c>
      <c r="I563" s="5">
        <v>1</v>
      </c>
      <c r="J563" s="7" t="s">
        <v>970</v>
      </c>
      <c r="K563" s="7">
        <v>42748.047268518516</v>
      </c>
      <c r="L563" s="3" t="s">
        <v>970</v>
      </c>
      <c r="M563" s="7">
        <v>42748.047268518516</v>
      </c>
      <c r="N563" s="3" t="s">
        <v>970</v>
      </c>
      <c r="O563" s="16" t="str">
        <f>TEXT(DATEVALUE(LEFT(F563,10)),"mm-yyyy")</f>
        <v>04-2015</v>
      </c>
      <c r="P563" s="16">
        <f>H563*I563</f>
        <v>6.99</v>
      </c>
    </row>
    <row r="564" spans="3:16" x14ac:dyDescent="0.25">
      <c r="C564" t="str">
        <f>IF(COUNTBLANK(E564:N564) = 10,"",IF(AND(NOT(ISBLANK(E564)),COUNTBLANK(E564:N564) = 9),"3 Delete",IF(ISBLANK(E564),"2 Add",IF(JenkinsHashRange(E564:N564) = "418356438","0 Original","1 Modify"))))</f>
        <v>0 Original</v>
      </c>
      <c r="D564" s="3" t="s">
        <v>1261</v>
      </c>
      <c r="E564" s="5">
        <v>38</v>
      </c>
      <c r="F564" t="s">
        <v>990</v>
      </c>
      <c r="G564" t="s">
        <v>743</v>
      </c>
      <c r="H564" s="9">
        <v>9.99</v>
      </c>
      <c r="I564" s="5">
        <v>1</v>
      </c>
      <c r="J564" s="7" t="s">
        <v>970</v>
      </c>
      <c r="K564" s="7">
        <v>42748.047268518516</v>
      </c>
      <c r="L564" s="3" t="s">
        <v>970</v>
      </c>
      <c r="M564" s="7">
        <v>42748.047268518516</v>
      </c>
      <c r="N564" s="3" t="s">
        <v>970</v>
      </c>
      <c r="O564" s="16" t="str">
        <f>TEXT(DATEVALUE(LEFT(F564,10)),"mm-yyyy")</f>
        <v>04-2015</v>
      </c>
      <c r="P564" s="16">
        <f>H564*I564</f>
        <v>9.99</v>
      </c>
    </row>
    <row r="565" spans="3:16" x14ac:dyDescent="0.25">
      <c r="C565" t="str">
        <f>IF(COUNTBLANK(E565:N565) = 10,"",IF(AND(NOT(ISBLANK(E565)),COUNTBLANK(E565:N565) = 9),"3 Delete",IF(ISBLANK(E565),"2 Add",IF(JenkinsHashRange(E565:N565) = "2083188279","0 Original","1 Modify"))))</f>
        <v>0 Original</v>
      </c>
      <c r="D565" s="3" t="s">
        <v>1262</v>
      </c>
      <c r="E565" s="5">
        <v>39</v>
      </c>
      <c r="F565" t="s">
        <v>990</v>
      </c>
      <c r="G565" t="s">
        <v>746</v>
      </c>
      <c r="H565" s="9">
        <v>5.99</v>
      </c>
      <c r="I565" s="5">
        <v>1</v>
      </c>
      <c r="J565" s="7" t="s">
        <v>970</v>
      </c>
      <c r="K565" s="7">
        <v>42748.047268518516</v>
      </c>
      <c r="L565" s="3" t="s">
        <v>970</v>
      </c>
      <c r="M565" s="7">
        <v>42748.047268518516</v>
      </c>
      <c r="N565" s="3" t="s">
        <v>970</v>
      </c>
      <c r="O565" s="16" t="str">
        <f>TEXT(DATEVALUE(LEFT(F565,10)),"mm-yyyy")</f>
        <v>04-2015</v>
      </c>
      <c r="P565" s="16">
        <f>H565*I565</f>
        <v>5.99</v>
      </c>
    </row>
    <row r="566" spans="3:16" x14ac:dyDescent="0.25">
      <c r="C566" t="str">
        <f>IF(COUNTBLANK(E566:N566) = 10,"",IF(AND(NOT(ISBLANK(E566)),COUNTBLANK(E566:N566) = 9),"3 Delete",IF(ISBLANK(E566),"2 Add",IF(JenkinsHashRange(E566:N566) = "616461007","0 Original","1 Modify"))))</f>
        <v>0 Original</v>
      </c>
      <c r="D566" s="3" t="s">
        <v>1289</v>
      </c>
      <c r="E566" s="5">
        <v>214</v>
      </c>
      <c r="F566" t="s">
        <v>1000</v>
      </c>
      <c r="G566" t="s">
        <v>907</v>
      </c>
      <c r="H566" s="9">
        <v>8.99</v>
      </c>
      <c r="I566" s="5">
        <v>2</v>
      </c>
      <c r="J566" s="7" t="s">
        <v>970</v>
      </c>
      <c r="K566" s="7">
        <v>42748.047268518516</v>
      </c>
      <c r="L566" s="3" t="s">
        <v>970</v>
      </c>
      <c r="M566" s="7">
        <v>42748.047268518516</v>
      </c>
      <c r="N566" s="3" t="s">
        <v>970</v>
      </c>
      <c r="O566" s="16" t="str">
        <f>TEXT(DATEVALUE(LEFT(F566,10)),"mm-yyyy")</f>
        <v>04-2015</v>
      </c>
      <c r="P566" s="16">
        <f>H566*I566</f>
        <v>17.98</v>
      </c>
    </row>
    <row r="567" spans="3:16" x14ac:dyDescent="0.25">
      <c r="C567" t="str">
        <f>IF(COUNTBLANK(E567:N567) = 10,"",IF(AND(NOT(ISBLANK(E567)),COUNTBLANK(E567:N567) = 9),"3 Delete",IF(ISBLANK(E567),"2 Add",IF(JenkinsHashRange(E567:N567) = "101487137","0 Original","1 Modify"))))</f>
        <v>0 Original</v>
      </c>
      <c r="D567" s="3" t="s">
        <v>1290</v>
      </c>
      <c r="E567" s="5">
        <v>215</v>
      </c>
      <c r="F567" t="s">
        <v>1000</v>
      </c>
      <c r="G567" t="s">
        <v>874</v>
      </c>
      <c r="H567" s="9">
        <v>5.99</v>
      </c>
      <c r="I567" s="5">
        <v>1</v>
      </c>
      <c r="J567" s="7" t="s">
        <v>970</v>
      </c>
      <c r="K567" s="7">
        <v>42748.047268518516</v>
      </c>
      <c r="L567" s="3" t="s">
        <v>970</v>
      </c>
      <c r="M567" s="7">
        <v>42748.047268518516</v>
      </c>
      <c r="N567" s="3" t="s">
        <v>970</v>
      </c>
      <c r="O567" s="16" t="str">
        <f>TEXT(DATEVALUE(LEFT(F567,10)),"mm-yyyy")</f>
        <v>04-2015</v>
      </c>
      <c r="P567" s="16">
        <f>H567*I567</f>
        <v>5.99</v>
      </c>
    </row>
    <row r="568" spans="3:16" x14ac:dyDescent="0.25">
      <c r="C568" t="str">
        <f>IF(COUNTBLANK(E568:N568) = 10,"",IF(AND(NOT(ISBLANK(E568)),COUNTBLANK(E568:N568) = 9),"3 Delete",IF(ISBLANK(E568),"2 Add",IF(JenkinsHashRange(E568:N568) = "620543432","0 Original","1 Modify"))))</f>
        <v>0 Original</v>
      </c>
      <c r="D568" s="3" t="s">
        <v>1296</v>
      </c>
      <c r="E568" s="5">
        <v>225</v>
      </c>
      <c r="F568" t="s">
        <v>1002</v>
      </c>
      <c r="G568" t="s">
        <v>530</v>
      </c>
      <c r="H568" s="9">
        <v>5.99</v>
      </c>
      <c r="I568" s="5">
        <v>2</v>
      </c>
      <c r="J568" s="7" t="s">
        <v>970</v>
      </c>
      <c r="K568" s="7">
        <v>42748.047268518516</v>
      </c>
      <c r="L568" s="3" t="s">
        <v>970</v>
      </c>
      <c r="M568" s="7">
        <v>42748.047268518516</v>
      </c>
      <c r="N568" s="3" t="s">
        <v>970</v>
      </c>
      <c r="O568" s="16" t="str">
        <f>TEXT(DATEVALUE(LEFT(F568,10)),"mm-yyyy")</f>
        <v>04-2015</v>
      </c>
      <c r="P568" s="16">
        <f>H568*I568</f>
        <v>11.98</v>
      </c>
    </row>
    <row r="569" spans="3:16" x14ac:dyDescent="0.25">
      <c r="C569" t="str">
        <f>IF(COUNTBLANK(E569:N569) = 10,"",IF(AND(NOT(ISBLANK(E569)),COUNTBLANK(E569:N569) = 9),"3 Delete",IF(ISBLANK(E569),"2 Add",IF(JenkinsHashRange(E569:N569) = "326741809","0 Original","1 Modify"))))</f>
        <v>0 Original</v>
      </c>
      <c r="D569" s="3" t="s">
        <v>1297</v>
      </c>
      <c r="E569" s="5">
        <v>226</v>
      </c>
      <c r="F569" t="s">
        <v>1002</v>
      </c>
      <c r="G569" t="s">
        <v>604</v>
      </c>
      <c r="H569" s="9">
        <v>7.99</v>
      </c>
      <c r="I569" s="5">
        <v>1</v>
      </c>
      <c r="J569" s="7" t="s">
        <v>970</v>
      </c>
      <c r="K569" s="7">
        <v>42748.047268518516</v>
      </c>
      <c r="L569" s="3" t="s">
        <v>970</v>
      </c>
      <c r="M569" s="7">
        <v>42748.047268518516</v>
      </c>
      <c r="N569" s="3" t="s">
        <v>970</v>
      </c>
      <c r="O569" s="16" t="str">
        <f>TEXT(DATEVALUE(LEFT(F569,10)),"mm-yyyy")</f>
        <v>04-2015</v>
      </c>
      <c r="P569" s="16">
        <f>H569*I569</f>
        <v>7.99</v>
      </c>
    </row>
    <row r="570" spans="3:16" x14ac:dyDescent="0.25">
      <c r="C570" t="str">
        <f>IF(COUNTBLANK(E570:N570) = 10,"",IF(AND(NOT(ISBLANK(E570)),COUNTBLANK(E570:N570) = 9),"3 Delete",IF(ISBLANK(E570),"2 Add",IF(JenkinsHashRange(E570:N570) = "965805154","0 Original","1 Modify"))))</f>
        <v>0 Original</v>
      </c>
      <c r="D570" s="3" t="s">
        <v>1298</v>
      </c>
      <c r="E570" s="5">
        <v>227</v>
      </c>
      <c r="F570" t="s">
        <v>1002</v>
      </c>
      <c r="G570" t="s">
        <v>383</v>
      </c>
      <c r="H570" s="9">
        <v>9.99</v>
      </c>
      <c r="I570" s="5">
        <v>1</v>
      </c>
      <c r="J570" s="7" t="s">
        <v>970</v>
      </c>
      <c r="K570" s="7">
        <v>42748.047268518516</v>
      </c>
      <c r="L570" s="3" t="s">
        <v>970</v>
      </c>
      <c r="M570" s="7">
        <v>42748.047268518516</v>
      </c>
      <c r="N570" s="3" t="s">
        <v>970</v>
      </c>
      <c r="O570" s="16" t="str">
        <f>TEXT(DATEVALUE(LEFT(F570,10)),"mm-yyyy")</f>
        <v>04-2015</v>
      </c>
      <c r="P570" s="16">
        <f>H570*I570</f>
        <v>9.99</v>
      </c>
    </row>
    <row r="571" spans="3:16" x14ac:dyDescent="0.25">
      <c r="C571" t="str">
        <f>IF(COUNTBLANK(E571:N571) = 10,"",IF(AND(NOT(ISBLANK(E571)),COUNTBLANK(E571:N571) = 9),"3 Delete",IF(ISBLANK(E571),"2 Add",IF(JenkinsHashRange(E571:N571) = "422088416","0 Original","1 Modify"))))</f>
        <v>0 Original</v>
      </c>
      <c r="D571" s="3" t="s">
        <v>1299</v>
      </c>
      <c r="E571" s="5">
        <v>228</v>
      </c>
      <c r="F571" t="s">
        <v>1002</v>
      </c>
      <c r="G571" t="s">
        <v>565</v>
      </c>
      <c r="H571" s="9">
        <v>5.99</v>
      </c>
      <c r="I571" s="5">
        <v>1</v>
      </c>
      <c r="J571" s="7" t="s">
        <v>970</v>
      </c>
      <c r="K571" s="7">
        <v>42748.047268518516</v>
      </c>
      <c r="L571" s="3" t="s">
        <v>970</v>
      </c>
      <c r="M571" s="7">
        <v>42748.047268518516</v>
      </c>
      <c r="N571" s="3" t="s">
        <v>970</v>
      </c>
      <c r="O571" s="16" t="str">
        <f>TEXT(DATEVALUE(LEFT(F571,10)),"mm-yyyy")</f>
        <v>04-2015</v>
      </c>
      <c r="P571" s="16">
        <f>H571*I571</f>
        <v>5.99</v>
      </c>
    </row>
    <row r="572" spans="3:16" x14ac:dyDescent="0.25">
      <c r="C572" t="str">
        <f>IF(COUNTBLANK(E572:N572) = 10,"",IF(AND(NOT(ISBLANK(E572)),COUNTBLANK(E572:N572) = 9),"3 Delete",IF(ISBLANK(E572),"2 Add",IF(JenkinsHashRange(E572:N572) = "1339152645","0 Original","1 Modify"))))</f>
        <v>0 Original</v>
      </c>
      <c r="D572" s="3" t="s">
        <v>1300</v>
      </c>
      <c r="E572" s="5">
        <v>229</v>
      </c>
      <c r="F572" t="s">
        <v>1002</v>
      </c>
      <c r="G572" t="s">
        <v>951</v>
      </c>
      <c r="H572" s="9">
        <v>9.99</v>
      </c>
      <c r="I572" s="5">
        <v>2</v>
      </c>
      <c r="J572" s="7" t="s">
        <v>970</v>
      </c>
      <c r="K572" s="7">
        <v>42748.047268518516</v>
      </c>
      <c r="L572" s="3" t="s">
        <v>970</v>
      </c>
      <c r="M572" s="7">
        <v>42748.047268518516</v>
      </c>
      <c r="N572" s="3" t="s">
        <v>970</v>
      </c>
      <c r="O572" s="16" t="str">
        <f>TEXT(DATEVALUE(LEFT(F572,10)),"mm-yyyy")</f>
        <v>04-2015</v>
      </c>
      <c r="P572" s="16">
        <f>H572*I572</f>
        <v>19.98</v>
      </c>
    </row>
    <row r="573" spans="3:16" x14ac:dyDescent="0.25">
      <c r="C573" t="str">
        <f>IF(COUNTBLANK(E573:N573) = 10,"",IF(AND(NOT(ISBLANK(E573)),COUNTBLANK(E573:N573) = 9),"3 Delete",IF(ISBLANK(E573),"2 Add",IF(JenkinsHashRange(E573:N573) = "1213777756","0 Original","1 Modify"))))</f>
        <v>0 Original</v>
      </c>
      <c r="D573" s="3" t="s">
        <v>1301</v>
      </c>
      <c r="E573" s="5">
        <v>246</v>
      </c>
      <c r="F573" t="s">
        <v>1003</v>
      </c>
      <c r="G573" t="s">
        <v>473</v>
      </c>
      <c r="H573" s="9">
        <v>4.99</v>
      </c>
      <c r="I573" s="5">
        <v>1</v>
      </c>
      <c r="J573" s="7" t="s">
        <v>970</v>
      </c>
      <c r="K573" s="7">
        <v>42748.047268518516</v>
      </c>
      <c r="L573" s="3" t="s">
        <v>970</v>
      </c>
      <c r="M573" s="7">
        <v>42748.047268518516</v>
      </c>
      <c r="N573" s="3" t="s">
        <v>970</v>
      </c>
      <c r="O573" s="16" t="str">
        <f>TEXT(DATEVALUE(LEFT(F573,10)),"mm-yyyy")</f>
        <v>04-2015</v>
      </c>
      <c r="P573" s="16">
        <f>H573*I573</f>
        <v>4.99</v>
      </c>
    </row>
    <row r="574" spans="3:16" x14ac:dyDescent="0.25">
      <c r="C574" t="str">
        <f>IF(COUNTBLANK(E574:N574) = 10,"",IF(AND(NOT(ISBLANK(E574)),COUNTBLANK(E574:N574) = 9),"3 Delete",IF(ISBLANK(E574),"2 Add",IF(JenkinsHashRange(E574:N574) = "1140710846","0 Original","1 Modify"))))</f>
        <v>0 Original</v>
      </c>
      <c r="D574" s="3" t="s">
        <v>1302</v>
      </c>
      <c r="E574" s="5">
        <v>247</v>
      </c>
      <c r="F574" t="s">
        <v>1003</v>
      </c>
      <c r="G574" t="s">
        <v>507</v>
      </c>
      <c r="H574" s="9">
        <v>7.99</v>
      </c>
      <c r="I574" s="5">
        <v>1</v>
      </c>
      <c r="J574" s="7" t="s">
        <v>970</v>
      </c>
      <c r="K574" s="7">
        <v>42748.047268518516</v>
      </c>
      <c r="L574" s="3" t="s">
        <v>970</v>
      </c>
      <c r="M574" s="7">
        <v>42748.047268518516</v>
      </c>
      <c r="N574" s="3" t="s">
        <v>970</v>
      </c>
      <c r="O574" s="16" t="str">
        <f>TEXT(DATEVALUE(LEFT(F574,10)),"mm-yyyy")</f>
        <v>04-2015</v>
      </c>
      <c r="P574" s="16">
        <f>H574*I574</f>
        <v>7.99</v>
      </c>
    </row>
    <row r="575" spans="3:16" x14ac:dyDescent="0.25">
      <c r="C575" t="str">
        <f>IF(COUNTBLANK(E575:N575) = 10,"",IF(AND(NOT(ISBLANK(E575)),COUNTBLANK(E575:N575) = 9),"3 Delete",IF(ISBLANK(E575),"2 Add",IF(JenkinsHashRange(E575:N575) = "632274879","0 Original","1 Modify"))))</f>
        <v>0 Original</v>
      </c>
      <c r="D575" s="3" t="s">
        <v>1303</v>
      </c>
      <c r="E575" s="5">
        <v>256</v>
      </c>
      <c r="F575" t="s">
        <v>1004</v>
      </c>
      <c r="G575" t="s">
        <v>453</v>
      </c>
      <c r="H575" s="9">
        <v>8.99</v>
      </c>
      <c r="I575" s="5">
        <v>1</v>
      </c>
      <c r="J575" s="7" t="s">
        <v>970</v>
      </c>
      <c r="K575" s="7">
        <v>42748.047268518516</v>
      </c>
      <c r="L575" s="3" t="s">
        <v>970</v>
      </c>
      <c r="M575" s="7">
        <v>42748.047268518516</v>
      </c>
      <c r="N575" s="3" t="s">
        <v>970</v>
      </c>
      <c r="O575" s="16" t="str">
        <f>TEXT(DATEVALUE(LEFT(F575,10)),"mm-yyyy")</f>
        <v>04-2015</v>
      </c>
      <c r="P575" s="16">
        <f>H575*I575</f>
        <v>8.99</v>
      </c>
    </row>
    <row r="576" spans="3:16" x14ac:dyDescent="0.25">
      <c r="C576" t="str">
        <f>IF(COUNTBLANK(E576:N576) = 10,"",IF(AND(NOT(ISBLANK(E576)),COUNTBLANK(E576:N576) = 9),"3 Delete",IF(ISBLANK(E576),"2 Add",IF(JenkinsHashRange(E576:N576) = "1856742205","0 Original","1 Modify"))))</f>
        <v>0 Original</v>
      </c>
      <c r="D576" s="3" t="s">
        <v>1304</v>
      </c>
      <c r="E576" s="5">
        <v>257</v>
      </c>
      <c r="F576" t="s">
        <v>1004</v>
      </c>
      <c r="G576" t="s">
        <v>957</v>
      </c>
      <c r="H576" s="9">
        <v>5.99</v>
      </c>
      <c r="I576" s="5">
        <v>1</v>
      </c>
      <c r="J576" s="7" t="s">
        <v>970</v>
      </c>
      <c r="K576" s="7">
        <v>42748.047268518516</v>
      </c>
      <c r="L576" s="3" t="s">
        <v>970</v>
      </c>
      <c r="M576" s="7">
        <v>42748.047268518516</v>
      </c>
      <c r="N576" s="3" t="s">
        <v>970</v>
      </c>
      <c r="O576" s="16" t="str">
        <f>TEXT(DATEVALUE(LEFT(F576,10)),"mm-yyyy")</f>
        <v>04-2015</v>
      </c>
      <c r="P576" s="16">
        <f>H576*I576</f>
        <v>5.99</v>
      </c>
    </row>
    <row r="577" spans="3:16" x14ac:dyDescent="0.25">
      <c r="C577" t="str">
        <f>IF(COUNTBLANK(E577:N577) = 10,"",IF(AND(NOT(ISBLANK(E577)),COUNTBLANK(E577:N577) = 9),"3 Delete",IF(ISBLANK(E577),"2 Add",IF(JenkinsHashRange(E577:N577) = "1762463533","0 Original","1 Modify"))))</f>
        <v>0 Original</v>
      </c>
      <c r="D577" s="3" t="s">
        <v>1305</v>
      </c>
      <c r="E577" s="5">
        <v>258</v>
      </c>
      <c r="F577" t="s">
        <v>1004</v>
      </c>
      <c r="G577" t="s">
        <v>960</v>
      </c>
      <c r="H577" s="9">
        <v>7.99</v>
      </c>
      <c r="I577" s="5">
        <v>1</v>
      </c>
      <c r="J577" s="7" t="s">
        <v>970</v>
      </c>
      <c r="K577" s="7">
        <v>42748.047268518516</v>
      </c>
      <c r="L577" s="3" t="s">
        <v>970</v>
      </c>
      <c r="M577" s="7">
        <v>42748.047268518516</v>
      </c>
      <c r="N577" s="3" t="s">
        <v>970</v>
      </c>
      <c r="O577" s="16" t="str">
        <f>TEXT(DATEVALUE(LEFT(F577,10)),"mm-yyyy")</f>
        <v>04-2015</v>
      </c>
      <c r="P577" s="16">
        <f>H577*I577</f>
        <v>7.99</v>
      </c>
    </row>
    <row r="578" spans="3:16" x14ac:dyDescent="0.25">
      <c r="C578" t="str">
        <f>IF(COUNTBLANK(E578:N578) = 10,"",IF(AND(NOT(ISBLANK(E578)),COUNTBLANK(E578:N578) = 9),"3 Delete",IF(ISBLANK(E578),"2 Add",IF(JenkinsHashRange(E578:N578) = "1852482821","0 Original","1 Modify"))))</f>
        <v>0 Original</v>
      </c>
      <c r="D578" s="3" t="s">
        <v>1306</v>
      </c>
      <c r="E578" s="5">
        <v>259</v>
      </c>
      <c r="F578" t="s">
        <v>1004</v>
      </c>
      <c r="G578" t="s">
        <v>375</v>
      </c>
      <c r="H578" s="9">
        <v>5.99</v>
      </c>
      <c r="I578" s="5">
        <v>1</v>
      </c>
      <c r="J578" s="7" t="s">
        <v>970</v>
      </c>
      <c r="K578" s="7">
        <v>42748.047268518516</v>
      </c>
      <c r="L578" s="3" t="s">
        <v>970</v>
      </c>
      <c r="M578" s="7">
        <v>42748.047268518516</v>
      </c>
      <c r="N578" s="3" t="s">
        <v>970</v>
      </c>
      <c r="O578" s="16" t="str">
        <f>TEXT(DATEVALUE(LEFT(F578,10)),"mm-yyyy")</f>
        <v>04-2015</v>
      </c>
      <c r="P578" s="16">
        <f>H578*I578</f>
        <v>5.99</v>
      </c>
    </row>
    <row r="579" spans="3:16" x14ac:dyDescent="0.25">
      <c r="C579" t="str">
        <f>IF(COUNTBLANK(E579:N579) = 10,"",IF(AND(NOT(ISBLANK(E579)),COUNTBLANK(E579:N579) = 9),"3 Delete",IF(ISBLANK(E579),"2 Add",IF(JenkinsHashRange(E579:N579) = "405957623","0 Original","1 Modify"))))</f>
        <v>0 Original</v>
      </c>
      <c r="D579" s="3" t="s">
        <v>1371</v>
      </c>
      <c r="E579" s="5">
        <v>687</v>
      </c>
      <c r="F579" t="s">
        <v>1025</v>
      </c>
      <c r="G579" t="s">
        <v>653</v>
      </c>
      <c r="H579" s="9">
        <v>7.99</v>
      </c>
      <c r="I579" s="5">
        <v>1</v>
      </c>
      <c r="J579" s="7" t="s">
        <v>970</v>
      </c>
      <c r="K579" s="7">
        <v>42748.047268518516</v>
      </c>
      <c r="L579" s="3" t="s">
        <v>970</v>
      </c>
      <c r="M579" s="7">
        <v>42748.047268518516</v>
      </c>
      <c r="N579" s="3" t="s">
        <v>970</v>
      </c>
      <c r="O579" s="16" t="str">
        <f>TEXT(DATEVALUE(LEFT(F579,10)),"mm-yyyy")</f>
        <v>04-2015</v>
      </c>
      <c r="P579" s="16">
        <f>H579*I579</f>
        <v>7.99</v>
      </c>
    </row>
    <row r="580" spans="3:16" x14ac:dyDescent="0.25">
      <c r="C580" t="str">
        <f>IF(COUNTBLANK(E580:N580) = 10,"",IF(AND(NOT(ISBLANK(E580)),COUNTBLANK(E580:N580) = 9),"3 Delete",IF(ISBLANK(E580),"2 Add",IF(JenkinsHashRange(E580:N580) = "251614891","0 Original","1 Modify"))))</f>
        <v>0 Original</v>
      </c>
      <c r="D580" s="3" t="s">
        <v>1372</v>
      </c>
      <c r="E580" s="5">
        <v>688</v>
      </c>
      <c r="F580" t="s">
        <v>1025</v>
      </c>
      <c r="G580" t="s">
        <v>631</v>
      </c>
      <c r="H580" s="9">
        <v>8.99</v>
      </c>
      <c r="I580" s="5">
        <v>2</v>
      </c>
      <c r="J580" s="7" t="s">
        <v>970</v>
      </c>
      <c r="K580" s="7">
        <v>42748.047268518516</v>
      </c>
      <c r="L580" s="3" t="s">
        <v>970</v>
      </c>
      <c r="M580" s="7">
        <v>42748.047268518516</v>
      </c>
      <c r="N580" s="3" t="s">
        <v>970</v>
      </c>
      <c r="O580" s="16" t="str">
        <f>TEXT(DATEVALUE(LEFT(F580,10)),"mm-yyyy")</f>
        <v>04-2015</v>
      </c>
      <c r="P580" s="16">
        <f>H580*I580</f>
        <v>17.98</v>
      </c>
    </row>
    <row r="581" spans="3:16" x14ac:dyDescent="0.25">
      <c r="C581" t="str">
        <f>IF(COUNTBLANK(E581:N581) = 10,"",IF(AND(NOT(ISBLANK(E581)),COUNTBLANK(E581:N581) = 9),"3 Delete",IF(ISBLANK(E581),"2 Add",IF(JenkinsHashRange(E581:N581) = "447943007","0 Original","1 Modify"))))</f>
        <v>0 Original</v>
      </c>
      <c r="D581" s="3" t="s">
        <v>1375</v>
      </c>
      <c r="E581" s="5">
        <v>710</v>
      </c>
      <c r="F581" t="s">
        <v>1027</v>
      </c>
      <c r="G581" t="s">
        <v>643</v>
      </c>
      <c r="H581" s="9">
        <v>4.99</v>
      </c>
      <c r="I581" s="5">
        <v>2</v>
      </c>
      <c r="J581" s="7" t="s">
        <v>970</v>
      </c>
      <c r="K581" s="7">
        <v>42748.047268518516</v>
      </c>
      <c r="L581" s="3" t="s">
        <v>970</v>
      </c>
      <c r="M581" s="7">
        <v>42748.047268518516</v>
      </c>
      <c r="N581" s="3" t="s">
        <v>970</v>
      </c>
      <c r="O581" s="16" t="str">
        <f>TEXT(DATEVALUE(LEFT(F581,10)),"mm-yyyy")</f>
        <v>04-2015</v>
      </c>
      <c r="P581" s="16">
        <f>H581*I581</f>
        <v>9.98</v>
      </c>
    </row>
    <row r="582" spans="3:16" x14ac:dyDescent="0.25">
      <c r="C582" t="str">
        <f>IF(COUNTBLANK(E582:N582) = 10,"",IF(AND(NOT(ISBLANK(E582)),COUNTBLANK(E582:N582) = 9),"3 Delete",IF(ISBLANK(E582),"2 Add",IF(JenkinsHashRange(E582:N582) = "1170620141","0 Original","1 Modify"))))</f>
        <v>0 Original</v>
      </c>
      <c r="D582" s="3" t="s">
        <v>1384</v>
      </c>
      <c r="E582" s="5">
        <v>780</v>
      </c>
      <c r="F582" t="s">
        <v>1031</v>
      </c>
      <c r="G582" t="s">
        <v>446</v>
      </c>
      <c r="H582" s="9">
        <v>7.99</v>
      </c>
      <c r="I582" s="5">
        <v>1</v>
      </c>
      <c r="J582" s="7" t="s">
        <v>970</v>
      </c>
      <c r="K582" s="7">
        <v>42748.047268518516</v>
      </c>
      <c r="L582" s="3" t="s">
        <v>970</v>
      </c>
      <c r="M582" s="7">
        <v>42748.047268518516</v>
      </c>
      <c r="N582" s="3" t="s">
        <v>970</v>
      </c>
      <c r="O582" s="16" t="str">
        <f>TEXT(DATEVALUE(LEFT(F582,10)),"mm-yyyy")</f>
        <v>04-2015</v>
      </c>
      <c r="P582" s="16">
        <f>H582*I582</f>
        <v>7.99</v>
      </c>
    </row>
    <row r="583" spans="3:16" x14ac:dyDescent="0.25">
      <c r="C583" t="str">
        <f>IF(COUNTBLANK(E583:N583) = 10,"",IF(AND(NOT(ISBLANK(E583)),COUNTBLANK(E583:N583) = 9),"3 Delete",IF(ISBLANK(E583),"2 Add",IF(JenkinsHashRange(E583:N583) = "1804078718","0 Original","1 Modify"))))</f>
        <v>0 Original</v>
      </c>
      <c r="D583" s="3" t="s">
        <v>1385</v>
      </c>
      <c r="E583" s="5">
        <v>781</v>
      </c>
      <c r="F583" t="s">
        <v>1031</v>
      </c>
      <c r="G583" t="s">
        <v>737</v>
      </c>
      <c r="H583" s="9">
        <v>9.99</v>
      </c>
      <c r="I583" s="5">
        <v>1</v>
      </c>
      <c r="J583" s="7" t="s">
        <v>970</v>
      </c>
      <c r="K583" s="7">
        <v>42748.047268518516</v>
      </c>
      <c r="L583" s="3" t="s">
        <v>970</v>
      </c>
      <c r="M583" s="7">
        <v>42748.047268518516</v>
      </c>
      <c r="N583" s="3" t="s">
        <v>970</v>
      </c>
      <c r="O583" s="16" t="str">
        <f>TEXT(DATEVALUE(LEFT(F583,10)),"mm-yyyy")</f>
        <v>04-2015</v>
      </c>
      <c r="P583" s="16">
        <f>H583*I583</f>
        <v>9.99</v>
      </c>
    </row>
    <row r="584" spans="3:16" x14ac:dyDescent="0.25">
      <c r="C584" t="str">
        <f>IF(COUNTBLANK(E584:N584) = 10,"",IF(AND(NOT(ISBLANK(E584)),COUNTBLANK(E584:N584) = 9),"3 Delete",IF(ISBLANK(E584),"2 Add",IF(JenkinsHashRange(E584:N584) = "805855597","0 Original","1 Modify"))))</f>
        <v>0 Original</v>
      </c>
      <c r="D584" s="3" t="s">
        <v>1386</v>
      </c>
      <c r="E584" s="5">
        <v>782</v>
      </c>
      <c r="F584" t="s">
        <v>1031</v>
      </c>
      <c r="G584" t="s">
        <v>400</v>
      </c>
      <c r="H584" s="9">
        <v>6.99</v>
      </c>
      <c r="I584" s="5">
        <v>1</v>
      </c>
      <c r="J584" s="7" t="s">
        <v>970</v>
      </c>
      <c r="K584" s="7">
        <v>42748.047268518516</v>
      </c>
      <c r="L584" s="3" t="s">
        <v>970</v>
      </c>
      <c r="M584" s="7">
        <v>42748.047268518516</v>
      </c>
      <c r="N584" s="3" t="s">
        <v>970</v>
      </c>
      <c r="O584" s="16" t="str">
        <f>TEXT(DATEVALUE(LEFT(F584,10)),"mm-yyyy")</f>
        <v>04-2015</v>
      </c>
      <c r="P584" s="16">
        <f>H584*I584</f>
        <v>6.99</v>
      </c>
    </row>
    <row r="585" spans="3:16" x14ac:dyDescent="0.25">
      <c r="C585" t="str">
        <f>IF(COUNTBLANK(E585:N585) = 10,"",IF(AND(NOT(ISBLANK(E585)),COUNTBLANK(E585:N585) = 9),"3 Delete",IF(ISBLANK(E585),"2 Add",IF(JenkinsHashRange(E585:N585) = "29623234","0 Original","1 Modify"))))</f>
        <v>0 Original</v>
      </c>
      <c r="D585" s="3" t="s">
        <v>1430</v>
      </c>
      <c r="E585" s="5">
        <v>899</v>
      </c>
      <c r="F585" t="s">
        <v>1044</v>
      </c>
      <c r="G585" t="s">
        <v>743</v>
      </c>
      <c r="H585" s="9">
        <v>9.99</v>
      </c>
      <c r="I585" s="5">
        <v>2</v>
      </c>
      <c r="J585" s="7" t="s">
        <v>970</v>
      </c>
      <c r="K585" s="7">
        <v>42748.047268518516</v>
      </c>
      <c r="L585" s="3" t="s">
        <v>970</v>
      </c>
      <c r="M585" s="7">
        <v>42748.047268518516</v>
      </c>
      <c r="N585" s="3" t="s">
        <v>970</v>
      </c>
      <c r="O585" s="16" t="str">
        <f>TEXT(DATEVALUE(LEFT(F585,10)),"mm-yyyy")</f>
        <v>04-2015</v>
      </c>
      <c r="P585" s="16">
        <f>H585*I585</f>
        <v>19.98</v>
      </c>
    </row>
    <row r="586" spans="3:16" x14ac:dyDescent="0.25">
      <c r="C586" t="str">
        <f>IF(COUNTBLANK(E586:N586) = 10,"",IF(AND(NOT(ISBLANK(E586)),COUNTBLANK(E586:N586) = 9),"3 Delete",IF(ISBLANK(E586),"2 Add",IF(JenkinsHashRange(E586:N586) = "1345693809","0 Original","1 Modify"))))</f>
        <v>0 Original</v>
      </c>
      <c r="D586" s="3" t="s">
        <v>1431</v>
      </c>
      <c r="E586" s="5">
        <v>900</v>
      </c>
      <c r="F586" t="s">
        <v>1044</v>
      </c>
      <c r="G586" t="s">
        <v>484</v>
      </c>
      <c r="H586" s="9">
        <v>6.99</v>
      </c>
      <c r="I586" s="5">
        <v>1</v>
      </c>
      <c r="J586" s="7" t="s">
        <v>970</v>
      </c>
      <c r="K586" s="7">
        <v>42748.047268518516</v>
      </c>
      <c r="L586" s="3" t="s">
        <v>970</v>
      </c>
      <c r="M586" s="7">
        <v>42748.047268518516</v>
      </c>
      <c r="N586" s="3" t="s">
        <v>970</v>
      </c>
      <c r="O586" s="16" t="str">
        <f>TEXT(DATEVALUE(LEFT(F586,10)),"mm-yyyy")</f>
        <v>04-2015</v>
      </c>
      <c r="P586" s="16">
        <f>H586*I586</f>
        <v>6.99</v>
      </c>
    </row>
    <row r="587" spans="3:16" x14ac:dyDescent="0.25">
      <c r="C587" t="str">
        <f>IF(COUNTBLANK(E587:N587) = 10,"",IF(AND(NOT(ISBLANK(E587)),COUNTBLANK(E587:N587) = 9),"3 Delete",IF(ISBLANK(E587),"2 Add",IF(JenkinsHashRange(E587:N587) = "681899472","0 Original","1 Modify"))))</f>
        <v>0 Original</v>
      </c>
      <c r="D587" s="3" t="s">
        <v>1432</v>
      </c>
      <c r="E587" s="5">
        <v>901</v>
      </c>
      <c r="F587" t="s">
        <v>1044</v>
      </c>
      <c r="G587" t="s">
        <v>880</v>
      </c>
      <c r="H587" s="9">
        <v>6.99</v>
      </c>
      <c r="I587" s="5">
        <v>1</v>
      </c>
      <c r="J587" s="7" t="s">
        <v>970</v>
      </c>
      <c r="K587" s="7">
        <v>42748.047268518516</v>
      </c>
      <c r="L587" s="3" t="s">
        <v>970</v>
      </c>
      <c r="M587" s="7">
        <v>42748.047268518516</v>
      </c>
      <c r="N587" s="3" t="s">
        <v>970</v>
      </c>
      <c r="O587" s="16" t="str">
        <f>TEXT(DATEVALUE(LEFT(F587,10)),"mm-yyyy")</f>
        <v>04-2015</v>
      </c>
      <c r="P587" s="16">
        <f>H587*I587</f>
        <v>6.99</v>
      </c>
    </row>
    <row r="588" spans="3:16" x14ac:dyDescent="0.25">
      <c r="C588" t="str">
        <f>IF(COUNTBLANK(E588:N588) = 10,"",IF(AND(NOT(ISBLANK(E588)),COUNTBLANK(E588:N588) = 9),"3 Delete",IF(ISBLANK(E588),"2 Add",IF(JenkinsHashRange(E588:N588) = "1412974271","0 Original","1 Modify"))))</f>
        <v>0 Original</v>
      </c>
      <c r="D588" s="3" t="s">
        <v>1433</v>
      </c>
      <c r="E588" s="5">
        <v>902</v>
      </c>
      <c r="F588" t="s">
        <v>1044</v>
      </c>
      <c r="G588" t="s">
        <v>846</v>
      </c>
      <c r="H588" s="9">
        <v>8.99</v>
      </c>
      <c r="I588" s="5">
        <v>2</v>
      </c>
      <c r="J588" s="7" t="s">
        <v>970</v>
      </c>
      <c r="K588" s="7">
        <v>42748.047268518516</v>
      </c>
      <c r="L588" s="3" t="s">
        <v>970</v>
      </c>
      <c r="M588" s="7">
        <v>42748.047268518516</v>
      </c>
      <c r="N588" s="3" t="s">
        <v>970</v>
      </c>
      <c r="O588" s="16" t="str">
        <f>TEXT(DATEVALUE(LEFT(F588,10)),"mm-yyyy")</f>
        <v>04-2015</v>
      </c>
      <c r="P588" s="16">
        <f>H588*I588</f>
        <v>17.98</v>
      </c>
    </row>
    <row r="589" spans="3:16" x14ac:dyDescent="0.25">
      <c r="C589" t="str">
        <f>IF(COUNTBLANK(E589:N589) = 10,"",IF(AND(NOT(ISBLANK(E589)),COUNTBLANK(E589:N589) = 9),"3 Delete",IF(ISBLANK(E589),"2 Add",IF(JenkinsHashRange(E589:N589) = "1027394670","0 Original","1 Modify"))))</f>
        <v>0 Original</v>
      </c>
      <c r="D589" s="3" t="s">
        <v>1434</v>
      </c>
      <c r="E589" s="5">
        <v>903</v>
      </c>
      <c r="F589" t="s">
        <v>1044</v>
      </c>
      <c r="G589" t="s">
        <v>443</v>
      </c>
      <c r="H589" s="9">
        <v>6.99</v>
      </c>
      <c r="I589" s="5">
        <v>1</v>
      </c>
      <c r="J589" s="7" t="s">
        <v>970</v>
      </c>
      <c r="K589" s="7">
        <v>42748.047268518516</v>
      </c>
      <c r="L589" s="3" t="s">
        <v>970</v>
      </c>
      <c r="M589" s="7">
        <v>42748.047268518516</v>
      </c>
      <c r="N589" s="3" t="s">
        <v>970</v>
      </c>
      <c r="O589" s="16" t="str">
        <f>TEXT(DATEVALUE(LEFT(F589,10)),"mm-yyyy")</f>
        <v>04-2015</v>
      </c>
      <c r="P589" s="16">
        <f>H589*I589</f>
        <v>6.99</v>
      </c>
    </row>
    <row r="590" spans="3:16" x14ac:dyDescent="0.25">
      <c r="C590" t="str">
        <f>IF(COUNTBLANK(E590:N590) = 10,"",IF(AND(NOT(ISBLANK(E590)),COUNTBLANK(E590:N590) = 9),"3 Delete",IF(ISBLANK(E590),"2 Add",IF(JenkinsHashRange(E590:N590) = "480826443","0 Original","1 Modify"))))</f>
        <v>0 Original</v>
      </c>
      <c r="D590" s="3" t="s">
        <v>1435</v>
      </c>
      <c r="E590" s="5">
        <v>904</v>
      </c>
      <c r="F590" t="s">
        <v>1044</v>
      </c>
      <c r="G590" t="s">
        <v>467</v>
      </c>
      <c r="H590" s="9">
        <v>8.99</v>
      </c>
      <c r="I590" s="5">
        <v>2</v>
      </c>
      <c r="J590" s="7" t="s">
        <v>970</v>
      </c>
      <c r="K590" s="7">
        <v>42748.047268518516</v>
      </c>
      <c r="L590" s="3" t="s">
        <v>970</v>
      </c>
      <c r="M590" s="7">
        <v>42748.047268518516</v>
      </c>
      <c r="N590" s="3" t="s">
        <v>970</v>
      </c>
      <c r="O590" s="16" t="str">
        <f>TEXT(DATEVALUE(LEFT(F590,10)),"mm-yyyy")</f>
        <v>04-2015</v>
      </c>
      <c r="P590" s="16">
        <f>H590*I590</f>
        <v>17.98</v>
      </c>
    </row>
    <row r="591" spans="3:16" x14ac:dyDescent="0.25">
      <c r="C591" t="str">
        <f>IF(COUNTBLANK(E591:N591) = 10,"",IF(AND(NOT(ISBLANK(E591)),COUNTBLANK(E591:N591) = 9),"3 Delete",IF(ISBLANK(E591),"2 Add",IF(JenkinsHashRange(E591:N591) = "1901849275","0 Original","1 Modify"))))</f>
        <v>0 Original</v>
      </c>
      <c r="D591" s="3" t="s">
        <v>1436</v>
      </c>
      <c r="E591" s="5">
        <v>905</v>
      </c>
      <c r="F591" t="s">
        <v>1044</v>
      </c>
      <c r="G591" t="s">
        <v>453</v>
      </c>
      <c r="H591" s="9">
        <v>8.99</v>
      </c>
      <c r="I591" s="5">
        <v>1</v>
      </c>
      <c r="J591" s="7" t="s">
        <v>970</v>
      </c>
      <c r="K591" s="7">
        <v>42748.047268518516</v>
      </c>
      <c r="L591" s="3" t="s">
        <v>970</v>
      </c>
      <c r="M591" s="7">
        <v>42748.047268518516</v>
      </c>
      <c r="N591" s="3" t="s">
        <v>970</v>
      </c>
      <c r="O591" s="16" t="str">
        <f>TEXT(DATEVALUE(LEFT(F591,10)),"mm-yyyy")</f>
        <v>04-2015</v>
      </c>
      <c r="P591" s="16">
        <f>H591*I591</f>
        <v>8.99</v>
      </c>
    </row>
    <row r="592" spans="3:16" x14ac:dyDescent="0.25">
      <c r="C592" t="str">
        <f>IF(COUNTBLANK(E592:N592) = 10,"",IF(AND(NOT(ISBLANK(E592)),COUNTBLANK(E592:N592) = 9),"3 Delete",IF(ISBLANK(E592),"2 Add",IF(JenkinsHashRange(E592:N592) = "1786429725","0 Original","1 Modify"))))</f>
        <v>0 Original</v>
      </c>
      <c r="D592" s="3" t="s">
        <v>1437</v>
      </c>
      <c r="E592" s="5">
        <v>906</v>
      </c>
      <c r="F592" t="s">
        <v>1044</v>
      </c>
      <c r="G592" t="s">
        <v>450</v>
      </c>
      <c r="H592" s="9">
        <v>8.99</v>
      </c>
      <c r="I592" s="5">
        <v>1</v>
      </c>
      <c r="J592" s="7" t="s">
        <v>970</v>
      </c>
      <c r="K592" s="7">
        <v>42748.047268518516</v>
      </c>
      <c r="L592" s="3" t="s">
        <v>970</v>
      </c>
      <c r="M592" s="7">
        <v>42748.047268518516</v>
      </c>
      <c r="N592" s="3" t="s">
        <v>970</v>
      </c>
      <c r="O592" s="16" t="str">
        <f>TEXT(DATEVALUE(LEFT(F592,10)),"mm-yyyy")</f>
        <v>04-2015</v>
      </c>
      <c r="P592" s="16">
        <f>H592*I592</f>
        <v>8.99</v>
      </c>
    </row>
    <row r="593" spans="3:16" x14ac:dyDescent="0.25">
      <c r="C593" t="str">
        <f>IF(COUNTBLANK(E593:N593) = 10,"",IF(AND(NOT(ISBLANK(E593)),COUNTBLANK(E593:N593) = 9),"3 Delete",IF(ISBLANK(E593),"2 Add",IF(JenkinsHashRange(E593:N593) = "1875758907","0 Original","1 Modify"))))</f>
        <v>0 Original</v>
      </c>
      <c r="D593" s="3" t="s">
        <v>1444</v>
      </c>
      <c r="E593" s="5">
        <v>998</v>
      </c>
      <c r="F593" t="s">
        <v>1047</v>
      </c>
      <c r="G593" t="s">
        <v>400</v>
      </c>
      <c r="H593" s="9">
        <v>6.99</v>
      </c>
      <c r="I593" s="5">
        <v>1</v>
      </c>
      <c r="J593" s="7" t="s">
        <v>970</v>
      </c>
      <c r="K593" s="7">
        <v>42748.047268518516</v>
      </c>
      <c r="L593" s="3" t="s">
        <v>970</v>
      </c>
      <c r="M593" s="7">
        <v>42748.047268518516</v>
      </c>
      <c r="N593" s="3" t="s">
        <v>970</v>
      </c>
      <c r="O593" s="16" t="str">
        <f>TEXT(DATEVALUE(LEFT(F593,10)),"mm-yyyy")</f>
        <v>04-2015</v>
      </c>
      <c r="P593" s="16">
        <f>H593*I593</f>
        <v>6.99</v>
      </c>
    </row>
    <row r="594" spans="3:16" x14ac:dyDescent="0.25">
      <c r="C594" t="str">
        <f>IF(COUNTBLANK(E594:N594) = 10,"",IF(AND(NOT(ISBLANK(E594)),COUNTBLANK(E594:N594) = 9),"3 Delete",IF(ISBLANK(E594),"2 Add",IF(JenkinsHashRange(E594:N594) = "2145748017","0 Original","1 Modify"))))</f>
        <v>0 Original</v>
      </c>
      <c r="D594" s="3" t="s">
        <v>1475</v>
      </c>
      <c r="E594" s="5">
        <v>1154</v>
      </c>
      <c r="F594" t="s">
        <v>1057</v>
      </c>
      <c r="G594" t="s">
        <v>553</v>
      </c>
      <c r="H594" s="9">
        <v>9.99</v>
      </c>
      <c r="I594" s="5">
        <v>1</v>
      </c>
      <c r="J594" s="7" t="s">
        <v>970</v>
      </c>
      <c r="K594" s="7">
        <v>42748.047268518516</v>
      </c>
      <c r="L594" s="3" t="s">
        <v>970</v>
      </c>
      <c r="M594" s="7">
        <v>42748.047268518516</v>
      </c>
      <c r="N594" s="3" t="s">
        <v>970</v>
      </c>
      <c r="O594" s="16" t="str">
        <f>TEXT(DATEVALUE(LEFT(F594,10)),"mm-yyyy")</f>
        <v>04-2015</v>
      </c>
      <c r="P594" s="16">
        <f>H594*I594</f>
        <v>9.99</v>
      </c>
    </row>
    <row r="595" spans="3:16" x14ac:dyDescent="0.25">
      <c r="C595" t="str">
        <f>IF(COUNTBLANK(E595:N595) = 10,"",IF(AND(NOT(ISBLANK(E595)),COUNTBLANK(E595:N595) = 9),"3 Delete",IF(ISBLANK(E595),"2 Add",IF(JenkinsHashRange(E595:N595) = "821197688","0 Original","1 Modify"))))</f>
        <v>0 Original</v>
      </c>
      <c r="D595" s="3" t="s">
        <v>1476</v>
      </c>
      <c r="E595" s="5">
        <v>1155</v>
      </c>
      <c r="F595" t="s">
        <v>1057</v>
      </c>
      <c r="G595" t="s">
        <v>631</v>
      </c>
      <c r="H595" s="9">
        <v>8.99</v>
      </c>
      <c r="I595" s="5">
        <v>2</v>
      </c>
      <c r="J595" s="7" t="s">
        <v>970</v>
      </c>
      <c r="K595" s="7">
        <v>42748.047268518516</v>
      </c>
      <c r="L595" s="3" t="s">
        <v>970</v>
      </c>
      <c r="M595" s="7">
        <v>42748.047268518516</v>
      </c>
      <c r="N595" s="3" t="s">
        <v>970</v>
      </c>
      <c r="O595" s="16" t="str">
        <f>TEXT(DATEVALUE(LEFT(F595,10)),"mm-yyyy")</f>
        <v>04-2015</v>
      </c>
      <c r="P595" s="16">
        <f>H595*I595</f>
        <v>17.98</v>
      </c>
    </row>
    <row r="596" spans="3:16" x14ac:dyDescent="0.25">
      <c r="C596" t="str">
        <f>IF(COUNTBLANK(E596:N596) = 10,"",IF(AND(NOT(ISBLANK(E596)),COUNTBLANK(E596:N596) = 9),"3 Delete",IF(ISBLANK(E596),"2 Add",IF(JenkinsHashRange(E596:N596) = "1561051173","0 Original","1 Modify"))))</f>
        <v>0 Original</v>
      </c>
      <c r="D596" s="3" t="s">
        <v>1477</v>
      </c>
      <c r="E596" s="5">
        <v>1156</v>
      </c>
      <c r="F596" t="s">
        <v>1057</v>
      </c>
      <c r="G596" t="s">
        <v>840</v>
      </c>
      <c r="H596" s="9">
        <v>9.99</v>
      </c>
      <c r="I596" s="5">
        <v>2</v>
      </c>
      <c r="J596" s="7" t="s">
        <v>970</v>
      </c>
      <c r="K596" s="7">
        <v>42748.047268518516</v>
      </c>
      <c r="L596" s="3" t="s">
        <v>970</v>
      </c>
      <c r="M596" s="7">
        <v>42748.047268518516</v>
      </c>
      <c r="N596" s="3" t="s">
        <v>970</v>
      </c>
      <c r="O596" s="16" t="str">
        <f>TEXT(DATEVALUE(LEFT(F596,10)),"mm-yyyy")</f>
        <v>04-2015</v>
      </c>
      <c r="P596" s="16">
        <f>H596*I596</f>
        <v>19.98</v>
      </c>
    </row>
    <row r="597" spans="3:16" x14ac:dyDescent="0.25">
      <c r="C597" t="str">
        <f>IF(COUNTBLANK(E597:N597) = 10,"",IF(AND(NOT(ISBLANK(E597)),COUNTBLANK(E597:N597) = 9),"3 Delete",IF(ISBLANK(E597),"2 Add",IF(JenkinsHashRange(E597:N597) = "1018880881","0 Original","1 Modify"))))</f>
        <v>0 Original</v>
      </c>
      <c r="D597" s="3" t="s">
        <v>1478</v>
      </c>
      <c r="E597" s="5">
        <v>1157</v>
      </c>
      <c r="F597" t="s">
        <v>1057</v>
      </c>
      <c r="G597" t="s">
        <v>484</v>
      </c>
      <c r="H597" s="9">
        <v>6.99</v>
      </c>
      <c r="I597" s="5">
        <v>1</v>
      </c>
      <c r="J597" s="7" t="s">
        <v>970</v>
      </c>
      <c r="K597" s="7">
        <v>42748.047268518516</v>
      </c>
      <c r="L597" s="3" t="s">
        <v>970</v>
      </c>
      <c r="M597" s="7">
        <v>42748.047268518516</v>
      </c>
      <c r="N597" s="3" t="s">
        <v>970</v>
      </c>
      <c r="O597" s="16" t="str">
        <f>TEXT(DATEVALUE(LEFT(F597,10)),"mm-yyyy")</f>
        <v>04-2015</v>
      </c>
      <c r="P597" s="16">
        <f>H597*I597</f>
        <v>6.99</v>
      </c>
    </row>
    <row r="598" spans="3:16" x14ac:dyDescent="0.25">
      <c r="C598" t="str">
        <f>IF(COUNTBLANK(E598:N598) = 10,"",IF(AND(NOT(ISBLANK(E598)),COUNTBLANK(E598:N598) = 9),"3 Delete",IF(ISBLANK(E598),"2 Add",IF(JenkinsHashRange(E598:N598) = "1813280975","0 Original","1 Modify"))))</f>
        <v>0 Original</v>
      </c>
      <c r="D598" s="3" t="s">
        <v>1479</v>
      </c>
      <c r="E598" s="5">
        <v>1158</v>
      </c>
      <c r="F598" t="s">
        <v>1058</v>
      </c>
      <c r="G598" t="s">
        <v>797</v>
      </c>
      <c r="H598" s="9">
        <v>5.99</v>
      </c>
      <c r="I598" s="5">
        <v>1</v>
      </c>
      <c r="J598" s="7" t="s">
        <v>970</v>
      </c>
      <c r="K598" s="7">
        <v>42748.047268518516</v>
      </c>
      <c r="L598" s="3" t="s">
        <v>970</v>
      </c>
      <c r="M598" s="7">
        <v>42748.047268518516</v>
      </c>
      <c r="N598" s="3" t="s">
        <v>970</v>
      </c>
      <c r="O598" s="16" t="str">
        <f>TEXT(DATEVALUE(LEFT(F598,10)),"mm-yyyy")</f>
        <v>04-2015</v>
      </c>
      <c r="P598" s="16">
        <f>H598*I598</f>
        <v>5.99</v>
      </c>
    </row>
    <row r="599" spans="3:16" x14ac:dyDescent="0.25">
      <c r="C599" t="str">
        <f>IF(COUNTBLANK(E599:N599) = 10,"",IF(AND(NOT(ISBLANK(E599)),COUNTBLANK(E599:N599) = 9),"3 Delete",IF(ISBLANK(E599),"2 Add",IF(JenkinsHashRange(E599:N599) = "715383528","0 Original","1 Modify"))))</f>
        <v>0 Original</v>
      </c>
      <c r="D599" s="3" t="s">
        <v>1531</v>
      </c>
      <c r="E599" s="5">
        <v>1306</v>
      </c>
      <c r="F599" t="s">
        <v>1074</v>
      </c>
      <c r="G599" t="s">
        <v>733</v>
      </c>
      <c r="H599" s="9">
        <v>9.99</v>
      </c>
      <c r="I599" s="5">
        <v>2</v>
      </c>
      <c r="J599" s="7" t="s">
        <v>970</v>
      </c>
      <c r="K599" s="7">
        <v>42748.047268518516</v>
      </c>
      <c r="L599" s="3" t="s">
        <v>970</v>
      </c>
      <c r="M599" s="7">
        <v>42748.047268518516</v>
      </c>
      <c r="N599" s="3" t="s">
        <v>970</v>
      </c>
      <c r="O599" s="16" t="str">
        <f>TEXT(DATEVALUE(LEFT(F599,10)),"mm-yyyy")</f>
        <v>04-2015</v>
      </c>
      <c r="P599" s="16">
        <f>H599*I599</f>
        <v>19.98</v>
      </c>
    </row>
    <row r="600" spans="3:16" x14ac:dyDescent="0.25">
      <c r="C600" t="str">
        <f>IF(COUNTBLANK(E600:N600) = 10,"",IF(AND(NOT(ISBLANK(E600)),COUNTBLANK(E600:N600) = 9),"3 Delete",IF(ISBLANK(E600),"2 Add",IF(JenkinsHashRange(E600:N600) = "735322084","0 Original","1 Modify"))))</f>
        <v>0 Original</v>
      </c>
      <c r="D600" s="3" t="s">
        <v>1532</v>
      </c>
      <c r="E600" s="5">
        <v>1307</v>
      </c>
      <c r="F600" t="s">
        <v>1074</v>
      </c>
      <c r="G600" t="s">
        <v>864</v>
      </c>
      <c r="H600" s="9">
        <v>6.99</v>
      </c>
      <c r="I600" s="5">
        <v>1</v>
      </c>
      <c r="J600" s="7" t="s">
        <v>970</v>
      </c>
      <c r="K600" s="7">
        <v>42748.047268518516</v>
      </c>
      <c r="L600" s="3" t="s">
        <v>970</v>
      </c>
      <c r="M600" s="7">
        <v>42748.047268518516</v>
      </c>
      <c r="N600" s="3" t="s">
        <v>970</v>
      </c>
      <c r="O600" s="16" t="str">
        <f>TEXT(DATEVALUE(LEFT(F600,10)),"mm-yyyy")</f>
        <v>04-2015</v>
      </c>
      <c r="P600" s="16">
        <f>H600*I600</f>
        <v>6.99</v>
      </c>
    </row>
    <row r="601" spans="3:16" x14ac:dyDescent="0.25">
      <c r="C601" t="str">
        <f>IF(COUNTBLANK(E601:N601) = 10,"",IF(AND(NOT(ISBLANK(E601)),COUNTBLANK(E601:N601) = 9),"3 Delete",IF(ISBLANK(E601),"2 Add",IF(JenkinsHashRange(E601:N601) = "2087023959","0 Original","1 Modify"))))</f>
        <v>0 Original</v>
      </c>
      <c r="D601" s="3" t="s">
        <v>1547</v>
      </c>
      <c r="E601" s="5">
        <v>1368</v>
      </c>
      <c r="F601" t="s">
        <v>1079</v>
      </c>
      <c r="G601" t="s">
        <v>797</v>
      </c>
      <c r="H601" s="9">
        <v>5.99</v>
      </c>
      <c r="I601" s="5">
        <v>1</v>
      </c>
      <c r="J601" s="7" t="s">
        <v>970</v>
      </c>
      <c r="K601" s="7">
        <v>42748.047268518516</v>
      </c>
      <c r="L601" s="3" t="s">
        <v>970</v>
      </c>
      <c r="M601" s="7">
        <v>42748.047268518516</v>
      </c>
      <c r="N601" s="3" t="s">
        <v>970</v>
      </c>
      <c r="O601" s="16" t="str">
        <f>TEXT(DATEVALUE(LEFT(F601,10)),"mm-yyyy")</f>
        <v>04-2015</v>
      </c>
      <c r="P601" s="16">
        <f>H601*I601</f>
        <v>5.99</v>
      </c>
    </row>
    <row r="602" spans="3:16" x14ac:dyDescent="0.25">
      <c r="C602" t="str">
        <f>IF(COUNTBLANK(E602:N602) = 10,"",IF(AND(NOT(ISBLANK(E602)),COUNTBLANK(E602:N602) = 9),"3 Delete",IF(ISBLANK(E602),"2 Add",IF(JenkinsHashRange(E602:N602) = "1681939180","0 Original","1 Modify"))))</f>
        <v>0 Original</v>
      </c>
      <c r="D602" s="3" t="s">
        <v>1548</v>
      </c>
      <c r="E602" s="5">
        <v>1369</v>
      </c>
      <c r="F602" t="s">
        <v>1079</v>
      </c>
      <c r="G602" t="s">
        <v>600</v>
      </c>
      <c r="H602" s="9">
        <v>7.99</v>
      </c>
      <c r="I602" s="5">
        <v>1</v>
      </c>
      <c r="J602" s="7" t="s">
        <v>970</v>
      </c>
      <c r="K602" s="7">
        <v>42748.047268518516</v>
      </c>
      <c r="L602" s="3" t="s">
        <v>970</v>
      </c>
      <c r="M602" s="7">
        <v>42748.047268518516</v>
      </c>
      <c r="N602" s="3" t="s">
        <v>970</v>
      </c>
      <c r="O602" s="16" t="str">
        <f>TEXT(DATEVALUE(LEFT(F602,10)),"mm-yyyy")</f>
        <v>04-2015</v>
      </c>
      <c r="P602" s="16">
        <f>H602*I602</f>
        <v>7.99</v>
      </c>
    </row>
    <row r="603" spans="3:16" x14ac:dyDescent="0.25">
      <c r="C603" t="str">
        <f>IF(COUNTBLANK(E603:N603) = 10,"",IF(AND(NOT(ISBLANK(E603)),COUNTBLANK(E603:N603) = 9),"3 Delete",IF(ISBLANK(E603),"2 Add",IF(JenkinsHashRange(E603:N603) = "2037358371","0 Original","1 Modify"))))</f>
        <v>0 Original</v>
      </c>
      <c r="D603" s="3" t="s">
        <v>1611</v>
      </c>
      <c r="E603" s="5">
        <v>1743</v>
      </c>
      <c r="F603" t="s">
        <v>1095</v>
      </c>
      <c r="G603" t="s">
        <v>467</v>
      </c>
      <c r="H603" s="9">
        <v>8.99</v>
      </c>
      <c r="I603" s="5">
        <v>1</v>
      </c>
      <c r="J603" s="7" t="s">
        <v>970</v>
      </c>
      <c r="K603" s="7">
        <v>42748.047268518516</v>
      </c>
      <c r="L603" s="3" t="s">
        <v>970</v>
      </c>
      <c r="M603" s="7">
        <v>42748.047268518516</v>
      </c>
      <c r="N603" s="3" t="s">
        <v>970</v>
      </c>
      <c r="O603" s="16" t="str">
        <f>TEXT(DATEVALUE(LEFT(F603,10)),"mm-yyyy")</f>
        <v>04-2015</v>
      </c>
      <c r="P603" s="16">
        <f>H603*I603</f>
        <v>8.99</v>
      </c>
    </row>
    <row r="604" spans="3:16" x14ac:dyDescent="0.25">
      <c r="C604" t="str">
        <f>IF(COUNTBLANK(E604:N604) = 10,"",IF(AND(NOT(ISBLANK(E604)),COUNTBLANK(E604:N604) = 9),"3 Delete",IF(ISBLANK(E604),"2 Add",IF(JenkinsHashRange(E604:N604) = "117565512","0 Original","1 Modify"))))</f>
        <v>0 Original</v>
      </c>
      <c r="D604" s="3" t="s">
        <v>1612</v>
      </c>
      <c r="E604" s="5">
        <v>1744</v>
      </c>
      <c r="F604" t="s">
        <v>1095</v>
      </c>
      <c r="G604" t="s">
        <v>737</v>
      </c>
      <c r="H604" s="9">
        <v>9.99</v>
      </c>
      <c r="I604" s="5">
        <v>1</v>
      </c>
      <c r="J604" s="7" t="s">
        <v>970</v>
      </c>
      <c r="K604" s="7">
        <v>42748.047268518516</v>
      </c>
      <c r="L604" s="3" t="s">
        <v>970</v>
      </c>
      <c r="M604" s="7">
        <v>42748.047268518516</v>
      </c>
      <c r="N604" s="3" t="s">
        <v>970</v>
      </c>
      <c r="O604" s="16" t="str">
        <f>TEXT(DATEVALUE(LEFT(F604,10)),"mm-yyyy")</f>
        <v>04-2015</v>
      </c>
      <c r="P604" s="16">
        <f>H604*I604</f>
        <v>9.99</v>
      </c>
    </row>
    <row r="605" spans="3:16" x14ac:dyDescent="0.25">
      <c r="C605" t="str">
        <f>IF(COUNTBLANK(E605:N605) = 10,"",IF(AND(NOT(ISBLANK(E605)),COUNTBLANK(E605:N605) = 9),"3 Delete",IF(ISBLANK(E605),"2 Add",IF(JenkinsHashRange(E605:N605) = "436242735","0 Original","1 Modify"))))</f>
        <v>0 Original</v>
      </c>
      <c r="D605" s="3" t="s">
        <v>1613</v>
      </c>
      <c r="E605" s="5">
        <v>1745</v>
      </c>
      <c r="F605" t="s">
        <v>1095</v>
      </c>
      <c r="G605" t="s">
        <v>696</v>
      </c>
      <c r="H605" s="9">
        <v>4.99</v>
      </c>
      <c r="I605" s="5">
        <v>1</v>
      </c>
      <c r="J605" s="7" t="s">
        <v>970</v>
      </c>
      <c r="K605" s="7">
        <v>42748.047268518516</v>
      </c>
      <c r="L605" s="3" t="s">
        <v>970</v>
      </c>
      <c r="M605" s="7">
        <v>42748.047268518516</v>
      </c>
      <c r="N605" s="3" t="s">
        <v>970</v>
      </c>
      <c r="O605" s="16" t="str">
        <f>TEXT(DATEVALUE(LEFT(F605,10)),"mm-yyyy")</f>
        <v>04-2015</v>
      </c>
      <c r="P605" s="16">
        <f>H605*I605</f>
        <v>4.99</v>
      </c>
    </row>
    <row r="606" spans="3:16" x14ac:dyDescent="0.25">
      <c r="C606" t="str">
        <f>IF(COUNTBLANK(E606:N606) = 10,"",IF(AND(NOT(ISBLANK(E606)),COUNTBLANK(E606:N606) = 9),"3 Delete",IF(ISBLANK(E606),"2 Add",IF(JenkinsHashRange(E606:N606) = "306304025","0 Original","1 Modify"))))</f>
        <v>0 Original</v>
      </c>
      <c r="D606" s="3" t="s">
        <v>1617</v>
      </c>
      <c r="E606" s="5">
        <v>1782</v>
      </c>
      <c r="F606" t="s">
        <v>1097</v>
      </c>
      <c r="G606" t="s">
        <v>435</v>
      </c>
      <c r="H606" s="9">
        <v>8.99</v>
      </c>
      <c r="I606" s="5">
        <v>2</v>
      </c>
      <c r="J606" s="7" t="s">
        <v>970</v>
      </c>
      <c r="K606" s="7">
        <v>42748.047268518516</v>
      </c>
      <c r="L606" s="3" t="s">
        <v>970</v>
      </c>
      <c r="M606" s="7">
        <v>42748.047268518516</v>
      </c>
      <c r="N606" s="3" t="s">
        <v>970</v>
      </c>
      <c r="O606" s="16" t="str">
        <f>TEXT(DATEVALUE(LEFT(F606,10)),"mm-yyyy")</f>
        <v>04-2015</v>
      </c>
      <c r="P606" s="16">
        <f>H606*I606</f>
        <v>17.98</v>
      </c>
    </row>
    <row r="607" spans="3:16" x14ac:dyDescent="0.25">
      <c r="C607" t="str">
        <f>IF(COUNTBLANK(E607:N607) = 10,"",IF(AND(NOT(ISBLANK(E607)),COUNTBLANK(E607:N607) = 9),"3 Delete",IF(ISBLANK(E607),"2 Add",IF(JenkinsHashRange(E607:N607) = "1550217024","0 Original","1 Modify"))))</f>
        <v>0 Original</v>
      </c>
      <c r="D607" s="3" t="s">
        <v>1631</v>
      </c>
      <c r="E607" s="5">
        <v>1884</v>
      </c>
      <c r="F607" t="s">
        <v>1103</v>
      </c>
      <c r="G607" t="s">
        <v>927</v>
      </c>
      <c r="H607" s="9">
        <v>9.99</v>
      </c>
      <c r="I607" s="5">
        <v>1</v>
      </c>
      <c r="J607" s="7" t="s">
        <v>970</v>
      </c>
      <c r="K607" s="7">
        <v>42748.047268518516</v>
      </c>
      <c r="L607" s="3" t="s">
        <v>970</v>
      </c>
      <c r="M607" s="7">
        <v>42748.047268518516</v>
      </c>
      <c r="N607" s="3" t="s">
        <v>970</v>
      </c>
      <c r="O607" s="16" t="str">
        <f>TEXT(DATEVALUE(LEFT(F607,10)),"mm-yyyy")</f>
        <v>04-2015</v>
      </c>
      <c r="P607" s="16">
        <f>H607*I607</f>
        <v>9.99</v>
      </c>
    </row>
    <row r="608" spans="3:16" x14ac:dyDescent="0.25">
      <c r="C608" t="str">
        <f>IF(COUNTBLANK(E608:N608) = 10,"",IF(AND(NOT(ISBLANK(E608)),COUNTBLANK(E608:N608) = 9),"3 Delete",IF(ISBLANK(E608),"2 Add",IF(JenkinsHashRange(E608:N608) = "163896403","0 Original","1 Modify"))))</f>
        <v>0 Original</v>
      </c>
      <c r="D608" s="3" t="s">
        <v>1632</v>
      </c>
      <c r="E608" s="5">
        <v>1885</v>
      </c>
      <c r="F608" t="s">
        <v>1103</v>
      </c>
      <c r="G608" t="s">
        <v>864</v>
      </c>
      <c r="H608" s="9">
        <v>6.99</v>
      </c>
      <c r="I608" s="5">
        <v>1</v>
      </c>
      <c r="J608" s="7" t="s">
        <v>970</v>
      </c>
      <c r="K608" s="7">
        <v>42748.047268518516</v>
      </c>
      <c r="L608" s="3" t="s">
        <v>970</v>
      </c>
      <c r="M608" s="7">
        <v>42748.047268518516</v>
      </c>
      <c r="N608" s="3" t="s">
        <v>970</v>
      </c>
      <c r="O608" s="16" t="str">
        <f>TEXT(DATEVALUE(LEFT(F608,10)),"mm-yyyy")</f>
        <v>04-2015</v>
      </c>
      <c r="P608" s="16">
        <f>H608*I608</f>
        <v>6.99</v>
      </c>
    </row>
    <row r="609" spans="3:16" x14ac:dyDescent="0.25">
      <c r="C609" t="str">
        <f>IF(COUNTBLANK(E609:N609) = 10,"",IF(AND(NOT(ISBLANK(E609)),COUNTBLANK(E609:N609) = 9),"3 Delete",IF(ISBLANK(E609),"2 Add",IF(JenkinsHashRange(E609:N609) = "2002538829","0 Original","1 Modify"))))</f>
        <v>0 Original</v>
      </c>
      <c r="D609" s="3" t="s">
        <v>1633</v>
      </c>
      <c r="E609" s="5">
        <v>1886</v>
      </c>
      <c r="F609" t="s">
        <v>1103</v>
      </c>
      <c r="G609" t="s">
        <v>772</v>
      </c>
      <c r="H609" s="9">
        <v>4.99</v>
      </c>
      <c r="I609" s="5">
        <v>1</v>
      </c>
      <c r="J609" s="7" t="s">
        <v>970</v>
      </c>
      <c r="K609" s="7">
        <v>42748.047268518516</v>
      </c>
      <c r="L609" s="3" t="s">
        <v>970</v>
      </c>
      <c r="M609" s="7">
        <v>42748.047268518516</v>
      </c>
      <c r="N609" s="3" t="s">
        <v>970</v>
      </c>
      <c r="O609" s="16" t="str">
        <f>TEXT(DATEVALUE(LEFT(F609,10)),"mm-yyyy")</f>
        <v>04-2015</v>
      </c>
      <c r="P609" s="16">
        <f>H609*I609</f>
        <v>4.99</v>
      </c>
    </row>
    <row r="610" spans="3:16" x14ac:dyDescent="0.25">
      <c r="C610" t="str">
        <f>IF(COUNTBLANK(E610:N610) = 10,"",IF(AND(NOT(ISBLANK(E610)),COUNTBLANK(E610:N610) = 9),"3 Delete",IF(ISBLANK(E610),"2 Add",IF(JenkinsHashRange(E610:N610) = "1610709665","0 Original","1 Modify"))))</f>
        <v>0 Original</v>
      </c>
      <c r="D610" s="3" t="s">
        <v>1634</v>
      </c>
      <c r="E610" s="5">
        <v>1887</v>
      </c>
      <c r="F610" t="s">
        <v>1103</v>
      </c>
      <c r="G610" t="s">
        <v>733</v>
      </c>
      <c r="H610" s="9">
        <v>9.99</v>
      </c>
      <c r="I610" s="5">
        <v>2</v>
      </c>
      <c r="J610" s="7" t="s">
        <v>970</v>
      </c>
      <c r="K610" s="7">
        <v>42748.047268518516</v>
      </c>
      <c r="L610" s="3" t="s">
        <v>970</v>
      </c>
      <c r="M610" s="7">
        <v>42748.047268518516</v>
      </c>
      <c r="N610" s="3" t="s">
        <v>970</v>
      </c>
      <c r="O610" s="16" t="str">
        <f>TEXT(DATEVALUE(LEFT(F610,10)),"mm-yyyy")</f>
        <v>04-2015</v>
      </c>
      <c r="P610" s="16">
        <f>H610*I610</f>
        <v>19.98</v>
      </c>
    </row>
    <row r="611" spans="3:16" x14ac:dyDescent="0.25">
      <c r="C611" t="str">
        <f>IF(COUNTBLANK(E611:N611) = 10,"",IF(AND(NOT(ISBLANK(E611)),COUNTBLANK(E611:N611) = 9),"3 Delete",IF(ISBLANK(E611),"2 Add",IF(JenkinsHashRange(E611:N611) = "1275373313","0 Original","1 Modify"))))</f>
        <v>0 Original</v>
      </c>
      <c r="D611" s="3" t="s">
        <v>1635</v>
      </c>
      <c r="E611" s="5">
        <v>1888</v>
      </c>
      <c r="F611" t="s">
        <v>1103</v>
      </c>
      <c r="G611" t="s">
        <v>450</v>
      </c>
      <c r="H611" s="9">
        <v>8.99</v>
      </c>
      <c r="I611" s="5">
        <v>1</v>
      </c>
      <c r="J611" s="7" t="s">
        <v>970</v>
      </c>
      <c r="K611" s="7">
        <v>42748.047268518516</v>
      </c>
      <c r="L611" s="3" t="s">
        <v>970</v>
      </c>
      <c r="M611" s="7">
        <v>42748.047268518516</v>
      </c>
      <c r="N611" s="3" t="s">
        <v>970</v>
      </c>
      <c r="O611" s="16" t="str">
        <f>TEXT(DATEVALUE(LEFT(F611,10)),"mm-yyyy")</f>
        <v>04-2015</v>
      </c>
      <c r="P611" s="16">
        <f>H611*I611</f>
        <v>8.99</v>
      </c>
    </row>
    <row r="612" spans="3:16" x14ac:dyDescent="0.25">
      <c r="C612" t="str">
        <f>IF(COUNTBLANK(E612:N612) = 10,"",IF(AND(NOT(ISBLANK(E612)),COUNTBLANK(E612:N612) = 9),"3 Delete",IF(ISBLANK(E612),"2 Add",IF(JenkinsHashRange(E612:N612) = "633673984","0 Original","1 Modify"))))</f>
        <v>0 Original</v>
      </c>
      <c r="D612" s="3" t="s">
        <v>1637</v>
      </c>
      <c r="E612" s="5">
        <v>1895</v>
      </c>
      <c r="F612" t="s">
        <v>1105</v>
      </c>
      <c r="G612" t="s">
        <v>945</v>
      </c>
      <c r="H612" s="9">
        <v>7.99</v>
      </c>
      <c r="I612" s="5">
        <v>1</v>
      </c>
      <c r="J612" s="7" t="s">
        <v>970</v>
      </c>
      <c r="K612" s="7">
        <v>42748.047268518516</v>
      </c>
      <c r="L612" s="3" t="s">
        <v>970</v>
      </c>
      <c r="M612" s="7">
        <v>42748.047268518516</v>
      </c>
      <c r="N612" s="3" t="s">
        <v>970</v>
      </c>
      <c r="O612" s="16" t="str">
        <f>TEXT(DATEVALUE(LEFT(F612,10)),"mm-yyyy")</f>
        <v>04-2015</v>
      </c>
      <c r="P612" s="16">
        <f>H612*I612</f>
        <v>7.99</v>
      </c>
    </row>
    <row r="613" spans="3:16" x14ac:dyDescent="0.25">
      <c r="C613" t="str">
        <f>IF(COUNTBLANK(E613:N613) = 10,"",IF(AND(NOT(ISBLANK(E613)),COUNTBLANK(E613:N613) = 9),"3 Delete",IF(ISBLANK(E613),"2 Add",IF(JenkinsHashRange(E613:N613) = "1651006014","0 Original","1 Modify"))))</f>
        <v>0 Original</v>
      </c>
      <c r="D613" s="3" t="s">
        <v>1638</v>
      </c>
      <c r="E613" s="5">
        <v>1896</v>
      </c>
      <c r="F613" t="s">
        <v>1105</v>
      </c>
      <c r="G613" t="s">
        <v>880</v>
      </c>
      <c r="H613" s="9">
        <v>6.99</v>
      </c>
      <c r="I613" s="5">
        <v>1</v>
      </c>
      <c r="J613" s="7" t="s">
        <v>970</v>
      </c>
      <c r="K613" s="7">
        <v>42748.047268518516</v>
      </c>
      <c r="L613" s="3" t="s">
        <v>970</v>
      </c>
      <c r="M613" s="7">
        <v>42748.047268518516</v>
      </c>
      <c r="N613" s="3" t="s">
        <v>970</v>
      </c>
      <c r="O613" s="16" t="str">
        <f>TEXT(DATEVALUE(LEFT(F613,10)),"mm-yyyy")</f>
        <v>04-2015</v>
      </c>
      <c r="P613" s="16">
        <f>H613*I613</f>
        <v>6.99</v>
      </c>
    </row>
    <row r="614" spans="3:16" x14ac:dyDescent="0.25">
      <c r="C614" t="str">
        <f>IF(COUNTBLANK(E614:N614) = 10,"",IF(AND(NOT(ISBLANK(E614)),COUNTBLANK(E614:N614) = 9),"3 Delete",IF(ISBLANK(E614),"2 Add",IF(JenkinsHashRange(E614:N614) = "1408736759","0 Original","1 Modify"))))</f>
        <v>0 Original</v>
      </c>
      <c r="D614" s="3" t="s">
        <v>1639</v>
      </c>
      <c r="E614" s="5">
        <v>1897</v>
      </c>
      <c r="F614" t="s">
        <v>1105</v>
      </c>
      <c r="G614" t="s">
        <v>846</v>
      </c>
      <c r="H614" s="9">
        <v>8.99</v>
      </c>
      <c r="I614" s="5">
        <v>2</v>
      </c>
      <c r="J614" s="7" t="s">
        <v>970</v>
      </c>
      <c r="K614" s="7">
        <v>42748.047268518516</v>
      </c>
      <c r="L614" s="3" t="s">
        <v>970</v>
      </c>
      <c r="M614" s="7">
        <v>42748.047268518516</v>
      </c>
      <c r="N614" s="3" t="s">
        <v>970</v>
      </c>
      <c r="O614" s="16" t="str">
        <f>TEXT(DATEVALUE(LEFT(F614,10)),"mm-yyyy")</f>
        <v>04-2015</v>
      </c>
      <c r="P614" s="16">
        <f>H614*I614</f>
        <v>17.98</v>
      </c>
    </row>
    <row r="615" spans="3:16" x14ac:dyDescent="0.25">
      <c r="C615" t="str">
        <f>IF(COUNTBLANK(E615:N615) = 10,"",IF(AND(NOT(ISBLANK(E615)),COUNTBLANK(E615:N615) = 9),"3 Delete",IF(ISBLANK(E615),"2 Add",IF(JenkinsHashRange(E615:N615) = "280852647","0 Original","1 Modify"))))</f>
        <v>0 Original</v>
      </c>
      <c r="D615" s="3" t="s">
        <v>1640</v>
      </c>
      <c r="E615" s="5">
        <v>1898</v>
      </c>
      <c r="F615" t="s">
        <v>1105</v>
      </c>
      <c r="G615" t="s">
        <v>883</v>
      </c>
      <c r="H615" s="9">
        <v>4.99</v>
      </c>
      <c r="I615" s="5">
        <v>1</v>
      </c>
      <c r="J615" s="7" t="s">
        <v>970</v>
      </c>
      <c r="K615" s="7">
        <v>42748.047268518516</v>
      </c>
      <c r="L615" s="3" t="s">
        <v>970</v>
      </c>
      <c r="M615" s="7">
        <v>42748.047268518516</v>
      </c>
      <c r="N615" s="3" t="s">
        <v>970</v>
      </c>
      <c r="O615" s="16" t="str">
        <f>TEXT(DATEVALUE(LEFT(F615,10)),"mm-yyyy")</f>
        <v>04-2015</v>
      </c>
      <c r="P615" s="16">
        <f>H615*I615</f>
        <v>4.99</v>
      </c>
    </row>
    <row r="616" spans="3:16" x14ac:dyDescent="0.25">
      <c r="C616" t="str">
        <f>IF(COUNTBLANK(E616:N616) = 10,"",IF(AND(NOT(ISBLANK(E616)),COUNTBLANK(E616:N616) = 9),"3 Delete",IF(ISBLANK(E616),"2 Add",IF(JenkinsHashRange(E616:N616) = "761100130","0 Original","1 Modify"))))</f>
        <v>0 Original</v>
      </c>
      <c r="D616" s="3" t="s">
        <v>1641</v>
      </c>
      <c r="E616" s="5">
        <v>1899</v>
      </c>
      <c r="F616" t="s">
        <v>1105</v>
      </c>
      <c r="G616" t="s">
        <v>484</v>
      </c>
      <c r="H616" s="9">
        <v>6.99</v>
      </c>
      <c r="I616" s="5">
        <v>2</v>
      </c>
      <c r="J616" s="7" t="s">
        <v>970</v>
      </c>
      <c r="K616" s="7">
        <v>42748.047268518516</v>
      </c>
      <c r="L616" s="3" t="s">
        <v>970</v>
      </c>
      <c r="M616" s="7">
        <v>42748.047268518516</v>
      </c>
      <c r="N616" s="3" t="s">
        <v>970</v>
      </c>
      <c r="O616" s="16" t="str">
        <f>TEXT(DATEVALUE(LEFT(F616,10)),"mm-yyyy")</f>
        <v>04-2015</v>
      </c>
      <c r="P616" s="16">
        <f>H616*I616</f>
        <v>13.98</v>
      </c>
    </row>
    <row r="617" spans="3:16" x14ac:dyDescent="0.25">
      <c r="C617" t="str">
        <f>IF(COUNTBLANK(E617:N617) = 10,"",IF(AND(NOT(ISBLANK(E617)),COUNTBLANK(E617:N617) = 9),"3 Delete",IF(ISBLANK(E617),"2 Add",IF(JenkinsHashRange(E617:N617) = "1767250338","0 Original","1 Modify"))))</f>
        <v>0 Original</v>
      </c>
      <c r="D617" s="3" t="s">
        <v>1642</v>
      </c>
      <c r="E617" s="5">
        <v>1900</v>
      </c>
      <c r="F617" t="s">
        <v>1105</v>
      </c>
      <c r="G617" t="s">
        <v>864</v>
      </c>
      <c r="H617" s="9">
        <v>6.99</v>
      </c>
      <c r="I617" s="5">
        <v>1</v>
      </c>
      <c r="J617" s="7" t="s">
        <v>970</v>
      </c>
      <c r="K617" s="7">
        <v>42748.047268518516</v>
      </c>
      <c r="L617" s="3" t="s">
        <v>970</v>
      </c>
      <c r="M617" s="7">
        <v>42748.047268518516</v>
      </c>
      <c r="N617" s="3" t="s">
        <v>970</v>
      </c>
      <c r="O617" s="16" t="str">
        <f>TEXT(DATEVALUE(LEFT(F617,10)),"mm-yyyy")</f>
        <v>04-2015</v>
      </c>
      <c r="P617" s="16">
        <f>H617*I617</f>
        <v>6.99</v>
      </c>
    </row>
    <row r="618" spans="3:16" x14ac:dyDescent="0.25">
      <c r="C618" t="str">
        <f>IF(COUNTBLANK(E618:N618) = 10,"",IF(AND(NOT(ISBLANK(E618)),COUNTBLANK(E618:N618) = 9),"3 Delete",IF(ISBLANK(E618),"2 Add",IF(JenkinsHashRange(E618:N618) = "105774950","0 Original","1 Modify"))))</f>
        <v>0 Original</v>
      </c>
      <c r="D618" s="3" t="s">
        <v>1651</v>
      </c>
      <c r="E618" s="5">
        <v>1987</v>
      </c>
      <c r="F618" t="s">
        <v>1110</v>
      </c>
      <c r="G618" t="s">
        <v>733</v>
      </c>
      <c r="H618" s="9">
        <v>9.99</v>
      </c>
      <c r="I618" s="5">
        <v>1</v>
      </c>
      <c r="J618" s="7" t="s">
        <v>970</v>
      </c>
      <c r="K618" s="7">
        <v>42748.047268518516</v>
      </c>
      <c r="L618" s="3" t="s">
        <v>970</v>
      </c>
      <c r="M618" s="7">
        <v>42748.047268518516</v>
      </c>
      <c r="N618" s="3" t="s">
        <v>970</v>
      </c>
      <c r="O618" s="16" t="str">
        <f>TEXT(DATEVALUE(LEFT(F618,10)),"mm-yyyy")</f>
        <v>04-2015</v>
      </c>
      <c r="P618" s="16">
        <f>H618*I618</f>
        <v>9.99</v>
      </c>
    </row>
    <row r="619" spans="3:16" x14ac:dyDescent="0.25">
      <c r="C619" t="str">
        <f>IF(COUNTBLANK(E619:N619) = 10,"",IF(AND(NOT(ISBLANK(E619)),COUNTBLANK(E619:N619) = 9),"3 Delete",IF(ISBLANK(E619),"2 Add",IF(JenkinsHashRange(E619:N619) = "212405570","0 Original","1 Modify"))))</f>
        <v>0 Original</v>
      </c>
      <c r="D619" s="3" t="s">
        <v>1652</v>
      </c>
      <c r="E619" s="5">
        <v>1988</v>
      </c>
      <c r="F619" t="s">
        <v>1110</v>
      </c>
      <c r="G619" t="s">
        <v>631</v>
      </c>
      <c r="H619" s="9">
        <v>8.99</v>
      </c>
      <c r="I619" s="5">
        <v>2</v>
      </c>
      <c r="J619" s="7" t="s">
        <v>970</v>
      </c>
      <c r="K619" s="7">
        <v>42748.047268518516</v>
      </c>
      <c r="L619" s="3" t="s">
        <v>970</v>
      </c>
      <c r="M619" s="7">
        <v>42748.047268518516</v>
      </c>
      <c r="N619" s="3" t="s">
        <v>970</v>
      </c>
      <c r="O619" s="16" t="str">
        <f>TEXT(DATEVALUE(LEFT(F619,10)),"mm-yyyy")</f>
        <v>04-2015</v>
      </c>
      <c r="P619" s="16">
        <f>H619*I619</f>
        <v>17.98</v>
      </c>
    </row>
    <row r="620" spans="3:16" x14ac:dyDescent="0.25">
      <c r="C620" t="str">
        <f>IF(COUNTBLANK(E620:N620) = 10,"",IF(AND(NOT(ISBLANK(E620)),COUNTBLANK(E620:N620) = 9),"3 Delete",IF(ISBLANK(E620),"2 Add",IF(JenkinsHashRange(E620:N620) = "95573587","0 Original","1 Modify"))))</f>
        <v>0 Original</v>
      </c>
      <c r="D620" s="3" t="s">
        <v>1685</v>
      </c>
      <c r="E620" s="5">
        <v>2170</v>
      </c>
      <c r="F620" t="s">
        <v>1122</v>
      </c>
      <c r="G620" t="s">
        <v>484</v>
      </c>
      <c r="H620" s="9">
        <v>6.99</v>
      </c>
      <c r="I620" s="5">
        <v>2</v>
      </c>
      <c r="J620" s="7" t="s">
        <v>970</v>
      </c>
      <c r="K620" s="7">
        <v>42748.047268518516</v>
      </c>
      <c r="L620" s="3" t="s">
        <v>970</v>
      </c>
      <c r="M620" s="7">
        <v>42748.047268518516</v>
      </c>
      <c r="N620" s="3" t="s">
        <v>970</v>
      </c>
      <c r="O620" s="16" t="str">
        <f>TEXT(DATEVALUE(LEFT(F620,10)),"mm-yyyy")</f>
        <v>04-2015</v>
      </c>
      <c r="P620" s="16">
        <f>H620*I620</f>
        <v>13.98</v>
      </c>
    </row>
    <row r="621" spans="3:16" x14ac:dyDescent="0.25">
      <c r="C621" t="str">
        <f>IF(COUNTBLANK(E621:N621) = 10,"",IF(AND(NOT(ISBLANK(E621)),COUNTBLANK(E621:N621) = 9),"3 Delete",IF(ISBLANK(E621),"2 Add",IF(JenkinsHashRange(E621:N621) = "37029218","0 Original","1 Modify"))))</f>
        <v>0 Original</v>
      </c>
      <c r="D621" s="3" t="s">
        <v>1686</v>
      </c>
      <c r="E621" s="5">
        <v>2171</v>
      </c>
      <c r="F621" t="s">
        <v>1122</v>
      </c>
      <c r="G621" t="s">
        <v>846</v>
      </c>
      <c r="H621" s="9">
        <v>8.99</v>
      </c>
      <c r="I621" s="5">
        <v>1</v>
      </c>
      <c r="J621" s="7" t="s">
        <v>970</v>
      </c>
      <c r="K621" s="7">
        <v>42748.047268518516</v>
      </c>
      <c r="L621" s="3" t="s">
        <v>970</v>
      </c>
      <c r="M621" s="7">
        <v>42748.047268518516</v>
      </c>
      <c r="N621" s="3" t="s">
        <v>970</v>
      </c>
      <c r="O621" s="16" t="str">
        <f>TEXT(DATEVALUE(LEFT(F621,10)),"mm-yyyy")</f>
        <v>04-2015</v>
      </c>
      <c r="P621" s="16">
        <f>H621*I621</f>
        <v>8.99</v>
      </c>
    </row>
    <row r="622" spans="3:16" x14ac:dyDescent="0.25">
      <c r="C622" t="str">
        <f>IF(COUNTBLANK(E622:N622) = 10,"",IF(AND(NOT(ISBLANK(E622)),COUNTBLANK(E622:N622) = 9),"3 Delete",IF(ISBLANK(E622),"2 Add",IF(JenkinsHashRange(E622:N622) = "746594597","0 Original","1 Modify"))))</f>
        <v>0 Original</v>
      </c>
      <c r="D622" s="3" t="s">
        <v>1687</v>
      </c>
      <c r="E622" s="5">
        <v>2172</v>
      </c>
      <c r="F622" t="s">
        <v>1122</v>
      </c>
      <c r="G622" t="s">
        <v>945</v>
      </c>
      <c r="H622" s="9">
        <v>7.99</v>
      </c>
      <c r="I622" s="5">
        <v>1</v>
      </c>
      <c r="J622" s="7" t="s">
        <v>970</v>
      </c>
      <c r="K622" s="7">
        <v>42748.047268518516</v>
      </c>
      <c r="L622" s="3" t="s">
        <v>970</v>
      </c>
      <c r="M622" s="7">
        <v>42748.047268518516</v>
      </c>
      <c r="N622" s="3" t="s">
        <v>970</v>
      </c>
      <c r="O622" s="16" t="str">
        <f>TEXT(DATEVALUE(LEFT(F622,10)),"mm-yyyy")</f>
        <v>04-2015</v>
      </c>
      <c r="P622" s="16">
        <f>H622*I622</f>
        <v>7.99</v>
      </c>
    </row>
    <row r="623" spans="3:16" x14ac:dyDescent="0.25">
      <c r="C623" t="str">
        <f>IF(COUNTBLANK(E623:N623) = 10,"",IF(AND(NOT(ISBLANK(E623)),COUNTBLANK(E623:N623) = 9),"3 Delete",IF(ISBLANK(E623),"2 Add",IF(JenkinsHashRange(E623:N623) = "451987443","0 Original","1 Modify"))))</f>
        <v>0 Original</v>
      </c>
      <c r="D623" s="3" t="s">
        <v>1688</v>
      </c>
      <c r="E623" s="5">
        <v>2173</v>
      </c>
      <c r="F623" t="s">
        <v>1122</v>
      </c>
      <c r="G623" t="s">
        <v>550</v>
      </c>
      <c r="H623" s="9">
        <v>8.99</v>
      </c>
      <c r="I623" s="5">
        <v>2</v>
      </c>
      <c r="J623" s="7" t="s">
        <v>970</v>
      </c>
      <c r="K623" s="7">
        <v>42748.047268518516</v>
      </c>
      <c r="L623" s="3" t="s">
        <v>970</v>
      </c>
      <c r="M623" s="7">
        <v>42748.047268518516</v>
      </c>
      <c r="N623" s="3" t="s">
        <v>970</v>
      </c>
      <c r="O623" s="16" t="str">
        <f>TEXT(DATEVALUE(LEFT(F623,10)),"mm-yyyy")</f>
        <v>04-2015</v>
      </c>
      <c r="P623" s="16">
        <f>H623*I623</f>
        <v>17.98</v>
      </c>
    </row>
    <row r="624" spans="3:16" x14ac:dyDescent="0.25">
      <c r="C624" t="str">
        <f>IF(COUNTBLANK(E624:N624) = 10,"",IF(AND(NOT(ISBLANK(E624)),COUNTBLANK(E624:N624) = 9),"3 Delete",IF(ISBLANK(E624),"2 Add",IF(JenkinsHashRange(E624:N624) = "1682425804","0 Original","1 Modify"))))</f>
        <v>0 Original</v>
      </c>
      <c r="D624" s="3" t="s">
        <v>1692</v>
      </c>
      <c r="E624" s="5">
        <v>2184</v>
      </c>
      <c r="F624" t="s">
        <v>1125</v>
      </c>
      <c r="G624" t="s">
        <v>880</v>
      </c>
      <c r="H624" s="9">
        <v>6.99</v>
      </c>
      <c r="I624" s="5">
        <v>1</v>
      </c>
      <c r="J624" s="7" t="s">
        <v>970</v>
      </c>
      <c r="K624" s="7">
        <v>42748.047268518516</v>
      </c>
      <c r="L624" s="3" t="s">
        <v>970</v>
      </c>
      <c r="M624" s="7">
        <v>42748.047268518516</v>
      </c>
      <c r="N624" s="3" t="s">
        <v>970</v>
      </c>
      <c r="O624" s="16" t="str">
        <f>TEXT(DATEVALUE(LEFT(F624,10)),"mm-yyyy")</f>
        <v>04-2015</v>
      </c>
      <c r="P624" s="16">
        <f>H624*I624</f>
        <v>6.99</v>
      </c>
    </row>
    <row r="625" spans="3:16" x14ac:dyDescent="0.25">
      <c r="C625" t="str">
        <f>IF(COUNTBLANK(E625:N625) = 10,"",IF(AND(NOT(ISBLANK(E625)),COUNTBLANK(E625:N625) = 9),"3 Delete",IF(ISBLANK(E625),"2 Add",IF(JenkinsHashRange(E625:N625) = "1818207077","0 Original","1 Modify"))))</f>
        <v>0 Original</v>
      </c>
      <c r="D625" s="3" t="s">
        <v>1693</v>
      </c>
      <c r="E625" s="5">
        <v>2185</v>
      </c>
      <c r="F625" t="s">
        <v>1125</v>
      </c>
      <c r="G625" t="s">
        <v>804</v>
      </c>
      <c r="H625" s="9">
        <v>4.99</v>
      </c>
      <c r="I625" s="5">
        <v>2</v>
      </c>
      <c r="J625" s="7" t="s">
        <v>970</v>
      </c>
      <c r="K625" s="7">
        <v>42748.047268518516</v>
      </c>
      <c r="L625" s="3" t="s">
        <v>970</v>
      </c>
      <c r="M625" s="7">
        <v>42748.047268518516</v>
      </c>
      <c r="N625" s="3" t="s">
        <v>970</v>
      </c>
      <c r="O625" s="16" t="str">
        <f>TEXT(DATEVALUE(LEFT(F625,10)),"mm-yyyy")</f>
        <v>04-2015</v>
      </c>
      <c r="P625" s="16">
        <f>H625*I625</f>
        <v>9.98</v>
      </c>
    </row>
    <row r="626" spans="3:16" x14ac:dyDescent="0.25">
      <c r="C626" t="str">
        <f>IF(COUNTBLANK(E626:N626) = 10,"",IF(AND(NOT(ISBLANK(E626)),COUNTBLANK(E626:N626) = 9),"3 Delete",IF(ISBLANK(E626),"2 Add",IF(JenkinsHashRange(E626:N626) = "1356286412","0 Original","1 Modify"))))</f>
        <v>0 Original</v>
      </c>
      <c r="D626" s="3" t="s">
        <v>1694</v>
      </c>
      <c r="E626" s="5">
        <v>2186</v>
      </c>
      <c r="F626" t="s">
        <v>1125</v>
      </c>
      <c r="G626" t="s">
        <v>484</v>
      </c>
      <c r="H626" s="9">
        <v>6.99</v>
      </c>
      <c r="I626" s="5">
        <v>1</v>
      </c>
      <c r="J626" s="7" t="s">
        <v>970</v>
      </c>
      <c r="K626" s="7">
        <v>42748.047268518516</v>
      </c>
      <c r="L626" s="3" t="s">
        <v>970</v>
      </c>
      <c r="M626" s="7">
        <v>42748.047268518516</v>
      </c>
      <c r="N626" s="3" t="s">
        <v>970</v>
      </c>
      <c r="O626" s="16" t="str">
        <f>TEXT(DATEVALUE(LEFT(F626,10)),"mm-yyyy")</f>
        <v>04-2015</v>
      </c>
      <c r="P626" s="16">
        <f>H626*I626</f>
        <v>6.99</v>
      </c>
    </row>
    <row r="627" spans="3:16" x14ac:dyDescent="0.25">
      <c r="C627" t="str">
        <f>IF(COUNTBLANK(E627:N627) = 10,"",IF(AND(NOT(ISBLANK(E627)),COUNTBLANK(E627:N627) = 9),"3 Delete",IF(ISBLANK(E627),"2 Add",IF(JenkinsHashRange(E627:N627) = "1280718958","0 Original","1 Modify"))))</f>
        <v>0 Original</v>
      </c>
      <c r="D627" s="3" t="s">
        <v>1695</v>
      </c>
      <c r="E627" s="5">
        <v>2187</v>
      </c>
      <c r="F627" t="s">
        <v>1125</v>
      </c>
      <c r="G627" t="s">
        <v>631</v>
      </c>
      <c r="H627" s="9">
        <v>8.99</v>
      </c>
      <c r="I627" s="5">
        <v>1</v>
      </c>
      <c r="J627" s="7" t="s">
        <v>970</v>
      </c>
      <c r="K627" s="7">
        <v>42748.047268518516</v>
      </c>
      <c r="L627" s="3" t="s">
        <v>970</v>
      </c>
      <c r="M627" s="7">
        <v>42748.047268518516</v>
      </c>
      <c r="N627" s="3" t="s">
        <v>970</v>
      </c>
      <c r="O627" s="16" t="str">
        <f>TEXT(DATEVALUE(LEFT(F627,10)),"mm-yyyy")</f>
        <v>04-2015</v>
      </c>
      <c r="P627" s="16">
        <f>H627*I627</f>
        <v>8.99</v>
      </c>
    </row>
    <row r="628" spans="3:16" x14ac:dyDescent="0.25">
      <c r="C628" t="str">
        <f>IF(COUNTBLANK(E628:N628) = 10,"",IF(AND(NOT(ISBLANK(E628)),COUNTBLANK(E628:N628) = 9),"3 Delete",IF(ISBLANK(E628),"2 Add",IF(JenkinsHashRange(E628:N628) = "1671564847","0 Original","1 Modify"))))</f>
        <v>0 Original</v>
      </c>
      <c r="D628" s="3" t="s">
        <v>1726</v>
      </c>
      <c r="E628" s="5">
        <v>2310</v>
      </c>
      <c r="F628" t="s">
        <v>1135</v>
      </c>
      <c r="G628" t="s">
        <v>768</v>
      </c>
      <c r="H628" s="9">
        <v>6.99</v>
      </c>
      <c r="I628" s="5">
        <v>2</v>
      </c>
      <c r="J628" s="7" t="s">
        <v>970</v>
      </c>
      <c r="K628" s="7">
        <v>42748.047268518516</v>
      </c>
      <c r="L628" s="3" t="s">
        <v>970</v>
      </c>
      <c r="M628" s="7">
        <v>42748.047268518516</v>
      </c>
      <c r="N628" s="3" t="s">
        <v>970</v>
      </c>
      <c r="O628" s="16" t="str">
        <f>TEXT(DATEVALUE(LEFT(F628,10)),"mm-yyyy")</f>
        <v>04-2015</v>
      </c>
      <c r="P628" s="16">
        <f>H628*I628</f>
        <v>13.98</v>
      </c>
    </row>
    <row r="629" spans="3:16" x14ac:dyDescent="0.25">
      <c r="C629" t="str">
        <f>IF(COUNTBLANK(E629:N629) = 10,"",IF(AND(NOT(ISBLANK(E629)),COUNTBLANK(E629:N629) = 9),"3 Delete",IF(ISBLANK(E629),"2 Add",IF(JenkinsHashRange(E629:N629) = "627224630","0 Original","1 Modify"))))</f>
        <v>0 Original</v>
      </c>
      <c r="D629" s="3" t="s">
        <v>1727</v>
      </c>
      <c r="E629" s="5">
        <v>2311</v>
      </c>
      <c r="F629" t="s">
        <v>1135</v>
      </c>
      <c r="G629" t="s">
        <v>653</v>
      </c>
      <c r="H629" s="9">
        <v>7.99</v>
      </c>
      <c r="I629" s="5">
        <v>2</v>
      </c>
      <c r="J629" s="7" t="s">
        <v>970</v>
      </c>
      <c r="K629" s="7">
        <v>42748.047268518516</v>
      </c>
      <c r="L629" s="3" t="s">
        <v>970</v>
      </c>
      <c r="M629" s="7">
        <v>42748.047268518516</v>
      </c>
      <c r="N629" s="3" t="s">
        <v>970</v>
      </c>
      <c r="O629" s="16" t="str">
        <f>TEXT(DATEVALUE(LEFT(F629,10)),"mm-yyyy")</f>
        <v>04-2015</v>
      </c>
      <c r="P629" s="16">
        <f>H629*I629</f>
        <v>15.98</v>
      </c>
    </row>
    <row r="630" spans="3:16" x14ac:dyDescent="0.25">
      <c r="C630" t="str">
        <f>IF(COUNTBLANK(E630:N630) = 10,"",IF(AND(NOT(ISBLANK(E630)),COUNTBLANK(E630:N630) = 9),"3 Delete",IF(ISBLANK(E630),"2 Add",IF(JenkinsHashRange(E630:N630) = "350844287","0 Original","1 Modify"))))</f>
        <v>0 Original</v>
      </c>
      <c r="D630" s="3" t="s">
        <v>1728</v>
      </c>
      <c r="E630" s="5">
        <v>2312</v>
      </c>
      <c r="F630" t="s">
        <v>1135</v>
      </c>
      <c r="G630" t="s">
        <v>917</v>
      </c>
      <c r="H630" s="9">
        <v>4.99</v>
      </c>
      <c r="I630" s="5">
        <v>1</v>
      </c>
      <c r="J630" s="7" t="s">
        <v>970</v>
      </c>
      <c r="K630" s="7">
        <v>42748.047268518516</v>
      </c>
      <c r="L630" s="3" t="s">
        <v>970</v>
      </c>
      <c r="M630" s="7">
        <v>42748.047268518516</v>
      </c>
      <c r="N630" s="3" t="s">
        <v>970</v>
      </c>
      <c r="O630" s="16" t="str">
        <f>TEXT(DATEVALUE(LEFT(F630,10)),"mm-yyyy")</f>
        <v>04-2015</v>
      </c>
      <c r="P630" s="16">
        <f>H630*I630</f>
        <v>4.99</v>
      </c>
    </row>
    <row r="631" spans="3:16" x14ac:dyDescent="0.25">
      <c r="C631" t="str">
        <f>IF(COUNTBLANK(E631:N631) = 10,"",IF(AND(NOT(ISBLANK(E631)),COUNTBLANK(E631:N631) = 9),"3 Delete",IF(ISBLANK(E631),"2 Add",IF(JenkinsHashRange(E631:N631) = "1397852372","0 Original","1 Modify"))))</f>
        <v>0 Original</v>
      </c>
      <c r="D631" s="3" t="s">
        <v>1729</v>
      </c>
      <c r="E631" s="5">
        <v>2313</v>
      </c>
      <c r="F631" t="s">
        <v>1135</v>
      </c>
      <c r="G631" t="s">
        <v>443</v>
      </c>
      <c r="H631" s="9">
        <v>6.99</v>
      </c>
      <c r="I631" s="5">
        <v>1</v>
      </c>
      <c r="J631" s="7" t="s">
        <v>970</v>
      </c>
      <c r="K631" s="7">
        <v>42748.047268518516</v>
      </c>
      <c r="L631" s="3" t="s">
        <v>970</v>
      </c>
      <c r="M631" s="7">
        <v>42748.047268518516</v>
      </c>
      <c r="N631" s="3" t="s">
        <v>970</v>
      </c>
      <c r="O631" s="16" t="str">
        <f>TEXT(DATEVALUE(LEFT(F631,10)),"mm-yyyy")</f>
        <v>04-2015</v>
      </c>
      <c r="P631" s="16">
        <f>H631*I631</f>
        <v>6.99</v>
      </c>
    </row>
    <row r="632" spans="3:16" x14ac:dyDescent="0.25">
      <c r="C632" t="str">
        <f>IF(COUNTBLANK(E632:N632) = 10,"",IF(AND(NOT(ISBLANK(E632)),COUNTBLANK(E632:N632) = 9),"3 Delete",IF(ISBLANK(E632),"2 Add",IF(JenkinsHashRange(E632:N632) = "1447356497","0 Original","1 Modify"))))</f>
        <v>0 Original</v>
      </c>
      <c r="D632" s="3" t="s">
        <v>1730</v>
      </c>
      <c r="E632" s="5">
        <v>2314</v>
      </c>
      <c r="F632" t="s">
        <v>1135</v>
      </c>
      <c r="G632" t="s">
        <v>631</v>
      </c>
      <c r="H632" s="9">
        <v>8.99</v>
      </c>
      <c r="I632" s="5">
        <v>1</v>
      </c>
      <c r="J632" s="7" t="s">
        <v>970</v>
      </c>
      <c r="K632" s="7">
        <v>42748.047268518516</v>
      </c>
      <c r="L632" s="3" t="s">
        <v>970</v>
      </c>
      <c r="M632" s="7">
        <v>42748.047268518516</v>
      </c>
      <c r="N632" s="3" t="s">
        <v>970</v>
      </c>
      <c r="O632" s="16" t="str">
        <f>TEXT(DATEVALUE(LEFT(F632,10)),"mm-yyyy")</f>
        <v>04-2015</v>
      </c>
      <c r="P632" s="16">
        <f>H632*I632</f>
        <v>8.99</v>
      </c>
    </row>
    <row r="633" spans="3:16" x14ac:dyDescent="0.25">
      <c r="C633" t="str">
        <f>IF(COUNTBLANK(E633:N633) = 10,"",IF(AND(NOT(ISBLANK(E633)),COUNTBLANK(E633:N633) = 9),"3 Delete",IF(ISBLANK(E633),"2 Add",IF(JenkinsHashRange(E633:N633) = "1854354449","0 Original","1 Modify"))))</f>
        <v>0 Original</v>
      </c>
      <c r="D633" s="3" t="s">
        <v>1731</v>
      </c>
      <c r="E633" s="5">
        <v>2315</v>
      </c>
      <c r="F633" t="s">
        <v>1135</v>
      </c>
      <c r="G633" t="s">
        <v>927</v>
      </c>
      <c r="H633" s="9">
        <v>9.99</v>
      </c>
      <c r="I633" s="5">
        <v>1</v>
      </c>
      <c r="J633" s="7" t="s">
        <v>970</v>
      </c>
      <c r="K633" s="7">
        <v>42748.047268518516</v>
      </c>
      <c r="L633" s="3" t="s">
        <v>970</v>
      </c>
      <c r="M633" s="7">
        <v>42748.047268518516</v>
      </c>
      <c r="N633" s="3" t="s">
        <v>970</v>
      </c>
      <c r="O633" s="16" t="str">
        <f>TEXT(DATEVALUE(LEFT(F633,10)),"mm-yyyy")</f>
        <v>04-2015</v>
      </c>
      <c r="P633" s="16">
        <f>H633*I633</f>
        <v>9.99</v>
      </c>
    </row>
    <row r="634" spans="3:16" x14ac:dyDescent="0.25">
      <c r="C634" t="str">
        <f>IF(COUNTBLANK(E634:N634) = 10,"",IF(AND(NOT(ISBLANK(E634)),COUNTBLANK(E634:N634) = 9),"3 Delete",IF(ISBLANK(E634),"2 Add",IF(JenkinsHashRange(E634:N634) = "310955812","0 Original","1 Modify"))))</f>
        <v>0 Original</v>
      </c>
      <c r="D634" s="3" t="s">
        <v>1732</v>
      </c>
      <c r="E634" s="5">
        <v>2316</v>
      </c>
      <c r="F634" t="s">
        <v>1135</v>
      </c>
      <c r="G634" t="s">
        <v>600</v>
      </c>
      <c r="H634" s="9">
        <v>7.99</v>
      </c>
      <c r="I634" s="5">
        <v>1</v>
      </c>
      <c r="J634" s="7" t="s">
        <v>970</v>
      </c>
      <c r="K634" s="7">
        <v>42748.047268518516</v>
      </c>
      <c r="L634" s="3" t="s">
        <v>970</v>
      </c>
      <c r="M634" s="7">
        <v>42748.047268518516</v>
      </c>
      <c r="N634" s="3" t="s">
        <v>970</v>
      </c>
      <c r="O634" s="16" t="str">
        <f>TEXT(DATEVALUE(LEFT(F634,10)),"mm-yyyy")</f>
        <v>04-2015</v>
      </c>
      <c r="P634" s="16">
        <f>H634*I634</f>
        <v>7.99</v>
      </c>
    </row>
    <row r="635" spans="3:16" x14ac:dyDescent="0.25">
      <c r="C635" t="str">
        <f>IF(COUNTBLANK(E635:N635) = 10,"",IF(AND(NOT(ISBLANK(E635)),COUNTBLANK(E635:N635) = 9),"3 Delete",IF(ISBLANK(E635),"2 Add",IF(JenkinsHashRange(E635:N635) = "1759407267","0 Original","1 Modify"))))</f>
        <v>0 Original</v>
      </c>
      <c r="D635" s="3" t="s">
        <v>1733</v>
      </c>
      <c r="E635" s="5">
        <v>2317</v>
      </c>
      <c r="F635" t="s">
        <v>1135</v>
      </c>
      <c r="G635" t="s">
        <v>743</v>
      </c>
      <c r="H635" s="9">
        <v>9.99</v>
      </c>
      <c r="I635" s="5">
        <v>1</v>
      </c>
      <c r="J635" s="7" t="s">
        <v>970</v>
      </c>
      <c r="K635" s="7">
        <v>42748.047268518516</v>
      </c>
      <c r="L635" s="3" t="s">
        <v>970</v>
      </c>
      <c r="M635" s="7">
        <v>42748.047268518516</v>
      </c>
      <c r="N635" s="3" t="s">
        <v>970</v>
      </c>
      <c r="O635" s="16" t="str">
        <f>TEXT(DATEVALUE(LEFT(F635,10)),"mm-yyyy")</f>
        <v>04-2015</v>
      </c>
      <c r="P635" s="16">
        <f>H635*I635</f>
        <v>9.99</v>
      </c>
    </row>
    <row r="636" spans="3:16" x14ac:dyDescent="0.25">
      <c r="C636" t="str">
        <f>IF(COUNTBLANK(E636:N636) = 10,"",IF(AND(NOT(ISBLANK(E636)),COUNTBLANK(E636:N636) = 9),"3 Delete",IF(ISBLANK(E636),"2 Add",IF(JenkinsHashRange(E636:N636) = "1138448292","0 Original","1 Modify"))))</f>
        <v>0 Original</v>
      </c>
      <c r="D636" s="3" t="s">
        <v>1749</v>
      </c>
      <c r="E636" s="5">
        <v>2374</v>
      </c>
      <c r="F636" t="s">
        <v>1139</v>
      </c>
      <c r="G636" t="s">
        <v>400</v>
      </c>
      <c r="H636" s="9">
        <v>6.99</v>
      </c>
      <c r="I636" s="5">
        <v>2</v>
      </c>
      <c r="J636" s="7" t="s">
        <v>970</v>
      </c>
      <c r="K636" s="7">
        <v>42748.047268518516</v>
      </c>
      <c r="L636" s="3" t="s">
        <v>970</v>
      </c>
      <c r="M636" s="7">
        <v>42748.047268518516</v>
      </c>
      <c r="N636" s="3" t="s">
        <v>970</v>
      </c>
      <c r="O636" s="16" t="str">
        <f>TEXT(DATEVALUE(LEFT(F636,10)),"mm-yyyy")</f>
        <v>04-2015</v>
      </c>
      <c r="P636" s="16">
        <f>H636*I636</f>
        <v>13.98</v>
      </c>
    </row>
    <row r="637" spans="3:16" x14ac:dyDescent="0.25">
      <c r="C637" t="str">
        <f>IF(COUNTBLANK(E637:N637) = 10,"",IF(AND(NOT(ISBLANK(E637)),COUNTBLANK(E637:N637) = 9),"3 Delete",IF(ISBLANK(E637),"2 Add",IF(JenkinsHashRange(E637:N637) = "1319392253","0 Original","1 Modify"))))</f>
        <v>0 Original</v>
      </c>
      <c r="D637" s="3" t="s">
        <v>1750</v>
      </c>
      <c r="E637" s="5">
        <v>2375</v>
      </c>
      <c r="F637" t="s">
        <v>1139</v>
      </c>
      <c r="G637" t="s">
        <v>400</v>
      </c>
      <c r="H637" s="9">
        <v>6.99</v>
      </c>
      <c r="I637" s="5">
        <v>1</v>
      </c>
      <c r="J637" s="7" t="s">
        <v>970</v>
      </c>
      <c r="K637" s="7">
        <v>42748.047268518516</v>
      </c>
      <c r="L637" s="3" t="s">
        <v>970</v>
      </c>
      <c r="M637" s="7">
        <v>42748.047268518516</v>
      </c>
      <c r="N637" s="3" t="s">
        <v>970</v>
      </c>
      <c r="O637" s="16" t="str">
        <f>TEXT(DATEVALUE(LEFT(F637,10)),"mm-yyyy")</f>
        <v>04-2015</v>
      </c>
      <c r="P637" s="16">
        <f>H637*I637</f>
        <v>6.99</v>
      </c>
    </row>
    <row r="638" spans="3:16" x14ac:dyDescent="0.25">
      <c r="C638" t="str">
        <f>IF(COUNTBLANK(E638:N638) = 10,"",IF(AND(NOT(ISBLANK(E638)),COUNTBLANK(E638:N638) = 9),"3 Delete",IF(ISBLANK(E638),"2 Add",IF(JenkinsHashRange(E638:N638) = "596119074","0 Original","1 Modify"))))</f>
        <v>0 Original</v>
      </c>
      <c r="D638" s="3" t="s">
        <v>1751</v>
      </c>
      <c r="E638" s="5">
        <v>2376</v>
      </c>
      <c r="F638" t="s">
        <v>1139</v>
      </c>
      <c r="G638" t="s">
        <v>904</v>
      </c>
      <c r="H638" s="9">
        <v>9.99</v>
      </c>
      <c r="I638" s="5">
        <v>1</v>
      </c>
      <c r="J638" s="7" t="s">
        <v>970</v>
      </c>
      <c r="K638" s="7">
        <v>42748.047268518516</v>
      </c>
      <c r="L638" s="3" t="s">
        <v>970</v>
      </c>
      <c r="M638" s="7">
        <v>42748.047268518516</v>
      </c>
      <c r="N638" s="3" t="s">
        <v>970</v>
      </c>
      <c r="O638" s="16" t="str">
        <f>TEXT(DATEVALUE(LEFT(F638,10)),"mm-yyyy")</f>
        <v>04-2015</v>
      </c>
      <c r="P638" s="16">
        <f>H638*I638</f>
        <v>9.99</v>
      </c>
    </row>
    <row r="639" spans="3:16" x14ac:dyDescent="0.25">
      <c r="C639" t="str">
        <f>IF(COUNTBLANK(E639:N639) = 10,"",IF(AND(NOT(ISBLANK(E639)),COUNTBLANK(E639:N639) = 9),"3 Delete",IF(ISBLANK(E639),"2 Add",IF(JenkinsHashRange(E639:N639) = "539217707","0 Original","1 Modify"))))</f>
        <v>0 Original</v>
      </c>
      <c r="D639" s="3" t="s">
        <v>1764</v>
      </c>
      <c r="E639" s="5">
        <v>2409</v>
      </c>
      <c r="F639" t="s">
        <v>1144</v>
      </c>
      <c r="G639" t="s">
        <v>877</v>
      </c>
      <c r="H639" s="9">
        <v>8.99</v>
      </c>
      <c r="I639" s="5">
        <v>1</v>
      </c>
      <c r="J639" s="7" t="s">
        <v>970</v>
      </c>
      <c r="K639" s="7">
        <v>42748.047268518516</v>
      </c>
      <c r="L639" s="3" t="s">
        <v>970</v>
      </c>
      <c r="M639" s="7">
        <v>42748.047268518516</v>
      </c>
      <c r="N639" s="3" t="s">
        <v>970</v>
      </c>
      <c r="O639" s="16" t="str">
        <f>TEXT(DATEVALUE(LEFT(F639,10)),"mm-yyyy")</f>
        <v>04-2015</v>
      </c>
      <c r="P639" s="16">
        <f>H639*I639</f>
        <v>8.99</v>
      </c>
    </row>
    <row r="640" spans="3:16" x14ac:dyDescent="0.25">
      <c r="C640" t="str">
        <f>IF(COUNTBLANK(E640:N640) = 10,"",IF(AND(NOT(ISBLANK(E640)),COUNTBLANK(E640:N640) = 9),"3 Delete",IF(ISBLANK(E640),"2 Add",IF(JenkinsHashRange(E640:N640) = "1009619339","0 Original","1 Modify"))))</f>
        <v>0 Original</v>
      </c>
      <c r="D640" s="3" t="s">
        <v>1765</v>
      </c>
      <c r="E640" s="5">
        <v>2410</v>
      </c>
      <c r="F640" t="s">
        <v>1144</v>
      </c>
      <c r="G640" t="s">
        <v>957</v>
      </c>
      <c r="H640" s="9">
        <v>5.99</v>
      </c>
      <c r="I640" s="5">
        <v>2</v>
      </c>
      <c r="J640" s="7" t="s">
        <v>970</v>
      </c>
      <c r="K640" s="7">
        <v>42748.047268518516</v>
      </c>
      <c r="L640" s="3" t="s">
        <v>970</v>
      </c>
      <c r="M640" s="7">
        <v>42748.047268518516</v>
      </c>
      <c r="N640" s="3" t="s">
        <v>970</v>
      </c>
      <c r="O640" s="16" t="str">
        <f>TEXT(DATEVALUE(LEFT(F640,10)),"mm-yyyy")</f>
        <v>04-2015</v>
      </c>
      <c r="P640" s="16">
        <f>H640*I640</f>
        <v>11.98</v>
      </c>
    </row>
    <row r="641" spans="3:16" x14ac:dyDescent="0.25">
      <c r="C641" t="str">
        <f>IF(COUNTBLANK(E641:N641) = 10,"",IF(AND(NOT(ISBLANK(E641)),COUNTBLANK(E641:N641) = 9),"3 Delete",IF(ISBLANK(E641),"2 Add",IF(JenkinsHashRange(E641:N641) = "1819319741","0 Original","1 Modify"))))</f>
        <v>0 Original</v>
      </c>
      <c r="D641" s="3" t="s">
        <v>1766</v>
      </c>
      <c r="E641" s="5">
        <v>2411</v>
      </c>
      <c r="F641" t="s">
        <v>1144</v>
      </c>
      <c r="G641" t="s">
        <v>877</v>
      </c>
      <c r="H641" s="9">
        <v>8.99</v>
      </c>
      <c r="I641" s="5">
        <v>1</v>
      </c>
      <c r="J641" s="7" t="s">
        <v>970</v>
      </c>
      <c r="K641" s="7">
        <v>42748.047268518516</v>
      </c>
      <c r="L641" s="3" t="s">
        <v>970</v>
      </c>
      <c r="M641" s="7">
        <v>42748.047268518516</v>
      </c>
      <c r="N641" s="3" t="s">
        <v>970</v>
      </c>
      <c r="O641" s="16" t="str">
        <f>TEXT(DATEVALUE(LEFT(F641,10)),"mm-yyyy")</f>
        <v>04-2015</v>
      </c>
      <c r="P641" s="16">
        <f>H641*I641</f>
        <v>8.99</v>
      </c>
    </row>
    <row r="642" spans="3:16" x14ac:dyDescent="0.25">
      <c r="C642" t="str">
        <f>IF(COUNTBLANK(E642:N642) = 10,"",IF(AND(NOT(ISBLANK(E642)),COUNTBLANK(E642:N642) = 9),"3 Delete",IF(ISBLANK(E642),"2 Add",IF(JenkinsHashRange(E642:N642) = "1794113123","0 Original","1 Modify"))))</f>
        <v>0 Original</v>
      </c>
      <c r="D642" s="3" t="s">
        <v>1775</v>
      </c>
      <c r="E642" s="5">
        <v>2455</v>
      </c>
      <c r="F642" t="s">
        <v>1148</v>
      </c>
      <c r="G642" t="s">
        <v>904</v>
      </c>
      <c r="H642" s="9">
        <v>9.99</v>
      </c>
      <c r="I642" s="5">
        <v>1</v>
      </c>
      <c r="J642" s="7" t="s">
        <v>970</v>
      </c>
      <c r="K642" s="7">
        <v>42748.047268518516</v>
      </c>
      <c r="L642" s="3" t="s">
        <v>970</v>
      </c>
      <c r="M642" s="7">
        <v>42748.047268518516</v>
      </c>
      <c r="N642" s="3" t="s">
        <v>970</v>
      </c>
      <c r="O642" s="16" t="str">
        <f>TEXT(DATEVALUE(LEFT(F642,10)),"mm-yyyy")</f>
        <v>04-2015</v>
      </c>
      <c r="P642" s="16">
        <f>H642*I642</f>
        <v>9.99</v>
      </c>
    </row>
    <row r="643" spans="3:16" x14ac:dyDescent="0.25">
      <c r="C643" t="str">
        <f>IF(COUNTBLANK(E643:N643) = 10,"",IF(AND(NOT(ISBLANK(E643)),COUNTBLANK(E643:N643) = 9),"3 Delete",IF(ISBLANK(E643),"2 Add",IF(JenkinsHashRange(E643:N643) = "1259585160","0 Original","1 Modify"))))</f>
        <v>0 Original</v>
      </c>
      <c r="D643" s="3" t="s">
        <v>1776</v>
      </c>
      <c r="E643" s="5">
        <v>2456</v>
      </c>
      <c r="F643" t="s">
        <v>1148</v>
      </c>
      <c r="G643" t="s">
        <v>702</v>
      </c>
      <c r="H643" s="9">
        <v>7.99</v>
      </c>
      <c r="I643" s="5">
        <v>1</v>
      </c>
      <c r="J643" s="7" t="s">
        <v>970</v>
      </c>
      <c r="K643" s="7">
        <v>42748.047268518516</v>
      </c>
      <c r="L643" s="3" t="s">
        <v>970</v>
      </c>
      <c r="M643" s="7">
        <v>42748.047268518516</v>
      </c>
      <c r="N643" s="3" t="s">
        <v>970</v>
      </c>
      <c r="O643" s="16" t="str">
        <f>TEXT(DATEVALUE(LEFT(F643,10)),"mm-yyyy")</f>
        <v>04-2015</v>
      </c>
      <c r="P643" s="16">
        <f>H643*I643</f>
        <v>7.99</v>
      </c>
    </row>
    <row r="644" spans="3:16" x14ac:dyDescent="0.25">
      <c r="C644" t="str">
        <f>IF(COUNTBLANK(E644:N644) = 10,"",IF(AND(NOT(ISBLANK(E644)),COUNTBLANK(E644:N644) = 9),"3 Delete",IF(ISBLANK(E644),"2 Add",IF(JenkinsHashRange(E644:N644) = "1812736884","0 Original","1 Modify"))))</f>
        <v>0 Original</v>
      </c>
      <c r="D644" s="3" t="s">
        <v>1777</v>
      </c>
      <c r="E644" s="5">
        <v>2457</v>
      </c>
      <c r="F644" t="s">
        <v>1148</v>
      </c>
      <c r="G644" t="s">
        <v>702</v>
      </c>
      <c r="H644" s="9">
        <v>7.99</v>
      </c>
      <c r="I644" s="5">
        <v>1</v>
      </c>
      <c r="J644" s="7" t="s">
        <v>970</v>
      </c>
      <c r="K644" s="7">
        <v>42748.047268518516</v>
      </c>
      <c r="L644" s="3" t="s">
        <v>970</v>
      </c>
      <c r="M644" s="7">
        <v>42748.047268518516</v>
      </c>
      <c r="N644" s="3" t="s">
        <v>970</v>
      </c>
      <c r="O644" s="16" t="str">
        <f>TEXT(DATEVALUE(LEFT(F644,10)),"mm-yyyy")</f>
        <v>04-2015</v>
      </c>
      <c r="P644" s="16">
        <f>H644*I644</f>
        <v>7.99</v>
      </c>
    </row>
    <row r="645" spans="3:16" x14ac:dyDescent="0.25">
      <c r="C645" t="str">
        <f>IF(COUNTBLANK(E645:N645) = 10,"",IF(AND(NOT(ISBLANK(E645)),COUNTBLANK(E645:N645) = 9),"3 Delete",IF(ISBLANK(E645),"2 Add",IF(JenkinsHashRange(E645:N645) = "2143864870","0 Original","1 Modify"))))</f>
        <v>0 Original</v>
      </c>
      <c r="D645" s="3" t="s">
        <v>1791</v>
      </c>
      <c r="E645" s="5">
        <v>2528</v>
      </c>
      <c r="F645" t="s">
        <v>1153</v>
      </c>
      <c r="G645" t="s">
        <v>702</v>
      </c>
      <c r="H645" s="9">
        <v>7.99</v>
      </c>
      <c r="I645" s="5">
        <v>1</v>
      </c>
      <c r="J645" s="7" t="s">
        <v>970</v>
      </c>
      <c r="K645" s="7">
        <v>42748.047268518516</v>
      </c>
      <c r="L645" s="3" t="s">
        <v>970</v>
      </c>
      <c r="M645" s="7">
        <v>42748.047268518516</v>
      </c>
      <c r="N645" s="3" t="s">
        <v>970</v>
      </c>
      <c r="O645" s="16" t="str">
        <f>TEXT(DATEVALUE(LEFT(F645,10)),"mm-yyyy")</f>
        <v>04-2015</v>
      </c>
      <c r="P645" s="16">
        <f>H645*I645</f>
        <v>7.99</v>
      </c>
    </row>
    <row r="646" spans="3:16" x14ac:dyDescent="0.25">
      <c r="C646" t="str">
        <f>IF(COUNTBLANK(E646:N646) = 10,"",IF(AND(NOT(ISBLANK(E646)),COUNTBLANK(E646:N646) = 9),"3 Delete",IF(ISBLANK(E646),"2 Add",IF(JenkinsHashRange(E646:N646) = "2122397804","0 Original","1 Modify"))))</f>
        <v>0 Original</v>
      </c>
      <c r="D646" s="3" t="s">
        <v>1792</v>
      </c>
      <c r="E646" s="5">
        <v>2529</v>
      </c>
      <c r="F646" t="s">
        <v>1153</v>
      </c>
      <c r="G646" t="s">
        <v>702</v>
      </c>
      <c r="H646" s="9">
        <v>7.99</v>
      </c>
      <c r="I646" s="5">
        <v>2</v>
      </c>
      <c r="J646" s="7" t="s">
        <v>970</v>
      </c>
      <c r="K646" s="7">
        <v>42748.047268518516</v>
      </c>
      <c r="L646" s="3" t="s">
        <v>970</v>
      </c>
      <c r="M646" s="7">
        <v>42748.047268518516</v>
      </c>
      <c r="N646" s="3" t="s">
        <v>970</v>
      </c>
      <c r="O646" s="16" t="str">
        <f>TEXT(DATEVALUE(LEFT(F646,10)),"mm-yyyy")</f>
        <v>04-2015</v>
      </c>
      <c r="P646" s="16">
        <f>H646*I646</f>
        <v>15.98</v>
      </c>
    </row>
    <row r="647" spans="3:16" x14ac:dyDescent="0.25">
      <c r="C647" t="str">
        <f>IF(COUNTBLANK(E647:N647) = 10,"",IF(AND(NOT(ISBLANK(E647)),COUNTBLANK(E647:N647) = 9),"3 Delete",IF(ISBLANK(E647),"2 Add",IF(JenkinsHashRange(E647:N647) = "642664637","0 Original","1 Modify"))))</f>
        <v>0 Original</v>
      </c>
      <c r="D647" s="3" t="s">
        <v>1793</v>
      </c>
      <c r="E647" s="5">
        <v>2530</v>
      </c>
      <c r="F647" t="s">
        <v>1153</v>
      </c>
      <c r="G647" t="s">
        <v>565</v>
      </c>
      <c r="H647" s="9">
        <v>5.99</v>
      </c>
      <c r="I647" s="5">
        <v>1</v>
      </c>
      <c r="J647" s="7" t="s">
        <v>970</v>
      </c>
      <c r="K647" s="7">
        <v>42748.047268518516</v>
      </c>
      <c r="L647" s="3" t="s">
        <v>970</v>
      </c>
      <c r="M647" s="7">
        <v>42748.047268518516</v>
      </c>
      <c r="N647" s="3" t="s">
        <v>970</v>
      </c>
      <c r="O647" s="16" t="str">
        <f>TEXT(DATEVALUE(LEFT(F647,10)),"mm-yyyy")</f>
        <v>04-2015</v>
      </c>
      <c r="P647" s="16">
        <f>H647*I647</f>
        <v>5.99</v>
      </c>
    </row>
    <row r="648" spans="3:16" x14ac:dyDescent="0.25">
      <c r="C648" t="str">
        <f>IF(COUNTBLANK(E648:N648) = 10,"",IF(AND(NOT(ISBLANK(E648)),COUNTBLANK(E648:N648) = 9),"3 Delete",IF(ISBLANK(E648),"2 Add",IF(JenkinsHashRange(E648:N648) = "820321082","0 Original","1 Modify"))))</f>
        <v>0 Original</v>
      </c>
      <c r="D648" s="3" t="s">
        <v>1826</v>
      </c>
      <c r="E648" s="5">
        <v>2649</v>
      </c>
      <c r="F648" t="s">
        <v>1162</v>
      </c>
      <c r="G648" t="s">
        <v>453</v>
      </c>
      <c r="H648" s="9">
        <v>8.99</v>
      </c>
      <c r="I648" s="5">
        <v>2</v>
      </c>
      <c r="J648" s="7" t="s">
        <v>970</v>
      </c>
      <c r="K648" s="7">
        <v>42748.047268518516</v>
      </c>
      <c r="L648" s="3" t="s">
        <v>970</v>
      </c>
      <c r="M648" s="7">
        <v>42748.047268518516</v>
      </c>
      <c r="N648" s="3" t="s">
        <v>970</v>
      </c>
      <c r="O648" s="16" t="str">
        <f>TEXT(DATEVALUE(LEFT(F648,10)),"mm-yyyy")</f>
        <v>04-2015</v>
      </c>
      <c r="P648" s="16">
        <f>H648*I648</f>
        <v>17.98</v>
      </c>
    </row>
    <row r="649" spans="3:16" x14ac:dyDescent="0.25">
      <c r="C649" t="str">
        <f>IF(COUNTBLANK(E649:N649) = 10,"",IF(AND(NOT(ISBLANK(E649)),COUNTBLANK(E649:N649) = 9),"3 Delete",IF(ISBLANK(E649),"2 Add",IF(JenkinsHashRange(E649:N649) = "1037175457","0 Original","1 Modify"))))</f>
        <v>0 Original</v>
      </c>
      <c r="D649" s="3" t="s">
        <v>1827</v>
      </c>
      <c r="E649" s="5">
        <v>2650</v>
      </c>
      <c r="F649" t="s">
        <v>1162</v>
      </c>
      <c r="G649" t="s">
        <v>814</v>
      </c>
      <c r="H649" s="9">
        <v>9.99</v>
      </c>
      <c r="I649" s="5">
        <v>1</v>
      </c>
      <c r="J649" s="7" t="s">
        <v>970</v>
      </c>
      <c r="K649" s="7">
        <v>42748.047268518516</v>
      </c>
      <c r="L649" s="3" t="s">
        <v>970</v>
      </c>
      <c r="M649" s="7">
        <v>42748.047268518516</v>
      </c>
      <c r="N649" s="3" t="s">
        <v>970</v>
      </c>
      <c r="O649" s="16" t="str">
        <f>TEXT(DATEVALUE(LEFT(F649,10)),"mm-yyyy")</f>
        <v>04-2015</v>
      </c>
      <c r="P649" s="16">
        <f>H649*I649</f>
        <v>9.99</v>
      </c>
    </row>
    <row r="650" spans="3:16" x14ac:dyDescent="0.25">
      <c r="C650" t="str">
        <f>IF(COUNTBLANK(E650:N650) = 10,"",IF(AND(NOT(ISBLANK(E650)),COUNTBLANK(E650:N650) = 9),"3 Delete",IF(ISBLANK(E650),"2 Add",IF(JenkinsHashRange(E650:N650) = "1372214247","0 Original","1 Modify"))))</f>
        <v>0 Original</v>
      </c>
      <c r="D650" s="3" t="s">
        <v>1828</v>
      </c>
      <c r="E650" s="5">
        <v>2651</v>
      </c>
      <c r="F650" t="s">
        <v>1162</v>
      </c>
      <c r="G650" t="s">
        <v>453</v>
      </c>
      <c r="H650" s="9">
        <v>8.99</v>
      </c>
      <c r="I650" s="5">
        <v>1</v>
      </c>
      <c r="J650" s="7" t="s">
        <v>970</v>
      </c>
      <c r="K650" s="7">
        <v>42748.047268518516</v>
      </c>
      <c r="L650" s="3" t="s">
        <v>970</v>
      </c>
      <c r="M650" s="7">
        <v>42748.047268518516</v>
      </c>
      <c r="N650" s="3" t="s">
        <v>970</v>
      </c>
      <c r="O650" s="16" t="str">
        <f>TEXT(DATEVALUE(LEFT(F650,10)),"mm-yyyy")</f>
        <v>04-2015</v>
      </c>
      <c r="P650" s="16">
        <f>H650*I650</f>
        <v>8.99</v>
      </c>
    </row>
    <row r="651" spans="3:16" x14ac:dyDescent="0.25">
      <c r="C651" t="str">
        <f>IF(COUNTBLANK(E651:N651) = 10,"",IF(AND(NOT(ISBLANK(E651)),COUNTBLANK(E651:N651) = 9),"3 Delete",IF(ISBLANK(E651),"2 Add",IF(JenkinsHashRange(E651:N651) = "295414056","0 Original","1 Modify"))))</f>
        <v>0 Original</v>
      </c>
      <c r="D651" s="3" t="s">
        <v>1848</v>
      </c>
      <c r="E651" s="5">
        <v>2820</v>
      </c>
      <c r="F651" t="s">
        <v>1168</v>
      </c>
      <c r="G651" t="s">
        <v>565</v>
      </c>
      <c r="H651" s="9">
        <v>5.99</v>
      </c>
      <c r="I651" s="5">
        <v>1</v>
      </c>
      <c r="J651" s="7" t="s">
        <v>970</v>
      </c>
      <c r="K651" s="7">
        <v>42748.047268518516</v>
      </c>
      <c r="L651" s="3" t="s">
        <v>970</v>
      </c>
      <c r="M651" s="7">
        <v>42748.047268518516</v>
      </c>
      <c r="N651" s="3" t="s">
        <v>970</v>
      </c>
      <c r="O651" s="16" t="str">
        <f>TEXT(DATEVALUE(LEFT(F651,10)),"mm-yyyy")</f>
        <v>04-2015</v>
      </c>
      <c r="P651" s="16">
        <f>H651*I651</f>
        <v>5.99</v>
      </c>
    </row>
    <row r="652" spans="3:16" x14ac:dyDescent="0.25">
      <c r="C652" t="str">
        <f>IF(COUNTBLANK(E652:N652) = 10,"",IF(AND(NOT(ISBLANK(E652)),COUNTBLANK(E652:N652) = 9),"3 Delete",IF(ISBLANK(E652),"2 Add",IF(JenkinsHashRange(E652:N652) = "1798738262","0 Original","1 Modify"))))</f>
        <v>0 Original</v>
      </c>
      <c r="D652" s="3" t="s">
        <v>1852</v>
      </c>
      <c r="E652" s="5">
        <v>2831</v>
      </c>
      <c r="F652" t="s">
        <v>1170</v>
      </c>
      <c r="G652" t="s">
        <v>453</v>
      </c>
      <c r="H652" s="9">
        <v>8.99</v>
      </c>
      <c r="I652" s="5">
        <v>1</v>
      </c>
      <c r="J652" s="7" t="s">
        <v>970</v>
      </c>
      <c r="K652" s="7">
        <v>42748.047268518516</v>
      </c>
      <c r="L652" s="3" t="s">
        <v>970</v>
      </c>
      <c r="M652" s="7">
        <v>42748.047268518516</v>
      </c>
      <c r="N652" s="3" t="s">
        <v>970</v>
      </c>
      <c r="O652" s="16" t="str">
        <f>TEXT(DATEVALUE(LEFT(F652,10)),"mm-yyyy")</f>
        <v>04-2015</v>
      </c>
      <c r="P652" s="16">
        <f>H652*I652</f>
        <v>8.99</v>
      </c>
    </row>
    <row r="653" spans="3:16" x14ac:dyDescent="0.25">
      <c r="C653" t="str">
        <f>IF(COUNTBLANK(E653:N653) = 10,"",IF(AND(NOT(ISBLANK(E653)),COUNTBLANK(E653:N653) = 9),"3 Delete",IF(ISBLANK(E653),"2 Add",IF(JenkinsHashRange(E653:N653) = "1259294126","0 Original","1 Modify"))))</f>
        <v>0 Original</v>
      </c>
      <c r="D653" s="3" t="s">
        <v>1853</v>
      </c>
      <c r="E653" s="5">
        <v>2832</v>
      </c>
      <c r="F653" t="s">
        <v>1170</v>
      </c>
      <c r="G653" t="s">
        <v>453</v>
      </c>
      <c r="H653" s="9">
        <v>8.99</v>
      </c>
      <c r="I653" s="5">
        <v>1</v>
      </c>
      <c r="J653" s="7" t="s">
        <v>970</v>
      </c>
      <c r="K653" s="7">
        <v>42748.047268518516</v>
      </c>
      <c r="L653" s="3" t="s">
        <v>970</v>
      </c>
      <c r="M653" s="7">
        <v>42748.047268518516</v>
      </c>
      <c r="N653" s="3" t="s">
        <v>970</v>
      </c>
      <c r="O653" s="16" t="str">
        <f>TEXT(DATEVALUE(LEFT(F653,10)),"mm-yyyy")</f>
        <v>04-2015</v>
      </c>
      <c r="P653" s="16">
        <f>H653*I653</f>
        <v>8.99</v>
      </c>
    </row>
    <row r="654" spans="3:16" x14ac:dyDescent="0.25">
      <c r="C654" t="str">
        <f>IF(COUNTBLANK(E654:N654) = 10,"",IF(AND(NOT(ISBLANK(E654)),COUNTBLANK(E654:N654) = 9),"3 Delete",IF(ISBLANK(E654),"2 Add",IF(JenkinsHashRange(E654:N654) = "1729412248","0 Original","1 Modify"))))</f>
        <v>0 Original</v>
      </c>
      <c r="D654" s="3" t="s">
        <v>1864</v>
      </c>
      <c r="E654" s="5">
        <v>2895</v>
      </c>
      <c r="F654" t="s">
        <v>1174</v>
      </c>
      <c r="G654" t="s">
        <v>904</v>
      </c>
      <c r="H654" s="9">
        <v>9.99</v>
      </c>
      <c r="I654" s="5">
        <v>1</v>
      </c>
      <c r="J654" s="7" t="s">
        <v>970</v>
      </c>
      <c r="K654" s="7">
        <v>42748.047268518516</v>
      </c>
      <c r="L654" s="3" t="s">
        <v>970</v>
      </c>
      <c r="M654" s="7">
        <v>42748.047268518516</v>
      </c>
      <c r="N654" s="3" t="s">
        <v>970</v>
      </c>
      <c r="O654" s="16" t="str">
        <f>TEXT(DATEVALUE(LEFT(F654,10)),"mm-yyyy")</f>
        <v>04-2015</v>
      </c>
      <c r="P654" s="16">
        <f>H654*I654</f>
        <v>9.99</v>
      </c>
    </row>
    <row r="655" spans="3:16" x14ac:dyDescent="0.25">
      <c r="C655" t="str">
        <f>IF(COUNTBLANK(E655:N655) = 10,"",IF(AND(NOT(ISBLANK(E655)),COUNTBLANK(E655:N655) = 9),"3 Delete",IF(ISBLANK(E655),"2 Add",IF(JenkinsHashRange(E655:N655) = "1201773255","0 Original","1 Modify"))))</f>
        <v>0 Original</v>
      </c>
      <c r="D655" s="3" t="s">
        <v>1865</v>
      </c>
      <c r="E655" s="5">
        <v>2896</v>
      </c>
      <c r="F655" t="s">
        <v>1174</v>
      </c>
      <c r="G655" t="s">
        <v>565</v>
      </c>
      <c r="H655" s="9">
        <v>5.99</v>
      </c>
      <c r="I655" s="5">
        <v>2</v>
      </c>
      <c r="J655" s="7" t="s">
        <v>970</v>
      </c>
      <c r="K655" s="7">
        <v>42748.047268518516</v>
      </c>
      <c r="L655" s="3" t="s">
        <v>970</v>
      </c>
      <c r="M655" s="7">
        <v>42748.047268518516</v>
      </c>
      <c r="N655" s="3" t="s">
        <v>970</v>
      </c>
      <c r="O655" s="16" t="str">
        <f>TEXT(DATEVALUE(LEFT(F655,10)),"mm-yyyy")</f>
        <v>04-2015</v>
      </c>
      <c r="P655" s="16">
        <f>H655*I655</f>
        <v>11.98</v>
      </c>
    </row>
    <row r="656" spans="3:16" x14ac:dyDescent="0.25">
      <c r="C656" t="str">
        <f>IF(COUNTBLANK(E656:N656) = 10,"",IF(AND(NOT(ISBLANK(E656)),COUNTBLANK(E656:N656) = 9),"3 Delete",IF(ISBLANK(E656),"2 Add",IF(JenkinsHashRange(E656:N656) = "1349691234","0 Original","1 Modify"))))</f>
        <v>0 Original</v>
      </c>
      <c r="D656" s="3" t="s">
        <v>1874</v>
      </c>
      <c r="E656" s="5">
        <v>2923</v>
      </c>
      <c r="F656" t="s">
        <v>1176</v>
      </c>
      <c r="G656" t="s">
        <v>565</v>
      </c>
      <c r="H656" s="9">
        <v>5.99</v>
      </c>
      <c r="I656" s="5">
        <v>1</v>
      </c>
      <c r="J656" s="7" t="s">
        <v>970</v>
      </c>
      <c r="K656" s="7">
        <v>42748.047268518516</v>
      </c>
      <c r="L656" s="3" t="s">
        <v>970</v>
      </c>
      <c r="M656" s="7">
        <v>42748.047268518516</v>
      </c>
      <c r="N656" s="3" t="s">
        <v>970</v>
      </c>
      <c r="O656" s="16" t="str">
        <f>TEXT(DATEVALUE(LEFT(F656,10)),"mm-yyyy")</f>
        <v>04-2015</v>
      </c>
      <c r="P656" s="16">
        <f>H656*I656</f>
        <v>5.99</v>
      </c>
    </row>
    <row r="657" spans="3:16" x14ac:dyDescent="0.25">
      <c r="C657" t="str">
        <f>IF(COUNTBLANK(E657:N657) = 10,"",IF(AND(NOT(ISBLANK(E657)),COUNTBLANK(E657:N657) = 9),"3 Delete",IF(ISBLANK(E657),"2 Add",IF(JenkinsHashRange(E657:N657) = "1534505411","0 Original","1 Modify"))))</f>
        <v>0 Original</v>
      </c>
      <c r="D657" s="3" t="s">
        <v>1875</v>
      </c>
      <c r="E657" s="5">
        <v>2924</v>
      </c>
      <c r="F657" t="s">
        <v>1176</v>
      </c>
      <c r="G657" t="s">
        <v>877</v>
      </c>
      <c r="H657" s="9">
        <v>8.99</v>
      </c>
      <c r="I657" s="5">
        <v>2</v>
      </c>
      <c r="J657" s="7" t="s">
        <v>970</v>
      </c>
      <c r="K657" s="7">
        <v>42748.047268518516</v>
      </c>
      <c r="L657" s="3" t="s">
        <v>970</v>
      </c>
      <c r="M657" s="7">
        <v>42748.047268518516</v>
      </c>
      <c r="N657" s="3" t="s">
        <v>970</v>
      </c>
      <c r="O657" s="16" t="str">
        <f>TEXT(DATEVALUE(LEFT(F657,10)),"mm-yyyy")</f>
        <v>04-2015</v>
      </c>
      <c r="P657" s="16">
        <f>H657*I657</f>
        <v>17.98</v>
      </c>
    </row>
    <row r="658" spans="3:16" x14ac:dyDescent="0.25">
      <c r="C658" t="str">
        <f>IF(COUNTBLANK(E658:N658) = 10,"",IF(AND(NOT(ISBLANK(E658)),COUNTBLANK(E658:N658) = 9),"3 Delete",IF(ISBLANK(E658),"2 Add",IF(JenkinsHashRange(E658:N658) = "99416878","0 Original","1 Modify"))))</f>
        <v>0 Original</v>
      </c>
      <c r="D658" s="3" t="s">
        <v>1876</v>
      </c>
      <c r="E658" s="5">
        <v>2925</v>
      </c>
      <c r="F658" t="s">
        <v>1176</v>
      </c>
      <c r="G658" t="s">
        <v>877</v>
      </c>
      <c r="H658" s="9">
        <v>8.99</v>
      </c>
      <c r="I658" s="5">
        <v>2</v>
      </c>
      <c r="J658" s="7" t="s">
        <v>970</v>
      </c>
      <c r="K658" s="7">
        <v>42748.047268518516</v>
      </c>
      <c r="L658" s="3" t="s">
        <v>970</v>
      </c>
      <c r="M658" s="7">
        <v>42748.047268518516</v>
      </c>
      <c r="N658" s="3" t="s">
        <v>970</v>
      </c>
      <c r="O658" s="16" t="str">
        <f>TEXT(DATEVALUE(LEFT(F658,10)),"mm-yyyy")</f>
        <v>04-2015</v>
      </c>
      <c r="P658" s="16">
        <f>H658*I658</f>
        <v>17.98</v>
      </c>
    </row>
    <row r="659" spans="3:16" x14ac:dyDescent="0.25">
      <c r="C659" t="str">
        <f>IF(COUNTBLANK(E659:N659) = 10,"",IF(AND(NOT(ISBLANK(E659)),COUNTBLANK(E659:N659) = 9),"3 Delete",IF(ISBLANK(E659),"2 Add",IF(JenkinsHashRange(E659:N659) = "857836100","0 Original","1 Modify"))))</f>
        <v>0 Original</v>
      </c>
      <c r="D659" s="3" t="s">
        <v>1889</v>
      </c>
      <c r="E659" s="5">
        <v>2977</v>
      </c>
      <c r="F659" t="s">
        <v>1182</v>
      </c>
      <c r="G659" t="s">
        <v>565</v>
      </c>
      <c r="H659" s="9">
        <v>5.99</v>
      </c>
      <c r="I659" s="5">
        <v>1</v>
      </c>
      <c r="J659" s="7" t="s">
        <v>970</v>
      </c>
      <c r="K659" s="7">
        <v>42748.047268518516</v>
      </c>
      <c r="L659" s="3" t="s">
        <v>970</v>
      </c>
      <c r="M659" s="7">
        <v>42748.047268518516</v>
      </c>
      <c r="N659" s="3" t="s">
        <v>970</v>
      </c>
      <c r="O659" s="16" t="str">
        <f>TEXT(DATEVALUE(LEFT(F659,10)),"mm-yyyy")</f>
        <v>04-2015</v>
      </c>
      <c r="P659" s="16">
        <f>H659*I659</f>
        <v>5.99</v>
      </c>
    </row>
    <row r="660" spans="3:16" x14ac:dyDescent="0.25">
      <c r="C660" t="str">
        <f>IF(COUNTBLANK(E660:N660) = 10,"",IF(AND(NOT(ISBLANK(E660)),COUNTBLANK(E660:N660) = 9),"3 Delete",IF(ISBLANK(E660),"2 Add",IF(JenkinsHashRange(E660:N660) = "1003342228","0 Original","1 Modify"))))</f>
        <v>0 Original</v>
      </c>
      <c r="D660" s="3" t="s">
        <v>1890</v>
      </c>
      <c r="E660" s="5">
        <v>2978</v>
      </c>
      <c r="F660" t="s">
        <v>1182</v>
      </c>
      <c r="G660" t="s">
        <v>565</v>
      </c>
      <c r="H660" s="9">
        <v>5.99</v>
      </c>
      <c r="I660" s="5">
        <v>1</v>
      </c>
      <c r="J660" s="7" t="s">
        <v>970</v>
      </c>
      <c r="K660" s="7">
        <v>42748.047268518516</v>
      </c>
      <c r="L660" s="3" t="s">
        <v>970</v>
      </c>
      <c r="M660" s="7">
        <v>42748.047268518516</v>
      </c>
      <c r="N660" s="3" t="s">
        <v>970</v>
      </c>
      <c r="O660" s="16" t="str">
        <f>TEXT(DATEVALUE(LEFT(F660,10)),"mm-yyyy")</f>
        <v>04-2015</v>
      </c>
      <c r="P660" s="16">
        <f>H660*I660</f>
        <v>5.99</v>
      </c>
    </row>
    <row r="661" spans="3:16" x14ac:dyDescent="0.25">
      <c r="C661" t="str">
        <f>IF(COUNTBLANK(E661:N661) = 10,"",IF(AND(NOT(ISBLANK(E661)),COUNTBLANK(E661:N661) = 9),"3 Delete",IF(ISBLANK(E661),"2 Add",IF(JenkinsHashRange(E661:N661) = "1478674106","0 Original","1 Modify"))))</f>
        <v>0 Original</v>
      </c>
      <c r="D661" s="3" t="s">
        <v>1891</v>
      </c>
      <c r="E661" s="5">
        <v>2979</v>
      </c>
      <c r="F661" t="s">
        <v>1182</v>
      </c>
      <c r="G661" t="s">
        <v>453</v>
      </c>
      <c r="H661" s="9">
        <v>8.99</v>
      </c>
      <c r="I661" s="5">
        <v>1</v>
      </c>
      <c r="J661" s="7" t="s">
        <v>970</v>
      </c>
      <c r="K661" s="7">
        <v>42748.047268518516</v>
      </c>
      <c r="L661" s="3" t="s">
        <v>970</v>
      </c>
      <c r="M661" s="7">
        <v>42748.047268518516</v>
      </c>
      <c r="N661" s="3" t="s">
        <v>970</v>
      </c>
      <c r="O661" s="16" t="str">
        <f>TEXT(DATEVALUE(LEFT(F661,10)),"mm-yyyy")</f>
        <v>04-2015</v>
      </c>
      <c r="P661" s="16">
        <f>H661*I661</f>
        <v>8.99</v>
      </c>
    </row>
    <row r="662" spans="3:16" x14ac:dyDescent="0.25">
      <c r="C662" t="str">
        <f>IF(COUNTBLANK(E662:N662) = 10,"",IF(AND(NOT(ISBLANK(E662)),COUNTBLANK(E662:N662) = 9),"3 Delete",IF(ISBLANK(E662),"2 Add",IF(JenkinsHashRange(E662:N662) = "772249891","0 Original","1 Modify"))))</f>
        <v>0 Original</v>
      </c>
      <c r="D662" s="3" t="s">
        <v>1927</v>
      </c>
      <c r="E662" s="5">
        <v>3264</v>
      </c>
      <c r="F662" t="s">
        <v>1196</v>
      </c>
      <c r="G662" t="s">
        <v>904</v>
      </c>
      <c r="H662" s="9">
        <v>9.99</v>
      </c>
      <c r="I662" s="5">
        <v>2</v>
      </c>
      <c r="J662" s="7" t="s">
        <v>970</v>
      </c>
      <c r="K662" s="7">
        <v>42748.047268518516</v>
      </c>
      <c r="L662" s="3" t="s">
        <v>970</v>
      </c>
      <c r="M662" s="7">
        <v>42748.047268518516</v>
      </c>
      <c r="N662" s="3" t="s">
        <v>970</v>
      </c>
      <c r="O662" s="16" t="str">
        <f>TEXT(DATEVALUE(LEFT(F662,10)),"mm-yyyy")</f>
        <v>04-2015</v>
      </c>
      <c r="P662" s="16">
        <f>H662*I662</f>
        <v>19.98</v>
      </c>
    </row>
    <row r="663" spans="3:16" x14ac:dyDescent="0.25">
      <c r="C663" t="str">
        <f>IF(COUNTBLANK(E663:N663) = 10,"",IF(AND(NOT(ISBLANK(E663)),COUNTBLANK(E663:N663) = 9),"3 Delete",IF(ISBLANK(E663),"2 Add",IF(JenkinsHashRange(E663:N663) = "1922606568","0 Original","1 Modify"))))</f>
        <v>0 Original</v>
      </c>
      <c r="D663" s="3" t="s">
        <v>1928</v>
      </c>
      <c r="E663" s="5">
        <v>3265</v>
      </c>
      <c r="F663" t="s">
        <v>1196</v>
      </c>
      <c r="G663" t="s">
        <v>702</v>
      </c>
      <c r="H663" s="9">
        <v>7.99</v>
      </c>
      <c r="I663" s="5">
        <v>1</v>
      </c>
      <c r="J663" s="7" t="s">
        <v>970</v>
      </c>
      <c r="K663" s="7">
        <v>42748.047268518516</v>
      </c>
      <c r="L663" s="3" t="s">
        <v>970</v>
      </c>
      <c r="M663" s="7">
        <v>42748.047268518516</v>
      </c>
      <c r="N663" s="3" t="s">
        <v>970</v>
      </c>
      <c r="O663" s="16" t="str">
        <f>TEXT(DATEVALUE(LEFT(F663,10)),"mm-yyyy")</f>
        <v>04-2015</v>
      </c>
      <c r="P663" s="16">
        <f>H663*I663</f>
        <v>7.99</v>
      </c>
    </row>
    <row r="664" spans="3:16" x14ac:dyDescent="0.25">
      <c r="C664" t="str">
        <f>IF(COUNTBLANK(E664:N664) = 10,"",IF(AND(NOT(ISBLANK(E664)),COUNTBLANK(E664:N664) = 9),"3 Delete",IF(ISBLANK(E664),"2 Add",IF(JenkinsHashRange(E664:N664) = "132264104","0 Original","1 Modify"))))</f>
        <v>0 Original</v>
      </c>
      <c r="D664" s="3" t="s">
        <v>1955</v>
      </c>
      <c r="E664" s="5">
        <v>3387</v>
      </c>
      <c r="F664" t="s">
        <v>1203</v>
      </c>
      <c r="G664" t="s">
        <v>702</v>
      </c>
      <c r="H664" s="9">
        <v>7.99</v>
      </c>
      <c r="I664" s="5">
        <v>1</v>
      </c>
      <c r="J664" s="7" t="s">
        <v>970</v>
      </c>
      <c r="K664" s="7">
        <v>42748.047268518516</v>
      </c>
      <c r="L664" s="3" t="s">
        <v>970</v>
      </c>
      <c r="M664" s="7">
        <v>42748.047268518516</v>
      </c>
      <c r="N664" s="3" t="s">
        <v>970</v>
      </c>
      <c r="O664" s="16" t="str">
        <f>TEXT(DATEVALUE(LEFT(F664,10)),"mm-yyyy")</f>
        <v>04-2015</v>
      </c>
      <c r="P664" s="16">
        <f>H664*I664</f>
        <v>7.99</v>
      </c>
    </row>
    <row r="665" spans="3:16" x14ac:dyDescent="0.25">
      <c r="C665" t="str">
        <f>IF(COUNTBLANK(E665:N665) = 10,"",IF(AND(NOT(ISBLANK(E665)),COUNTBLANK(E665:N665) = 9),"3 Delete",IF(ISBLANK(E665),"2 Add",IF(JenkinsHashRange(E665:N665) = "772334492","0 Original","1 Modify"))))</f>
        <v>0 Original</v>
      </c>
      <c r="D665" s="3" t="s">
        <v>1956</v>
      </c>
      <c r="E665" s="5">
        <v>3388</v>
      </c>
      <c r="F665" t="s">
        <v>1203</v>
      </c>
      <c r="G665" t="s">
        <v>453</v>
      </c>
      <c r="H665" s="9">
        <v>8.99</v>
      </c>
      <c r="I665" s="5">
        <v>1</v>
      </c>
      <c r="J665" s="7" t="s">
        <v>970</v>
      </c>
      <c r="K665" s="7">
        <v>42748.047268518516</v>
      </c>
      <c r="L665" s="3" t="s">
        <v>970</v>
      </c>
      <c r="M665" s="7">
        <v>42748.047268518516</v>
      </c>
      <c r="N665" s="3" t="s">
        <v>970</v>
      </c>
      <c r="O665" s="16" t="str">
        <f>TEXT(DATEVALUE(LEFT(F665,10)),"mm-yyyy")</f>
        <v>04-2015</v>
      </c>
      <c r="P665" s="16">
        <f>H665*I665</f>
        <v>8.99</v>
      </c>
    </row>
    <row r="666" spans="3:16" x14ac:dyDescent="0.25">
      <c r="C666" t="str">
        <f>IF(COUNTBLANK(E666:N666) = 10,"",IF(AND(NOT(ISBLANK(E666)),COUNTBLANK(E666:N666) = 9),"3 Delete",IF(ISBLANK(E666),"2 Add",IF(JenkinsHashRange(E666:N666) = "1963758909","0 Original","1 Modify"))))</f>
        <v>0 Original</v>
      </c>
      <c r="D666" s="3" t="s">
        <v>1969</v>
      </c>
      <c r="E666" s="5">
        <v>3498</v>
      </c>
      <c r="F666" t="s">
        <v>1207</v>
      </c>
      <c r="G666" t="s">
        <v>957</v>
      </c>
      <c r="H666" s="9">
        <v>5.99</v>
      </c>
      <c r="I666" s="5">
        <v>2</v>
      </c>
      <c r="J666" s="7" t="s">
        <v>970</v>
      </c>
      <c r="K666" s="7">
        <v>42748.047268518516</v>
      </c>
      <c r="L666" s="3" t="s">
        <v>970</v>
      </c>
      <c r="M666" s="7">
        <v>42748.047268518516</v>
      </c>
      <c r="N666" s="3" t="s">
        <v>970</v>
      </c>
      <c r="O666" s="16" t="str">
        <f>TEXT(DATEVALUE(LEFT(F666,10)),"mm-yyyy")</f>
        <v>04-2015</v>
      </c>
      <c r="P666" s="16">
        <f>H666*I666</f>
        <v>11.98</v>
      </c>
    </row>
    <row r="667" spans="3:16" x14ac:dyDescent="0.25">
      <c r="C667" t="str">
        <f>IF(COUNTBLANK(E667:N667) = 10,"",IF(AND(NOT(ISBLANK(E667)),COUNTBLANK(E667:N667) = 9),"3 Delete",IF(ISBLANK(E667),"2 Add",IF(JenkinsHashRange(E667:N667) = "356226555","0 Original","1 Modify"))))</f>
        <v>0 Original</v>
      </c>
      <c r="D667" s="3" t="s">
        <v>2020</v>
      </c>
      <c r="E667" s="5">
        <v>3657</v>
      </c>
      <c r="F667" t="s">
        <v>1223</v>
      </c>
      <c r="G667" t="s">
        <v>914</v>
      </c>
      <c r="H667" s="9">
        <v>8.99</v>
      </c>
      <c r="I667" s="5">
        <v>2</v>
      </c>
      <c r="J667" s="7" t="s">
        <v>970</v>
      </c>
      <c r="K667" s="7">
        <v>42748.047268518516</v>
      </c>
      <c r="L667" s="3" t="s">
        <v>970</v>
      </c>
      <c r="M667" s="7">
        <v>42748.047268518516</v>
      </c>
      <c r="N667" s="3" t="s">
        <v>970</v>
      </c>
      <c r="O667" s="16" t="str">
        <f>TEXT(DATEVALUE(LEFT(F667,10)),"mm-yyyy")</f>
        <v>04-2015</v>
      </c>
      <c r="P667" s="16">
        <f>H667*I667</f>
        <v>17.98</v>
      </c>
    </row>
    <row r="668" spans="3:16" x14ac:dyDescent="0.25">
      <c r="C668" t="str">
        <f>IF(COUNTBLANK(E668:N668) = 10,"",IF(AND(NOT(ISBLANK(E668)),COUNTBLANK(E668:N668) = 9),"3 Delete",IF(ISBLANK(E668),"2 Add",IF(JenkinsHashRange(E668:N668) = "800482426","0 Original","1 Modify"))))</f>
        <v>0 Original</v>
      </c>
      <c r="D668" s="3" t="s">
        <v>2030</v>
      </c>
      <c r="E668" s="5">
        <v>3728</v>
      </c>
      <c r="F668" t="s">
        <v>1228</v>
      </c>
      <c r="G668" t="s">
        <v>814</v>
      </c>
      <c r="H668" s="9">
        <v>9.99</v>
      </c>
      <c r="I668" s="5">
        <v>1</v>
      </c>
      <c r="J668" s="7" t="s">
        <v>970</v>
      </c>
      <c r="K668" s="7">
        <v>42748.047268518516</v>
      </c>
      <c r="L668" s="3" t="s">
        <v>970</v>
      </c>
      <c r="M668" s="7">
        <v>42748.047268518516</v>
      </c>
      <c r="N668" s="3" t="s">
        <v>970</v>
      </c>
      <c r="O668" s="16" t="str">
        <f>TEXT(DATEVALUE(LEFT(F668,10)),"mm-yyyy")</f>
        <v>04-2015</v>
      </c>
      <c r="P668" s="16">
        <f>H668*I668</f>
        <v>9.99</v>
      </c>
    </row>
    <row r="669" spans="3:16" x14ac:dyDescent="0.25">
      <c r="C669" t="str">
        <f>IF(COUNTBLANK(E669:N669) = 10,"",IF(AND(NOT(ISBLANK(E669)),COUNTBLANK(E669:N669) = 9),"3 Delete",IF(ISBLANK(E669),"2 Add",IF(JenkinsHashRange(E669:N669) = "1971880670","0 Original","1 Modify"))))</f>
        <v>0 Original</v>
      </c>
      <c r="D669" s="3" t="s">
        <v>2031</v>
      </c>
      <c r="E669" s="5">
        <v>3729</v>
      </c>
      <c r="F669" t="s">
        <v>1228</v>
      </c>
      <c r="G669" t="s">
        <v>904</v>
      </c>
      <c r="H669" s="9">
        <v>9.99</v>
      </c>
      <c r="I669" s="5">
        <v>1</v>
      </c>
      <c r="J669" s="7" t="s">
        <v>970</v>
      </c>
      <c r="K669" s="7">
        <v>42748.047268518516</v>
      </c>
      <c r="L669" s="3" t="s">
        <v>970</v>
      </c>
      <c r="M669" s="7">
        <v>42748.047268518516</v>
      </c>
      <c r="N669" s="3" t="s">
        <v>970</v>
      </c>
      <c r="O669" s="16" t="str">
        <f>TEXT(DATEVALUE(LEFT(F669,10)),"mm-yyyy")</f>
        <v>04-2015</v>
      </c>
      <c r="P669" s="16">
        <f>H669*I669</f>
        <v>9.99</v>
      </c>
    </row>
    <row r="670" spans="3:16" x14ac:dyDescent="0.25">
      <c r="C670" t="str">
        <f>IF(COUNTBLANK(E670:N670) = 10,"",IF(AND(NOT(ISBLANK(E670)),COUNTBLANK(E670:N670) = 9),"3 Delete",IF(ISBLANK(E670),"2 Add",IF(JenkinsHashRange(E670:N670) = "1288250819","0 Original","1 Modify"))))</f>
        <v>0 Original</v>
      </c>
      <c r="D670" s="3" t="s">
        <v>2032</v>
      </c>
      <c r="E670" s="5">
        <v>3730</v>
      </c>
      <c r="F670" t="s">
        <v>1228</v>
      </c>
      <c r="G670" t="s">
        <v>904</v>
      </c>
      <c r="H670" s="9">
        <v>9.99</v>
      </c>
      <c r="I670" s="5">
        <v>2</v>
      </c>
      <c r="J670" s="7" t="s">
        <v>970</v>
      </c>
      <c r="K670" s="7">
        <v>42748.047268518516</v>
      </c>
      <c r="L670" s="3" t="s">
        <v>970</v>
      </c>
      <c r="M670" s="7">
        <v>42748.047268518516</v>
      </c>
      <c r="N670" s="3" t="s">
        <v>970</v>
      </c>
      <c r="O670" s="16" t="str">
        <f>TEXT(DATEVALUE(LEFT(F670,10)),"mm-yyyy")</f>
        <v>04-2015</v>
      </c>
      <c r="P670" s="16">
        <f>H670*I670</f>
        <v>19.98</v>
      </c>
    </row>
    <row r="671" spans="3:16" x14ac:dyDescent="0.25">
      <c r="C671" t="str">
        <f>IF(COUNTBLANK(E671:N671) = 10,"",IF(AND(NOT(ISBLANK(E671)),COUNTBLANK(E671:N671) = 9),"3 Delete",IF(ISBLANK(E671),"2 Add",IF(JenkinsHashRange(E671:N671) = "1246287997","0 Original","1 Modify"))))</f>
        <v>0 Original</v>
      </c>
      <c r="D671" s="3" t="s">
        <v>2033</v>
      </c>
      <c r="E671" s="5">
        <v>3731</v>
      </c>
      <c r="F671" t="s">
        <v>1228</v>
      </c>
      <c r="G671" t="s">
        <v>565</v>
      </c>
      <c r="H671" s="9">
        <v>5.99</v>
      </c>
      <c r="I671" s="5">
        <v>1</v>
      </c>
      <c r="J671" s="7" t="s">
        <v>970</v>
      </c>
      <c r="K671" s="7">
        <v>42748.047268518516</v>
      </c>
      <c r="L671" s="3" t="s">
        <v>970</v>
      </c>
      <c r="M671" s="7">
        <v>42748.047268518516</v>
      </c>
      <c r="N671" s="3" t="s">
        <v>970</v>
      </c>
      <c r="O671" s="16" t="str">
        <f>TEXT(DATEVALUE(LEFT(F671,10)),"mm-yyyy")</f>
        <v>04-2015</v>
      </c>
      <c r="P671" s="16">
        <f>H671*I671</f>
        <v>5.99</v>
      </c>
    </row>
    <row r="672" spans="3:16" x14ac:dyDescent="0.25">
      <c r="C672" t="str">
        <f>IF(COUNTBLANK(E672:N672) = 10,"",IF(AND(NOT(ISBLANK(E672)),COUNTBLANK(E672:N672) = 9),"3 Delete",IF(ISBLANK(E672),"2 Add",IF(JenkinsHashRange(E672:N672) = "636903147","0 Original","1 Modify"))))</f>
        <v>0 Original</v>
      </c>
      <c r="D672" s="3" t="s">
        <v>2034</v>
      </c>
      <c r="E672" s="5">
        <v>3732</v>
      </c>
      <c r="F672" t="s">
        <v>1228</v>
      </c>
      <c r="G672" t="s">
        <v>904</v>
      </c>
      <c r="H672" s="9">
        <v>9.99</v>
      </c>
      <c r="I672" s="5">
        <v>1</v>
      </c>
      <c r="J672" s="7" t="s">
        <v>970</v>
      </c>
      <c r="K672" s="7">
        <v>42748.047268518516</v>
      </c>
      <c r="L672" s="3" t="s">
        <v>970</v>
      </c>
      <c r="M672" s="7">
        <v>42748.047268518516</v>
      </c>
      <c r="N672" s="3" t="s">
        <v>970</v>
      </c>
      <c r="O672" s="16" t="str">
        <f>TEXT(DATEVALUE(LEFT(F672,10)),"mm-yyyy")</f>
        <v>04-2015</v>
      </c>
      <c r="P672" s="16">
        <f>H672*I672</f>
        <v>9.99</v>
      </c>
    </row>
    <row r="673" spans="3:16" x14ac:dyDescent="0.25">
      <c r="C673" t="str">
        <f>IF(COUNTBLANK(E673:N673) = 10,"",IF(AND(NOT(ISBLANK(E673)),COUNTBLANK(E673:N673) = 9),"3 Delete",IF(ISBLANK(E673),"2 Add",IF(JenkinsHashRange(E673:N673) = "2041599165","0 Original","1 Modify"))))</f>
        <v>0 Original</v>
      </c>
      <c r="D673" s="3" t="s">
        <v>2035</v>
      </c>
      <c r="E673" s="5">
        <v>3733</v>
      </c>
      <c r="F673" t="s">
        <v>1228</v>
      </c>
      <c r="G673" t="s">
        <v>814</v>
      </c>
      <c r="H673" s="9">
        <v>9.99</v>
      </c>
      <c r="I673" s="5">
        <v>2</v>
      </c>
      <c r="J673" s="7" t="s">
        <v>970</v>
      </c>
      <c r="K673" s="7">
        <v>42748.047268518516</v>
      </c>
      <c r="L673" s="3" t="s">
        <v>970</v>
      </c>
      <c r="M673" s="7">
        <v>42748.047268518516</v>
      </c>
      <c r="N673" s="3" t="s">
        <v>970</v>
      </c>
      <c r="O673" s="16" t="str">
        <f>TEXT(DATEVALUE(LEFT(F673,10)),"mm-yyyy")</f>
        <v>04-2015</v>
      </c>
      <c r="P673" s="16">
        <f>H673*I673</f>
        <v>19.98</v>
      </c>
    </row>
    <row r="674" spans="3:16" x14ac:dyDescent="0.25">
      <c r="C674" t="str">
        <f>IF(COUNTBLANK(E674:N674) = 10,"",IF(AND(NOT(ISBLANK(E674)),COUNTBLANK(E674:N674) = 9),"3 Delete",IF(ISBLANK(E674),"2 Add",IF(JenkinsHashRange(E674:N674) = "1972359700","0 Original","1 Modify"))))</f>
        <v>0 Original</v>
      </c>
      <c r="D674" s="3" t="s">
        <v>2036</v>
      </c>
      <c r="E674" s="5">
        <v>3734</v>
      </c>
      <c r="F674" t="s">
        <v>1228</v>
      </c>
      <c r="G674" t="s">
        <v>565</v>
      </c>
      <c r="H674" s="9">
        <v>5.99</v>
      </c>
      <c r="I674" s="5">
        <v>2</v>
      </c>
      <c r="J674" s="7" t="s">
        <v>970</v>
      </c>
      <c r="K674" s="7">
        <v>42748.047268518516</v>
      </c>
      <c r="L674" s="3" t="s">
        <v>970</v>
      </c>
      <c r="M674" s="7">
        <v>42748.047268518516</v>
      </c>
      <c r="N674" s="3" t="s">
        <v>970</v>
      </c>
      <c r="O674" s="16" t="str">
        <f>TEXT(DATEVALUE(LEFT(F674,10)),"mm-yyyy")</f>
        <v>04-2015</v>
      </c>
      <c r="P674" s="16">
        <f>H674*I674</f>
        <v>11.98</v>
      </c>
    </row>
    <row r="675" spans="3:16" x14ac:dyDescent="0.25">
      <c r="C675" t="str">
        <f>IF(COUNTBLANK(E675:N675) = 10,"",IF(AND(NOT(ISBLANK(E675)),COUNTBLANK(E675:N675) = 9),"3 Delete",IF(ISBLANK(E675),"2 Add",IF(JenkinsHashRange(E675:N675) = "709426165","0 Original","1 Modify"))))</f>
        <v>0 Original</v>
      </c>
      <c r="D675" s="3" t="s">
        <v>2057</v>
      </c>
      <c r="E675" s="5">
        <v>3796</v>
      </c>
      <c r="F675" t="s">
        <v>1234</v>
      </c>
      <c r="G675" t="s">
        <v>945</v>
      </c>
      <c r="H675" s="9">
        <v>7.99</v>
      </c>
      <c r="I675" s="5">
        <v>1</v>
      </c>
      <c r="J675" s="7" t="s">
        <v>970</v>
      </c>
      <c r="K675" s="7">
        <v>42748.047268518516</v>
      </c>
      <c r="L675" s="3" t="s">
        <v>970</v>
      </c>
      <c r="M675" s="7">
        <v>42748.047268518516</v>
      </c>
      <c r="N675" s="3" t="s">
        <v>970</v>
      </c>
      <c r="O675" s="16" t="str">
        <f>TEXT(DATEVALUE(LEFT(F675,10)),"mm-yyyy")</f>
        <v>04-2015</v>
      </c>
      <c r="P675" s="16">
        <f>H675*I675</f>
        <v>7.99</v>
      </c>
    </row>
    <row r="676" spans="3:16" x14ac:dyDescent="0.25">
      <c r="C676" t="str">
        <f>IF(COUNTBLANK(E676:N676) = 10,"",IF(AND(NOT(ISBLANK(E676)),COUNTBLANK(E676:N676) = 9),"3 Delete",IF(ISBLANK(E676),"2 Add",IF(JenkinsHashRange(E676:N676) = "227164104","0 Original","1 Modify"))))</f>
        <v>0 Original</v>
      </c>
      <c r="D676" s="3" t="s">
        <v>2058</v>
      </c>
      <c r="E676" s="5">
        <v>3797</v>
      </c>
      <c r="F676" t="s">
        <v>1234</v>
      </c>
      <c r="G676" t="s">
        <v>400</v>
      </c>
      <c r="H676" s="9">
        <v>6.99</v>
      </c>
      <c r="I676" s="5">
        <v>1</v>
      </c>
      <c r="J676" s="7" t="s">
        <v>970</v>
      </c>
      <c r="K676" s="7">
        <v>42748.047268518516</v>
      </c>
      <c r="L676" s="3" t="s">
        <v>970</v>
      </c>
      <c r="M676" s="7">
        <v>42748.047268518516</v>
      </c>
      <c r="N676" s="3" t="s">
        <v>970</v>
      </c>
      <c r="O676" s="16" t="str">
        <f>TEXT(DATEVALUE(LEFT(F676,10)),"mm-yyyy")</f>
        <v>04-2015</v>
      </c>
      <c r="P676" s="16">
        <f>H676*I676</f>
        <v>6.99</v>
      </c>
    </row>
    <row r="677" spans="3:16" x14ac:dyDescent="0.25">
      <c r="C677" t="str">
        <f>IF(COUNTBLANK(E677:N677) = 10,"",IF(AND(NOT(ISBLANK(E677)),COUNTBLANK(E677:N677) = 9),"3 Delete",IF(ISBLANK(E677),"2 Add",IF(JenkinsHashRange(E677:N677) = "269272686","0 Original","1 Modify"))))</f>
        <v>0 Original</v>
      </c>
      <c r="D677" s="3" t="s">
        <v>2096</v>
      </c>
      <c r="E677" s="5">
        <v>4028</v>
      </c>
      <c r="F677" t="s">
        <v>1247</v>
      </c>
      <c r="G677" t="s">
        <v>453</v>
      </c>
      <c r="H677" s="9">
        <v>8.99</v>
      </c>
      <c r="I677" s="5">
        <v>1</v>
      </c>
      <c r="J677" s="7" t="s">
        <v>970</v>
      </c>
      <c r="K677" s="7">
        <v>42748.047268518516</v>
      </c>
      <c r="L677" s="3" t="s">
        <v>970</v>
      </c>
      <c r="M677" s="7">
        <v>42748.047268518516</v>
      </c>
      <c r="N677" s="3" t="s">
        <v>970</v>
      </c>
      <c r="O677" s="16" t="str">
        <f>TEXT(DATEVALUE(LEFT(F677,10)),"mm-yyyy")</f>
        <v>04-2015</v>
      </c>
      <c r="P677" s="16">
        <f>H677*I677</f>
        <v>8.99</v>
      </c>
    </row>
    <row r="678" spans="3:16" x14ac:dyDescent="0.25">
      <c r="C678" t="str">
        <f>IF(COUNTBLANK(E678:N678) = 10,"",IF(AND(NOT(ISBLANK(E678)),COUNTBLANK(E678:N678) = 9),"3 Delete",IF(ISBLANK(E678),"2 Add",IF(JenkinsHashRange(E678:N678) = "552046170","0 Original","1 Modify"))))</f>
        <v>0 Original</v>
      </c>
      <c r="D678" s="3" t="s">
        <v>2097</v>
      </c>
      <c r="E678" s="5">
        <v>4029</v>
      </c>
      <c r="F678" t="s">
        <v>1247</v>
      </c>
      <c r="G678" t="s">
        <v>914</v>
      </c>
      <c r="H678" s="9">
        <v>8.99</v>
      </c>
      <c r="I678" s="5">
        <v>2</v>
      </c>
      <c r="J678" s="7" t="s">
        <v>970</v>
      </c>
      <c r="K678" s="7">
        <v>42748.047268518516</v>
      </c>
      <c r="L678" s="3" t="s">
        <v>970</v>
      </c>
      <c r="M678" s="7">
        <v>42748.047268518516</v>
      </c>
      <c r="N678" s="3" t="s">
        <v>970</v>
      </c>
      <c r="O678" s="16" t="str">
        <f>TEXT(DATEVALUE(LEFT(F678,10)),"mm-yyyy")</f>
        <v>04-2015</v>
      </c>
      <c r="P678" s="16">
        <f>H678*I678</f>
        <v>17.98</v>
      </c>
    </row>
    <row r="679" spans="3:16" x14ac:dyDescent="0.25">
      <c r="C679" t="str">
        <f>IF(COUNTBLANK(E679:N679) = 10,"",IF(AND(NOT(ISBLANK(E679)),COUNTBLANK(E679:N679) = 9),"3 Delete",IF(ISBLANK(E679),"2 Add",IF(JenkinsHashRange(E679:N679) = "957065774","0 Original","1 Modify"))))</f>
        <v>0 Original</v>
      </c>
      <c r="D679" s="3" t="s">
        <v>2098</v>
      </c>
      <c r="E679" s="5">
        <v>4030</v>
      </c>
      <c r="F679" t="s">
        <v>1247</v>
      </c>
      <c r="G679" t="s">
        <v>945</v>
      </c>
      <c r="H679" s="9">
        <v>7.99</v>
      </c>
      <c r="I679" s="5">
        <v>2</v>
      </c>
      <c r="J679" s="7" t="s">
        <v>970</v>
      </c>
      <c r="K679" s="7">
        <v>42748.047268518516</v>
      </c>
      <c r="L679" s="3" t="s">
        <v>970</v>
      </c>
      <c r="M679" s="7">
        <v>42748.047268518516</v>
      </c>
      <c r="N679" s="3" t="s">
        <v>970</v>
      </c>
      <c r="O679" s="16" t="str">
        <f>TEXT(DATEVALUE(LEFT(F679,10)),"mm-yyyy")</f>
        <v>04-2015</v>
      </c>
      <c r="P679" s="16">
        <f>H679*I679</f>
        <v>15.98</v>
      </c>
    </row>
    <row r="680" spans="3:16" x14ac:dyDescent="0.25">
      <c r="C680" t="str">
        <f>IF(COUNTBLANK(E680:N680) = 10,"",IF(AND(NOT(ISBLANK(E680)),COUNTBLANK(E680:N680) = 9),"3 Delete",IF(ISBLANK(E680),"2 Add",IF(JenkinsHashRange(E680:N680) = "979524367","0 Original","1 Modify"))))</f>
        <v>0 Original</v>
      </c>
      <c r="D680" s="3" t="s">
        <v>2099</v>
      </c>
      <c r="E680" s="5">
        <v>4031</v>
      </c>
      <c r="F680" t="s">
        <v>1247</v>
      </c>
      <c r="G680" t="s">
        <v>914</v>
      </c>
      <c r="H680" s="9">
        <v>8.99</v>
      </c>
      <c r="I680" s="5">
        <v>1</v>
      </c>
      <c r="J680" s="7" t="s">
        <v>970</v>
      </c>
      <c r="K680" s="7">
        <v>42748.047268518516</v>
      </c>
      <c r="L680" s="3" t="s">
        <v>970</v>
      </c>
      <c r="M680" s="7">
        <v>42748.047268518516</v>
      </c>
      <c r="N680" s="3" t="s">
        <v>970</v>
      </c>
      <c r="O680" s="16" t="str">
        <f>TEXT(DATEVALUE(LEFT(F680,10)),"mm-yyyy")</f>
        <v>04-2015</v>
      </c>
      <c r="P680" s="16">
        <f>H680*I680</f>
        <v>8.99</v>
      </c>
    </row>
    <row r="681" spans="3:16" x14ac:dyDescent="0.25">
      <c r="C681" t="str">
        <f>IF(COUNTBLANK(E681:N681) = 10,"",IF(AND(NOT(ISBLANK(E681)),COUNTBLANK(E681:N681) = 9),"3 Delete",IF(ISBLANK(E681),"2 Add",IF(JenkinsHashRange(E681:N681) = "1646182957","0 Original","1 Modify"))))</f>
        <v>0 Original</v>
      </c>
      <c r="D681" s="3" t="s">
        <v>2100</v>
      </c>
      <c r="E681" s="5">
        <v>4032</v>
      </c>
      <c r="F681" t="s">
        <v>1247</v>
      </c>
      <c r="G681" t="s">
        <v>945</v>
      </c>
      <c r="H681" s="9">
        <v>7.99</v>
      </c>
      <c r="I681" s="5">
        <v>2</v>
      </c>
      <c r="J681" s="7" t="s">
        <v>970</v>
      </c>
      <c r="K681" s="7">
        <v>42748.047268518516</v>
      </c>
      <c r="L681" s="3" t="s">
        <v>970</v>
      </c>
      <c r="M681" s="7">
        <v>42748.047268518516</v>
      </c>
      <c r="N681" s="3" t="s">
        <v>970</v>
      </c>
      <c r="O681" s="16" t="str">
        <f>TEXT(DATEVALUE(LEFT(F681,10)),"mm-yyyy")</f>
        <v>04-2015</v>
      </c>
      <c r="P681" s="16">
        <f>H681*I681</f>
        <v>15.98</v>
      </c>
    </row>
    <row r="682" spans="3:16" x14ac:dyDescent="0.25">
      <c r="C682" t="str">
        <f>IF(COUNTBLANK(E682:N682) = 10,"",IF(AND(NOT(ISBLANK(E682)),COUNTBLANK(E682:N682) = 9),"3 Delete",IF(ISBLANK(E682),"2 Add",IF(JenkinsHashRange(E682:N682) = "191860823","0 Original","1 Modify"))))</f>
        <v>0 Original</v>
      </c>
      <c r="D682" s="3" t="s">
        <v>2101</v>
      </c>
      <c r="E682" s="5">
        <v>4033</v>
      </c>
      <c r="F682" t="s">
        <v>1247</v>
      </c>
      <c r="G682" t="s">
        <v>400</v>
      </c>
      <c r="H682" s="9">
        <v>6.99</v>
      </c>
      <c r="I682" s="5">
        <v>1</v>
      </c>
      <c r="J682" s="7" t="s">
        <v>970</v>
      </c>
      <c r="K682" s="7">
        <v>42748.047268518516</v>
      </c>
      <c r="L682" s="3" t="s">
        <v>970</v>
      </c>
      <c r="M682" s="7">
        <v>42748.047268518516</v>
      </c>
      <c r="N682" s="3" t="s">
        <v>970</v>
      </c>
      <c r="O682" s="16" t="str">
        <f>TEXT(DATEVALUE(LEFT(F682,10)),"mm-yyyy")</f>
        <v>04-2015</v>
      </c>
      <c r="P682" s="16">
        <f>H682*I682</f>
        <v>6.99</v>
      </c>
    </row>
    <row r="683" spans="3:16" x14ac:dyDescent="0.25">
      <c r="C683" t="str">
        <f>IF(COUNTBLANK(E683:N683) = 10,"",IF(AND(NOT(ISBLANK(E683)),COUNTBLANK(E683:N683) = 9),"3 Delete",IF(ISBLANK(E683),"2 Add",IF(JenkinsHashRange(E683:N683) = "1152225300","0 Original","1 Modify"))))</f>
        <v>0 Original</v>
      </c>
      <c r="D683" s="3" t="s">
        <v>2102</v>
      </c>
      <c r="E683" s="5">
        <v>4034</v>
      </c>
      <c r="F683" t="s">
        <v>1247</v>
      </c>
      <c r="G683" t="s">
        <v>702</v>
      </c>
      <c r="H683" s="9">
        <v>7.99</v>
      </c>
      <c r="I683" s="5">
        <v>1</v>
      </c>
      <c r="J683" s="7" t="s">
        <v>970</v>
      </c>
      <c r="K683" s="7">
        <v>42748.047268518516</v>
      </c>
      <c r="L683" s="3" t="s">
        <v>970</v>
      </c>
      <c r="M683" s="7">
        <v>42748.047268518516</v>
      </c>
      <c r="N683" s="3" t="s">
        <v>970</v>
      </c>
      <c r="O683" s="16" t="str">
        <f>TEXT(DATEVALUE(LEFT(F683,10)),"mm-yyyy")</f>
        <v>04-2015</v>
      </c>
      <c r="P683" s="16">
        <f>H683*I683</f>
        <v>7.99</v>
      </c>
    </row>
    <row r="684" spans="3:16" x14ac:dyDescent="0.25">
      <c r="C684" t="str">
        <f>IF(COUNTBLANK(E684:N684) = 10,"",IF(AND(NOT(ISBLANK(E684)),COUNTBLANK(E684:N684) = 9),"3 Delete",IF(ISBLANK(E684),"2 Add",IF(JenkinsHashRange(E684:N684) = "1970092213","0 Original","1 Modify"))))</f>
        <v>0 Original</v>
      </c>
      <c r="D684" s="3" t="s">
        <v>2103</v>
      </c>
      <c r="E684" s="5">
        <v>4035</v>
      </c>
      <c r="F684" t="s">
        <v>1247</v>
      </c>
      <c r="G684" t="s">
        <v>957</v>
      </c>
      <c r="H684" s="9">
        <v>5.99</v>
      </c>
      <c r="I684" s="5">
        <v>2</v>
      </c>
      <c r="J684" s="7" t="s">
        <v>970</v>
      </c>
      <c r="K684" s="7">
        <v>42748.047268518516</v>
      </c>
      <c r="L684" s="3" t="s">
        <v>970</v>
      </c>
      <c r="M684" s="7">
        <v>42748.047268518516</v>
      </c>
      <c r="N684" s="3" t="s">
        <v>970</v>
      </c>
      <c r="O684" s="16" t="str">
        <f>TEXT(DATEVALUE(LEFT(F684,10)),"mm-yyyy")</f>
        <v>04-2015</v>
      </c>
      <c r="P684" s="16">
        <f>H684*I684</f>
        <v>11.98</v>
      </c>
    </row>
    <row r="685" spans="3:16" x14ac:dyDescent="0.25">
      <c r="C685" t="str">
        <f>IF(COUNTBLANK(E685:N685) = 10,"",IF(AND(NOT(ISBLANK(E685)),COUNTBLANK(E685:N685) = 9),"3 Delete",IF(ISBLANK(E685),"2 Add",IF(JenkinsHashRange(E685:N685) = "1687043601","0 Original","1 Modify"))))</f>
        <v>0 Original</v>
      </c>
      <c r="D685" s="3" t="s">
        <v>1285</v>
      </c>
      <c r="E685" s="5">
        <v>176</v>
      </c>
      <c r="F685" t="s">
        <v>999</v>
      </c>
      <c r="G685" t="s">
        <v>582</v>
      </c>
      <c r="H685" s="9">
        <v>9.99</v>
      </c>
      <c r="I685" s="5">
        <v>2</v>
      </c>
      <c r="J685" s="7" t="s">
        <v>970</v>
      </c>
      <c r="K685" s="7">
        <v>42748.047268518516</v>
      </c>
      <c r="L685" s="3" t="s">
        <v>970</v>
      </c>
      <c r="M685" s="7">
        <v>42748.047268518516</v>
      </c>
      <c r="N685" s="3" t="s">
        <v>970</v>
      </c>
      <c r="O685" s="16" t="str">
        <f>TEXT(DATEVALUE(LEFT(F685,10)),"mm-yyyy")</f>
        <v>05-2015</v>
      </c>
      <c r="P685" s="16">
        <f>H685*I685</f>
        <v>19.98</v>
      </c>
    </row>
    <row r="686" spans="3:16" x14ac:dyDescent="0.25">
      <c r="C686" t="str">
        <f>IF(COUNTBLANK(E686:N686) = 10,"",IF(AND(NOT(ISBLANK(E686)),COUNTBLANK(E686:N686) = 9),"3 Delete",IF(ISBLANK(E686),"2 Add",IF(JenkinsHashRange(E686:N686) = "1011547356","0 Original","1 Modify"))))</f>
        <v>0 Original</v>
      </c>
      <c r="D686" s="3" t="s">
        <v>1286</v>
      </c>
      <c r="E686" s="5">
        <v>177</v>
      </c>
      <c r="F686" t="s">
        <v>999</v>
      </c>
      <c r="G686" t="s">
        <v>871</v>
      </c>
      <c r="H686" s="9">
        <v>4.99</v>
      </c>
      <c r="I686" s="5">
        <v>1</v>
      </c>
      <c r="J686" s="7" t="s">
        <v>970</v>
      </c>
      <c r="K686" s="7">
        <v>42748.047268518516</v>
      </c>
      <c r="L686" s="3" t="s">
        <v>970</v>
      </c>
      <c r="M686" s="7">
        <v>42748.047268518516</v>
      </c>
      <c r="N686" s="3" t="s">
        <v>970</v>
      </c>
      <c r="O686" s="16" t="str">
        <f>TEXT(DATEVALUE(LEFT(F686,10)),"mm-yyyy")</f>
        <v>05-2015</v>
      </c>
      <c r="P686" s="16">
        <f>H686*I686</f>
        <v>4.99</v>
      </c>
    </row>
    <row r="687" spans="3:16" x14ac:dyDescent="0.25">
      <c r="C687" t="str">
        <f>IF(COUNTBLANK(E687:N687) = 10,"",IF(AND(NOT(ISBLANK(E687)),COUNTBLANK(E687:N687) = 9),"3 Delete",IF(ISBLANK(E687),"2 Add",IF(JenkinsHashRange(E687:N687) = "797657540","0 Original","1 Modify"))))</f>
        <v>0 Original</v>
      </c>
      <c r="D687" s="3" t="s">
        <v>1287</v>
      </c>
      <c r="E687" s="5">
        <v>178</v>
      </c>
      <c r="F687" t="s">
        <v>999</v>
      </c>
      <c r="G687" t="s">
        <v>572</v>
      </c>
      <c r="H687" s="9">
        <v>5.99</v>
      </c>
      <c r="I687" s="5">
        <v>1</v>
      </c>
      <c r="J687" s="7" t="s">
        <v>970</v>
      </c>
      <c r="K687" s="7">
        <v>42748.047268518516</v>
      </c>
      <c r="L687" s="3" t="s">
        <v>970</v>
      </c>
      <c r="M687" s="7">
        <v>42748.047268518516</v>
      </c>
      <c r="N687" s="3" t="s">
        <v>970</v>
      </c>
      <c r="O687" s="16" t="str">
        <f>TEXT(DATEVALUE(LEFT(F687,10)),"mm-yyyy")</f>
        <v>05-2015</v>
      </c>
      <c r="P687" s="16">
        <f>H687*I687</f>
        <v>5.99</v>
      </c>
    </row>
    <row r="688" spans="3:16" x14ac:dyDescent="0.25">
      <c r="C688" t="str">
        <f>IF(COUNTBLANK(E688:N688) = 10,"",IF(AND(NOT(ISBLANK(E688)),COUNTBLANK(E688:N688) = 9),"3 Delete",IF(ISBLANK(E688),"2 Add",IF(JenkinsHashRange(E688:N688) = "250887271","0 Original","1 Modify"))))</f>
        <v>0 Original</v>
      </c>
      <c r="D688" s="3" t="s">
        <v>1288</v>
      </c>
      <c r="E688" s="5">
        <v>179</v>
      </c>
      <c r="F688" t="s">
        <v>999</v>
      </c>
      <c r="G688" t="s">
        <v>699</v>
      </c>
      <c r="H688" s="9">
        <v>6.99</v>
      </c>
      <c r="I688" s="5">
        <v>2</v>
      </c>
      <c r="J688" s="7" t="s">
        <v>970</v>
      </c>
      <c r="K688" s="7">
        <v>42748.047268518516</v>
      </c>
      <c r="L688" s="3" t="s">
        <v>970</v>
      </c>
      <c r="M688" s="7">
        <v>42748.047268518516</v>
      </c>
      <c r="N688" s="3" t="s">
        <v>970</v>
      </c>
      <c r="O688" s="16" t="str">
        <f>TEXT(DATEVALUE(LEFT(F688,10)),"mm-yyyy")</f>
        <v>05-2015</v>
      </c>
      <c r="P688" s="16">
        <f>H688*I688</f>
        <v>13.98</v>
      </c>
    </row>
    <row r="689" spans="3:16" x14ac:dyDescent="0.25">
      <c r="C689" t="str">
        <f>IF(COUNTBLANK(E689:N689) = 10,"",IF(AND(NOT(ISBLANK(E689)),COUNTBLANK(E689:N689) = 9),"3 Delete",IF(ISBLANK(E689),"2 Add",IF(JenkinsHashRange(E689:N689) = "1116104790","0 Original","1 Modify"))))</f>
        <v>0 Original</v>
      </c>
      <c r="D689" s="3" t="s">
        <v>1328</v>
      </c>
      <c r="E689" s="5">
        <v>369</v>
      </c>
      <c r="F689" t="s">
        <v>1013</v>
      </c>
      <c r="G689" t="s">
        <v>837</v>
      </c>
      <c r="H689" s="9">
        <v>6.99</v>
      </c>
      <c r="I689" s="5">
        <v>2</v>
      </c>
      <c r="J689" s="7" t="s">
        <v>970</v>
      </c>
      <c r="K689" s="7">
        <v>42748.047268518516</v>
      </c>
      <c r="L689" s="3" t="s">
        <v>970</v>
      </c>
      <c r="M689" s="7">
        <v>42748.047268518516</v>
      </c>
      <c r="N689" s="3" t="s">
        <v>970</v>
      </c>
      <c r="O689" s="16" t="str">
        <f>TEXT(DATEVALUE(LEFT(F689,10)),"mm-yyyy")</f>
        <v>05-2015</v>
      </c>
      <c r="P689" s="16">
        <f>H689*I689</f>
        <v>13.98</v>
      </c>
    </row>
    <row r="690" spans="3:16" x14ac:dyDescent="0.25">
      <c r="C690" t="str">
        <f>IF(COUNTBLANK(E690:N690) = 10,"",IF(AND(NOT(ISBLANK(E690)),COUNTBLANK(E690:N690) = 9),"3 Delete",IF(ISBLANK(E690),"2 Add",IF(JenkinsHashRange(E690:N690) = "1033184390","0 Original","1 Modify"))))</f>
        <v>0 Original</v>
      </c>
      <c r="D690" s="3" t="s">
        <v>1329</v>
      </c>
      <c r="E690" s="5">
        <v>370</v>
      </c>
      <c r="F690" t="s">
        <v>1013</v>
      </c>
      <c r="G690" t="s">
        <v>410</v>
      </c>
      <c r="H690" s="9">
        <v>9.99</v>
      </c>
      <c r="I690" s="5">
        <v>1</v>
      </c>
      <c r="J690" s="7" t="s">
        <v>970</v>
      </c>
      <c r="K690" s="7">
        <v>42748.047268518516</v>
      </c>
      <c r="L690" s="3" t="s">
        <v>970</v>
      </c>
      <c r="M690" s="7">
        <v>42748.047268518516</v>
      </c>
      <c r="N690" s="3" t="s">
        <v>970</v>
      </c>
      <c r="O690" s="16" t="str">
        <f>TEXT(DATEVALUE(LEFT(F690,10)),"mm-yyyy")</f>
        <v>05-2015</v>
      </c>
      <c r="P690" s="16">
        <f>H690*I690</f>
        <v>9.99</v>
      </c>
    </row>
    <row r="691" spans="3:16" x14ac:dyDescent="0.25">
      <c r="C691" t="str">
        <f>IF(COUNTBLANK(E691:N691) = 10,"",IF(AND(NOT(ISBLANK(E691)),COUNTBLANK(E691:N691) = 9),"3 Delete",IF(ISBLANK(E691),"2 Add",IF(JenkinsHashRange(E691:N691) = "1652803717","0 Original","1 Modify"))))</f>
        <v>0 Original</v>
      </c>
      <c r="D691" s="3" t="s">
        <v>1360</v>
      </c>
      <c r="E691" s="5">
        <v>611</v>
      </c>
      <c r="F691" t="s">
        <v>1022</v>
      </c>
      <c r="G691" t="s">
        <v>861</v>
      </c>
      <c r="H691" s="9">
        <v>8.99</v>
      </c>
      <c r="I691" s="5">
        <v>2</v>
      </c>
      <c r="J691" s="7" t="s">
        <v>970</v>
      </c>
      <c r="K691" s="7">
        <v>42748.047268518516</v>
      </c>
      <c r="L691" s="3" t="s">
        <v>970</v>
      </c>
      <c r="M691" s="7">
        <v>42748.047268518516</v>
      </c>
      <c r="N691" s="3" t="s">
        <v>970</v>
      </c>
      <c r="O691" s="16" t="str">
        <f>TEXT(DATEVALUE(LEFT(F691,10)),"mm-yyyy")</f>
        <v>05-2015</v>
      </c>
      <c r="P691" s="16">
        <f>H691*I691</f>
        <v>17.98</v>
      </c>
    </row>
    <row r="692" spans="3:16" x14ac:dyDescent="0.25">
      <c r="C692" t="str">
        <f>IF(COUNTBLANK(E692:N692) = 10,"",IF(AND(NOT(ISBLANK(E692)),COUNTBLANK(E692:N692) = 9),"3 Delete",IF(ISBLANK(E692),"2 Add",IF(JenkinsHashRange(E692:N692) = "1471787617","0 Original","1 Modify"))))</f>
        <v>0 Original</v>
      </c>
      <c r="D692" s="3" t="s">
        <v>1361</v>
      </c>
      <c r="E692" s="5">
        <v>612</v>
      </c>
      <c r="F692" t="s">
        <v>1022</v>
      </c>
      <c r="G692" t="s">
        <v>596</v>
      </c>
      <c r="H692" s="9">
        <v>5.99</v>
      </c>
      <c r="I692" s="5">
        <v>2</v>
      </c>
      <c r="J692" s="7" t="s">
        <v>970</v>
      </c>
      <c r="K692" s="7">
        <v>42748.047268518516</v>
      </c>
      <c r="L692" s="3" t="s">
        <v>970</v>
      </c>
      <c r="M692" s="7">
        <v>42748.047268518516</v>
      </c>
      <c r="N692" s="3" t="s">
        <v>970</v>
      </c>
      <c r="O692" s="16" t="str">
        <f>TEXT(DATEVALUE(LEFT(F692,10)),"mm-yyyy")</f>
        <v>05-2015</v>
      </c>
      <c r="P692" s="16">
        <f>H692*I692</f>
        <v>11.98</v>
      </c>
    </row>
    <row r="693" spans="3:16" x14ac:dyDescent="0.25">
      <c r="C693" t="str">
        <f>IF(COUNTBLANK(E693:N693) = 10,"",IF(AND(NOT(ISBLANK(E693)),COUNTBLANK(E693:N693) = 9),"3 Delete",IF(ISBLANK(E693),"2 Add",IF(JenkinsHashRange(E693:N693) = "1486636823","0 Original","1 Modify"))))</f>
        <v>0 Original</v>
      </c>
      <c r="D693" s="3" t="s">
        <v>1366</v>
      </c>
      <c r="E693" s="5">
        <v>655</v>
      </c>
      <c r="F693" t="s">
        <v>1024</v>
      </c>
      <c r="G693" t="s">
        <v>450</v>
      </c>
      <c r="H693" s="9">
        <v>8.99</v>
      </c>
      <c r="I693" s="5">
        <v>1</v>
      </c>
      <c r="J693" s="7" t="s">
        <v>970</v>
      </c>
      <c r="K693" s="7">
        <v>42748.047268518516</v>
      </c>
      <c r="L693" s="3" t="s">
        <v>970</v>
      </c>
      <c r="M693" s="7">
        <v>42748.047268518516</v>
      </c>
      <c r="N693" s="3" t="s">
        <v>970</v>
      </c>
      <c r="O693" s="16" t="str">
        <f>TEXT(DATEVALUE(LEFT(F693,10)),"mm-yyyy")</f>
        <v>05-2015</v>
      </c>
      <c r="P693" s="16">
        <f>H693*I693</f>
        <v>8.99</v>
      </c>
    </row>
    <row r="694" spans="3:16" x14ac:dyDescent="0.25">
      <c r="C694" t="str">
        <f>IF(COUNTBLANK(E694:N694) = 10,"",IF(AND(NOT(ISBLANK(E694)),COUNTBLANK(E694:N694) = 9),"3 Delete",IF(ISBLANK(E694),"2 Add",IF(JenkinsHashRange(E694:N694) = "85774473","0 Original","1 Modify"))))</f>
        <v>0 Original</v>
      </c>
      <c r="D694" s="3" t="s">
        <v>1367</v>
      </c>
      <c r="E694" s="5">
        <v>656</v>
      </c>
      <c r="F694" t="s">
        <v>1024</v>
      </c>
      <c r="G694" t="s">
        <v>814</v>
      </c>
      <c r="H694" s="9">
        <v>9.99</v>
      </c>
      <c r="I694" s="5">
        <v>1</v>
      </c>
      <c r="J694" s="7" t="s">
        <v>970</v>
      </c>
      <c r="K694" s="7">
        <v>42748.047268518516</v>
      </c>
      <c r="L694" s="3" t="s">
        <v>970</v>
      </c>
      <c r="M694" s="7">
        <v>42748.047268518516</v>
      </c>
      <c r="N694" s="3" t="s">
        <v>970</v>
      </c>
      <c r="O694" s="16" t="str">
        <f>TEXT(DATEVALUE(LEFT(F694,10)),"mm-yyyy")</f>
        <v>05-2015</v>
      </c>
      <c r="P694" s="16">
        <f>H694*I694</f>
        <v>9.99</v>
      </c>
    </row>
    <row r="695" spans="3:16" x14ac:dyDescent="0.25">
      <c r="C695" t="str">
        <f>IF(COUNTBLANK(E695:N695) = 10,"",IF(AND(NOT(ISBLANK(E695)),COUNTBLANK(E695:N695) = 9),"3 Delete",IF(ISBLANK(E695),"2 Add",IF(JenkinsHashRange(E695:N695) = "1267524324","0 Original","1 Modify"))))</f>
        <v>0 Original</v>
      </c>
      <c r="D695" s="3" t="s">
        <v>1368</v>
      </c>
      <c r="E695" s="5">
        <v>657</v>
      </c>
      <c r="F695" t="s">
        <v>1024</v>
      </c>
      <c r="G695" t="s">
        <v>713</v>
      </c>
      <c r="H695" s="9">
        <v>6.99</v>
      </c>
      <c r="I695" s="5">
        <v>1</v>
      </c>
      <c r="J695" s="7" t="s">
        <v>970</v>
      </c>
      <c r="K695" s="7">
        <v>42748.047268518516</v>
      </c>
      <c r="L695" s="3" t="s">
        <v>970</v>
      </c>
      <c r="M695" s="7">
        <v>42748.047268518516</v>
      </c>
      <c r="N695" s="3" t="s">
        <v>970</v>
      </c>
      <c r="O695" s="16" t="str">
        <f>TEXT(DATEVALUE(LEFT(F695,10)),"mm-yyyy")</f>
        <v>05-2015</v>
      </c>
      <c r="P695" s="16">
        <f>H695*I695</f>
        <v>6.99</v>
      </c>
    </row>
    <row r="696" spans="3:16" x14ac:dyDescent="0.25">
      <c r="C696" t="str">
        <f>IF(COUNTBLANK(E696:N696) = 10,"",IF(AND(NOT(ISBLANK(E696)),COUNTBLANK(E696:N696) = 9),"3 Delete",IF(ISBLANK(E696),"2 Add",IF(JenkinsHashRange(E696:N696) = "1494277369","0 Original","1 Modify"))))</f>
        <v>0 Original</v>
      </c>
      <c r="D696" s="3" t="s">
        <v>1369</v>
      </c>
      <c r="E696" s="5">
        <v>658</v>
      </c>
      <c r="F696" t="s">
        <v>1024</v>
      </c>
      <c r="G696" t="s">
        <v>743</v>
      </c>
      <c r="H696" s="9">
        <v>9.99</v>
      </c>
      <c r="I696" s="5">
        <v>1</v>
      </c>
      <c r="J696" s="7" t="s">
        <v>970</v>
      </c>
      <c r="K696" s="7">
        <v>42748.047268518516</v>
      </c>
      <c r="L696" s="3" t="s">
        <v>970</v>
      </c>
      <c r="M696" s="7">
        <v>42748.047268518516</v>
      </c>
      <c r="N696" s="3" t="s">
        <v>970</v>
      </c>
      <c r="O696" s="16" t="str">
        <f>TEXT(DATEVALUE(LEFT(F696,10)),"mm-yyyy")</f>
        <v>05-2015</v>
      </c>
      <c r="P696" s="16">
        <f>H696*I696</f>
        <v>9.99</v>
      </c>
    </row>
    <row r="697" spans="3:16" x14ac:dyDescent="0.25">
      <c r="C697" t="str">
        <f>IF(COUNTBLANK(E697:N697) = 10,"",IF(AND(NOT(ISBLANK(E697)),COUNTBLANK(E697:N697) = 9),"3 Delete",IF(ISBLANK(E697),"2 Add",IF(JenkinsHashRange(E697:N697) = "588385123","0 Original","1 Modify"))))</f>
        <v>0 Original</v>
      </c>
      <c r="D697" s="3" t="s">
        <v>1370</v>
      </c>
      <c r="E697" s="5">
        <v>659</v>
      </c>
      <c r="F697" t="s">
        <v>1024</v>
      </c>
      <c r="G697" t="s">
        <v>550</v>
      </c>
      <c r="H697" s="9">
        <v>8.99</v>
      </c>
      <c r="I697" s="5">
        <v>1</v>
      </c>
      <c r="J697" s="7" t="s">
        <v>970</v>
      </c>
      <c r="K697" s="7">
        <v>42748.047268518516</v>
      </c>
      <c r="L697" s="3" t="s">
        <v>970</v>
      </c>
      <c r="M697" s="7">
        <v>42748.047268518516</v>
      </c>
      <c r="N697" s="3" t="s">
        <v>970</v>
      </c>
      <c r="O697" s="16" t="str">
        <f>TEXT(DATEVALUE(LEFT(F697,10)),"mm-yyyy")</f>
        <v>05-2015</v>
      </c>
      <c r="P697" s="16">
        <f>H697*I697</f>
        <v>8.99</v>
      </c>
    </row>
    <row r="698" spans="3:16" x14ac:dyDescent="0.25">
      <c r="C698" t="str">
        <f>IF(COUNTBLANK(E698:N698) = 10,"",IF(AND(NOT(ISBLANK(E698)),COUNTBLANK(E698:N698) = 9),"3 Delete",IF(ISBLANK(E698),"2 Add",IF(JenkinsHashRange(E698:N698) = "1531943008","0 Original","1 Modify"))))</f>
        <v>0 Original</v>
      </c>
      <c r="D698" s="3" t="s">
        <v>1392</v>
      </c>
      <c r="E698" s="5">
        <v>799</v>
      </c>
      <c r="F698" t="s">
        <v>1033</v>
      </c>
      <c r="G698" t="s">
        <v>446</v>
      </c>
      <c r="H698" s="9">
        <v>7.99</v>
      </c>
      <c r="I698" s="5">
        <v>1</v>
      </c>
      <c r="J698" s="7" t="s">
        <v>970</v>
      </c>
      <c r="K698" s="7">
        <v>42748.047268518516</v>
      </c>
      <c r="L698" s="3" t="s">
        <v>970</v>
      </c>
      <c r="M698" s="7">
        <v>42748.047268518516</v>
      </c>
      <c r="N698" s="3" t="s">
        <v>970</v>
      </c>
      <c r="O698" s="16" t="str">
        <f>TEXT(DATEVALUE(LEFT(F698,10)),"mm-yyyy")</f>
        <v>05-2015</v>
      </c>
      <c r="P698" s="16">
        <f>H698*I698</f>
        <v>7.99</v>
      </c>
    </row>
    <row r="699" spans="3:16" x14ac:dyDescent="0.25">
      <c r="C699" t="str">
        <f>IF(COUNTBLANK(E699:N699) = 10,"",IF(AND(NOT(ISBLANK(E699)),COUNTBLANK(E699:N699) = 9),"3 Delete",IF(ISBLANK(E699),"2 Add",IF(JenkinsHashRange(E699:N699) = "1331820605","0 Original","1 Modify"))))</f>
        <v>0 Original</v>
      </c>
      <c r="D699" s="3" t="s">
        <v>1393</v>
      </c>
      <c r="E699" s="5">
        <v>800</v>
      </c>
      <c r="F699" t="s">
        <v>1033</v>
      </c>
      <c r="G699" t="s">
        <v>407</v>
      </c>
      <c r="H699" s="9">
        <v>9.99</v>
      </c>
      <c r="I699" s="5">
        <v>1</v>
      </c>
      <c r="J699" s="7" t="s">
        <v>970</v>
      </c>
      <c r="K699" s="7">
        <v>42748.047268518516</v>
      </c>
      <c r="L699" s="3" t="s">
        <v>970</v>
      </c>
      <c r="M699" s="7">
        <v>42748.047268518516</v>
      </c>
      <c r="N699" s="3" t="s">
        <v>970</v>
      </c>
      <c r="O699" s="16" t="str">
        <f>TEXT(DATEVALUE(LEFT(F699,10)),"mm-yyyy")</f>
        <v>05-2015</v>
      </c>
      <c r="P699" s="16">
        <f>H699*I699</f>
        <v>9.99</v>
      </c>
    </row>
    <row r="700" spans="3:16" x14ac:dyDescent="0.25">
      <c r="C700" t="str">
        <f>IF(COUNTBLANK(E700:N700) = 10,"",IF(AND(NOT(ISBLANK(E700)),COUNTBLANK(E700:N700) = 9),"3 Delete",IF(ISBLANK(E700),"2 Add",IF(JenkinsHashRange(E700:N700) = "683086760","0 Original","1 Modify"))))</f>
        <v>0 Original</v>
      </c>
      <c r="D700" s="3" t="s">
        <v>1394</v>
      </c>
      <c r="E700" s="5">
        <v>801</v>
      </c>
      <c r="F700" t="s">
        <v>1033</v>
      </c>
      <c r="G700" t="s">
        <v>706</v>
      </c>
      <c r="H700" s="9">
        <v>9.99</v>
      </c>
      <c r="I700" s="5">
        <v>1</v>
      </c>
      <c r="J700" s="7" t="s">
        <v>970</v>
      </c>
      <c r="K700" s="7">
        <v>42748.047268518516</v>
      </c>
      <c r="L700" s="3" t="s">
        <v>970</v>
      </c>
      <c r="M700" s="7">
        <v>42748.047268518516</v>
      </c>
      <c r="N700" s="3" t="s">
        <v>970</v>
      </c>
      <c r="O700" s="16" t="str">
        <f>TEXT(DATEVALUE(LEFT(F700,10)),"mm-yyyy")</f>
        <v>05-2015</v>
      </c>
      <c r="P700" s="16">
        <f>H700*I700</f>
        <v>9.99</v>
      </c>
    </row>
    <row r="701" spans="3:16" x14ac:dyDescent="0.25">
      <c r="C701" t="str">
        <f>IF(COUNTBLANK(E701:N701) = 10,"",IF(AND(NOT(ISBLANK(E701)),COUNTBLANK(E701:N701) = 9),"3 Delete",IF(ISBLANK(E701),"2 Add",IF(JenkinsHashRange(E701:N701) = "720001144","0 Original","1 Modify"))))</f>
        <v>0 Original</v>
      </c>
      <c r="D701" s="3" t="s">
        <v>1395</v>
      </c>
      <c r="E701" s="5">
        <v>802</v>
      </c>
      <c r="F701" t="s">
        <v>1033</v>
      </c>
      <c r="G701" t="s">
        <v>743</v>
      </c>
      <c r="H701" s="9">
        <v>9.99</v>
      </c>
      <c r="I701" s="5">
        <v>2</v>
      </c>
      <c r="J701" s="7" t="s">
        <v>970</v>
      </c>
      <c r="K701" s="7">
        <v>42748.047268518516</v>
      </c>
      <c r="L701" s="3" t="s">
        <v>970</v>
      </c>
      <c r="M701" s="7">
        <v>42748.047268518516</v>
      </c>
      <c r="N701" s="3" t="s">
        <v>970</v>
      </c>
      <c r="O701" s="16" t="str">
        <f>TEXT(DATEVALUE(LEFT(F701,10)),"mm-yyyy")</f>
        <v>05-2015</v>
      </c>
      <c r="P701" s="16">
        <f>H701*I701</f>
        <v>19.98</v>
      </c>
    </row>
    <row r="702" spans="3:16" x14ac:dyDescent="0.25">
      <c r="C702" t="str">
        <f>IF(COUNTBLANK(E702:N702) = 10,"",IF(AND(NOT(ISBLANK(E702)),COUNTBLANK(E702:N702) = 9),"3 Delete",IF(ISBLANK(E702),"2 Add",IF(JenkinsHashRange(E702:N702) = "205376430","0 Original","1 Modify"))))</f>
        <v>0 Original</v>
      </c>
      <c r="D702" s="3" t="s">
        <v>1408</v>
      </c>
      <c r="E702" s="5">
        <v>837</v>
      </c>
      <c r="F702" t="s">
        <v>1037</v>
      </c>
      <c r="G702" t="s">
        <v>820</v>
      </c>
      <c r="H702" s="9">
        <v>9.99</v>
      </c>
      <c r="I702" s="5">
        <v>1</v>
      </c>
      <c r="J702" s="7" t="s">
        <v>970</v>
      </c>
      <c r="K702" s="7">
        <v>42748.047268518516</v>
      </c>
      <c r="L702" s="3" t="s">
        <v>970</v>
      </c>
      <c r="M702" s="7">
        <v>42748.047268518516</v>
      </c>
      <c r="N702" s="3" t="s">
        <v>970</v>
      </c>
      <c r="O702" s="16" t="str">
        <f>TEXT(DATEVALUE(LEFT(F702,10)),"mm-yyyy")</f>
        <v>05-2015</v>
      </c>
      <c r="P702" s="16">
        <f>H702*I702</f>
        <v>9.99</v>
      </c>
    </row>
    <row r="703" spans="3:16" x14ac:dyDescent="0.25">
      <c r="C703" t="str">
        <f>IF(COUNTBLANK(E703:N703) = 10,"",IF(AND(NOT(ISBLANK(E703)),COUNTBLANK(E703:N703) = 9),"3 Delete",IF(ISBLANK(E703),"2 Add",IF(JenkinsHashRange(E703:N703) = "1423037022","0 Original","1 Modify"))))</f>
        <v>0 Original</v>
      </c>
      <c r="D703" s="3" t="s">
        <v>1409</v>
      </c>
      <c r="E703" s="5">
        <v>838</v>
      </c>
      <c r="F703" t="s">
        <v>1037</v>
      </c>
      <c r="G703" t="s">
        <v>917</v>
      </c>
      <c r="H703" s="9">
        <v>4.99</v>
      </c>
      <c r="I703" s="5">
        <v>2</v>
      </c>
      <c r="J703" s="7" t="s">
        <v>970</v>
      </c>
      <c r="K703" s="7">
        <v>42748.047268518516</v>
      </c>
      <c r="L703" s="3" t="s">
        <v>970</v>
      </c>
      <c r="M703" s="7">
        <v>42748.047268518516</v>
      </c>
      <c r="N703" s="3" t="s">
        <v>970</v>
      </c>
      <c r="O703" s="16" t="str">
        <f>TEXT(DATEVALUE(LEFT(F703,10)),"mm-yyyy")</f>
        <v>05-2015</v>
      </c>
      <c r="P703" s="16">
        <f>H703*I703</f>
        <v>9.98</v>
      </c>
    </row>
    <row r="704" spans="3:16" x14ac:dyDescent="0.25">
      <c r="C704" t="str">
        <f>IF(COUNTBLANK(E704:N704) = 10,"",IF(AND(NOT(ISBLANK(E704)),COUNTBLANK(E704:N704) = 9),"3 Delete",IF(ISBLANK(E704),"2 Add",IF(JenkinsHashRange(E704:N704) = "240710994","0 Original","1 Modify"))))</f>
        <v>0 Original</v>
      </c>
      <c r="D704" s="3" t="s">
        <v>1410</v>
      </c>
      <c r="E704" s="5">
        <v>839</v>
      </c>
      <c r="F704" t="s">
        <v>1038</v>
      </c>
      <c r="G704" t="s">
        <v>945</v>
      </c>
      <c r="H704" s="9">
        <v>7.99</v>
      </c>
      <c r="I704" s="5">
        <v>1</v>
      </c>
      <c r="J704" s="7" t="s">
        <v>970</v>
      </c>
      <c r="K704" s="7">
        <v>42748.047268518516</v>
      </c>
      <c r="L704" s="3" t="s">
        <v>970</v>
      </c>
      <c r="M704" s="7">
        <v>42748.047268518516</v>
      </c>
      <c r="N704" s="3" t="s">
        <v>970</v>
      </c>
      <c r="O704" s="16" t="str">
        <f>TEXT(DATEVALUE(LEFT(F704,10)),"mm-yyyy")</f>
        <v>05-2015</v>
      </c>
      <c r="P704" s="16">
        <f>H704*I704</f>
        <v>7.99</v>
      </c>
    </row>
    <row r="705" spans="3:16" x14ac:dyDescent="0.25">
      <c r="C705" t="str">
        <f>IF(COUNTBLANK(E705:N705) = 10,"",IF(AND(NOT(ISBLANK(E705)),COUNTBLANK(E705:N705) = 9),"3 Delete",IF(ISBLANK(E705),"2 Add",IF(JenkinsHashRange(E705:N705) = "320525471","0 Original","1 Modify"))))</f>
        <v>0 Original</v>
      </c>
      <c r="D705" s="3" t="s">
        <v>1411</v>
      </c>
      <c r="E705" s="5">
        <v>840</v>
      </c>
      <c r="F705" t="s">
        <v>1038</v>
      </c>
      <c r="G705" t="s">
        <v>880</v>
      </c>
      <c r="H705" s="9">
        <v>6.99</v>
      </c>
      <c r="I705" s="5">
        <v>1</v>
      </c>
      <c r="J705" s="7" t="s">
        <v>970</v>
      </c>
      <c r="K705" s="7">
        <v>42748.047268518516</v>
      </c>
      <c r="L705" s="3" t="s">
        <v>970</v>
      </c>
      <c r="M705" s="7">
        <v>42748.047268518516</v>
      </c>
      <c r="N705" s="3" t="s">
        <v>970</v>
      </c>
      <c r="O705" s="16" t="str">
        <f>TEXT(DATEVALUE(LEFT(F705,10)),"mm-yyyy")</f>
        <v>05-2015</v>
      </c>
      <c r="P705" s="16">
        <f>H705*I705</f>
        <v>6.99</v>
      </c>
    </row>
    <row r="706" spans="3:16" x14ac:dyDescent="0.25">
      <c r="C706" t="str">
        <f>IF(COUNTBLANK(E706:N706) = 10,"",IF(AND(NOT(ISBLANK(E706)),COUNTBLANK(E706:N706) = 9),"3 Delete",IF(ISBLANK(E706),"2 Add",IF(JenkinsHashRange(E706:N706) = "1945276460","0 Original","1 Modify"))))</f>
        <v>0 Original</v>
      </c>
      <c r="D706" s="3" t="s">
        <v>1412</v>
      </c>
      <c r="E706" s="5">
        <v>841</v>
      </c>
      <c r="F706" t="s">
        <v>1038</v>
      </c>
      <c r="G706" t="s">
        <v>631</v>
      </c>
      <c r="H706" s="9">
        <v>8.99</v>
      </c>
      <c r="I706" s="5">
        <v>2</v>
      </c>
      <c r="J706" s="7" t="s">
        <v>970</v>
      </c>
      <c r="K706" s="7">
        <v>42748.047268518516</v>
      </c>
      <c r="L706" s="3" t="s">
        <v>970</v>
      </c>
      <c r="M706" s="7">
        <v>42748.047268518516</v>
      </c>
      <c r="N706" s="3" t="s">
        <v>970</v>
      </c>
      <c r="O706" s="16" t="str">
        <f>TEXT(DATEVALUE(LEFT(F706,10)),"mm-yyyy")</f>
        <v>05-2015</v>
      </c>
      <c r="P706" s="16">
        <f>H706*I706</f>
        <v>17.98</v>
      </c>
    </row>
    <row r="707" spans="3:16" x14ac:dyDescent="0.25">
      <c r="C707" t="str">
        <f>IF(COUNTBLANK(E707:N707) = 10,"",IF(AND(NOT(ISBLANK(E707)),COUNTBLANK(E707:N707) = 9),"3 Delete",IF(ISBLANK(E707),"2 Add",IF(JenkinsHashRange(E707:N707) = "432178146","0 Original","1 Modify"))))</f>
        <v>0 Original</v>
      </c>
      <c r="D707" s="3" t="s">
        <v>1413</v>
      </c>
      <c r="E707" s="5">
        <v>842</v>
      </c>
      <c r="F707" t="s">
        <v>1038</v>
      </c>
      <c r="G707" t="s">
        <v>743</v>
      </c>
      <c r="H707" s="9">
        <v>9.99</v>
      </c>
      <c r="I707" s="5">
        <v>2</v>
      </c>
      <c r="J707" s="7" t="s">
        <v>970</v>
      </c>
      <c r="K707" s="7">
        <v>42748.047268518516</v>
      </c>
      <c r="L707" s="3" t="s">
        <v>970</v>
      </c>
      <c r="M707" s="7">
        <v>42748.047268518516</v>
      </c>
      <c r="N707" s="3" t="s">
        <v>970</v>
      </c>
      <c r="O707" s="16" t="str">
        <f>TEXT(DATEVALUE(LEFT(F707,10)),"mm-yyyy")</f>
        <v>05-2015</v>
      </c>
      <c r="P707" s="16">
        <f>H707*I707</f>
        <v>19.98</v>
      </c>
    </row>
    <row r="708" spans="3:16" x14ac:dyDescent="0.25">
      <c r="C708" t="str">
        <f>IF(COUNTBLANK(E708:N708) = 10,"",IF(AND(NOT(ISBLANK(E708)),COUNTBLANK(E708:N708) = 9),"3 Delete",IF(ISBLANK(E708),"2 Add",IF(JenkinsHashRange(E708:N708) = "494547153","0 Original","1 Modify"))))</f>
        <v>0 Original</v>
      </c>
      <c r="D708" s="3" t="s">
        <v>1414</v>
      </c>
      <c r="E708" s="5">
        <v>843</v>
      </c>
      <c r="F708" t="s">
        <v>1038</v>
      </c>
      <c r="G708" t="s">
        <v>550</v>
      </c>
      <c r="H708" s="9">
        <v>8.99</v>
      </c>
      <c r="I708" s="5">
        <v>1</v>
      </c>
      <c r="J708" s="7" t="s">
        <v>970</v>
      </c>
      <c r="K708" s="7">
        <v>42748.047268518516</v>
      </c>
      <c r="L708" s="3" t="s">
        <v>970</v>
      </c>
      <c r="M708" s="7">
        <v>42748.047268518516</v>
      </c>
      <c r="N708" s="3" t="s">
        <v>970</v>
      </c>
      <c r="O708" s="16" t="str">
        <f>TEXT(DATEVALUE(LEFT(F708,10)),"mm-yyyy")</f>
        <v>05-2015</v>
      </c>
      <c r="P708" s="16">
        <f>H708*I708</f>
        <v>8.99</v>
      </c>
    </row>
    <row r="709" spans="3:16" x14ac:dyDescent="0.25">
      <c r="C709" t="str">
        <f>IF(COUNTBLANK(E709:N709) = 10,"",IF(AND(NOT(ISBLANK(E709)),COUNTBLANK(E709:N709) = 9),"3 Delete",IF(ISBLANK(E709),"2 Add",IF(JenkinsHashRange(E709:N709) = "284904792","0 Original","1 Modify"))))</f>
        <v>0 Original</v>
      </c>
      <c r="D709" s="3" t="s">
        <v>1415</v>
      </c>
      <c r="E709" s="5">
        <v>849</v>
      </c>
      <c r="F709" t="s">
        <v>1039</v>
      </c>
      <c r="G709" t="s">
        <v>686</v>
      </c>
      <c r="H709" s="9">
        <v>8.99</v>
      </c>
      <c r="I709" s="5">
        <v>1</v>
      </c>
      <c r="J709" s="7" t="s">
        <v>970</v>
      </c>
      <c r="K709" s="7">
        <v>42748.047268518516</v>
      </c>
      <c r="L709" s="3" t="s">
        <v>970</v>
      </c>
      <c r="M709" s="7">
        <v>42748.047268518516</v>
      </c>
      <c r="N709" s="3" t="s">
        <v>970</v>
      </c>
      <c r="O709" s="16" t="str">
        <f>TEXT(DATEVALUE(LEFT(F709,10)),"mm-yyyy")</f>
        <v>05-2015</v>
      </c>
      <c r="P709" s="16">
        <f>H709*I709</f>
        <v>8.99</v>
      </c>
    </row>
    <row r="710" spans="3:16" x14ac:dyDescent="0.25">
      <c r="C710" t="str">
        <f>IF(COUNTBLANK(E710:N710) = 10,"",IF(AND(NOT(ISBLANK(E710)),COUNTBLANK(E710:N710) = 9),"3 Delete",IF(ISBLANK(E710),"2 Add",IF(JenkinsHashRange(E710:N710) = "840006521","0 Original","1 Modify"))))</f>
        <v>0 Original</v>
      </c>
      <c r="D710" s="3" t="s">
        <v>1416</v>
      </c>
      <c r="E710" s="5">
        <v>850</v>
      </c>
      <c r="F710" t="s">
        <v>1039</v>
      </c>
      <c r="G710" t="s">
        <v>743</v>
      </c>
      <c r="H710" s="9">
        <v>9.99</v>
      </c>
      <c r="I710" s="5">
        <v>1</v>
      </c>
      <c r="J710" s="7" t="s">
        <v>970</v>
      </c>
      <c r="K710" s="7">
        <v>42748.047268518516</v>
      </c>
      <c r="L710" s="3" t="s">
        <v>970</v>
      </c>
      <c r="M710" s="7">
        <v>42748.047268518516</v>
      </c>
      <c r="N710" s="3" t="s">
        <v>970</v>
      </c>
      <c r="O710" s="16" t="str">
        <f>TEXT(DATEVALUE(LEFT(F710,10)),"mm-yyyy")</f>
        <v>05-2015</v>
      </c>
      <c r="P710" s="16">
        <f>H710*I710</f>
        <v>9.99</v>
      </c>
    </row>
    <row r="711" spans="3:16" x14ac:dyDescent="0.25">
      <c r="C711" t="str">
        <f>IF(COUNTBLANK(E711:N711) = 10,"",IF(AND(NOT(ISBLANK(E711)),COUNTBLANK(E711:N711) = 9),"3 Delete",IF(ISBLANK(E711),"2 Add",IF(JenkinsHashRange(E711:N711) = "1341424187","0 Original","1 Modify"))))</f>
        <v>0 Original</v>
      </c>
      <c r="D711" s="3" t="s">
        <v>1417</v>
      </c>
      <c r="E711" s="5">
        <v>851</v>
      </c>
      <c r="F711" t="s">
        <v>1039</v>
      </c>
      <c r="G711" t="s">
        <v>484</v>
      </c>
      <c r="H711" s="9">
        <v>6.99</v>
      </c>
      <c r="I711" s="5">
        <v>1</v>
      </c>
      <c r="J711" s="7" t="s">
        <v>970</v>
      </c>
      <c r="K711" s="7">
        <v>42748.047268518516</v>
      </c>
      <c r="L711" s="3" t="s">
        <v>970</v>
      </c>
      <c r="M711" s="7">
        <v>42748.047268518516</v>
      </c>
      <c r="N711" s="3" t="s">
        <v>970</v>
      </c>
      <c r="O711" s="16" t="str">
        <f>TEXT(DATEVALUE(LEFT(F711,10)),"mm-yyyy")</f>
        <v>05-2015</v>
      </c>
      <c r="P711" s="16">
        <f>H711*I711</f>
        <v>6.99</v>
      </c>
    </row>
    <row r="712" spans="3:16" x14ac:dyDescent="0.25">
      <c r="C712" t="str">
        <f>IF(COUNTBLANK(E712:N712) = 10,"",IF(AND(NOT(ISBLANK(E712)),COUNTBLANK(E712:N712) = 9),"3 Delete",IF(ISBLANK(E712),"2 Add",IF(JenkinsHashRange(E712:N712) = "1964471632","0 Original","1 Modify"))))</f>
        <v>0 Original</v>
      </c>
      <c r="D712" s="3" t="s">
        <v>1424</v>
      </c>
      <c r="E712" s="5">
        <v>893</v>
      </c>
      <c r="F712" t="s">
        <v>1042</v>
      </c>
      <c r="G712" t="s">
        <v>600</v>
      </c>
      <c r="H712" s="9">
        <v>7.99</v>
      </c>
      <c r="I712" s="5">
        <v>1</v>
      </c>
      <c r="J712" s="7" t="s">
        <v>970</v>
      </c>
      <c r="K712" s="7">
        <v>42748.047268518516</v>
      </c>
      <c r="L712" s="3" t="s">
        <v>970</v>
      </c>
      <c r="M712" s="7">
        <v>42748.047268518516</v>
      </c>
      <c r="N712" s="3" t="s">
        <v>970</v>
      </c>
      <c r="O712" s="16" t="str">
        <f>TEXT(DATEVALUE(LEFT(F712,10)),"mm-yyyy")</f>
        <v>05-2015</v>
      </c>
      <c r="P712" s="16">
        <f>H712*I712</f>
        <v>7.99</v>
      </c>
    </row>
    <row r="713" spans="3:16" x14ac:dyDescent="0.25">
      <c r="C713" t="str">
        <f>IF(COUNTBLANK(E713:N713) = 10,"",IF(AND(NOT(ISBLANK(E713)),COUNTBLANK(E713:N713) = 9),"3 Delete",IF(ISBLANK(E713),"2 Add",IF(JenkinsHashRange(E713:N713) = "1949282772","0 Original","1 Modify"))))</f>
        <v>0 Original</v>
      </c>
      <c r="D713" s="3" t="s">
        <v>1441</v>
      </c>
      <c r="E713" s="5">
        <v>958</v>
      </c>
      <c r="F713" t="s">
        <v>1046</v>
      </c>
      <c r="G713" t="s">
        <v>713</v>
      </c>
      <c r="H713" s="9">
        <v>6.99</v>
      </c>
      <c r="I713" s="5">
        <v>2</v>
      </c>
      <c r="J713" s="7" t="s">
        <v>970</v>
      </c>
      <c r="K713" s="7">
        <v>42748.047268518516</v>
      </c>
      <c r="L713" s="3" t="s">
        <v>970</v>
      </c>
      <c r="M713" s="7">
        <v>42748.047268518516</v>
      </c>
      <c r="N713" s="3" t="s">
        <v>970</v>
      </c>
      <c r="O713" s="16" t="str">
        <f>TEXT(DATEVALUE(LEFT(F713,10)),"mm-yyyy")</f>
        <v>05-2015</v>
      </c>
      <c r="P713" s="16">
        <f>H713*I713</f>
        <v>13.98</v>
      </c>
    </row>
    <row r="714" spans="3:16" x14ac:dyDescent="0.25">
      <c r="C714" t="str">
        <f>IF(COUNTBLANK(E714:N714) = 10,"",IF(AND(NOT(ISBLANK(E714)),COUNTBLANK(E714:N714) = 9),"3 Delete",IF(ISBLANK(E714),"2 Add",IF(JenkinsHashRange(E714:N714) = "610783453","0 Original","1 Modify"))))</f>
        <v>0 Original</v>
      </c>
      <c r="D714" s="3" t="s">
        <v>1442</v>
      </c>
      <c r="E714" s="5">
        <v>959</v>
      </c>
      <c r="F714" t="s">
        <v>1046</v>
      </c>
      <c r="G714" t="s">
        <v>550</v>
      </c>
      <c r="H714" s="9">
        <v>8.99</v>
      </c>
      <c r="I714" s="5">
        <v>2</v>
      </c>
      <c r="J714" s="7" t="s">
        <v>970</v>
      </c>
      <c r="K714" s="7">
        <v>42748.047268518516</v>
      </c>
      <c r="L714" s="3" t="s">
        <v>970</v>
      </c>
      <c r="M714" s="7">
        <v>42748.047268518516</v>
      </c>
      <c r="N714" s="3" t="s">
        <v>970</v>
      </c>
      <c r="O714" s="16" t="str">
        <f>TEXT(DATEVALUE(LEFT(F714,10)),"mm-yyyy")</f>
        <v>05-2015</v>
      </c>
      <c r="P714" s="16">
        <f>H714*I714</f>
        <v>17.98</v>
      </c>
    </row>
    <row r="715" spans="3:16" x14ac:dyDescent="0.25">
      <c r="C715" t="str">
        <f>IF(COUNTBLANK(E715:N715) = 10,"",IF(AND(NOT(ISBLANK(E715)),COUNTBLANK(E715:N715) = 9),"3 Delete",IF(ISBLANK(E715),"2 Add",IF(JenkinsHashRange(E715:N715) = "684159355","0 Original","1 Modify"))))</f>
        <v>0 Original</v>
      </c>
      <c r="D715" s="3" t="s">
        <v>1443</v>
      </c>
      <c r="E715" s="5">
        <v>960</v>
      </c>
      <c r="F715" t="s">
        <v>1046</v>
      </c>
      <c r="G715" t="s">
        <v>797</v>
      </c>
      <c r="H715" s="9">
        <v>5.99</v>
      </c>
      <c r="I715" s="5">
        <v>1</v>
      </c>
      <c r="J715" s="7" t="s">
        <v>970</v>
      </c>
      <c r="K715" s="7">
        <v>42748.047268518516</v>
      </c>
      <c r="L715" s="3" t="s">
        <v>970</v>
      </c>
      <c r="M715" s="7">
        <v>42748.047268518516</v>
      </c>
      <c r="N715" s="3" t="s">
        <v>970</v>
      </c>
      <c r="O715" s="16" t="str">
        <f>TEXT(DATEVALUE(LEFT(F715,10)),"mm-yyyy")</f>
        <v>05-2015</v>
      </c>
      <c r="P715" s="16">
        <f>H715*I715</f>
        <v>5.99</v>
      </c>
    </row>
    <row r="716" spans="3:16" x14ac:dyDescent="0.25">
      <c r="C716" t="str">
        <f>IF(COUNTBLANK(E716:N716) = 10,"",IF(AND(NOT(ISBLANK(E716)),COUNTBLANK(E716:N716) = 9),"3 Delete",IF(ISBLANK(E716),"2 Add",IF(JenkinsHashRange(E716:N716) = "495864659","0 Original","1 Modify"))))</f>
        <v>0 Original</v>
      </c>
      <c r="D716" s="3" t="s">
        <v>1447</v>
      </c>
      <c r="E716" s="5">
        <v>1069</v>
      </c>
      <c r="F716" t="s">
        <v>1050</v>
      </c>
      <c r="G716" t="s">
        <v>390</v>
      </c>
      <c r="H716" s="9">
        <v>4.99</v>
      </c>
      <c r="I716" s="5">
        <v>2</v>
      </c>
      <c r="J716" s="7" t="s">
        <v>970</v>
      </c>
      <c r="K716" s="7">
        <v>42748.047268518516</v>
      </c>
      <c r="L716" s="3" t="s">
        <v>970</v>
      </c>
      <c r="M716" s="7">
        <v>42748.047268518516</v>
      </c>
      <c r="N716" s="3" t="s">
        <v>970</v>
      </c>
      <c r="O716" s="16" t="str">
        <f>TEXT(DATEVALUE(LEFT(F716,10)),"mm-yyyy")</f>
        <v>05-2015</v>
      </c>
      <c r="P716" s="16">
        <f>H716*I716</f>
        <v>9.98</v>
      </c>
    </row>
    <row r="717" spans="3:16" x14ac:dyDescent="0.25">
      <c r="C717" t="str">
        <f>IF(COUNTBLANK(E717:N717) = 10,"",IF(AND(NOT(ISBLANK(E717)),COUNTBLANK(E717:N717) = 9),"3 Delete",IF(ISBLANK(E717),"2 Add",IF(JenkinsHashRange(E717:N717) = "790928258","0 Original","1 Modify"))))</f>
        <v>0 Original</v>
      </c>
      <c r="D717" s="3" t="s">
        <v>1448</v>
      </c>
      <c r="E717" s="5">
        <v>1070</v>
      </c>
      <c r="F717" t="s">
        <v>1050</v>
      </c>
      <c r="G717" t="s">
        <v>397</v>
      </c>
      <c r="H717" s="9">
        <v>5.99</v>
      </c>
      <c r="I717" s="5">
        <v>2</v>
      </c>
      <c r="J717" s="7" t="s">
        <v>970</v>
      </c>
      <c r="K717" s="7">
        <v>42748.047268518516</v>
      </c>
      <c r="L717" s="3" t="s">
        <v>970</v>
      </c>
      <c r="M717" s="7">
        <v>42748.047268518516</v>
      </c>
      <c r="N717" s="3" t="s">
        <v>970</v>
      </c>
      <c r="O717" s="16" t="str">
        <f>TEXT(DATEVALUE(LEFT(F717,10)),"mm-yyyy")</f>
        <v>05-2015</v>
      </c>
      <c r="P717" s="16">
        <f>H717*I717</f>
        <v>11.98</v>
      </c>
    </row>
    <row r="718" spans="3:16" x14ac:dyDescent="0.25">
      <c r="C718" t="str">
        <f>IF(COUNTBLANK(E718:N718) = 10,"",IF(AND(NOT(ISBLANK(E718)),COUNTBLANK(E718:N718) = 9),"3 Delete",IF(ISBLANK(E718),"2 Add",IF(JenkinsHashRange(E718:N718) = "510582929","0 Original","1 Modify"))))</f>
        <v>0 Original</v>
      </c>
      <c r="D718" s="3" t="s">
        <v>1449</v>
      </c>
      <c r="E718" s="5">
        <v>1071</v>
      </c>
      <c r="F718" t="s">
        <v>1050</v>
      </c>
      <c r="G718" t="s">
        <v>920</v>
      </c>
      <c r="H718" s="9">
        <v>5.99</v>
      </c>
      <c r="I718" s="5">
        <v>1</v>
      </c>
      <c r="J718" s="7" t="s">
        <v>970</v>
      </c>
      <c r="K718" s="7">
        <v>42748.047268518516</v>
      </c>
      <c r="L718" s="3" t="s">
        <v>970</v>
      </c>
      <c r="M718" s="7">
        <v>42748.047268518516</v>
      </c>
      <c r="N718" s="3" t="s">
        <v>970</v>
      </c>
      <c r="O718" s="16" t="str">
        <f>TEXT(DATEVALUE(LEFT(F718,10)),"mm-yyyy")</f>
        <v>05-2015</v>
      </c>
      <c r="P718" s="16">
        <f>H718*I718</f>
        <v>5.99</v>
      </c>
    </row>
    <row r="719" spans="3:16" x14ac:dyDescent="0.25">
      <c r="C719" t="str">
        <f>IF(COUNTBLANK(E719:N719) = 10,"",IF(AND(NOT(ISBLANK(E719)),COUNTBLANK(E719:N719) = 9),"3 Delete",IF(ISBLANK(E719),"2 Add",IF(JenkinsHashRange(E719:N719) = "1128462211","0 Original","1 Modify"))))</f>
        <v>0 Original</v>
      </c>
      <c r="D719" s="3" t="s">
        <v>1450</v>
      </c>
      <c r="E719" s="5">
        <v>1072</v>
      </c>
      <c r="F719" t="s">
        <v>1050</v>
      </c>
      <c r="G719" t="s">
        <v>772</v>
      </c>
      <c r="H719" s="9">
        <v>4.99</v>
      </c>
      <c r="I719" s="5">
        <v>1</v>
      </c>
      <c r="J719" s="7" t="s">
        <v>970</v>
      </c>
      <c r="K719" s="7">
        <v>42748.047268518516</v>
      </c>
      <c r="L719" s="3" t="s">
        <v>970</v>
      </c>
      <c r="M719" s="7">
        <v>42748.047268518516</v>
      </c>
      <c r="N719" s="3" t="s">
        <v>970</v>
      </c>
      <c r="O719" s="16" t="str">
        <f>TEXT(DATEVALUE(LEFT(F719,10)),"mm-yyyy")</f>
        <v>05-2015</v>
      </c>
      <c r="P719" s="16">
        <f>H719*I719</f>
        <v>4.99</v>
      </c>
    </row>
    <row r="720" spans="3:16" x14ac:dyDescent="0.25">
      <c r="C720" t="str">
        <f>IF(COUNTBLANK(E720:N720) = 10,"",IF(AND(NOT(ISBLANK(E720)),COUNTBLANK(E720:N720) = 9),"3 Delete",IF(ISBLANK(E720),"2 Add",IF(JenkinsHashRange(E720:N720) = "1354095937","0 Original","1 Modify"))))</f>
        <v>0 Original</v>
      </c>
      <c r="D720" s="3" t="s">
        <v>1451</v>
      </c>
      <c r="E720" s="5">
        <v>1073</v>
      </c>
      <c r="F720" t="s">
        <v>1050</v>
      </c>
      <c r="G720" t="s">
        <v>850</v>
      </c>
      <c r="H720" s="9">
        <v>7.99</v>
      </c>
      <c r="I720" s="5">
        <v>1</v>
      </c>
      <c r="J720" s="7" t="s">
        <v>970</v>
      </c>
      <c r="K720" s="7">
        <v>42748.047268518516</v>
      </c>
      <c r="L720" s="3" t="s">
        <v>970</v>
      </c>
      <c r="M720" s="7">
        <v>42748.047268518516</v>
      </c>
      <c r="N720" s="3" t="s">
        <v>970</v>
      </c>
      <c r="O720" s="16" t="str">
        <f>TEXT(DATEVALUE(LEFT(F720,10)),"mm-yyyy")</f>
        <v>05-2015</v>
      </c>
      <c r="P720" s="16">
        <f>H720*I720</f>
        <v>7.99</v>
      </c>
    </row>
    <row r="721" spans="3:16" x14ac:dyDescent="0.25">
      <c r="C721" t="str">
        <f>IF(COUNTBLANK(E721:N721) = 10,"",IF(AND(NOT(ISBLANK(E721)),COUNTBLANK(E721:N721) = 9),"3 Delete",IF(ISBLANK(E721),"2 Add",IF(JenkinsHashRange(E721:N721) = "220786069","0 Original","1 Modify"))))</f>
        <v>0 Original</v>
      </c>
      <c r="D721" s="3" t="s">
        <v>1452</v>
      </c>
      <c r="E721" s="5">
        <v>1074</v>
      </c>
      <c r="F721" t="s">
        <v>1050</v>
      </c>
      <c r="G721" t="s">
        <v>643</v>
      </c>
      <c r="H721" s="9">
        <v>4.99</v>
      </c>
      <c r="I721" s="5">
        <v>1</v>
      </c>
      <c r="J721" s="7" t="s">
        <v>970</v>
      </c>
      <c r="K721" s="7">
        <v>42748.047268518516</v>
      </c>
      <c r="L721" s="3" t="s">
        <v>970</v>
      </c>
      <c r="M721" s="7">
        <v>42748.047268518516</v>
      </c>
      <c r="N721" s="3" t="s">
        <v>970</v>
      </c>
      <c r="O721" s="16" t="str">
        <f>TEXT(DATEVALUE(LEFT(F721,10)),"mm-yyyy")</f>
        <v>05-2015</v>
      </c>
      <c r="P721" s="16">
        <f>H721*I721</f>
        <v>4.99</v>
      </c>
    </row>
    <row r="722" spans="3:16" x14ac:dyDescent="0.25">
      <c r="C722" t="str">
        <f>IF(COUNTBLANK(E722:N722) = 10,"",IF(AND(NOT(ISBLANK(E722)),COUNTBLANK(E722:N722) = 9),"3 Delete",IF(ISBLANK(E722),"2 Add",IF(JenkinsHashRange(E722:N722) = "1506599116","0 Original","1 Modify"))))</f>
        <v>0 Original</v>
      </c>
      <c r="D722" s="3" t="s">
        <v>1453</v>
      </c>
      <c r="E722" s="5">
        <v>1085</v>
      </c>
      <c r="F722" t="s">
        <v>1051</v>
      </c>
      <c r="G722" t="s">
        <v>804</v>
      </c>
      <c r="H722" s="9">
        <v>4.99</v>
      </c>
      <c r="I722" s="5">
        <v>2</v>
      </c>
      <c r="J722" s="7" t="s">
        <v>970</v>
      </c>
      <c r="K722" s="7">
        <v>42748.047268518516</v>
      </c>
      <c r="L722" s="3" t="s">
        <v>970</v>
      </c>
      <c r="M722" s="7">
        <v>42748.047268518516</v>
      </c>
      <c r="N722" s="3" t="s">
        <v>970</v>
      </c>
      <c r="O722" s="16" t="str">
        <f>TEXT(DATEVALUE(LEFT(F722,10)),"mm-yyyy")</f>
        <v>05-2015</v>
      </c>
      <c r="P722" s="16">
        <f>H722*I722</f>
        <v>9.98</v>
      </c>
    </row>
    <row r="723" spans="3:16" x14ac:dyDescent="0.25">
      <c r="C723" t="str">
        <f>IF(COUNTBLANK(E723:N723) = 10,"",IF(AND(NOT(ISBLANK(E723)),COUNTBLANK(E723:N723) = 9),"3 Delete",IF(ISBLANK(E723),"2 Add",IF(JenkinsHashRange(E723:N723) = "49945634","0 Original","1 Modify"))))</f>
        <v>0 Original</v>
      </c>
      <c r="D723" s="3" t="s">
        <v>1454</v>
      </c>
      <c r="E723" s="5">
        <v>1086</v>
      </c>
      <c r="F723" t="s">
        <v>1051</v>
      </c>
      <c r="G723" t="s">
        <v>397</v>
      </c>
      <c r="H723" s="9">
        <v>5.99</v>
      </c>
      <c r="I723" s="5">
        <v>2</v>
      </c>
      <c r="J723" s="7" t="s">
        <v>970</v>
      </c>
      <c r="K723" s="7">
        <v>42748.047268518516</v>
      </c>
      <c r="L723" s="3" t="s">
        <v>970</v>
      </c>
      <c r="M723" s="7">
        <v>42748.047268518516</v>
      </c>
      <c r="N723" s="3" t="s">
        <v>970</v>
      </c>
      <c r="O723" s="16" t="str">
        <f>TEXT(DATEVALUE(LEFT(F723,10)),"mm-yyyy")</f>
        <v>05-2015</v>
      </c>
      <c r="P723" s="16">
        <f>H723*I723</f>
        <v>11.98</v>
      </c>
    </row>
    <row r="724" spans="3:16" x14ac:dyDescent="0.25">
      <c r="C724" t="str">
        <f>IF(COUNTBLANK(E724:N724) = 10,"",IF(AND(NOT(ISBLANK(E724)),COUNTBLANK(E724:N724) = 9),"3 Delete",IF(ISBLANK(E724),"2 Add",IF(JenkinsHashRange(E724:N724) = "1422008083","0 Original","1 Modify"))))</f>
        <v>0 Original</v>
      </c>
      <c r="D724" s="3" t="s">
        <v>1455</v>
      </c>
      <c r="E724" s="5">
        <v>1087</v>
      </c>
      <c r="F724" t="s">
        <v>1051</v>
      </c>
      <c r="G724" t="s">
        <v>443</v>
      </c>
      <c r="H724" s="9">
        <v>6.99</v>
      </c>
      <c r="I724" s="5">
        <v>1</v>
      </c>
      <c r="J724" s="7" t="s">
        <v>970</v>
      </c>
      <c r="K724" s="7">
        <v>42748.047268518516</v>
      </c>
      <c r="L724" s="3" t="s">
        <v>970</v>
      </c>
      <c r="M724" s="7">
        <v>42748.047268518516</v>
      </c>
      <c r="N724" s="3" t="s">
        <v>970</v>
      </c>
      <c r="O724" s="16" t="str">
        <f>TEXT(DATEVALUE(LEFT(F724,10)),"mm-yyyy")</f>
        <v>05-2015</v>
      </c>
      <c r="P724" s="16">
        <f>H724*I724</f>
        <v>6.99</v>
      </c>
    </row>
    <row r="725" spans="3:16" x14ac:dyDescent="0.25">
      <c r="C725" t="str">
        <f>IF(COUNTBLANK(E725:N725) = 10,"",IF(AND(NOT(ISBLANK(E725)),COUNTBLANK(E725:N725) = 9),"3 Delete",IF(ISBLANK(E725),"2 Add",IF(JenkinsHashRange(E725:N725) = "2142043957","0 Original","1 Modify"))))</f>
        <v>0 Original</v>
      </c>
      <c r="D725" s="3" t="s">
        <v>1456</v>
      </c>
      <c r="E725" s="5">
        <v>1088</v>
      </c>
      <c r="F725" t="s">
        <v>1051</v>
      </c>
      <c r="G725" t="s">
        <v>920</v>
      </c>
      <c r="H725" s="9">
        <v>5.99</v>
      </c>
      <c r="I725" s="5">
        <v>1</v>
      </c>
      <c r="J725" s="7" t="s">
        <v>970</v>
      </c>
      <c r="K725" s="7">
        <v>42748.047268518516</v>
      </c>
      <c r="L725" s="3" t="s">
        <v>970</v>
      </c>
      <c r="M725" s="7">
        <v>42748.047268518516</v>
      </c>
      <c r="N725" s="3" t="s">
        <v>970</v>
      </c>
      <c r="O725" s="16" t="str">
        <f>TEXT(DATEVALUE(LEFT(F725,10)),"mm-yyyy")</f>
        <v>05-2015</v>
      </c>
      <c r="P725" s="16">
        <f>H725*I725</f>
        <v>5.99</v>
      </c>
    </row>
    <row r="726" spans="3:16" x14ac:dyDescent="0.25">
      <c r="C726" t="str">
        <f>IF(COUNTBLANK(E726:N726) = 10,"",IF(AND(NOT(ISBLANK(E726)),COUNTBLANK(E726:N726) = 9),"3 Delete",IF(ISBLANK(E726),"2 Add",IF(JenkinsHashRange(E726:N726) = "1694127937","0 Original","1 Modify"))))</f>
        <v>0 Original</v>
      </c>
      <c r="D726" s="3" t="s">
        <v>1480</v>
      </c>
      <c r="E726" s="5">
        <v>1177</v>
      </c>
      <c r="F726" t="s">
        <v>1059</v>
      </c>
      <c r="G726" t="s">
        <v>631</v>
      </c>
      <c r="H726" s="9">
        <v>8.99</v>
      </c>
      <c r="I726" s="5">
        <v>2</v>
      </c>
      <c r="J726" s="7" t="s">
        <v>970</v>
      </c>
      <c r="K726" s="7">
        <v>42748.047268518516</v>
      </c>
      <c r="L726" s="3" t="s">
        <v>970</v>
      </c>
      <c r="M726" s="7">
        <v>42748.047268518516</v>
      </c>
      <c r="N726" s="3" t="s">
        <v>970</v>
      </c>
      <c r="O726" s="16" t="str">
        <f>TEXT(DATEVALUE(LEFT(F726,10)),"mm-yyyy")</f>
        <v>05-2015</v>
      </c>
      <c r="P726" s="16">
        <f>H726*I726</f>
        <v>17.98</v>
      </c>
    </row>
    <row r="727" spans="3:16" x14ac:dyDescent="0.25">
      <c r="C727" t="str">
        <f>IF(COUNTBLANK(E727:N727) = 10,"",IF(AND(NOT(ISBLANK(E727)),COUNTBLANK(E727:N727) = 9),"3 Delete",IF(ISBLANK(E727),"2 Add",IF(JenkinsHashRange(E727:N727) = "2065970478","0 Original","1 Modify"))))</f>
        <v>0 Original</v>
      </c>
      <c r="D727" s="3" t="s">
        <v>1481</v>
      </c>
      <c r="E727" s="5">
        <v>1178</v>
      </c>
      <c r="F727" t="s">
        <v>1059</v>
      </c>
      <c r="G727" t="s">
        <v>390</v>
      </c>
      <c r="H727" s="9">
        <v>4.99</v>
      </c>
      <c r="I727" s="5">
        <v>1</v>
      </c>
      <c r="J727" s="7" t="s">
        <v>970</v>
      </c>
      <c r="K727" s="7">
        <v>42748.047268518516</v>
      </c>
      <c r="L727" s="3" t="s">
        <v>970</v>
      </c>
      <c r="M727" s="7">
        <v>42748.047268518516</v>
      </c>
      <c r="N727" s="3" t="s">
        <v>970</v>
      </c>
      <c r="O727" s="16" t="str">
        <f>TEXT(DATEVALUE(LEFT(F727,10)),"mm-yyyy")</f>
        <v>05-2015</v>
      </c>
      <c r="P727" s="16">
        <f>H727*I727</f>
        <v>4.99</v>
      </c>
    </row>
    <row r="728" spans="3:16" x14ac:dyDescent="0.25">
      <c r="C728" t="str">
        <f>IF(COUNTBLANK(E728:N728) = 10,"",IF(AND(NOT(ISBLANK(E728)),COUNTBLANK(E728:N728) = 9),"3 Delete",IF(ISBLANK(E728),"2 Add",IF(JenkinsHashRange(E728:N728) = "425257922","0 Original","1 Modify"))))</f>
        <v>0 Original</v>
      </c>
      <c r="D728" s="3" t="s">
        <v>1482</v>
      </c>
      <c r="E728" s="5">
        <v>1179</v>
      </c>
      <c r="F728" t="s">
        <v>1059</v>
      </c>
      <c r="G728" t="s">
        <v>945</v>
      </c>
      <c r="H728" s="9">
        <v>7.99</v>
      </c>
      <c r="I728" s="5">
        <v>1</v>
      </c>
      <c r="J728" s="7" t="s">
        <v>970</v>
      </c>
      <c r="K728" s="7">
        <v>42748.047268518516</v>
      </c>
      <c r="L728" s="3" t="s">
        <v>970</v>
      </c>
      <c r="M728" s="7">
        <v>42748.047268518516</v>
      </c>
      <c r="N728" s="3" t="s">
        <v>970</v>
      </c>
      <c r="O728" s="16" t="str">
        <f>TEXT(DATEVALUE(LEFT(F728,10)),"mm-yyyy")</f>
        <v>05-2015</v>
      </c>
      <c r="P728" s="16">
        <f>H728*I728</f>
        <v>7.99</v>
      </c>
    </row>
    <row r="729" spans="3:16" x14ac:dyDescent="0.25">
      <c r="C729" t="str">
        <f>IF(COUNTBLANK(E729:N729) = 10,"",IF(AND(NOT(ISBLANK(E729)),COUNTBLANK(E729:N729) = 9),"3 Delete",IF(ISBLANK(E729),"2 Add",IF(JenkinsHashRange(E729:N729) = "1282792720","0 Original","1 Modify"))))</f>
        <v>0 Original</v>
      </c>
      <c r="D729" s="3" t="s">
        <v>1496</v>
      </c>
      <c r="E729" s="5">
        <v>1234</v>
      </c>
      <c r="F729" t="s">
        <v>1063</v>
      </c>
      <c r="G729" t="s">
        <v>553</v>
      </c>
      <c r="H729" s="9">
        <v>9.99</v>
      </c>
      <c r="I729" s="5">
        <v>1</v>
      </c>
      <c r="J729" s="7" t="s">
        <v>970</v>
      </c>
      <c r="K729" s="7">
        <v>42748.047268518516</v>
      </c>
      <c r="L729" s="3" t="s">
        <v>970</v>
      </c>
      <c r="M729" s="7">
        <v>42748.047268518516</v>
      </c>
      <c r="N729" s="3" t="s">
        <v>970</v>
      </c>
      <c r="O729" s="16" t="str">
        <f>TEXT(DATEVALUE(LEFT(F729,10)),"mm-yyyy")</f>
        <v>05-2015</v>
      </c>
      <c r="P729" s="16">
        <f>H729*I729</f>
        <v>9.99</v>
      </c>
    </row>
    <row r="730" spans="3:16" x14ac:dyDescent="0.25">
      <c r="C730" t="str">
        <f>IF(COUNTBLANK(E730:N730) = 10,"",IF(AND(NOT(ISBLANK(E730)),COUNTBLANK(E730:N730) = 9),"3 Delete",IF(ISBLANK(E730),"2 Add",IF(JenkinsHashRange(E730:N730) = "1489778743","0 Original","1 Modify"))))</f>
        <v>0 Original</v>
      </c>
      <c r="D730" s="3" t="s">
        <v>1497</v>
      </c>
      <c r="E730" s="5">
        <v>1235</v>
      </c>
      <c r="F730" t="s">
        <v>1063</v>
      </c>
      <c r="G730" t="s">
        <v>397</v>
      </c>
      <c r="H730" s="9">
        <v>5.99</v>
      </c>
      <c r="I730" s="5">
        <v>2</v>
      </c>
      <c r="J730" s="7" t="s">
        <v>970</v>
      </c>
      <c r="K730" s="7">
        <v>42748.047268518516</v>
      </c>
      <c r="L730" s="3" t="s">
        <v>970</v>
      </c>
      <c r="M730" s="7">
        <v>42748.047268518516</v>
      </c>
      <c r="N730" s="3" t="s">
        <v>970</v>
      </c>
      <c r="O730" s="16" t="str">
        <f>TEXT(DATEVALUE(LEFT(F730,10)),"mm-yyyy")</f>
        <v>05-2015</v>
      </c>
      <c r="P730" s="16">
        <f>H730*I730</f>
        <v>11.98</v>
      </c>
    </row>
    <row r="731" spans="3:16" x14ac:dyDescent="0.25">
      <c r="C731" t="str">
        <f>IF(COUNTBLANK(E731:N731) = 10,"",IF(AND(NOT(ISBLANK(E731)),COUNTBLANK(E731:N731) = 9),"3 Delete",IF(ISBLANK(E731),"2 Add",IF(JenkinsHashRange(E731:N731) = "1483693934","0 Original","1 Modify"))))</f>
        <v>0 Original</v>
      </c>
      <c r="D731" s="3" t="s">
        <v>1498</v>
      </c>
      <c r="E731" s="5">
        <v>1236</v>
      </c>
      <c r="F731" t="s">
        <v>1063</v>
      </c>
      <c r="G731" t="s">
        <v>840</v>
      </c>
      <c r="H731" s="9">
        <v>9.99</v>
      </c>
      <c r="I731" s="5">
        <v>1</v>
      </c>
      <c r="J731" s="7" t="s">
        <v>970</v>
      </c>
      <c r="K731" s="7">
        <v>42748.047268518516</v>
      </c>
      <c r="L731" s="3" t="s">
        <v>970</v>
      </c>
      <c r="M731" s="7">
        <v>42748.047268518516</v>
      </c>
      <c r="N731" s="3" t="s">
        <v>970</v>
      </c>
      <c r="O731" s="16" t="str">
        <f>TEXT(DATEVALUE(LEFT(F731,10)),"mm-yyyy")</f>
        <v>05-2015</v>
      </c>
      <c r="P731" s="16">
        <f>H731*I731</f>
        <v>9.99</v>
      </c>
    </row>
    <row r="732" spans="3:16" x14ac:dyDescent="0.25">
      <c r="C732" t="str">
        <f>IF(COUNTBLANK(E732:N732) = 10,"",IF(AND(NOT(ISBLANK(E732)),COUNTBLANK(E732:N732) = 9),"3 Delete",IF(ISBLANK(E732),"2 Add",IF(JenkinsHashRange(E732:N732) = "919384732","0 Original","1 Modify"))))</f>
        <v>0 Original</v>
      </c>
      <c r="D732" s="3" t="s">
        <v>1499</v>
      </c>
      <c r="E732" s="5">
        <v>1237</v>
      </c>
      <c r="F732" t="s">
        <v>1064</v>
      </c>
      <c r="G732" t="s">
        <v>696</v>
      </c>
      <c r="H732" s="9">
        <v>4.99</v>
      </c>
      <c r="I732" s="5">
        <v>1</v>
      </c>
      <c r="J732" s="7" t="s">
        <v>970</v>
      </c>
      <c r="K732" s="7">
        <v>42748.047268518516</v>
      </c>
      <c r="L732" s="3" t="s">
        <v>970</v>
      </c>
      <c r="M732" s="7">
        <v>42748.047268518516</v>
      </c>
      <c r="N732" s="3" t="s">
        <v>970</v>
      </c>
      <c r="O732" s="16" t="str">
        <f>TEXT(DATEVALUE(LEFT(F732,10)),"mm-yyyy")</f>
        <v>05-2015</v>
      </c>
      <c r="P732" s="16">
        <f>H732*I732</f>
        <v>4.99</v>
      </c>
    </row>
    <row r="733" spans="3:16" x14ac:dyDescent="0.25">
      <c r="C733" t="str">
        <f>IF(COUNTBLANK(E733:N733) = 10,"",IF(AND(NOT(ISBLANK(E733)),COUNTBLANK(E733:N733) = 9),"3 Delete",IF(ISBLANK(E733),"2 Add",IF(JenkinsHashRange(E733:N733) = "2141200588","0 Original","1 Modify"))))</f>
        <v>0 Original</v>
      </c>
      <c r="D733" s="3" t="s">
        <v>1500</v>
      </c>
      <c r="E733" s="5">
        <v>1238</v>
      </c>
      <c r="F733" t="s">
        <v>1064</v>
      </c>
      <c r="G733" t="s">
        <v>864</v>
      </c>
      <c r="H733" s="9">
        <v>6.99</v>
      </c>
      <c r="I733" s="5">
        <v>2</v>
      </c>
      <c r="J733" s="7" t="s">
        <v>970</v>
      </c>
      <c r="K733" s="7">
        <v>42748.047268518516</v>
      </c>
      <c r="L733" s="3" t="s">
        <v>970</v>
      </c>
      <c r="M733" s="7">
        <v>42748.047268518516</v>
      </c>
      <c r="N733" s="3" t="s">
        <v>970</v>
      </c>
      <c r="O733" s="16" t="str">
        <f>TEXT(DATEVALUE(LEFT(F733,10)),"mm-yyyy")</f>
        <v>05-2015</v>
      </c>
      <c r="P733" s="16">
        <f>H733*I733</f>
        <v>13.98</v>
      </c>
    </row>
    <row r="734" spans="3:16" x14ac:dyDescent="0.25">
      <c r="C734" t="str">
        <f>IF(COUNTBLANK(E734:N734) = 10,"",IF(AND(NOT(ISBLANK(E734)),COUNTBLANK(E734:N734) = 9),"3 Delete",IF(ISBLANK(E734),"2 Add",IF(JenkinsHashRange(E734:N734) = "1628067661","0 Original","1 Modify"))))</f>
        <v>0 Original</v>
      </c>
      <c r="D734" s="3" t="s">
        <v>1501</v>
      </c>
      <c r="E734" s="5">
        <v>1243</v>
      </c>
      <c r="F734" t="s">
        <v>1065</v>
      </c>
      <c r="G734" t="s">
        <v>945</v>
      </c>
      <c r="H734" s="9">
        <v>7.99</v>
      </c>
      <c r="I734" s="5">
        <v>1</v>
      </c>
      <c r="J734" s="7" t="s">
        <v>970</v>
      </c>
      <c r="K734" s="7">
        <v>42748.047268518516</v>
      </c>
      <c r="L734" s="3" t="s">
        <v>970</v>
      </c>
      <c r="M734" s="7">
        <v>42748.047268518516</v>
      </c>
      <c r="N734" s="3" t="s">
        <v>970</v>
      </c>
      <c r="O734" s="16" t="str">
        <f>TEXT(DATEVALUE(LEFT(F734,10)),"mm-yyyy")</f>
        <v>05-2015</v>
      </c>
      <c r="P734" s="16">
        <f>H734*I734</f>
        <v>7.99</v>
      </c>
    </row>
    <row r="735" spans="3:16" x14ac:dyDescent="0.25">
      <c r="C735" t="str">
        <f>IF(COUNTBLANK(E735:N735) = 10,"",IF(AND(NOT(ISBLANK(E735)),COUNTBLANK(E735:N735) = 9),"3 Delete",IF(ISBLANK(E735),"2 Add",IF(JenkinsHashRange(E735:N735) = "2050587319","0 Original","1 Modify"))))</f>
        <v>0 Original</v>
      </c>
      <c r="D735" s="3" t="s">
        <v>1502</v>
      </c>
      <c r="E735" s="5">
        <v>1244</v>
      </c>
      <c r="F735" t="s">
        <v>1065</v>
      </c>
      <c r="G735" t="s">
        <v>649</v>
      </c>
      <c r="H735" s="9">
        <v>5.99</v>
      </c>
      <c r="I735" s="5">
        <v>1</v>
      </c>
      <c r="J735" s="7" t="s">
        <v>970</v>
      </c>
      <c r="K735" s="7">
        <v>42748.047268518516</v>
      </c>
      <c r="L735" s="3" t="s">
        <v>970</v>
      </c>
      <c r="M735" s="7">
        <v>42748.047268518516</v>
      </c>
      <c r="N735" s="3" t="s">
        <v>970</v>
      </c>
      <c r="O735" s="16" t="str">
        <f>TEXT(DATEVALUE(LEFT(F735,10)),"mm-yyyy")</f>
        <v>05-2015</v>
      </c>
      <c r="P735" s="16">
        <f>H735*I735</f>
        <v>5.99</v>
      </c>
    </row>
    <row r="736" spans="3:16" x14ac:dyDescent="0.25">
      <c r="C736" t="str">
        <f>IF(COUNTBLANK(E736:N736) = 10,"",IF(AND(NOT(ISBLANK(E736)),COUNTBLANK(E736:N736) = 9),"3 Delete",IF(ISBLANK(E736),"2 Add",IF(JenkinsHashRange(E736:N736) = "1619118609","0 Original","1 Modify"))))</f>
        <v>0 Original</v>
      </c>
      <c r="D736" s="3" t="s">
        <v>1503</v>
      </c>
      <c r="E736" s="5">
        <v>1245</v>
      </c>
      <c r="F736" t="s">
        <v>1065</v>
      </c>
      <c r="G736" t="s">
        <v>880</v>
      </c>
      <c r="H736" s="9">
        <v>6.99</v>
      </c>
      <c r="I736" s="5">
        <v>1</v>
      </c>
      <c r="J736" s="7" t="s">
        <v>970</v>
      </c>
      <c r="K736" s="7">
        <v>42748.047268518516</v>
      </c>
      <c r="L736" s="3" t="s">
        <v>970</v>
      </c>
      <c r="M736" s="7">
        <v>42748.047268518516</v>
      </c>
      <c r="N736" s="3" t="s">
        <v>970</v>
      </c>
      <c r="O736" s="16" t="str">
        <f>TEXT(DATEVALUE(LEFT(F736,10)),"mm-yyyy")</f>
        <v>05-2015</v>
      </c>
      <c r="P736" s="16">
        <f>H736*I736</f>
        <v>6.99</v>
      </c>
    </row>
    <row r="737" spans="3:16" x14ac:dyDescent="0.25">
      <c r="C737" t="str">
        <f>IF(COUNTBLANK(E737:N737) = 10,"",IF(AND(NOT(ISBLANK(E737)),COUNTBLANK(E737:N737) = 9),"3 Delete",IF(ISBLANK(E737),"2 Add",IF(JenkinsHashRange(E737:N737) = "800054524","0 Original","1 Modify"))))</f>
        <v>0 Original</v>
      </c>
      <c r="D737" s="3" t="s">
        <v>1517</v>
      </c>
      <c r="E737" s="5">
        <v>1273</v>
      </c>
      <c r="F737" t="s">
        <v>1070</v>
      </c>
      <c r="G737" t="s">
        <v>407</v>
      </c>
      <c r="H737" s="9">
        <v>9.99</v>
      </c>
      <c r="I737" s="5">
        <v>1</v>
      </c>
      <c r="J737" s="7" t="s">
        <v>970</v>
      </c>
      <c r="K737" s="7">
        <v>42748.047268518516</v>
      </c>
      <c r="L737" s="3" t="s">
        <v>970</v>
      </c>
      <c r="M737" s="7">
        <v>42748.047268518516</v>
      </c>
      <c r="N737" s="3" t="s">
        <v>970</v>
      </c>
      <c r="O737" s="16" t="str">
        <f>TEXT(DATEVALUE(LEFT(F737,10)),"mm-yyyy")</f>
        <v>05-2015</v>
      </c>
      <c r="P737" s="16">
        <f>H737*I737</f>
        <v>9.99</v>
      </c>
    </row>
    <row r="738" spans="3:16" x14ac:dyDescent="0.25">
      <c r="C738" t="str">
        <f>IF(COUNTBLANK(E738:N738) = 10,"",IF(AND(NOT(ISBLANK(E738)),COUNTBLANK(E738:N738) = 9),"3 Delete",IF(ISBLANK(E738),"2 Add",IF(JenkinsHashRange(E738:N738) = "1181097599","0 Original","1 Modify"))))</f>
        <v>0 Original</v>
      </c>
      <c r="D738" s="3" t="s">
        <v>1518</v>
      </c>
      <c r="E738" s="5">
        <v>1274</v>
      </c>
      <c r="F738" t="s">
        <v>1070</v>
      </c>
      <c r="G738" t="s">
        <v>649</v>
      </c>
      <c r="H738" s="9">
        <v>5.99</v>
      </c>
      <c r="I738" s="5">
        <v>1</v>
      </c>
      <c r="J738" s="7" t="s">
        <v>970</v>
      </c>
      <c r="K738" s="7">
        <v>42748.047268518516</v>
      </c>
      <c r="L738" s="3" t="s">
        <v>970</v>
      </c>
      <c r="M738" s="7">
        <v>42748.047268518516</v>
      </c>
      <c r="N738" s="3" t="s">
        <v>970</v>
      </c>
      <c r="O738" s="16" t="str">
        <f>TEXT(DATEVALUE(LEFT(F738,10)),"mm-yyyy")</f>
        <v>05-2015</v>
      </c>
      <c r="P738" s="16">
        <f>H738*I738</f>
        <v>5.99</v>
      </c>
    </row>
    <row r="739" spans="3:16" x14ac:dyDescent="0.25">
      <c r="C739" t="str">
        <f>IF(COUNTBLANK(E739:N739) = 10,"",IF(AND(NOT(ISBLANK(E739)),COUNTBLANK(E739:N739) = 9),"3 Delete",IF(ISBLANK(E739),"2 Add",IF(JenkinsHashRange(E739:N739) = "789584805","0 Original","1 Modify"))))</f>
        <v>0 Original</v>
      </c>
      <c r="D739" s="3" t="s">
        <v>1519</v>
      </c>
      <c r="E739" s="5">
        <v>1275</v>
      </c>
      <c r="F739" t="s">
        <v>1070</v>
      </c>
      <c r="G739" t="s">
        <v>457</v>
      </c>
      <c r="H739" s="9">
        <v>5.99</v>
      </c>
      <c r="I739" s="5">
        <v>1</v>
      </c>
      <c r="J739" s="7" t="s">
        <v>970</v>
      </c>
      <c r="K739" s="7">
        <v>42748.047268518516</v>
      </c>
      <c r="L739" s="3" t="s">
        <v>970</v>
      </c>
      <c r="M739" s="7">
        <v>42748.047268518516</v>
      </c>
      <c r="N739" s="3" t="s">
        <v>970</v>
      </c>
      <c r="O739" s="16" t="str">
        <f>TEXT(DATEVALUE(LEFT(F739,10)),"mm-yyyy")</f>
        <v>05-2015</v>
      </c>
      <c r="P739" s="16">
        <f>H739*I739</f>
        <v>5.99</v>
      </c>
    </row>
    <row r="740" spans="3:16" x14ac:dyDescent="0.25">
      <c r="C740" t="str">
        <f>IF(COUNTBLANK(E740:N740) = 10,"",IF(AND(NOT(ISBLANK(E740)),COUNTBLANK(E740:N740) = 9),"3 Delete",IF(ISBLANK(E740),"2 Add",IF(JenkinsHashRange(E740:N740) = "1602109269","0 Original","1 Modify"))))</f>
        <v>0 Original</v>
      </c>
      <c r="D740" s="3" t="s">
        <v>1520</v>
      </c>
      <c r="E740" s="5">
        <v>1276</v>
      </c>
      <c r="F740" t="s">
        <v>1070</v>
      </c>
      <c r="G740" t="s">
        <v>880</v>
      </c>
      <c r="H740" s="9">
        <v>6.99</v>
      </c>
      <c r="I740" s="5">
        <v>1</v>
      </c>
      <c r="J740" s="7" t="s">
        <v>970</v>
      </c>
      <c r="K740" s="7">
        <v>42748.047268518516</v>
      </c>
      <c r="L740" s="3" t="s">
        <v>970</v>
      </c>
      <c r="M740" s="7">
        <v>42748.047268518516</v>
      </c>
      <c r="N740" s="3" t="s">
        <v>970</v>
      </c>
      <c r="O740" s="16" t="str">
        <f>TEXT(DATEVALUE(LEFT(F740,10)),"mm-yyyy")</f>
        <v>05-2015</v>
      </c>
      <c r="P740" s="16">
        <f>H740*I740</f>
        <v>6.99</v>
      </c>
    </row>
    <row r="741" spans="3:16" x14ac:dyDescent="0.25">
      <c r="C741" t="str">
        <f>IF(COUNTBLANK(E741:N741) = 10,"",IF(AND(NOT(ISBLANK(E741)),COUNTBLANK(E741:N741) = 9),"3 Delete",IF(ISBLANK(E741),"2 Add",IF(JenkinsHashRange(E741:N741) = "832606159","0 Original","1 Modify"))))</f>
        <v>0 Original</v>
      </c>
      <c r="D741" s="3" t="s">
        <v>1521</v>
      </c>
      <c r="E741" s="5">
        <v>1277</v>
      </c>
      <c r="F741" t="s">
        <v>1070</v>
      </c>
      <c r="G741" t="s">
        <v>737</v>
      </c>
      <c r="H741" s="9">
        <v>9.99</v>
      </c>
      <c r="I741" s="5">
        <v>1</v>
      </c>
      <c r="J741" s="7" t="s">
        <v>970</v>
      </c>
      <c r="K741" s="7">
        <v>42748.047268518516</v>
      </c>
      <c r="L741" s="3" t="s">
        <v>970</v>
      </c>
      <c r="M741" s="7">
        <v>42748.047268518516</v>
      </c>
      <c r="N741" s="3" t="s">
        <v>970</v>
      </c>
      <c r="O741" s="16" t="str">
        <f>TEXT(DATEVALUE(LEFT(F741,10)),"mm-yyyy")</f>
        <v>05-2015</v>
      </c>
      <c r="P741" s="16">
        <f>H741*I741</f>
        <v>9.99</v>
      </c>
    </row>
    <row r="742" spans="3:16" x14ac:dyDescent="0.25">
      <c r="C742" t="str">
        <f>IF(COUNTBLANK(E742:N742) = 10,"",IF(AND(NOT(ISBLANK(E742)),COUNTBLANK(E742:N742) = 9),"3 Delete",IF(ISBLANK(E742),"2 Add",IF(JenkinsHashRange(E742:N742) = "565635212","0 Original","1 Modify"))))</f>
        <v>0 Original</v>
      </c>
      <c r="D742" s="3" t="s">
        <v>1522</v>
      </c>
      <c r="E742" s="5">
        <v>1278</v>
      </c>
      <c r="F742" t="s">
        <v>1070</v>
      </c>
      <c r="G742" t="s">
        <v>880</v>
      </c>
      <c r="H742" s="9">
        <v>6.99</v>
      </c>
      <c r="I742" s="5">
        <v>2</v>
      </c>
      <c r="J742" s="7" t="s">
        <v>970</v>
      </c>
      <c r="K742" s="7">
        <v>42748.047268518516</v>
      </c>
      <c r="L742" s="3" t="s">
        <v>970</v>
      </c>
      <c r="M742" s="7">
        <v>42748.047268518516</v>
      </c>
      <c r="N742" s="3" t="s">
        <v>970</v>
      </c>
      <c r="O742" s="16" t="str">
        <f>TEXT(DATEVALUE(LEFT(F742,10)),"mm-yyyy")</f>
        <v>05-2015</v>
      </c>
      <c r="P742" s="16">
        <f>H742*I742</f>
        <v>13.98</v>
      </c>
    </row>
    <row r="743" spans="3:16" x14ac:dyDescent="0.25">
      <c r="C743" t="str">
        <f>IF(COUNTBLANK(E743:N743) = 10,"",IF(AND(NOT(ISBLANK(E743)),COUNTBLANK(E743:N743) = 9),"3 Delete",IF(ISBLANK(E743),"2 Add",IF(JenkinsHashRange(E743:N743) = "999318123","0 Original","1 Modify"))))</f>
        <v>0 Original</v>
      </c>
      <c r="D743" s="3" t="s">
        <v>1523</v>
      </c>
      <c r="E743" s="5">
        <v>1279</v>
      </c>
      <c r="F743" t="s">
        <v>1070</v>
      </c>
      <c r="G743" t="s">
        <v>880</v>
      </c>
      <c r="H743" s="9">
        <v>6.99</v>
      </c>
      <c r="I743" s="5">
        <v>1</v>
      </c>
      <c r="J743" s="7" t="s">
        <v>970</v>
      </c>
      <c r="K743" s="7">
        <v>42748.047268518516</v>
      </c>
      <c r="L743" s="3" t="s">
        <v>970</v>
      </c>
      <c r="M743" s="7">
        <v>42748.047268518516</v>
      </c>
      <c r="N743" s="3" t="s">
        <v>970</v>
      </c>
      <c r="O743" s="16" t="str">
        <f>TEXT(DATEVALUE(LEFT(F743,10)),"mm-yyyy")</f>
        <v>05-2015</v>
      </c>
      <c r="P743" s="16">
        <f>H743*I743</f>
        <v>6.99</v>
      </c>
    </row>
    <row r="744" spans="3:16" x14ac:dyDescent="0.25">
      <c r="C744" t="str">
        <f>IF(COUNTBLANK(E744:N744) = 10,"",IF(AND(NOT(ISBLANK(E744)),COUNTBLANK(E744:N744) = 9),"3 Delete",IF(ISBLANK(E744),"2 Add",IF(JenkinsHashRange(E744:N744) = "584793484","0 Original","1 Modify"))))</f>
        <v>0 Original</v>
      </c>
      <c r="D744" s="3" t="s">
        <v>1526</v>
      </c>
      <c r="E744" s="5">
        <v>1297</v>
      </c>
      <c r="F744" t="s">
        <v>1072</v>
      </c>
      <c r="G744" t="s">
        <v>709</v>
      </c>
      <c r="H744" s="9">
        <v>6.99</v>
      </c>
      <c r="I744" s="5">
        <v>1</v>
      </c>
      <c r="J744" s="7" t="s">
        <v>970</v>
      </c>
      <c r="K744" s="7">
        <v>42748.047268518516</v>
      </c>
      <c r="L744" s="3" t="s">
        <v>970</v>
      </c>
      <c r="M744" s="7">
        <v>42748.047268518516</v>
      </c>
      <c r="N744" s="3" t="s">
        <v>970</v>
      </c>
      <c r="O744" s="16" t="str">
        <f>TEXT(DATEVALUE(LEFT(F744,10)),"mm-yyyy")</f>
        <v>05-2015</v>
      </c>
      <c r="P744" s="16">
        <f>H744*I744</f>
        <v>6.99</v>
      </c>
    </row>
    <row r="745" spans="3:16" x14ac:dyDescent="0.25">
      <c r="C745" t="str">
        <f>IF(COUNTBLANK(E745:N745) = 10,"",IF(AND(NOT(ISBLANK(E745)),COUNTBLANK(E745:N745) = 9),"3 Delete",IF(ISBLANK(E745),"2 Add",IF(JenkinsHashRange(E745:N745) = "273098459","0 Original","1 Modify"))))</f>
        <v>0 Original</v>
      </c>
      <c r="D745" s="3" t="s">
        <v>1527</v>
      </c>
      <c r="E745" s="5">
        <v>1298</v>
      </c>
      <c r="F745" t="s">
        <v>1072</v>
      </c>
      <c r="G745" t="s">
        <v>393</v>
      </c>
      <c r="H745" s="9">
        <v>6.99</v>
      </c>
      <c r="I745" s="5">
        <v>1</v>
      </c>
      <c r="J745" s="7" t="s">
        <v>970</v>
      </c>
      <c r="K745" s="7">
        <v>42748.047268518516</v>
      </c>
      <c r="L745" s="3" t="s">
        <v>970</v>
      </c>
      <c r="M745" s="7">
        <v>42748.047268518516</v>
      </c>
      <c r="N745" s="3" t="s">
        <v>970</v>
      </c>
      <c r="O745" s="16" t="str">
        <f>TEXT(DATEVALUE(LEFT(F745,10)),"mm-yyyy")</f>
        <v>05-2015</v>
      </c>
      <c r="P745" s="16">
        <f>H745*I745</f>
        <v>6.99</v>
      </c>
    </row>
    <row r="746" spans="3:16" x14ac:dyDescent="0.25">
      <c r="C746" t="str">
        <f>IF(COUNTBLANK(E746:N746) = 10,"",IF(AND(NOT(ISBLANK(E746)),COUNTBLANK(E746:N746) = 9),"3 Delete",IF(ISBLANK(E746),"2 Add",IF(JenkinsHashRange(E746:N746) = "897935528","0 Original","1 Modify"))))</f>
        <v>0 Original</v>
      </c>
      <c r="D746" s="3" t="s">
        <v>1528</v>
      </c>
      <c r="E746" s="5">
        <v>1299</v>
      </c>
      <c r="F746" t="s">
        <v>1072</v>
      </c>
      <c r="G746" t="s">
        <v>393</v>
      </c>
      <c r="H746" s="9">
        <v>6.99</v>
      </c>
      <c r="I746" s="5">
        <v>1</v>
      </c>
      <c r="J746" s="7" t="s">
        <v>970</v>
      </c>
      <c r="K746" s="7">
        <v>42748.047268518516</v>
      </c>
      <c r="L746" s="3" t="s">
        <v>970</v>
      </c>
      <c r="M746" s="7">
        <v>42748.047268518516</v>
      </c>
      <c r="N746" s="3" t="s">
        <v>970</v>
      </c>
      <c r="O746" s="16" t="str">
        <f>TEXT(DATEVALUE(LEFT(F746,10)),"mm-yyyy")</f>
        <v>05-2015</v>
      </c>
      <c r="P746" s="16">
        <f>H746*I746</f>
        <v>6.99</v>
      </c>
    </row>
    <row r="747" spans="3:16" x14ac:dyDescent="0.25">
      <c r="C747" t="str">
        <f>IF(COUNTBLANK(E747:N747) = 10,"",IF(AND(NOT(ISBLANK(E747)),COUNTBLANK(E747:N747) = 9),"3 Delete",IF(ISBLANK(E747),"2 Add",IF(JenkinsHashRange(E747:N747) = "1391766229","0 Original","1 Modify"))))</f>
        <v>0 Original</v>
      </c>
      <c r="D747" s="3" t="s">
        <v>1540</v>
      </c>
      <c r="E747" s="5">
        <v>1351</v>
      </c>
      <c r="F747" t="s">
        <v>1076</v>
      </c>
      <c r="G747" t="s">
        <v>730</v>
      </c>
      <c r="H747" s="9">
        <v>9.99</v>
      </c>
      <c r="I747" s="5">
        <v>1</v>
      </c>
      <c r="J747" s="7" t="s">
        <v>970</v>
      </c>
      <c r="K747" s="7">
        <v>42748.047268518516</v>
      </c>
      <c r="L747" s="3" t="s">
        <v>970</v>
      </c>
      <c r="M747" s="7">
        <v>42748.047268518516</v>
      </c>
      <c r="N747" s="3" t="s">
        <v>970</v>
      </c>
      <c r="O747" s="16" t="str">
        <f>TEXT(DATEVALUE(LEFT(F747,10)),"mm-yyyy")</f>
        <v>05-2015</v>
      </c>
      <c r="P747" s="16">
        <f>H747*I747</f>
        <v>9.99</v>
      </c>
    </row>
    <row r="748" spans="3:16" x14ac:dyDescent="0.25">
      <c r="C748" t="str">
        <f>IF(COUNTBLANK(E748:N748) = 10,"",IF(AND(NOT(ISBLANK(E748)),COUNTBLANK(E748:N748) = 9),"3 Delete",IF(ISBLANK(E748),"2 Add",IF(JenkinsHashRange(E748:N748) = "87301942","0 Original","1 Modify"))))</f>
        <v>0 Original</v>
      </c>
      <c r="D748" s="3" t="s">
        <v>1541</v>
      </c>
      <c r="E748" s="5">
        <v>1352</v>
      </c>
      <c r="F748" t="s">
        <v>1076</v>
      </c>
      <c r="G748" t="s">
        <v>450</v>
      </c>
      <c r="H748" s="9">
        <v>8.99</v>
      </c>
      <c r="I748" s="5">
        <v>1</v>
      </c>
      <c r="J748" s="7" t="s">
        <v>970</v>
      </c>
      <c r="K748" s="7">
        <v>42748.047268518516</v>
      </c>
      <c r="L748" s="3" t="s">
        <v>970</v>
      </c>
      <c r="M748" s="7">
        <v>42748.047268518516</v>
      </c>
      <c r="N748" s="3" t="s">
        <v>970</v>
      </c>
      <c r="O748" s="16" t="str">
        <f>TEXT(DATEVALUE(LEFT(F748,10)),"mm-yyyy")</f>
        <v>05-2015</v>
      </c>
      <c r="P748" s="16">
        <f>H748*I748</f>
        <v>8.99</v>
      </c>
    </row>
    <row r="749" spans="3:16" x14ac:dyDescent="0.25">
      <c r="C749" t="str">
        <f>IF(COUNTBLANK(E749:N749) = 10,"",IF(AND(NOT(ISBLANK(E749)),COUNTBLANK(E749:N749) = 9),"3 Delete",IF(ISBLANK(E749),"2 Add",IF(JenkinsHashRange(E749:N749) = "1251099301","0 Original","1 Modify"))))</f>
        <v>0 Original</v>
      </c>
      <c r="D749" s="3" t="s">
        <v>1542</v>
      </c>
      <c r="E749" s="5">
        <v>1357</v>
      </c>
      <c r="F749" t="s">
        <v>1077</v>
      </c>
      <c r="G749" t="s">
        <v>435</v>
      </c>
      <c r="H749" s="9">
        <v>8.99</v>
      </c>
      <c r="I749" s="5">
        <v>2</v>
      </c>
      <c r="J749" s="7" t="s">
        <v>970</v>
      </c>
      <c r="K749" s="7">
        <v>42748.047268518516</v>
      </c>
      <c r="L749" s="3" t="s">
        <v>970</v>
      </c>
      <c r="M749" s="7">
        <v>42748.047268518516</v>
      </c>
      <c r="N749" s="3" t="s">
        <v>970</v>
      </c>
      <c r="O749" s="16" t="str">
        <f>TEXT(DATEVALUE(LEFT(F749,10)),"mm-yyyy")</f>
        <v>05-2015</v>
      </c>
      <c r="P749" s="16">
        <f>H749*I749</f>
        <v>17.98</v>
      </c>
    </row>
    <row r="750" spans="3:16" x14ac:dyDescent="0.25">
      <c r="C750" t="str">
        <f>IF(COUNTBLANK(E750:N750) = 10,"",IF(AND(NOT(ISBLANK(E750)),COUNTBLANK(E750:N750) = 9),"3 Delete",IF(ISBLANK(E750),"2 Add",IF(JenkinsHashRange(E750:N750) = "846416819","0 Original","1 Modify"))))</f>
        <v>0 Original</v>
      </c>
      <c r="D750" s="3" t="s">
        <v>1543</v>
      </c>
      <c r="E750" s="5">
        <v>1358</v>
      </c>
      <c r="F750" t="s">
        <v>1077</v>
      </c>
      <c r="G750" t="s">
        <v>435</v>
      </c>
      <c r="H750" s="9">
        <v>8.99</v>
      </c>
      <c r="I750" s="5">
        <v>1</v>
      </c>
      <c r="J750" s="7" t="s">
        <v>970</v>
      </c>
      <c r="K750" s="7">
        <v>42748.047268518516</v>
      </c>
      <c r="L750" s="3" t="s">
        <v>970</v>
      </c>
      <c r="M750" s="7">
        <v>42748.047268518516</v>
      </c>
      <c r="N750" s="3" t="s">
        <v>970</v>
      </c>
      <c r="O750" s="16" t="str">
        <f>TEXT(DATEVALUE(LEFT(F750,10)),"mm-yyyy")</f>
        <v>05-2015</v>
      </c>
      <c r="P750" s="16">
        <f>H750*I750</f>
        <v>8.99</v>
      </c>
    </row>
    <row r="751" spans="3:16" x14ac:dyDescent="0.25">
      <c r="C751" t="str">
        <f>IF(COUNTBLANK(E751:N751) = 10,"",IF(AND(NOT(ISBLANK(E751)),COUNTBLANK(E751:N751) = 9),"3 Delete",IF(ISBLANK(E751),"2 Add",IF(JenkinsHashRange(E751:N751) = "148806584","0 Original","1 Modify"))))</f>
        <v>0 Original</v>
      </c>
      <c r="D751" s="3" t="s">
        <v>1544</v>
      </c>
      <c r="E751" s="5">
        <v>1359</v>
      </c>
      <c r="F751" t="s">
        <v>1077</v>
      </c>
      <c r="G751" t="s">
        <v>604</v>
      </c>
      <c r="H751" s="9">
        <v>7.99</v>
      </c>
      <c r="I751" s="5">
        <v>1</v>
      </c>
      <c r="J751" s="7" t="s">
        <v>970</v>
      </c>
      <c r="K751" s="7">
        <v>42748.047268518516</v>
      </c>
      <c r="L751" s="3" t="s">
        <v>970</v>
      </c>
      <c r="M751" s="7">
        <v>42748.047268518516</v>
      </c>
      <c r="N751" s="3" t="s">
        <v>970</v>
      </c>
      <c r="O751" s="16" t="str">
        <f>TEXT(DATEVALUE(LEFT(F751,10)),"mm-yyyy")</f>
        <v>05-2015</v>
      </c>
      <c r="P751" s="16">
        <f>H751*I751</f>
        <v>7.99</v>
      </c>
    </row>
    <row r="752" spans="3:16" x14ac:dyDescent="0.25">
      <c r="C752" t="str">
        <f>IF(COUNTBLANK(E752:N752) = 10,"",IF(AND(NOT(ISBLANK(E752)),COUNTBLANK(E752:N752) = 9),"3 Delete",IF(ISBLANK(E752),"2 Add",IF(JenkinsHashRange(E752:N752) = "452438578","0 Original","1 Modify"))))</f>
        <v>0 Original</v>
      </c>
      <c r="D752" s="3" t="s">
        <v>1549</v>
      </c>
      <c r="E752" s="5">
        <v>1401</v>
      </c>
      <c r="F752" t="s">
        <v>1080</v>
      </c>
      <c r="G752" t="s">
        <v>846</v>
      </c>
      <c r="H752" s="9">
        <v>8.99</v>
      </c>
      <c r="I752" s="5">
        <v>1</v>
      </c>
      <c r="J752" s="7" t="s">
        <v>970</v>
      </c>
      <c r="K752" s="7">
        <v>42748.047268518516</v>
      </c>
      <c r="L752" s="3" t="s">
        <v>970</v>
      </c>
      <c r="M752" s="7">
        <v>42748.047268518516</v>
      </c>
      <c r="N752" s="3" t="s">
        <v>970</v>
      </c>
      <c r="O752" s="16" t="str">
        <f>TEXT(DATEVALUE(LEFT(F752,10)),"mm-yyyy")</f>
        <v>05-2015</v>
      </c>
      <c r="P752" s="16">
        <f>H752*I752</f>
        <v>8.99</v>
      </c>
    </row>
    <row r="753" spans="3:16" x14ac:dyDescent="0.25">
      <c r="C753" t="str">
        <f>IF(COUNTBLANK(E753:N753) = 10,"",IF(AND(NOT(ISBLANK(E753)),COUNTBLANK(E753:N753) = 9),"3 Delete",IF(ISBLANK(E753),"2 Add",IF(JenkinsHashRange(E753:N753) = "915138204","0 Original","1 Modify"))))</f>
        <v>0 Original</v>
      </c>
      <c r="D753" s="3" t="s">
        <v>1550</v>
      </c>
      <c r="E753" s="5">
        <v>1402</v>
      </c>
      <c r="F753" t="s">
        <v>1080</v>
      </c>
      <c r="G753" t="s">
        <v>659</v>
      </c>
      <c r="H753" s="9">
        <v>9.99</v>
      </c>
      <c r="I753" s="5">
        <v>1</v>
      </c>
      <c r="J753" s="7" t="s">
        <v>970</v>
      </c>
      <c r="K753" s="7">
        <v>42748.047268518516</v>
      </c>
      <c r="L753" s="3" t="s">
        <v>970</v>
      </c>
      <c r="M753" s="7">
        <v>42748.047268518516</v>
      </c>
      <c r="N753" s="3" t="s">
        <v>970</v>
      </c>
      <c r="O753" s="16" t="str">
        <f>TEXT(DATEVALUE(LEFT(F753,10)),"mm-yyyy")</f>
        <v>05-2015</v>
      </c>
      <c r="P753" s="16">
        <f>H753*I753</f>
        <v>9.99</v>
      </c>
    </row>
    <row r="754" spans="3:16" x14ac:dyDescent="0.25">
      <c r="C754" t="str">
        <f>IF(COUNTBLANK(E754:N754) = 10,"",IF(AND(NOT(ISBLANK(E754)),COUNTBLANK(E754:N754) = 9),"3 Delete",IF(ISBLANK(E754),"2 Add",IF(JenkinsHashRange(E754:N754) = "224231770","0 Original","1 Modify"))))</f>
        <v>0 Original</v>
      </c>
      <c r="D754" s="3" t="s">
        <v>1551</v>
      </c>
      <c r="E754" s="5">
        <v>1403</v>
      </c>
      <c r="F754" t="s">
        <v>1080</v>
      </c>
      <c r="G754" t="s">
        <v>553</v>
      </c>
      <c r="H754" s="9">
        <v>9.99</v>
      </c>
      <c r="I754" s="5">
        <v>2</v>
      </c>
      <c r="J754" s="7" t="s">
        <v>970</v>
      </c>
      <c r="K754" s="7">
        <v>42748.047268518516</v>
      </c>
      <c r="L754" s="3" t="s">
        <v>970</v>
      </c>
      <c r="M754" s="7">
        <v>42748.047268518516</v>
      </c>
      <c r="N754" s="3" t="s">
        <v>970</v>
      </c>
      <c r="O754" s="16" t="str">
        <f>TEXT(DATEVALUE(LEFT(F754,10)),"mm-yyyy")</f>
        <v>05-2015</v>
      </c>
      <c r="P754" s="16">
        <f>H754*I754</f>
        <v>19.98</v>
      </c>
    </row>
    <row r="755" spans="3:16" x14ac:dyDescent="0.25">
      <c r="C755" t="str">
        <f>IF(COUNTBLANK(E755:N755) = 10,"",IF(AND(NOT(ISBLANK(E755)),COUNTBLANK(E755:N755) = 9),"3 Delete",IF(ISBLANK(E755),"2 Add",IF(JenkinsHashRange(E755:N755) = "1317052919","0 Original","1 Modify"))))</f>
        <v>0 Original</v>
      </c>
      <c r="D755" s="3" t="s">
        <v>1552</v>
      </c>
      <c r="E755" s="5">
        <v>1404</v>
      </c>
      <c r="F755" t="s">
        <v>1080</v>
      </c>
      <c r="G755" t="s">
        <v>864</v>
      </c>
      <c r="H755" s="9">
        <v>6.99</v>
      </c>
      <c r="I755" s="5">
        <v>1</v>
      </c>
      <c r="J755" s="7" t="s">
        <v>970</v>
      </c>
      <c r="K755" s="7">
        <v>42748.047268518516</v>
      </c>
      <c r="L755" s="3" t="s">
        <v>970</v>
      </c>
      <c r="M755" s="7">
        <v>42748.047268518516</v>
      </c>
      <c r="N755" s="3" t="s">
        <v>970</v>
      </c>
      <c r="O755" s="16" t="str">
        <f>TEXT(DATEVALUE(LEFT(F755,10)),"mm-yyyy")</f>
        <v>05-2015</v>
      </c>
      <c r="P755" s="16">
        <f>H755*I755</f>
        <v>6.99</v>
      </c>
    </row>
    <row r="756" spans="3:16" x14ac:dyDescent="0.25">
      <c r="C756" t="str">
        <f>IF(COUNTBLANK(E756:N756) = 10,"",IF(AND(NOT(ISBLANK(E756)),COUNTBLANK(E756:N756) = 9),"3 Delete",IF(ISBLANK(E756),"2 Add",IF(JenkinsHashRange(E756:N756) = "1988155804","0 Original","1 Modify"))))</f>
        <v>0 Original</v>
      </c>
      <c r="D756" s="3" t="s">
        <v>1583</v>
      </c>
      <c r="E756" s="5">
        <v>1532</v>
      </c>
      <c r="F756" t="s">
        <v>1088</v>
      </c>
      <c r="G756" t="s">
        <v>892</v>
      </c>
      <c r="H756" s="9">
        <v>8.99</v>
      </c>
      <c r="I756" s="5">
        <v>1</v>
      </c>
      <c r="J756" s="7" t="s">
        <v>970</v>
      </c>
      <c r="K756" s="7">
        <v>42748.047268518516</v>
      </c>
      <c r="L756" s="3" t="s">
        <v>970</v>
      </c>
      <c r="M756" s="7">
        <v>42748.047268518516</v>
      </c>
      <c r="N756" s="3" t="s">
        <v>970</v>
      </c>
      <c r="O756" s="16" t="str">
        <f>TEXT(DATEVALUE(LEFT(F756,10)),"mm-yyyy")</f>
        <v>05-2015</v>
      </c>
      <c r="P756" s="16">
        <f>H756*I756</f>
        <v>8.99</v>
      </c>
    </row>
    <row r="757" spans="3:16" x14ac:dyDescent="0.25">
      <c r="C757" t="str">
        <f>IF(COUNTBLANK(E757:N757) = 10,"",IF(AND(NOT(ISBLANK(E757)),COUNTBLANK(E757:N757) = 9),"3 Delete",IF(ISBLANK(E757),"2 Add",IF(JenkinsHashRange(E757:N757) = "15927069","0 Original","1 Modify"))))</f>
        <v>0 Original</v>
      </c>
      <c r="D757" s="3" t="s">
        <v>1618</v>
      </c>
      <c r="E757" s="5">
        <v>1799</v>
      </c>
      <c r="F757" t="s">
        <v>1098</v>
      </c>
      <c r="G757" t="s">
        <v>820</v>
      </c>
      <c r="H757" s="9">
        <v>9.99</v>
      </c>
      <c r="I757" s="5">
        <v>1</v>
      </c>
      <c r="J757" s="7" t="s">
        <v>970</v>
      </c>
      <c r="K757" s="7">
        <v>42748.047268518516</v>
      </c>
      <c r="L757" s="3" t="s">
        <v>970</v>
      </c>
      <c r="M757" s="7">
        <v>42748.047268518516</v>
      </c>
      <c r="N757" s="3" t="s">
        <v>970</v>
      </c>
      <c r="O757" s="16" t="str">
        <f>TEXT(DATEVALUE(LEFT(F757,10)),"mm-yyyy")</f>
        <v>05-2015</v>
      </c>
      <c r="P757" s="16">
        <f>H757*I757</f>
        <v>9.99</v>
      </c>
    </row>
    <row r="758" spans="3:16" x14ac:dyDescent="0.25">
      <c r="C758" t="str">
        <f>IF(COUNTBLANK(E758:N758) = 10,"",IF(AND(NOT(ISBLANK(E758)),COUNTBLANK(E758:N758) = 9),"3 Delete",IF(ISBLANK(E758),"2 Add",IF(JenkinsHashRange(E758:N758) = "1147733524","0 Original","1 Modify"))))</f>
        <v>0 Original</v>
      </c>
      <c r="D758" s="3" t="s">
        <v>1619</v>
      </c>
      <c r="E758" s="5">
        <v>1800</v>
      </c>
      <c r="F758" t="s">
        <v>1098</v>
      </c>
      <c r="G758" t="s">
        <v>659</v>
      </c>
      <c r="H758" s="9">
        <v>9.99</v>
      </c>
      <c r="I758" s="5">
        <v>1</v>
      </c>
      <c r="J758" s="7" t="s">
        <v>970</v>
      </c>
      <c r="K758" s="7">
        <v>42748.047268518516</v>
      </c>
      <c r="L758" s="3" t="s">
        <v>970</v>
      </c>
      <c r="M758" s="7">
        <v>42748.047268518516</v>
      </c>
      <c r="N758" s="3" t="s">
        <v>970</v>
      </c>
      <c r="O758" s="16" t="str">
        <f>TEXT(DATEVALUE(LEFT(F758,10)),"mm-yyyy")</f>
        <v>05-2015</v>
      </c>
      <c r="P758" s="16">
        <f>H758*I758</f>
        <v>9.99</v>
      </c>
    </row>
    <row r="759" spans="3:16" x14ac:dyDescent="0.25">
      <c r="C759" t="str">
        <f>IF(COUNTBLANK(E759:N759) = 10,"",IF(AND(NOT(ISBLANK(E759)),COUNTBLANK(E759:N759) = 9),"3 Delete",IF(ISBLANK(E759),"2 Add",IF(JenkinsHashRange(E759:N759) = "16657375","0 Original","1 Modify"))))</f>
        <v>0 Original</v>
      </c>
      <c r="D759" s="3" t="s">
        <v>1620</v>
      </c>
      <c r="E759" s="5">
        <v>1801</v>
      </c>
      <c r="F759" t="s">
        <v>1098</v>
      </c>
      <c r="G759" t="s">
        <v>883</v>
      </c>
      <c r="H759" s="9">
        <v>4.99</v>
      </c>
      <c r="I759" s="5">
        <v>1</v>
      </c>
      <c r="J759" s="7" t="s">
        <v>970</v>
      </c>
      <c r="K759" s="7">
        <v>42748.047268518516</v>
      </c>
      <c r="L759" s="3" t="s">
        <v>970</v>
      </c>
      <c r="M759" s="7">
        <v>42748.047268518516</v>
      </c>
      <c r="N759" s="3" t="s">
        <v>970</v>
      </c>
      <c r="O759" s="16" t="str">
        <f>TEXT(DATEVALUE(LEFT(F759,10)),"mm-yyyy")</f>
        <v>05-2015</v>
      </c>
      <c r="P759" s="16">
        <f>H759*I759</f>
        <v>4.99</v>
      </c>
    </row>
    <row r="760" spans="3:16" x14ac:dyDescent="0.25">
      <c r="C760" t="str">
        <f>IF(COUNTBLANK(E760:N760) = 10,"",IF(AND(NOT(ISBLANK(E760)),COUNTBLANK(E760:N760) = 9),"3 Delete",IF(ISBLANK(E760),"2 Add",IF(JenkinsHashRange(E760:N760) = "1230631054","0 Original","1 Modify"))))</f>
        <v>0 Original</v>
      </c>
      <c r="D760" s="3" t="s">
        <v>1621</v>
      </c>
      <c r="E760" s="5">
        <v>1802</v>
      </c>
      <c r="F760" t="s">
        <v>1098</v>
      </c>
      <c r="G760" t="s">
        <v>814</v>
      </c>
      <c r="H760" s="9">
        <v>9.99</v>
      </c>
      <c r="I760" s="5">
        <v>1</v>
      </c>
      <c r="J760" s="7" t="s">
        <v>970</v>
      </c>
      <c r="K760" s="7">
        <v>42748.047268518516</v>
      </c>
      <c r="L760" s="3" t="s">
        <v>970</v>
      </c>
      <c r="M760" s="7">
        <v>42748.047268518516</v>
      </c>
      <c r="N760" s="3" t="s">
        <v>970</v>
      </c>
      <c r="O760" s="16" t="str">
        <f>TEXT(DATEVALUE(LEFT(F760,10)),"mm-yyyy")</f>
        <v>05-2015</v>
      </c>
      <c r="P760" s="16">
        <f>H760*I760</f>
        <v>9.99</v>
      </c>
    </row>
    <row r="761" spans="3:16" x14ac:dyDescent="0.25">
      <c r="C761" t="str">
        <f>IF(COUNTBLANK(E761:N761) = 10,"",IF(AND(NOT(ISBLANK(E761)),COUNTBLANK(E761:N761) = 9),"3 Delete",IF(ISBLANK(E761),"2 Add",IF(JenkinsHashRange(E761:N761) = "2112972343","0 Original","1 Modify"))))</f>
        <v>0 Original</v>
      </c>
      <c r="D761" s="3" t="s">
        <v>1625</v>
      </c>
      <c r="E761" s="5">
        <v>1841</v>
      </c>
      <c r="F761" t="s">
        <v>1101</v>
      </c>
      <c r="G761" t="s">
        <v>927</v>
      </c>
      <c r="H761" s="9">
        <v>9.99</v>
      </c>
      <c r="I761" s="5">
        <v>1</v>
      </c>
      <c r="J761" s="7" t="s">
        <v>970</v>
      </c>
      <c r="K761" s="7">
        <v>42748.047268518516</v>
      </c>
      <c r="L761" s="3" t="s">
        <v>970</v>
      </c>
      <c r="M761" s="7">
        <v>42748.047268518516</v>
      </c>
      <c r="N761" s="3" t="s">
        <v>970</v>
      </c>
      <c r="O761" s="16" t="str">
        <f>TEXT(DATEVALUE(LEFT(F761,10)),"mm-yyyy")</f>
        <v>05-2015</v>
      </c>
      <c r="P761" s="16">
        <f>H761*I761</f>
        <v>9.99</v>
      </c>
    </row>
    <row r="762" spans="3:16" x14ac:dyDescent="0.25">
      <c r="C762" t="str">
        <f>IF(COUNTBLANK(E762:N762) = 10,"",IF(AND(NOT(ISBLANK(E762)),COUNTBLANK(E762:N762) = 9),"3 Delete",IF(ISBLANK(E762),"2 Add",IF(JenkinsHashRange(E762:N762) = "54878445","0 Original","1 Modify"))))</f>
        <v>0 Original</v>
      </c>
      <c r="D762" s="3" t="s">
        <v>1626</v>
      </c>
      <c r="E762" s="5">
        <v>1842</v>
      </c>
      <c r="F762" t="s">
        <v>1101</v>
      </c>
      <c r="G762" t="s">
        <v>446</v>
      </c>
      <c r="H762" s="9">
        <v>7.99</v>
      </c>
      <c r="I762" s="5">
        <v>1</v>
      </c>
      <c r="J762" s="7" t="s">
        <v>970</v>
      </c>
      <c r="K762" s="7">
        <v>42748.047268518516</v>
      </c>
      <c r="L762" s="3" t="s">
        <v>970</v>
      </c>
      <c r="M762" s="7">
        <v>42748.047268518516</v>
      </c>
      <c r="N762" s="3" t="s">
        <v>970</v>
      </c>
      <c r="O762" s="16" t="str">
        <f>TEXT(DATEVALUE(LEFT(F762,10)),"mm-yyyy")</f>
        <v>05-2015</v>
      </c>
      <c r="P762" s="16">
        <f>H762*I762</f>
        <v>7.99</v>
      </c>
    </row>
    <row r="763" spans="3:16" x14ac:dyDescent="0.25">
      <c r="C763" t="str">
        <f>IF(COUNTBLANK(E763:N763) = 10,"",IF(AND(NOT(ISBLANK(E763)),COUNTBLANK(E763:N763) = 9),"3 Delete",IF(ISBLANK(E763),"2 Add",IF(JenkinsHashRange(E763:N763) = "462521031","0 Original","1 Modify"))))</f>
        <v>0 Original</v>
      </c>
      <c r="D763" s="3" t="s">
        <v>1627</v>
      </c>
      <c r="E763" s="5">
        <v>1843</v>
      </c>
      <c r="F763" t="s">
        <v>1101</v>
      </c>
      <c r="G763" t="s">
        <v>446</v>
      </c>
      <c r="H763" s="9">
        <v>7.99</v>
      </c>
      <c r="I763" s="5">
        <v>1</v>
      </c>
      <c r="J763" s="7" t="s">
        <v>970</v>
      </c>
      <c r="K763" s="7">
        <v>42748.047268518516</v>
      </c>
      <c r="L763" s="3" t="s">
        <v>970</v>
      </c>
      <c r="M763" s="7">
        <v>42748.047268518516</v>
      </c>
      <c r="N763" s="3" t="s">
        <v>970</v>
      </c>
      <c r="O763" s="16" t="str">
        <f>TEXT(DATEVALUE(LEFT(F763,10)),"mm-yyyy")</f>
        <v>05-2015</v>
      </c>
      <c r="P763" s="16">
        <f>H763*I763</f>
        <v>7.99</v>
      </c>
    </row>
    <row r="764" spans="3:16" x14ac:dyDescent="0.25">
      <c r="C764" t="str">
        <f>IF(COUNTBLANK(E764:N764) = 10,"",IF(AND(NOT(ISBLANK(E764)),COUNTBLANK(E764:N764) = 9),"3 Delete",IF(ISBLANK(E764),"2 Add",IF(JenkinsHashRange(E764:N764) = "635336995","0 Original","1 Modify"))))</f>
        <v>0 Original</v>
      </c>
      <c r="D764" s="3" t="s">
        <v>1628</v>
      </c>
      <c r="E764" s="5">
        <v>1844</v>
      </c>
      <c r="F764" t="s">
        <v>1101</v>
      </c>
      <c r="G764" t="s">
        <v>797</v>
      </c>
      <c r="H764" s="9">
        <v>5.99</v>
      </c>
      <c r="I764" s="5">
        <v>2</v>
      </c>
      <c r="J764" s="7" t="s">
        <v>970</v>
      </c>
      <c r="K764" s="7">
        <v>42748.047268518516</v>
      </c>
      <c r="L764" s="3" t="s">
        <v>970</v>
      </c>
      <c r="M764" s="7">
        <v>42748.047268518516</v>
      </c>
      <c r="N764" s="3" t="s">
        <v>970</v>
      </c>
      <c r="O764" s="16" t="str">
        <f>TEXT(DATEVALUE(LEFT(F764,10)),"mm-yyyy")</f>
        <v>05-2015</v>
      </c>
      <c r="P764" s="16">
        <f>H764*I764</f>
        <v>11.98</v>
      </c>
    </row>
    <row r="765" spans="3:16" x14ac:dyDescent="0.25">
      <c r="C765" t="str">
        <f>IF(COUNTBLANK(E765:N765) = 10,"",IF(AND(NOT(ISBLANK(E765)),COUNTBLANK(E765:N765) = 9),"3 Delete",IF(ISBLANK(E765),"2 Add",IF(JenkinsHashRange(E765:N765) = "819687717","0 Original","1 Modify"))))</f>
        <v>0 Original</v>
      </c>
      <c r="D765" s="3" t="s">
        <v>1629</v>
      </c>
      <c r="E765" s="5">
        <v>1845</v>
      </c>
      <c r="F765" t="s">
        <v>1101</v>
      </c>
      <c r="G765" t="s">
        <v>550</v>
      </c>
      <c r="H765" s="9">
        <v>8.99</v>
      </c>
      <c r="I765" s="5">
        <v>2</v>
      </c>
      <c r="J765" s="7" t="s">
        <v>970</v>
      </c>
      <c r="K765" s="7">
        <v>42748.047268518516</v>
      </c>
      <c r="L765" s="3" t="s">
        <v>970</v>
      </c>
      <c r="M765" s="7">
        <v>42748.047268518516</v>
      </c>
      <c r="N765" s="3" t="s">
        <v>970</v>
      </c>
      <c r="O765" s="16" t="str">
        <f>TEXT(DATEVALUE(LEFT(F765,10)),"mm-yyyy")</f>
        <v>05-2015</v>
      </c>
      <c r="P765" s="16">
        <f>H765*I765</f>
        <v>17.98</v>
      </c>
    </row>
    <row r="766" spans="3:16" x14ac:dyDescent="0.25">
      <c r="C766" t="str">
        <f>IF(COUNTBLANK(E766:N766) = 10,"",IF(AND(NOT(ISBLANK(E766)),COUNTBLANK(E766:N766) = 9),"3 Delete",IF(ISBLANK(E766),"2 Add",IF(JenkinsHashRange(E766:N766) = "615623408","0 Original","1 Modify"))))</f>
        <v>0 Original</v>
      </c>
      <c r="D766" s="3" t="s">
        <v>1630</v>
      </c>
      <c r="E766" s="5">
        <v>1876</v>
      </c>
      <c r="F766" t="s">
        <v>1102</v>
      </c>
      <c r="G766" t="s">
        <v>649</v>
      </c>
      <c r="H766" s="9">
        <v>5.99</v>
      </c>
      <c r="I766" s="5">
        <v>1</v>
      </c>
      <c r="J766" s="7" t="s">
        <v>970</v>
      </c>
      <c r="K766" s="7">
        <v>42748.047268518516</v>
      </c>
      <c r="L766" s="3" t="s">
        <v>970</v>
      </c>
      <c r="M766" s="7">
        <v>42748.047268518516</v>
      </c>
      <c r="N766" s="3" t="s">
        <v>970</v>
      </c>
      <c r="O766" s="16" t="str">
        <f>TEXT(DATEVALUE(LEFT(F766,10)),"mm-yyyy")</f>
        <v>05-2015</v>
      </c>
      <c r="P766" s="16">
        <f>H766*I766</f>
        <v>5.99</v>
      </c>
    </row>
    <row r="767" spans="3:16" x14ac:dyDescent="0.25">
      <c r="C767" t="str">
        <f>IF(COUNTBLANK(E767:N767) = 10,"",IF(AND(NOT(ISBLANK(E767)),COUNTBLANK(E767:N767) = 9),"3 Delete",IF(ISBLANK(E767),"2 Add",IF(JenkinsHashRange(E767:N767) = "1402366773","0 Original","1 Modify"))))</f>
        <v>0 Original</v>
      </c>
      <c r="D767" s="3" t="s">
        <v>1643</v>
      </c>
      <c r="E767" s="5">
        <v>1931</v>
      </c>
      <c r="F767" t="s">
        <v>1106</v>
      </c>
      <c r="G767" t="s">
        <v>446</v>
      </c>
      <c r="H767" s="9">
        <v>7.99</v>
      </c>
      <c r="I767" s="5">
        <v>1</v>
      </c>
      <c r="J767" s="7" t="s">
        <v>970</v>
      </c>
      <c r="K767" s="7">
        <v>42748.047268518516</v>
      </c>
      <c r="L767" s="3" t="s">
        <v>970</v>
      </c>
      <c r="M767" s="7">
        <v>42748.047268518516</v>
      </c>
      <c r="N767" s="3" t="s">
        <v>970</v>
      </c>
      <c r="O767" s="16" t="str">
        <f>TEXT(DATEVALUE(LEFT(F767,10)),"mm-yyyy")</f>
        <v>05-2015</v>
      </c>
      <c r="P767" s="16">
        <f>H767*I767</f>
        <v>7.99</v>
      </c>
    </row>
    <row r="768" spans="3:16" x14ac:dyDescent="0.25">
      <c r="C768" t="str">
        <f>IF(COUNTBLANK(E768:N768) = 10,"",IF(AND(NOT(ISBLANK(E768)),COUNTBLANK(E768:N768) = 9),"3 Delete",IF(ISBLANK(E768),"2 Add",IF(JenkinsHashRange(E768:N768) = "351154380","0 Original","1 Modify"))))</f>
        <v>0 Original</v>
      </c>
      <c r="D768" s="3" t="s">
        <v>1653</v>
      </c>
      <c r="E768" s="5">
        <v>1991</v>
      </c>
      <c r="F768" t="s">
        <v>1111</v>
      </c>
      <c r="G768" t="s">
        <v>450</v>
      </c>
      <c r="H768" s="9">
        <v>8.99</v>
      </c>
      <c r="I768" s="5">
        <v>1</v>
      </c>
      <c r="J768" s="7" t="s">
        <v>970</v>
      </c>
      <c r="K768" s="7">
        <v>42748.047268518516</v>
      </c>
      <c r="L768" s="3" t="s">
        <v>970</v>
      </c>
      <c r="M768" s="7">
        <v>42748.047268518516</v>
      </c>
      <c r="N768" s="3" t="s">
        <v>970</v>
      </c>
      <c r="O768" s="16" t="str">
        <f>TEXT(DATEVALUE(LEFT(F768,10)),"mm-yyyy")</f>
        <v>05-2015</v>
      </c>
      <c r="P768" s="16">
        <f>H768*I768</f>
        <v>8.99</v>
      </c>
    </row>
    <row r="769" spans="3:16" x14ac:dyDescent="0.25">
      <c r="C769" t="str">
        <f>IF(COUNTBLANK(E769:N769) = 10,"",IF(AND(NOT(ISBLANK(E769)),COUNTBLANK(E769:N769) = 9),"3 Delete",IF(ISBLANK(E769),"2 Add",IF(JenkinsHashRange(E769:N769) = "327873967","0 Original","1 Modify"))))</f>
        <v>0 Original</v>
      </c>
      <c r="D769" s="3" t="s">
        <v>1654</v>
      </c>
      <c r="E769" s="5">
        <v>1992</v>
      </c>
      <c r="F769" t="s">
        <v>1111</v>
      </c>
      <c r="G769" t="s">
        <v>643</v>
      </c>
      <c r="H769" s="9">
        <v>4.99</v>
      </c>
      <c r="I769" s="5">
        <v>1</v>
      </c>
      <c r="J769" s="7" t="s">
        <v>970</v>
      </c>
      <c r="K769" s="7">
        <v>42748.047268518516</v>
      </c>
      <c r="L769" s="3" t="s">
        <v>970</v>
      </c>
      <c r="M769" s="7">
        <v>42748.047268518516</v>
      </c>
      <c r="N769" s="3" t="s">
        <v>970</v>
      </c>
      <c r="O769" s="16" t="str">
        <f>TEXT(DATEVALUE(LEFT(F769,10)),"mm-yyyy")</f>
        <v>05-2015</v>
      </c>
      <c r="P769" s="16">
        <f>H769*I769</f>
        <v>4.99</v>
      </c>
    </row>
    <row r="770" spans="3:16" x14ac:dyDescent="0.25">
      <c r="C770" t="str">
        <f>IF(COUNTBLANK(E770:N770) = 10,"",IF(AND(NOT(ISBLANK(E770)),COUNTBLANK(E770:N770) = 9),"3 Delete",IF(ISBLANK(E770),"2 Add",IF(JenkinsHashRange(E770:N770) = "1125032424","0 Original","1 Modify"))))</f>
        <v>0 Original</v>
      </c>
      <c r="D770" s="3" t="s">
        <v>1655</v>
      </c>
      <c r="E770" s="5">
        <v>1993</v>
      </c>
      <c r="F770" t="s">
        <v>1111</v>
      </c>
      <c r="G770" t="s">
        <v>673</v>
      </c>
      <c r="H770" s="9">
        <v>5.99</v>
      </c>
      <c r="I770" s="5">
        <v>1</v>
      </c>
      <c r="J770" s="7" t="s">
        <v>970</v>
      </c>
      <c r="K770" s="7">
        <v>42748.047268518516</v>
      </c>
      <c r="L770" s="3" t="s">
        <v>970</v>
      </c>
      <c r="M770" s="7">
        <v>42748.047268518516</v>
      </c>
      <c r="N770" s="3" t="s">
        <v>970</v>
      </c>
      <c r="O770" s="16" t="str">
        <f>TEXT(DATEVALUE(LEFT(F770,10)),"mm-yyyy")</f>
        <v>05-2015</v>
      </c>
      <c r="P770" s="16">
        <f>H770*I770</f>
        <v>5.99</v>
      </c>
    </row>
    <row r="771" spans="3:16" x14ac:dyDescent="0.25">
      <c r="C771" t="str">
        <f>IF(COUNTBLANK(E771:N771) = 10,"",IF(AND(NOT(ISBLANK(E771)),COUNTBLANK(E771:N771) = 9),"3 Delete",IF(ISBLANK(E771),"2 Add",IF(JenkinsHashRange(E771:N771) = "1066364342","0 Original","1 Modify"))))</f>
        <v>0 Original</v>
      </c>
      <c r="D771" s="3" t="s">
        <v>1665</v>
      </c>
      <c r="E771" s="5">
        <v>2044</v>
      </c>
      <c r="F771" t="s">
        <v>1114</v>
      </c>
      <c r="G771" t="s">
        <v>400</v>
      </c>
      <c r="H771" s="9">
        <v>6.99</v>
      </c>
      <c r="I771" s="5">
        <v>2</v>
      </c>
      <c r="J771" s="7" t="s">
        <v>970</v>
      </c>
      <c r="K771" s="7">
        <v>42748.047268518516</v>
      </c>
      <c r="L771" s="3" t="s">
        <v>970</v>
      </c>
      <c r="M771" s="7">
        <v>42748.047268518516</v>
      </c>
      <c r="N771" s="3" t="s">
        <v>970</v>
      </c>
      <c r="O771" s="16" t="str">
        <f>TEXT(DATEVALUE(LEFT(F771,10)),"mm-yyyy")</f>
        <v>05-2015</v>
      </c>
      <c r="P771" s="16">
        <f>H771*I771</f>
        <v>13.98</v>
      </c>
    </row>
    <row r="772" spans="3:16" x14ac:dyDescent="0.25">
      <c r="C772" t="str">
        <f>IF(COUNTBLANK(E772:N772) = 10,"",IF(AND(NOT(ISBLANK(E772)),COUNTBLANK(E772:N772) = 9),"3 Delete",IF(ISBLANK(E772),"2 Add",IF(JenkinsHashRange(E772:N772) = "1427709924","0 Original","1 Modify"))))</f>
        <v>0 Original</v>
      </c>
      <c r="D772" s="3" t="s">
        <v>1672</v>
      </c>
      <c r="E772" s="5">
        <v>2100</v>
      </c>
      <c r="F772" t="s">
        <v>1117</v>
      </c>
      <c r="G772" t="s">
        <v>820</v>
      </c>
      <c r="H772" s="9">
        <v>9.99</v>
      </c>
      <c r="I772" s="5">
        <v>1</v>
      </c>
      <c r="J772" s="7" t="s">
        <v>970</v>
      </c>
      <c r="K772" s="7">
        <v>42748.047268518516</v>
      </c>
      <c r="L772" s="3" t="s">
        <v>970</v>
      </c>
      <c r="M772" s="7">
        <v>42748.047268518516</v>
      </c>
      <c r="N772" s="3" t="s">
        <v>970</v>
      </c>
      <c r="O772" s="16" t="str">
        <f>TEXT(DATEVALUE(LEFT(F772,10)),"mm-yyyy")</f>
        <v>05-2015</v>
      </c>
      <c r="P772" s="16">
        <f>H772*I772</f>
        <v>9.99</v>
      </c>
    </row>
    <row r="773" spans="3:16" x14ac:dyDescent="0.25">
      <c r="C773" t="str">
        <f>IF(COUNTBLANK(E773:N773) = 10,"",IF(AND(NOT(ISBLANK(E773)),COUNTBLANK(E773:N773) = 9),"3 Delete",IF(ISBLANK(E773),"2 Add",IF(JenkinsHashRange(E773:N773) = "1687809537","0 Original","1 Modify"))))</f>
        <v>0 Original</v>
      </c>
      <c r="D773" s="3" t="s">
        <v>1673</v>
      </c>
      <c r="E773" s="5">
        <v>2101</v>
      </c>
      <c r="F773" t="s">
        <v>1117</v>
      </c>
      <c r="G773" t="s">
        <v>768</v>
      </c>
      <c r="H773" s="9">
        <v>6.99</v>
      </c>
      <c r="I773" s="5">
        <v>1</v>
      </c>
      <c r="J773" s="7" t="s">
        <v>970</v>
      </c>
      <c r="K773" s="7">
        <v>42748.047268518516</v>
      </c>
      <c r="L773" s="3" t="s">
        <v>970</v>
      </c>
      <c r="M773" s="7">
        <v>42748.047268518516</v>
      </c>
      <c r="N773" s="3" t="s">
        <v>970</v>
      </c>
      <c r="O773" s="16" t="str">
        <f>TEXT(DATEVALUE(LEFT(F773,10)),"mm-yyyy")</f>
        <v>05-2015</v>
      </c>
      <c r="P773" s="16">
        <f>H773*I773</f>
        <v>6.99</v>
      </c>
    </row>
    <row r="774" spans="3:16" x14ac:dyDescent="0.25">
      <c r="C774" t="str">
        <f>IF(COUNTBLANK(E774:N774) = 10,"",IF(AND(NOT(ISBLANK(E774)),COUNTBLANK(E774:N774) = 9),"3 Delete",IF(ISBLANK(E774),"2 Add",IF(JenkinsHashRange(E774:N774) = "70104312","0 Original","1 Modify"))))</f>
        <v>0 Original</v>
      </c>
      <c r="D774" s="3" t="s">
        <v>1674</v>
      </c>
      <c r="E774" s="5">
        <v>2102</v>
      </c>
      <c r="F774" t="s">
        <v>1117</v>
      </c>
      <c r="G774" t="s">
        <v>797</v>
      </c>
      <c r="H774" s="9">
        <v>5.99</v>
      </c>
      <c r="I774" s="5">
        <v>1</v>
      </c>
      <c r="J774" s="7" t="s">
        <v>970</v>
      </c>
      <c r="K774" s="7">
        <v>42748.047268518516</v>
      </c>
      <c r="L774" s="3" t="s">
        <v>970</v>
      </c>
      <c r="M774" s="7">
        <v>42748.047268518516</v>
      </c>
      <c r="N774" s="3" t="s">
        <v>970</v>
      </c>
      <c r="O774" s="16" t="str">
        <f>TEXT(DATEVALUE(LEFT(F774,10)),"mm-yyyy")</f>
        <v>05-2015</v>
      </c>
      <c r="P774" s="16">
        <f>H774*I774</f>
        <v>5.99</v>
      </c>
    </row>
    <row r="775" spans="3:16" x14ac:dyDescent="0.25">
      <c r="C775" t="str">
        <f>IF(COUNTBLANK(E775:N775) = 10,"",IF(AND(NOT(ISBLANK(E775)),COUNTBLANK(E775:N775) = 9),"3 Delete",IF(ISBLANK(E775),"2 Add",IF(JenkinsHashRange(E775:N775) = "934554806","0 Original","1 Modify"))))</f>
        <v>0 Original</v>
      </c>
      <c r="D775" s="3" t="s">
        <v>1675</v>
      </c>
      <c r="E775" s="5">
        <v>2103</v>
      </c>
      <c r="F775" t="s">
        <v>1117</v>
      </c>
      <c r="G775" t="s">
        <v>892</v>
      </c>
      <c r="H775" s="9">
        <v>8.99</v>
      </c>
      <c r="I775" s="5">
        <v>1</v>
      </c>
      <c r="J775" s="7" t="s">
        <v>970</v>
      </c>
      <c r="K775" s="7">
        <v>42748.047268518516</v>
      </c>
      <c r="L775" s="3" t="s">
        <v>970</v>
      </c>
      <c r="M775" s="7">
        <v>42748.047268518516</v>
      </c>
      <c r="N775" s="3" t="s">
        <v>970</v>
      </c>
      <c r="O775" s="16" t="str">
        <f>TEXT(DATEVALUE(LEFT(F775,10)),"mm-yyyy")</f>
        <v>05-2015</v>
      </c>
      <c r="P775" s="16">
        <f>H775*I775</f>
        <v>8.99</v>
      </c>
    </row>
    <row r="776" spans="3:16" x14ac:dyDescent="0.25">
      <c r="C776" t="str">
        <f>IF(COUNTBLANK(E776:N776) = 10,"",IF(AND(NOT(ISBLANK(E776)),COUNTBLANK(E776:N776) = 9),"3 Delete",IF(ISBLANK(E776),"2 Add",IF(JenkinsHashRange(E776:N776) = "632807300","0 Original","1 Modify"))))</f>
        <v>0 Original</v>
      </c>
      <c r="D776" s="3" t="s">
        <v>1676</v>
      </c>
      <c r="E776" s="5">
        <v>2104</v>
      </c>
      <c r="F776" t="s">
        <v>1117</v>
      </c>
      <c r="G776" t="s">
        <v>649</v>
      </c>
      <c r="H776" s="9">
        <v>5.99</v>
      </c>
      <c r="I776" s="5">
        <v>1</v>
      </c>
      <c r="J776" s="7" t="s">
        <v>970</v>
      </c>
      <c r="K776" s="7">
        <v>42748.047268518516</v>
      </c>
      <c r="L776" s="3" t="s">
        <v>970</v>
      </c>
      <c r="M776" s="7">
        <v>42748.047268518516</v>
      </c>
      <c r="N776" s="3" t="s">
        <v>970</v>
      </c>
      <c r="O776" s="16" t="str">
        <f>TEXT(DATEVALUE(LEFT(F776,10)),"mm-yyyy")</f>
        <v>05-2015</v>
      </c>
      <c r="P776" s="16">
        <f>H776*I776</f>
        <v>5.99</v>
      </c>
    </row>
    <row r="777" spans="3:16" x14ac:dyDescent="0.25">
      <c r="C777" t="str">
        <f>IF(COUNTBLANK(E777:N777) = 10,"",IF(AND(NOT(ISBLANK(E777)),COUNTBLANK(E777:N777) = 9),"3 Delete",IF(ISBLANK(E777),"2 Add",IF(JenkinsHashRange(E777:N777) = "1733665049","0 Original","1 Modify"))))</f>
        <v>0 Original</v>
      </c>
      <c r="D777" s="3" t="s">
        <v>1679</v>
      </c>
      <c r="E777" s="5">
        <v>2131</v>
      </c>
      <c r="F777" t="s">
        <v>1119</v>
      </c>
      <c r="G777" t="s">
        <v>390</v>
      </c>
      <c r="H777" s="9">
        <v>4.99</v>
      </c>
      <c r="I777" s="5">
        <v>1</v>
      </c>
      <c r="J777" s="7" t="s">
        <v>970</v>
      </c>
      <c r="K777" s="7">
        <v>42748.047268518516</v>
      </c>
      <c r="L777" s="3" t="s">
        <v>970</v>
      </c>
      <c r="M777" s="7">
        <v>42748.047268518516</v>
      </c>
      <c r="N777" s="3" t="s">
        <v>970</v>
      </c>
      <c r="O777" s="16" t="str">
        <f>TEXT(DATEVALUE(LEFT(F777,10)),"mm-yyyy")</f>
        <v>05-2015</v>
      </c>
      <c r="P777" s="16">
        <f>H777*I777</f>
        <v>4.99</v>
      </c>
    </row>
    <row r="778" spans="3:16" x14ac:dyDescent="0.25">
      <c r="C778" t="str">
        <f>IF(COUNTBLANK(E778:N778) = 10,"",IF(AND(NOT(ISBLANK(E778)),COUNTBLANK(E778:N778) = 9),"3 Delete",IF(ISBLANK(E778),"2 Add",IF(JenkinsHashRange(E778:N778) = "923261741","0 Original","1 Modify"))))</f>
        <v>0 Original</v>
      </c>
      <c r="D778" s="3" t="s">
        <v>1680</v>
      </c>
      <c r="E778" s="5">
        <v>2132</v>
      </c>
      <c r="F778" t="s">
        <v>1119</v>
      </c>
      <c r="G778" t="s">
        <v>917</v>
      </c>
      <c r="H778" s="9">
        <v>4.99</v>
      </c>
      <c r="I778" s="5">
        <v>2</v>
      </c>
      <c r="J778" s="7" t="s">
        <v>970</v>
      </c>
      <c r="K778" s="7">
        <v>42748.047268518516</v>
      </c>
      <c r="L778" s="3" t="s">
        <v>970</v>
      </c>
      <c r="M778" s="7">
        <v>42748.047268518516</v>
      </c>
      <c r="N778" s="3" t="s">
        <v>970</v>
      </c>
      <c r="O778" s="16" t="str">
        <f>TEXT(DATEVALUE(LEFT(F778,10)),"mm-yyyy")</f>
        <v>05-2015</v>
      </c>
      <c r="P778" s="16">
        <f>H778*I778</f>
        <v>9.98</v>
      </c>
    </row>
    <row r="779" spans="3:16" x14ac:dyDescent="0.25">
      <c r="C779" t="str">
        <f>IF(COUNTBLANK(E779:N779) = 10,"",IF(AND(NOT(ISBLANK(E779)),COUNTBLANK(E779:N779) = 9),"3 Delete",IF(ISBLANK(E779),"2 Add",IF(JenkinsHashRange(E779:N779) = "1661987529","0 Original","1 Modify"))))</f>
        <v>0 Original</v>
      </c>
      <c r="D779" s="3" t="s">
        <v>1705</v>
      </c>
      <c r="E779" s="5">
        <v>2222</v>
      </c>
      <c r="F779" t="s">
        <v>1129</v>
      </c>
      <c r="G779" t="s">
        <v>709</v>
      </c>
      <c r="H779" s="9">
        <v>6.99</v>
      </c>
      <c r="I779" s="5">
        <v>1</v>
      </c>
      <c r="J779" s="7" t="s">
        <v>970</v>
      </c>
      <c r="K779" s="7">
        <v>42748.047268518516</v>
      </c>
      <c r="L779" s="3" t="s">
        <v>970</v>
      </c>
      <c r="M779" s="7">
        <v>42748.047268518516</v>
      </c>
      <c r="N779" s="3" t="s">
        <v>970</v>
      </c>
      <c r="O779" s="16" t="str">
        <f>TEXT(DATEVALUE(LEFT(F779,10)),"mm-yyyy")</f>
        <v>05-2015</v>
      </c>
      <c r="P779" s="16">
        <f>H779*I779</f>
        <v>6.99</v>
      </c>
    </row>
    <row r="780" spans="3:16" x14ac:dyDescent="0.25">
      <c r="C780" t="str">
        <f>IF(COUNTBLANK(E780:N780) = 10,"",IF(AND(NOT(ISBLANK(E780)),COUNTBLANK(E780:N780) = 9),"3 Delete",IF(ISBLANK(E780),"2 Add",IF(JenkinsHashRange(E780:N780) = "237337753","0 Original","1 Modify"))))</f>
        <v>0 Original</v>
      </c>
      <c r="D780" s="3" t="s">
        <v>1706</v>
      </c>
      <c r="E780" s="5">
        <v>2223</v>
      </c>
      <c r="F780" t="s">
        <v>1129</v>
      </c>
      <c r="G780" t="s">
        <v>713</v>
      </c>
      <c r="H780" s="9">
        <v>6.99</v>
      </c>
      <c r="I780" s="5">
        <v>1</v>
      </c>
      <c r="J780" s="7" t="s">
        <v>970</v>
      </c>
      <c r="K780" s="7">
        <v>42748.047268518516</v>
      </c>
      <c r="L780" s="3" t="s">
        <v>970</v>
      </c>
      <c r="M780" s="7">
        <v>42748.047268518516</v>
      </c>
      <c r="N780" s="3" t="s">
        <v>970</v>
      </c>
      <c r="O780" s="16" t="str">
        <f>TEXT(DATEVALUE(LEFT(F780,10)),"mm-yyyy")</f>
        <v>05-2015</v>
      </c>
      <c r="P780" s="16">
        <f>H780*I780</f>
        <v>6.99</v>
      </c>
    </row>
    <row r="781" spans="3:16" x14ac:dyDescent="0.25">
      <c r="C781" t="str">
        <f>IF(COUNTBLANK(E781:N781) = 10,"",IF(AND(NOT(ISBLANK(E781)),COUNTBLANK(E781:N781) = 9),"3 Delete",IF(ISBLANK(E781),"2 Add",IF(JenkinsHashRange(E781:N781) = "1992050308","0 Original","1 Modify"))))</f>
        <v>0 Original</v>
      </c>
      <c r="D781" s="3" t="s">
        <v>1707</v>
      </c>
      <c r="E781" s="5">
        <v>2224</v>
      </c>
      <c r="F781" t="s">
        <v>1129</v>
      </c>
      <c r="G781" t="s">
        <v>797</v>
      </c>
      <c r="H781" s="9">
        <v>5.99</v>
      </c>
      <c r="I781" s="5">
        <v>2</v>
      </c>
      <c r="J781" s="7" t="s">
        <v>970</v>
      </c>
      <c r="K781" s="7">
        <v>42748.047268518516</v>
      </c>
      <c r="L781" s="3" t="s">
        <v>970</v>
      </c>
      <c r="M781" s="7">
        <v>42748.047268518516</v>
      </c>
      <c r="N781" s="3" t="s">
        <v>970</v>
      </c>
      <c r="O781" s="16" t="str">
        <f>TEXT(DATEVALUE(LEFT(F781,10)),"mm-yyyy")</f>
        <v>05-2015</v>
      </c>
      <c r="P781" s="16">
        <f>H781*I781</f>
        <v>11.98</v>
      </c>
    </row>
    <row r="782" spans="3:16" x14ac:dyDescent="0.25">
      <c r="C782" t="str">
        <f>IF(COUNTBLANK(E782:N782) = 10,"",IF(AND(NOT(ISBLANK(E782)),COUNTBLANK(E782:N782) = 9),"3 Delete",IF(ISBLANK(E782),"2 Add",IF(JenkinsHashRange(E782:N782) = "965953095","0 Original","1 Modify"))))</f>
        <v>0 Original</v>
      </c>
      <c r="D782" s="3" t="s">
        <v>1724</v>
      </c>
      <c r="E782" s="5">
        <v>2294</v>
      </c>
      <c r="F782" t="s">
        <v>1134</v>
      </c>
      <c r="G782" t="s">
        <v>804</v>
      </c>
      <c r="H782" s="9">
        <v>4.99</v>
      </c>
      <c r="I782" s="5">
        <v>1</v>
      </c>
      <c r="J782" s="7" t="s">
        <v>970</v>
      </c>
      <c r="K782" s="7">
        <v>42748.047268518516</v>
      </c>
      <c r="L782" s="3" t="s">
        <v>970</v>
      </c>
      <c r="M782" s="7">
        <v>42748.047268518516</v>
      </c>
      <c r="N782" s="3" t="s">
        <v>970</v>
      </c>
      <c r="O782" s="16" t="str">
        <f>TEXT(DATEVALUE(LEFT(F782,10)),"mm-yyyy")</f>
        <v>05-2015</v>
      </c>
      <c r="P782" s="16">
        <f>H782*I782</f>
        <v>4.99</v>
      </c>
    </row>
    <row r="783" spans="3:16" x14ac:dyDescent="0.25">
      <c r="C783" t="str">
        <f>IF(COUNTBLANK(E783:N783) = 10,"",IF(AND(NOT(ISBLANK(E783)),COUNTBLANK(E783:N783) = 9),"3 Delete",IF(ISBLANK(E783),"2 Add",IF(JenkinsHashRange(E783:N783) = "2102601875","0 Original","1 Modify"))))</f>
        <v>0 Original</v>
      </c>
      <c r="D783" s="3" t="s">
        <v>1725</v>
      </c>
      <c r="E783" s="5">
        <v>2295</v>
      </c>
      <c r="F783" t="s">
        <v>1134</v>
      </c>
      <c r="G783" t="s">
        <v>631</v>
      </c>
      <c r="H783" s="9">
        <v>8.99</v>
      </c>
      <c r="I783" s="5">
        <v>1</v>
      </c>
      <c r="J783" s="7" t="s">
        <v>970</v>
      </c>
      <c r="K783" s="7">
        <v>42748.047268518516</v>
      </c>
      <c r="L783" s="3" t="s">
        <v>970</v>
      </c>
      <c r="M783" s="7">
        <v>42748.047268518516</v>
      </c>
      <c r="N783" s="3" t="s">
        <v>970</v>
      </c>
      <c r="O783" s="16" t="str">
        <f>TEXT(DATEVALUE(LEFT(F783,10)),"mm-yyyy")</f>
        <v>05-2015</v>
      </c>
      <c r="P783" s="16">
        <f>H783*I783</f>
        <v>8.99</v>
      </c>
    </row>
    <row r="784" spans="3:16" x14ac:dyDescent="0.25">
      <c r="C784" t="str">
        <f>IF(COUNTBLANK(E784:N784) = 10,"",IF(AND(NOT(ISBLANK(E784)),COUNTBLANK(E784:N784) = 9),"3 Delete",IF(ISBLANK(E784),"2 Add",IF(JenkinsHashRange(E784:N784) = "284727576","0 Original","1 Modify"))))</f>
        <v>0 Original</v>
      </c>
      <c r="D784" s="3" t="s">
        <v>1767</v>
      </c>
      <c r="E784" s="5">
        <v>2420</v>
      </c>
      <c r="F784" t="s">
        <v>1145</v>
      </c>
      <c r="G784" t="s">
        <v>702</v>
      </c>
      <c r="H784" s="9">
        <v>7.99</v>
      </c>
      <c r="I784" s="5">
        <v>1</v>
      </c>
      <c r="J784" s="7" t="s">
        <v>970</v>
      </c>
      <c r="K784" s="7">
        <v>42748.047268518516</v>
      </c>
      <c r="L784" s="3" t="s">
        <v>970</v>
      </c>
      <c r="M784" s="7">
        <v>42748.047268518516</v>
      </c>
      <c r="N784" s="3" t="s">
        <v>970</v>
      </c>
      <c r="O784" s="16" t="str">
        <f>TEXT(DATEVALUE(LEFT(F784,10)),"mm-yyyy")</f>
        <v>05-2015</v>
      </c>
      <c r="P784" s="16">
        <f>H784*I784</f>
        <v>7.99</v>
      </c>
    </row>
    <row r="785" spans="3:16" x14ac:dyDescent="0.25">
      <c r="C785" t="str">
        <f>IF(COUNTBLANK(E785:N785) = 10,"",IF(AND(NOT(ISBLANK(E785)),COUNTBLANK(E785:N785) = 9),"3 Delete",IF(ISBLANK(E785),"2 Add",IF(JenkinsHashRange(E785:N785) = "965129671","0 Original","1 Modify"))))</f>
        <v>0 Original</v>
      </c>
      <c r="D785" s="3" t="s">
        <v>1768</v>
      </c>
      <c r="E785" s="5">
        <v>2421</v>
      </c>
      <c r="F785" t="s">
        <v>1146</v>
      </c>
      <c r="G785" t="s">
        <v>904</v>
      </c>
      <c r="H785" s="9">
        <v>9.99</v>
      </c>
      <c r="I785" s="5">
        <v>1</v>
      </c>
      <c r="J785" s="7" t="s">
        <v>970</v>
      </c>
      <c r="K785" s="7">
        <v>42748.047268518516</v>
      </c>
      <c r="L785" s="3" t="s">
        <v>970</v>
      </c>
      <c r="M785" s="7">
        <v>42748.047268518516</v>
      </c>
      <c r="N785" s="3" t="s">
        <v>970</v>
      </c>
      <c r="O785" s="16" t="str">
        <f>TEXT(DATEVALUE(LEFT(F785,10)),"mm-yyyy")</f>
        <v>05-2015</v>
      </c>
      <c r="P785" s="16">
        <f>H785*I785</f>
        <v>9.99</v>
      </c>
    </row>
    <row r="786" spans="3:16" x14ac:dyDescent="0.25">
      <c r="C786" t="str">
        <f>IF(COUNTBLANK(E786:N786) = 10,"",IF(AND(NOT(ISBLANK(E786)),COUNTBLANK(E786:N786) = 9),"3 Delete",IF(ISBLANK(E786),"2 Add",IF(JenkinsHashRange(E786:N786) = "1001344279","0 Original","1 Modify"))))</f>
        <v>0 Original</v>
      </c>
      <c r="D786" s="3" t="s">
        <v>1769</v>
      </c>
      <c r="E786" s="5">
        <v>2422</v>
      </c>
      <c r="F786" t="s">
        <v>1146</v>
      </c>
      <c r="G786" t="s">
        <v>945</v>
      </c>
      <c r="H786" s="9">
        <v>7.99</v>
      </c>
      <c r="I786" s="5">
        <v>1</v>
      </c>
      <c r="J786" s="7" t="s">
        <v>970</v>
      </c>
      <c r="K786" s="7">
        <v>42748.047268518516</v>
      </c>
      <c r="L786" s="3" t="s">
        <v>970</v>
      </c>
      <c r="M786" s="7">
        <v>42748.047268518516</v>
      </c>
      <c r="N786" s="3" t="s">
        <v>970</v>
      </c>
      <c r="O786" s="16" t="str">
        <f>TEXT(DATEVALUE(LEFT(F786,10)),"mm-yyyy")</f>
        <v>05-2015</v>
      </c>
      <c r="P786" s="16">
        <f>H786*I786</f>
        <v>7.99</v>
      </c>
    </row>
    <row r="787" spans="3:16" x14ac:dyDescent="0.25">
      <c r="C787" t="str">
        <f>IF(COUNTBLANK(E787:N787) = 10,"",IF(AND(NOT(ISBLANK(E787)),COUNTBLANK(E787:N787) = 9),"3 Delete",IF(ISBLANK(E787),"2 Add",IF(JenkinsHashRange(E787:N787) = "424380825","0 Original","1 Modify"))))</f>
        <v>0 Original</v>
      </c>
      <c r="D787" s="3" t="s">
        <v>1770</v>
      </c>
      <c r="E787" s="5">
        <v>2423</v>
      </c>
      <c r="F787" t="s">
        <v>1146</v>
      </c>
      <c r="G787" t="s">
        <v>957</v>
      </c>
      <c r="H787" s="9">
        <v>5.99</v>
      </c>
      <c r="I787" s="5">
        <v>1</v>
      </c>
      <c r="J787" s="7" t="s">
        <v>970</v>
      </c>
      <c r="K787" s="7">
        <v>42748.047268518516</v>
      </c>
      <c r="L787" s="3" t="s">
        <v>970</v>
      </c>
      <c r="M787" s="7">
        <v>42748.047268518516</v>
      </c>
      <c r="N787" s="3" t="s">
        <v>970</v>
      </c>
      <c r="O787" s="16" t="str">
        <f>TEXT(DATEVALUE(LEFT(F787,10)),"mm-yyyy")</f>
        <v>05-2015</v>
      </c>
      <c r="P787" s="16">
        <f>H787*I787</f>
        <v>5.99</v>
      </c>
    </row>
    <row r="788" spans="3:16" x14ac:dyDescent="0.25">
      <c r="C788" t="str">
        <f>IF(COUNTBLANK(E788:N788) = 10,"",IF(AND(NOT(ISBLANK(E788)),COUNTBLANK(E788:N788) = 9),"3 Delete",IF(ISBLANK(E788),"2 Add",IF(JenkinsHashRange(E788:N788) = "1113640255","0 Original","1 Modify"))))</f>
        <v>0 Original</v>
      </c>
      <c r="D788" s="3" t="s">
        <v>1771</v>
      </c>
      <c r="E788" s="5">
        <v>2424</v>
      </c>
      <c r="F788" t="s">
        <v>1146</v>
      </c>
      <c r="G788" t="s">
        <v>565</v>
      </c>
      <c r="H788" s="9">
        <v>5.99</v>
      </c>
      <c r="I788" s="5">
        <v>2</v>
      </c>
      <c r="J788" s="7" t="s">
        <v>970</v>
      </c>
      <c r="K788" s="7">
        <v>42748.047268518516</v>
      </c>
      <c r="L788" s="3" t="s">
        <v>970</v>
      </c>
      <c r="M788" s="7">
        <v>42748.047268518516</v>
      </c>
      <c r="N788" s="3" t="s">
        <v>970</v>
      </c>
      <c r="O788" s="16" t="str">
        <f>TEXT(DATEVALUE(LEFT(F788,10)),"mm-yyyy")</f>
        <v>05-2015</v>
      </c>
      <c r="P788" s="16">
        <f>H788*I788</f>
        <v>11.98</v>
      </c>
    </row>
    <row r="789" spans="3:16" x14ac:dyDescent="0.25">
      <c r="C789" t="str">
        <f>IF(COUNTBLANK(E789:N789) = 10,"",IF(AND(NOT(ISBLANK(E789)),COUNTBLANK(E789:N789) = 9),"3 Delete",IF(ISBLANK(E789),"2 Add",IF(JenkinsHashRange(E789:N789) = "1794335659","0 Original","1 Modify"))))</f>
        <v>0 Original</v>
      </c>
      <c r="D789" s="3" t="s">
        <v>1778</v>
      </c>
      <c r="E789" s="5">
        <v>2467</v>
      </c>
      <c r="F789" t="s">
        <v>1149</v>
      </c>
      <c r="G789" t="s">
        <v>565</v>
      </c>
      <c r="H789" s="9">
        <v>5.99</v>
      </c>
      <c r="I789" s="5">
        <v>2</v>
      </c>
      <c r="J789" s="7" t="s">
        <v>970</v>
      </c>
      <c r="K789" s="7">
        <v>42748.047268518516</v>
      </c>
      <c r="L789" s="3" t="s">
        <v>970</v>
      </c>
      <c r="M789" s="7">
        <v>42748.047268518516</v>
      </c>
      <c r="N789" s="3" t="s">
        <v>970</v>
      </c>
      <c r="O789" s="16" t="str">
        <f>TEXT(DATEVALUE(LEFT(F789,10)),"mm-yyyy")</f>
        <v>05-2015</v>
      </c>
      <c r="P789" s="16">
        <f>H789*I789</f>
        <v>11.98</v>
      </c>
    </row>
    <row r="790" spans="3:16" x14ac:dyDescent="0.25">
      <c r="C790" t="str">
        <f>IF(COUNTBLANK(E790:N790) = 10,"",IF(AND(NOT(ISBLANK(E790)),COUNTBLANK(E790:N790) = 9),"3 Delete",IF(ISBLANK(E790),"2 Add",IF(JenkinsHashRange(E790:N790) = "153193242","0 Original","1 Modify"))))</f>
        <v>0 Original</v>
      </c>
      <c r="D790" s="3" t="s">
        <v>1779</v>
      </c>
      <c r="E790" s="5">
        <v>2468</v>
      </c>
      <c r="F790" t="s">
        <v>1149</v>
      </c>
      <c r="G790" t="s">
        <v>877</v>
      </c>
      <c r="H790" s="9">
        <v>8.99</v>
      </c>
      <c r="I790" s="5">
        <v>2</v>
      </c>
      <c r="J790" s="7" t="s">
        <v>970</v>
      </c>
      <c r="K790" s="7">
        <v>42748.047268518516</v>
      </c>
      <c r="L790" s="3" t="s">
        <v>970</v>
      </c>
      <c r="M790" s="7">
        <v>42748.047268518516</v>
      </c>
      <c r="N790" s="3" t="s">
        <v>970</v>
      </c>
      <c r="O790" s="16" t="str">
        <f>TEXT(DATEVALUE(LEFT(F790,10)),"mm-yyyy")</f>
        <v>05-2015</v>
      </c>
      <c r="P790" s="16">
        <f>H790*I790</f>
        <v>17.98</v>
      </c>
    </row>
    <row r="791" spans="3:16" x14ac:dyDescent="0.25">
      <c r="C791" t="str">
        <f>IF(COUNTBLANK(E791:N791) = 10,"",IF(AND(NOT(ISBLANK(E791)),COUNTBLANK(E791:N791) = 9),"3 Delete",IF(ISBLANK(E791),"2 Add",IF(JenkinsHashRange(E791:N791) = "1056772146","0 Original","1 Modify"))))</f>
        <v>0 Original</v>
      </c>
      <c r="D791" s="3" t="s">
        <v>1780</v>
      </c>
      <c r="E791" s="5">
        <v>2469</v>
      </c>
      <c r="F791" t="s">
        <v>1149</v>
      </c>
      <c r="G791" t="s">
        <v>400</v>
      </c>
      <c r="H791" s="9">
        <v>6.99</v>
      </c>
      <c r="I791" s="5">
        <v>1</v>
      </c>
      <c r="J791" s="7" t="s">
        <v>970</v>
      </c>
      <c r="K791" s="7">
        <v>42748.047268518516</v>
      </c>
      <c r="L791" s="3" t="s">
        <v>970</v>
      </c>
      <c r="M791" s="7">
        <v>42748.047268518516</v>
      </c>
      <c r="N791" s="3" t="s">
        <v>970</v>
      </c>
      <c r="O791" s="16" t="str">
        <f>TEXT(DATEVALUE(LEFT(F791,10)),"mm-yyyy")</f>
        <v>05-2015</v>
      </c>
      <c r="P791" s="16">
        <f>H791*I791</f>
        <v>6.99</v>
      </c>
    </row>
    <row r="792" spans="3:16" x14ac:dyDescent="0.25">
      <c r="C792" t="str">
        <f>IF(COUNTBLANK(E792:N792) = 10,"",IF(AND(NOT(ISBLANK(E792)),COUNTBLANK(E792:N792) = 9),"3 Delete",IF(ISBLANK(E792),"2 Add",IF(JenkinsHashRange(E792:N792) = "656375717","0 Original","1 Modify"))))</f>
        <v>0 Original</v>
      </c>
      <c r="D792" s="3" t="s">
        <v>1781</v>
      </c>
      <c r="E792" s="5">
        <v>2470</v>
      </c>
      <c r="F792" t="s">
        <v>1149</v>
      </c>
      <c r="G792" t="s">
        <v>957</v>
      </c>
      <c r="H792" s="9">
        <v>5.99</v>
      </c>
      <c r="I792" s="5">
        <v>1</v>
      </c>
      <c r="J792" s="7" t="s">
        <v>970</v>
      </c>
      <c r="K792" s="7">
        <v>42748.047268518516</v>
      </c>
      <c r="L792" s="3" t="s">
        <v>970</v>
      </c>
      <c r="M792" s="7">
        <v>42748.047268518516</v>
      </c>
      <c r="N792" s="3" t="s">
        <v>970</v>
      </c>
      <c r="O792" s="16" t="str">
        <f>TEXT(DATEVALUE(LEFT(F792,10)),"mm-yyyy")</f>
        <v>05-2015</v>
      </c>
      <c r="P792" s="16">
        <f>H792*I792</f>
        <v>5.99</v>
      </c>
    </row>
    <row r="793" spans="3:16" x14ac:dyDescent="0.25">
      <c r="C793" t="str">
        <f>IF(COUNTBLANK(E793:N793) = 10,"",IF(AND(NOT(ISBLANK(E793)),COUNTBLANK(E793:N793) = 9),"3 Delete",IF(ISBLANK(E793),"2 Add",IF(JenkinsHashRange(E793:N793) = "1922943120","0 Original","1 Modify"))))</f>
        <v>0 Original</v>
      </c>
      <c r="D793" s="3" t="s">
        <v>1782</v>
      </c>
      <c r="E793" s="5">
        <v>2471</v>
      </c>
      <c r="F793" t="s">
        <v>1149</v>
      </c>
      <c r="G793" t="s">
        <v>702</v>
      </c>
      <c r="H793" s="9">
        <v>7.99</v>
      </c>
      <c r="I793" s="5">
        <v>1</v>
      </c>
      <c r="J793" s="7" t="s">
        <v>970</v>
      </c>
      <c r="K793" s="7">
        <v>42748.047268518516</v>
      </c>
      <c r="L793" s="3" t="s">
        <v>970</v>
      </c>
      <c r="M793" s="7">
        <v>42748.047268518516</v>
      </c>
      <c r="N793" s="3" t="s">
        <v>970</v>
      </c>
      <c r="O793" s="16" t="str">
        <f>TEXT(DATEVALUE(LEFT(F793,10)),"mm-yyyy")</f>
        <v>05-2015</v>
      </c>
      <c r="P793" s="16">
        <f>H793*I793</f>
        <v>7.99</v>
      </c>
    </row>
    <row r="794" spans="3:16" x14ac:dyDescent="0.25">
      <c r="C794" t="str">
        <f>IF(COUNTBLANK(E794:N794) = 10,"",IF(AND(NOT(ISBLANK(E794)),COUNTBLANK(E794:N794) = 9),"3 Delete",IF(ISBLANK(E794),"2 Add",IF(JenkinsHashRange(E794:N794) = "32187991","0 Original","1 Modify"))))</f>
        <v>0 Original</v>
      </c>
      <c r="D794" s="3" t="s">
        <v>1795</v>
      </c>
      <c r="E794" s="5">
        <v>2556</v>
      </c>
      <c r="F794" t="s">
        <v>1155</v>
      </c>
      <c r="G794" t="s">
        <v>904</v>
      </c>
      <c r="H794" s="9">
        <v>9.99</v>
      </c>
      <c r="I794" s="5">
        <v>2</v>
      </c>
      <c r="J794" s="7" t="s">
        <v>970</v>
      </c>
      <c r="K794" s="7">
        <v>42748.047268518516</v>
      </c>
      <c r="L794" s="3" t="s">
        <v>970</v>
      </c>
      <c r="M794" s="7">
        <v>42748.047268518516</v>
      </c>
      <c r="N794" s="3" t="s">
        <v>970</v>
      </c>
      <c r="O794" s="16" t="str">
        <f>TEXT(DATEVALUE(LEFT(F794,10)),"mm-yyyy")</f>
        <v>05-2015</v>
      </c>
      <c r="P794" s="16">
        <f>H794*I794</f>
        <v>19.98</v>
      </c>
    </row>
    <row r="795" spans="3:16" x14ac:dyDescent="0.25">
      <c r="C795" t="str">
        <f>IF(COUNTBLANK(E795:N795) = 10,"",IF(AND(NOT(ISBLANK(E795)),COUNTBLANK(E795:N795) = 9),"3 Delete",IF(ISBLANK(E795),"2 Add",IF(JenkinsHashRange(E795:N795) = "1779295529","0 Original","1 Modify"))))</f>
        <v>0 Original</v>
      </c>
      <c r="D795" s="3" t="s">
        <v>1796</v>
      </c>
      <c r="E795" s="5">
        <v>2557</v>
      </c>
      <c r="F795" t="s">
        <v>1155</v>
      </c>
      <c r="G795" t="s">
        <v>914</v>
      </c>
      <c r="H795" s="9">
        <v>8.99</v>
      </c>
      <c r="I795" s="5">
        <v>1</v>
      </c>
      <c r="J795" s="7" t="s">
        <v>970</v>
      </c>
      <c r="K795" s="7">
        <v>42748.047268518516</v>
      </c>
      <c r="L795" s="3" t="s">
        <v>970</v>
      </c>
      <c r="M795" s="7">
        <v>42748.047268518516</v>
      </c>
      <c r="N795" s="3" t="s">
        <v>970</v>
      </c>
      <c r="O795" s="16" t="str">
        <f>TEXT(DATEVALUE(LEFT(F795,10)),"mm-yyyy")</f>
        <v>05-2015</v>
      </c>
      <c r="P795" s="16">
        <f>H795*I795</f>
        <v>8.99</v>
      </c>
    </row>
    <row r="796" spans="3:16" x14ac:dyDescent="0.25">
      <c r="C796" t="str">
        <f>IF(COUNTBLANK(E796:N796) = 10,"",IF(AND(NOT(ISBLANK(E796)),COUNTBLANK(E796:N796) = 9),"3 Delete",IF(ISBLANK(E796),"2 Add",IF(JenkinsHashRange(E796:N796) = "1777695656","0 Original","1 Modify"))))</f>
        <v>0 Original</v>
      </c>
      <c r="D796" s="3" t="s">
        <v>1797</v>
      </c>
      <c r="E796" s="5">
        <v>2558</v>
      </c>
      <c r="F796" t="s">
        <v>1155</v>
      </c>
      <c r="G796" t="s">
        <v>565</v>
      </c>
      <c r="H796" s="9">
        <v>5.99</v>
      </c>
      <c r="I796" s="5">
        <v>2</v>
      </c>
      <c r="J796" s="7" t="s">
        <v>970</v>
      </c>
      <c r="K796" s="7">
        <v>42748.047268518516</v>
      </c>
      <c r="L796" s="3" t="s">
        <v>970</v>
      </c>
      <c r="M796" s="7">
        <v>42748.047268518516</v>
      </c>
      <c r="N796" s="3" t="s">
        <v>970</v>
      </c>
      <c r="O796" s="16" t="str">
        <f>TEXT(DATEVALUE(LEFT(F796,10)),"mm-yyyy")</f>
        <v>05-2015</v>
      </c>
      <c r="P796" s="16">
        <f>H796*I796</f>
        <v>11.98</v>
      </c>
    </row>
    <row r="797" spans="3:16" x14ac:dyDescent="0.25">
      <c r="C797" t="str">
        <f>IF(COUNTBLANK(E797:N797) = 10,"",IF(AND(NOT(ISBLANK(E797)),COUNTBLANK(E797:N797) = 9),"3 Delete",IF(ISBLANK(E797),"2 Add",IF(JenkinsHashRange(E797:N797) = "983982160","0 Original","1 Modify"))))</f>
        <v>0 Original</v>
      </c>
      <c r="D797" s="3" t="s">
        <v>1798</v>
      </c>
      <c r="E797" s="5">
        <v>2559</v>
      </c>
      <c r="F797" t="s">
        <v>1155</v>
      </c>
      <c r="G797" t="s">
        <v>814</v>
      </c>
      <c r="H797" s="9">
        <v>9.99</v>
      </c>
      <c r="I797" s="5">
        <v>1</v>
      </c>
      <c r="J797" s="7" t="s">
        <v>970</v>
      </c>
      <c r="K797" s="7">
        <v>42748.047268518516</v>
      </c>
      <c r="L797" s="3" t="s">
        <v>970</v>
      </c>
      <c r="M797" s="7">
        <v>42748.047268518516</v>
      </c>
      <c r="N797" s="3" t="s">
        <v>970</v>
      </c>
      <c r="O797" s="16" t="str">
        <f>TEXT(DATEVALUE(LEFT(F797,10)),"mm-yyyy")</f>
        <v>05-2015</v>
      </c>
      <c r="P797" s="16">
        <f>H797*I797</f>
        <v>9.99</v>
      </c>
    </row>
    <row r="798" spans="3:16" x14ac:dyDescent="0.25">
      <c r="C798" t="str">
        <f>IF(COUNTBLANK(E798:N798) = 10,"",IF(AND(NOT(ISBLANK(E798)),COUNTBLANK(E798:N798) = 9),"3 Delete",IF(ISBLANK(E798),"2 Add",IF(JenkinsHashRange(E798:N798) = "1314612690","0 Original","1 Modify"))))</f>
        <v>0 Original</v>
      </c>
      <c r="D798" s="3" t="s">
        <v>1821</v>
      </c>
      <c r="E798" s="5">
        <v>2643</v>
      </c>
      <c r="F798" t="s">
        <v>1161</v>
      </c>
      <c r="G798" t="s">
        <v>453</v>
      </c>
      <c r="H798" s="9">
        <v>8.99</v>
      </c>
      <c r="I798" s="5">
        <v>1</v>
      </c>
      <c r="J798" s="7" t="s">
        <v>970</v>
      </c>
      <c r="K798" s="7">
        <v>42748.047268518516</v>
      </c>
      <c r="L798" s="3" t="s">
        <v>970</v>
      </c>
      <c r="M798" s="7">
        <v>42748.047268518516</v>
      </c>
      <c r="N798" s="3" t="s">
        <v>970</v>
      </c>
      <c r="O798" s="16" t="str">
        <f>TEXT(DATEVALUE(LEFT(F798,10)),"mm-yyyy")</f>
        <v>05-2015</v>
      </c>
      <c r="P798" s="16">
        <f>H798*I798</f>
        <v>8.99</v>
      </c>
    </row>
    <row r="799" spans="3:16" x14ac:dyDescent="0.25">
      <c r="C799" t="str">
        <f>IF(COUNTBLANK(E799:N799) = 10,"",IF(AND(NOT(ISBLANK(E799)),COUNTBLANK(E799:N799) = 9),"3 Delete",IF(ISBLANK(E799),"2 Add",IF(JenkinsHashRange(E799:N799) = "1076319514","0 Original","1 Modify"))))</f>
        <v>0 Original</v>
      </c>
      <c r="D799" s="3" t="s">
        <v>1822</v>
      </c>
      <c r="E799" s="5">
        <v>2644</v>
      </c>
      <c r="F799" t="s">
        <v>1161</v>
      </c>
      <c r="G799" t="s">
        <v>904</v>
      </c>
      <c r="H799" s="9">
        <v>9.99</v>
      </c>
      <c r="I799" s="5">
        <v>1</v>
      </c>
      <c r="J799" s="7" t="s">
        <v>970</v>
      </c>
      <c r="K799" s="7">
        <v>42748.047268518516</v>
      </c>
      <c r="L799" s="3" t="s">
        <v>970</v>
      </c>
      <c r="M799" s="7">
        <v>42748.047268518516</v>
      </c>
      <c r="N799" s="3" t="s">
        <v>970</v>
      </c>
      <c r="O799" s="16" t="str">
        <f>TEXT(DATEVALUE(LEFT(F799,10)),"mm-yyyy")</f>
        <v>05-2015</v>
      </c>
      <c r="P799" s="16">
        <f>H799*I799</f>
        <v>9.99</v>
      </c>
    </row>
    <row r="800" spans="3:16" x14ac:dyDescent="0.25">
      <c r="C800" t="str">
        <f>IF(COUNTBLANK(E800:N800) = 10,"",IF(AND(NOT(ISBLANK(E800)),COUNTBLANK(E800:N800) = 9),"3 Delete",IF(ISBLANK(E800),"2 Add",IF(JenkinsHashRange(E800:N800) = "2016281733","0 Original","1 Modify"))))</f>
        <v>0 Original</v>
      </c>
      <c r="D800" s="3" t="s">
        <v>1823</v>
      </c>
      <c r="E800" s="5">
        <v>2645</v>
      </c>
      <c r="F800" t="s">
        <v>1161</v>
      </c>
      <c r="G800" t="s">
        <v>877</v>
      </c>
      <c r="H800" s="9">
        <v>8.99</v>
      </c>
      <c r="I800" s="5">
        <v>2</v>
      </c>
      <c r="J800" s="7" t="s">
        <v>970</v>
      </c>
      <c r="K800" s="7">
        <v>42748.047268518516</v>
      </c>
      <c r="L800" s="3" t="s">
        <v>970</v>
      </c>
      <c r="M800" s="7">
        <v>42748.047268518516</v>
      </c>
      <c r="N800" s="3" t="s">
        <v>970</v>
      </c>
      <c r="O800" s="16" t="str">
        <f>TEXT(DATEVALUE(LEFT(F800,10)),"mm-yyyy")</f>
        <v>05-2015</v>
      </c>
      <c r="P800" s="16">
        <f>H800*I800</f>
        <v>17.98</v>
      </c>
    </row>
    <row r="801" spans="3:16" x14ac:dyDescent="0.25">
      <c r="C801" t="str">
        <f>IF(COUNTBLANK(E801:N801) = 10,"",IF(AND(NOT(ISBLANK(E801)),COUNTBLANK(E801:N801) = 9),"3 Delete",IF(ISBLANK(E801),"2 Add",IF(JenkinsHashRange(E801:N801) = "773967819","0 Original","1 Modify"))))</f>
        <v>0 Original</v>
      </c>
      <c r="D801" s="3" t="s">
        <v>1824</v>
      </c>
      <c r="E801" s="5">
        <v>2646</v>
      </c>
      <c r="F801" t="s">
        <v>1161</v>
      </c>
      <c r="G801" t="s">
        <v>814</v>
      </c>
      <c r="H801" s="9">
        <v>9.99</v>
      </c>
      <c r="I801" s="5">
        <v>2</v>
      </c>
      <c r="J801" s="7" t="s">
        <v>970</v>
      </c>
      <c r="K801" s="7">
        <v>42748.047268518516</v>
      </c>
      <c r="L801" s="3" t="s">
        <v>970</v>
      </c>
      <c r="M801" s="7">
        <v>42748.047268518516</v>
      </c>
      <c r="N801" s="3" t="s">
        <v>970</v>
      </c>
      <c r="O801" s="16" t="str">
        <f>TEXT(DATEVALUE(LEFT(F801,10)),"mm-yyyy")</f>
        <v>05-2015</v>
      </c>
      <c r="P801" s="16">
        <f>H801*I801</f>
        <v>19.98</v>
      </c>
    </row>
    <row r="802" spans="3:16" x14ac:dyDescent="0.25">
      <c r="C802" t="str">
        <f>IF(COUNTBLANK(E802:N802) = 10,"",IF(AND(NOT(ISBLANK(E802)),COUNTBLANK(E802:N802) = 9),"3 Delete",IF(ISBLANK(E802),"2 Add",IF(JenkinsHashRange(E802:N802) = "1216999300","0 Original","1 Modify"))))</f>
        <v>0 Original</v>
      </c>
      <c r="D802" s="3" t="s">
        <v>1825</v>
      </c>
      <c r="E802" s="5">
        <v>2647</v>
      </c>
      <c r="F802" t="s">
        <v>1161</v>
      </c>
      <c r="G802" t="s">
        <v>453</v>
      </c>
      <c r="H802" s="9">
        <v>8.99</v>
      </c>
      <c r="I802" s="5">
        <v>1</v>
      </c>
      <c r="J802" s="7" t="s">
        <v>970</v>
      </c>
      <c r="K802" s="7">
        <v>42748.047268518516</v>
      </c>
      <c r="L802" s="3" t="s">
        <v>970</v>
      </c>
      <c r="M802" s="7">
        <v>42748.047268518516</v>
      </c>
      <c r="N802" s="3" t="s">
        <v>970</v>
      </c>
      <c r="O802" s="16" t="str">
        <f>TEXT(DATEVALUE(LEFT(F802,10)),"mm-yyyy")</f>
        <v>05-2015</v>
      </c>
      <c r="P802" s="16">
        <f>H802*I802</f>
        <v>8.99</v>
      </c>
    </row>
    <row r="803" spans="3:16" x14ac:dyDescent="0.25">
      <c r="C803" t="str">
        <f>IF(COUNTBLANK(E803:N803) = 10,"",IF(AND(NOT(ISBLANK(E803)),COUNTBLANK(E803:N803) = 9),"3 Delete",IF(ISBLANK(E803),"2 Add",IF(JenkinsHashRange(E803:N803) = "1381907155","0 Original","1 Modify"))))</f>
        <v>0 Original</v>
      </c>
      <c r="D803" s="3" t="s">
        <v>1844</v>
      </c>
      <c r="E803" s="5">
        <v>2808</v>
      </c>
      <c r="F803" t="s">
        <v>1167</v>
      </c>
      <c r="G803" t="s">
        <v>814</v>
      </c>
      <c r="H803" s="9">
        <v>9.99</v>
      </c>
      <c r="I803" s="5">
        <v>2</v>
      </c>
      <c r="J803" s="7" t="s">
        <v>970</v>
      </c>
      <c r="K803" s="7">
        <v>42748.047268518516</v>
      </c>
      <c r="L803" s="3" t="s">
        <v>970</v>
      </c>
      <c r="M803" s="7">
        <v>42748.047268518516</v>
      </c>
      <c r="N803" s="3" t="s">
        <v>970</v>
      </c>
      <c r="O803" s="16" t="str">
        <f>TEXT(DATEVALUE(LEFT(F803,10)),"mm-yyyy")</f>
        <v>05-2015</v>
      </c>
      <c r="P803" s="16">
        <f>H803*I803</f>
        <v>19.98</v>
      </c>
    </row>
    <row r="804" spans="3:16" x14ac:dyDescent="0.25">
      <c r="C804" t="str">
        <f>IF(COUNTBLANK(E804:N804) = 10,"",IF(AND(NOT(ISBLANK(E804)),COUNTBLANK(E804:N804) = 9),"3 Delete",IF(ISBLANK(E804),"2 Add",IF(JenkinsHashRange(E804:N804) = "769997304","0 Original","1 Modify"))))</f>
        <v>0 Original</v>
      </c>
      <c r="D804" s="3" t="s">
        <v>1845</v>
      </c>
      <c r="E804" s="5">
        <v>2809</v>
      </c>
      <c r="F804" t="s">
        <v>1167</v>
      </c>
      <c r="G804" t="s">
        <v>400</v>
      </c>
      <c r="H804" s="9">
        <v>6.99</v>
      </c>
      <c r="I804" s="5">
        <v>1</v>
      </c>
      <c r="J804" s="7" t="s">
        <v>970</v>
      </c>
      <c r="K804" s="7">
        <v>42748.047268518516</v>
      </c>
      <c r="L804" s="3" t="s">
        <v>970</v>
      </c>
      <c r="M804" s="7">
        <v>42748.047268518516</v>
      </c>
      <c r="N804" s="3" t="s">
        <v>970</v>
      </c>
      <c r="O804" s="16" t="str">
        <f>TEXT(DATEVALUE(LEFT(F804,10)),"mm-yyyy")</f>
        <v>05-2015</v>
      </c>
      <c r="P804" s="16">
        <f>H804*I804</f>
        <v>6.99</v>
      </c>
    </row>
    <row r="805" spans="3:16" x14ac:dyDescent="0.25">
      <c r="C805" t="str">
        <f>IF(COUNTBLANK(E805:N805) = 10,"",IF(AND(NOT(ISBLANK(E805)),COUNTBLANK(E805:N805) = 9),"3 Delete",IF(ISBLANK(E805),"2 Add",IF(JenkinsHashRange(E805:N805) = "1875495759","0 Original","1 Modify"))))</f>
        <v>0 Original</v>
      </c>
      <c r="D805" s="3" t="s">
        <v>1846</v>
      </c>
      <c r="E805" s="5">
        <v>2810</v>
      </c>
      <c r="F805" t="s">
        <v>1167</v>
      </c>
      <c r="G805" t="s">
        <v>814</v>
      </c>
      <c r="H805" s="9">
        <v>9.99</v>
      </c>
      <c r="I805" s="5">
        <v>1</v>
      </c>
      <c r="J805" s="7" t="s">
        <v>970</v>
      </c>
      <c r="K805" s="7">
        <v>42748.047268518516</v>
      </c>
      <c r="L805" s="3" t="s">
        <v>970</v>
      </c>
      <c r="M805" s="7">
        <v>42748.047268518516</v>
      </c>
      <c r="N805" s="3" t="s">
        <v>970</v>
      </c>
      <c r="O805" s="16" t="str">
        <f>TEXT(DATEVALUE(LEFT(F805,10)),"mm-yyyy")</f>
        <v>05-2015</v>
      </c>
      <c r="P805" s="16">
        <f>H805*I805</f>
        <v>9.99</v>
      </c>
    </row>
    <row r="806" spans="3:16" x14ac:dyDescent="0.25">
      <c r="C806" t="str">
        <f>IF(COUNTBLANK(E806:N806) = 10,"",IF(AND(NOT(ISBLANK(E806)),COUNTBLANK(E806:N806) = 9),"3 Delete",IF(ISBLANK(E806),"2 Add",IF(JenkinsHashRange(E806:N806) = "1080898272","0 Original","1 Modify"))))</f>
        <v>0 Original</v>
      </c>
      <c r="D806" s="3" t="s">
        <v>1847</v>
      </c>
      <c r="E806" s="5">
        <v>2811</v>
      </c>
      <c r="F806" t="s">
        <v>1167</v>
      </c>
      <c r="G806" t="s">
        <v>957</v>
      </c>
      <c r="H806" s="9">
        <v>5.99</v>
      </c>
      <c r="I806" s="5">
        <v>1</v>
      </c>
      <c r="J806" s="7" t="s">
        <v>970</v>
      </c>
      <c r="K806" s="7">
        <v>42748.047268518516</v>
      </c>
      <c r="L806" s="3" t="s">
        <v>970</v>
      </c>
      <c r="M806" s="7">
        <v>42748.047268518516</v>
      </c>
      <c r="N806" s="3" t="s">
        <v>970</v>
      </c>
      <c r="O806" s="16" t="str">
        <f>TEXT(DATEVALUE(LEFT(F806,10)),"mm-yyyy")</f>
        <v>05-2015</v>
      </c>
      <c r="P806" s="16">
        <f>H806*I806</f>
        <v>5.99</v>
      </c>
    </row>
    <row r="807" spans="3:16" x14ac:dyDescent="0.25">
      <c r="C807" t="str">
        <f>IF(COUNTBLANK(E807:N807) = 10,"",IF(AND(NOT(ISBLANK(E807)),COUNTBLANK(E807:N807) = 9),"3 Delete",IF(ISBLANK(E807),"2 Add",IF(JenkinsHashRange(E807:N807) = "1466598308","0 Original","1 Modify"))))</f>
        <v>0 Original</v>
      </c>
      <c r="D807" s="3" t="s">
        <v>1854</v>
      </c>
      <c r="E807" s="5">
        <v>2843</v>
      </c>
      <c r="F807" t="s">
        <v>1171</v>
      </c>
      <c r="G807" t="s">
        <v>914</v>
      </c>
      <c r="H807" s="9">
        <v>8.99</v>
      </c>
      <c r="I807" s="5">
        <v>1</v>
      </c>
      <c r="J807" s="7" t="s">
        <v>970</v>
      </c>
      <c r="K807" s="7">
        <v>42748.047268518516</v>
      </c>
      <c r="L807" s="3" t="s">
        <v>970</v>
      </c>
      <c r="M807" s="7">
        <v>42748.047268518516</v>
      </c>
      <c r="N807" s="3" t="s">
        <v>970</v>
      </c>
      <c r="O807" s="16" t="str">
        <f>TEXT(DATEVALUE(LEFT(F807,10)),"mm-yyyy")</f>
        <v>05-2015</v>
      </c>
      <c r="P807" s="16">
        <f>H807*I807</f>
        <v>8.99</v>
      </c>
    </row>
    <row r="808" spans="3:16" x14ac:dyDescent="0.25">
      <c r="C808" t="str">
        <f>IF(COUNTBLANK(E808:N808) = 10,"",IF(AND(NOT(ISBLANK(E808)),COUNTBLANK(E808:N808) = 9),"3 Delete",IF(ISBLANK(E808),"2 Add",IF(JenkinsHashRange(E808:N808) = "898351365","0 Original","1 Modify"))))</f>
        <v>0 Original</v>
      </c>
      <c r="D808" s="3" t="s">
        <v>1855</v>
      </c>
      <c r="E808" s="5">
        <v>2844</v>
      </c>
      <c r="F808" t="s">
        <v>1171</v>
      </c>
      <c r="G808" t="s">
        <v>914</v>
      </c>
      <c r="H808" s="9">
        <v>8.99</v>
      </c>
      <c r="I808" s="5">
        <v>1</v>
      </c>
      <c r="J808" s="7" t="s">
        <v>970</v>
      </c>
      <c r="K808" s="7">
        <v>42748.047268518516</v>
      </c>
      <c r="L808" s="3" t="s">
        <v>970</v>
      </c>
      <c r="M808" s="7">
        <v>42748.047268518516</v>
      </c>
      <c r="N808" s="3" t="s">
        <v>970</v>
      </c>
      <c r="O808" s="16" t="str">
        <f>TEXT(DATEVALUE(LEFT(F808,10)),"mm-yyyy")</f>
        <v>05-2015</v>
      </c>
      <c r="P808" s="16">
        <f>H808*I808</f>
        <v>8.99</v>
      </c>
    </row>
    <row r="809" spans="3:16" x14ac:dyDescent="0.25">
      <c r="C809" t="str">
        <f>IF(COUNTBLANK(E809:N809) = 10,"",IF(AND(NOT(ISBLANK(E809)),COUNTBLANK(E809:N809) = 9),"3 Delete",IF(ISBLANK(E809),"2 Add",IF(JenkinsHashRange(E809:N809) = "2096482501","0 Original","1 Modify"))))</f>
        <v>0 Original</v>
      </c>
      <c r="D809" s="3" t="s">
        <v>1866</v>
      </c>
      <c r="E809" s="5">
        <v>2912</v>
      </c>
      <c r="F809" t="s">
        <v>1175</v>
      </c>
      <c r="G809" t="s">
        <v>453</v>
      </c>
      <c r="H809" s="9">
        <v>8.99</v>
      </c>
      <c r="I809" s="5">
        <v>2</v>
      </c>
      <c r="J809" s="7" t="s">
        <v>970</v>
      </c>
      <c r="K809" s="7">
        <v>42748.047268518516</v>
      </c>
      <c r="L809" s="3" t="s">
        <v>970</v>
      </c>
      <c r="M809" s="7">
        <v>42748.047268518516</v>
      </c>
      <c r="N809" s="3" t="s">
        <v>970</v>
      </c>
      <c r="O809" s="16" t="str">
        <f>TEXT(DATEVALUE(LEFT(F809,10)),"mm-yyyy")</f>
        <v>05-2015</v>
      </c>
      <c r="P809" s="16">
        <f>H809*I809</f>
        <v>17.98</v>
      </c>
    </row>
    <row r="810" spans="3:16" x14ac:dyDescent="0.25">
      <c r="C810" t="str">
        <f>IF(COUNTBLANK(E810:N810) = 10,"",IF(AND(NOT(ISBLANK(E810)),COUNTBLANK(E810:N810) = 9),"3 Delete",IF(ISBLANK(E810),"2 Add",IF(JenkinsHashRange(E810:N810) = "1263161229","0 Original","1 Modify"))))</f>
        <v>0 Original</v>
      </c>
      <c r="D810" s="3" t="s">
        <v>1867</v>
      </c>
      <c r="E810" s="5">
        <v>2913</v>
      </c>
      <c r="F810" t="s">
        <v>1175</v>
      </c>
      <c r="G810" t="s">
        <v>914</v>
      </c>
      <c r="H810" s="9">
        <v>8.99</v>
      </c>
      <c r="I810" s="5">
        <v>1</v>
      </c>
      <c r="J810" s="7" t="s">
        <v>970</v>
      </c>
      <c r="K810" s="7">
        <v>42748.047268518516</v>
      </c>
      <c r="L810" s="3" t="s">
        <v>970</v>
      </c>
      <c r="M810" s="7">
        <v>42748.047268518516</v>
      </c>
      <c r="N810" s="3" t="s">
        <v>970</v>
      </c>
      <c r="O810" s="16" t="str">
        <f>TEXT(DATEVALUE(LEFT(F810,10)),"mm-yyyy")</f>
        <v>05-2015</v>
      </c>
      <c r="P810" s="16">
        <f>H810*I810</f>
        <v>8.99</v>
      </c>
    </row>
    <row r="811" spans="3:16" x14ac:dyDescent="0.25">
      <c r="C811" t="str">
        <f>IF(COUNTBLANK(E811:N811) = 10,"",IF(AND(NOT(ISBLANK(E811)),COUNTBLANK(E811:N811) = 9),"3 Delete",IF(ISBLANK(E811),"2 Add",IF(JenkinsHashRange(E811:N811) = "2057951387","0 Original","1 Modify"))))</f>
        <v>0 Original</v>
      </c>
      <c r="D811" s="3" t="s">
        <v>1868</v>
      </c>
      <c r="E811" s="5">
        <v>2914</v>
      </c>
      <c r="F811" t="s">
        <v>1175</v>
      </c>
      <c r="G811" t="s">
        <v>914</v>
      </c>
      <c r="H811" s="9">
        <v>8.99</v>
      </c>
      <c r="I811" s="5">
        <v>1</v>
      </c>
      <c r="J811" s="7" t="s">
        <v>970</v>
      </c>
      <c r="K811" s="7">
        <v>42748.047268518516</v>
      </c>
      <c r="L811" s="3" t="s">
        <v>970</v>
      </c>
      <c r="M811" s="7">
        <v>42748.047268518516</v>
      </c>
      <c r="N811" s="3" t="s">
        <v>970</v>
      </c>
      <c r="O811" s="16" t="str">
        <f>TEXT(DATEVALUE(LEFT(F811,10)),"mm-yyyy")</f>
        <v>05-2015</v>
      </c>
      <c r="P811" s="16">
        <f>H811*I811</f>
        <v>8.99</v>
      </c>
    </row>
    <row r="812" spans="3:16" x14ac:dyDescent="0.25">
      <c r="C812" t="str">
        <f>IF(COUNTBLANK(E812:N812) = 10,"",IF(AND(NOT(ISBLANK(E812)),COUNTBLANK(E812:N812) = 9),"3 Delete",IF(ISBLANK(E812),"2 Add",IF(JenkinsHashRange(E812:N812) = "1013397316","0 Original","1 Modify"))))</f>
        <v>0 Original</v>
      </c>
      <c r="D812" s="3" t="s">
        <v>1869</v>
      </c>
      <c r="E812" s="5">
        <v>2915</v>
      </c>
      <c r="F812" t="s">
        <v>1175</v>
      </c>
      <c r="G812" t="s">
        <v>453</v>
      </c>
      <c r="H812" s="9">
        <v>8.99</v>
      </c>
      <c r="I812" s="5">
        <v>1</v>
      </c>
      <c r="J812" s="7" t="s">
        <v>970</v>
      </c>
      <c r="K812" s="7">
        <v>42748.047268518516</v>
      </c>
      <c r="L812" s="3" t="s">
        <v>970</v>
      </c>
      <c r="M812" s="7">
        <v>42748.047268518516</v>
      </c>
      <c r="N812" s="3" t="s">
        <v>970</v>
      </c>
      <c r="O812" s="16" t="str">
        <f>TEXT(DATEVALUE(LEFT(F812,10)),"mm-yyyy")</f>
        <v>05-2015</v>
      </c>
      <c r="P812" s="16">
        <f>H812*I812</f>
        <v>8.99</v>
      </c>
    </row>
    <row r="813" spans="3:16" x14ac:dyDescent="0.25">
      <c r="C813" t="str">
        <f>IF(COUNTBLANK(E813:N813) = 10,"",IF(AND(NOT(ISBLANK(E813)),COUNTBLANK(E813:N813) = 9),"3 Delete",IF(ISBLANK(E813),"2 Add",IF(JenkinsHashRange(E813:N813) = "1962681033","0 Original","1 Modify"))))</f>
        <v>0 Original</v>
      </c>
      <c r="D813" s="3" t="s">
        <v>1870</v>
      </c>
      <c r="E813" s="5">
        <v>2916</v>
      </c>
      <c r="F813" t="s">
        <v>1175</v>
      </c>
      <c r="G813" t="s">
        <v>877</v>
      </c>
      <c r="H813" s="9">
        <v>8.99</v>
      </c>
      <c r="I813" s="5">
        <v>2</v>
      </c>
      <c r="J813" s="7" t="s">
        <v>970</v>
      </c>
      <c r="K813" s="7">
        <v>42748.047268518516</v>
      </c>
      <c r="L813" s="3" t="s">
        <v>970</v>
      </c>
      <c r="M813" s="7">
        <v>42748.047268518516</v>
      </c>
      <c r="N813" s="3" t="s">
        <v>970</v>
      </c>
      <c r="O813" s="16" t="str">
        <f>TEXT(DATEVALUE(LEFT(F813,10)),"mm-yyyy")</f>
        <v>05-2015</v>
      </c>
      <c r="P813" s="16">
        <f>H813*I813</f>
        <v>17.98</v>
      </c>
    </row>
    <row r="814" spans="3:16" x14ac:dyDescent="0.25">
      <c r="C814" t="str">
        <f>IF(COUNTBLANK(E814:N814) = 10,"",IF(AND(NOT(ISBLANK(E814)),COUNTBLANK(E814:N814) = 9),"3 Delete",IF(ISBLANK(E814),"2 Add",IF(JenkinsHashRange(E814:N814) = "4940965","0 Original","1 Modify"))))</f>
        <v>0 Original</v>
      </c>
      <c r="D814" s="3" t="s">
        <v>1871</v>
      </c>
      <c r="E814" s="5">
        <v>2917</v>
      </c>
      <c r="F814" t="s">
        <v>1175</v>
      </c>
      <c r="G814" t="s">
        <v>957</v>
      </c>
      <c r="H814" s="9">
        <v>5.99</v>
      </c>
      <c r="I814" s="5">
        <v>1</v>
      </c>
      <c r="J814" s="7" t="s">
        <v>970</v>
      </c>
      <c r="K814" s="7">
        <v>42748.047268518516</v>
      </c>
      <c r="L814" s="3" t="s">
        <v>970</v>
      </c>
      <c r="M814" s="7">
        <v>42748.047268518516</v>
      </c>
      <c r="N814" s="3" t="s">
        <v>970</v>
      </c>
      <c r="O814" s="16" t="str">
        <f>TEXT(DATEVALUE(LEFT(F814,10)),"mm-yyyy")</f>
        <v>05-2015</v>
      </c>
      <c r="P814" s="16">
        <f>H814*I814</f>
        <v>5.99</v>
      </c>
    </row>
    <row r="815" spans="3:16" x14ac:dyDescent="0.25">
      <c r="C815" t="str">
        <f>IF(COUNTBLANK(E815:N815) = 10,"",IF(AND(NOT(ISBLANK(E815)),COUNTBLANK(E815:N815) = 9),"3 Delete",IF(ISBLANK(E815),"2 Add",IF(JenkinsHashRange(E815:N815) = "1340960425","0 Original","1 Modify"))))</f>
        <v>0 Original</v>
      </c>
      <c r="D815" s="3" t="s">
        <v>1872</v>
      </c>
      <c r="E815" s="5">
        <v>2918</v>
      </c>
      <c r="F815" t="s">
        <v>1175</v>
      </c>
      <c r="G815" t="s">
        <v>904</v>
      </c>
      <c r="H815" s="9">
        <v>9.99</v>
      </c>
      <c r="I815" s="5">
        <v>1</v>
      </c>
      <c r="J815" s="7" t="s">
        <v>970</v>
      </c>
      <c r="K815" s="7">
        <v>42748.047268518516</v>
      </c>
      <c r="L815" s="3" t="s">
        <v>970</v>
      </c>
      <c r="M815" s="7">
        <v>42748.047268518516</v>
      </c>
      <c r="N815" s="3" t="s">
        <v>970</v>
      </c>
      <c r="O815" s="16" t="str">
        <f>TEXT(DATEVALUE(LEFT(F815,10)),"mm-yyyy")</f>
        <v>05-2015</v>
      </c>
      <c r="P815" s="16">
        <f>H815*I815</f>
        <v>9.99</v>
      </c>
    </row>
    <row r="816" spans="3:16" x14ac:dyDescent="0.25">
      <c r="C816" t="str">
        <f>IF(COUNTBLANK(E816:N816) = 10,"",IF(AND(NOT(ISBLANK(E816)),COUNTBLANK(E816:N816) = 9),"3 Delete",IF(ISBLANK(E816),"2 Add",IF(JenkinsHashRange(E816:N816) = "1316091670","0 Original","1 Modify"))))</f>
        <v>0 Original</v>
      </c>
      <c r="D816" s="3" t="s">
        <v>1873</v>
      </c>
      <c r="E816" s="5">
        <v>2919</v>
      </c>
      <c r="F816" t="s">
        <v>1175</v>
      </c>
      <c r="G816" t="s">
        <v>957</v>
      </c>
      <c r="H816" s="9">
        <v>5.99</v>
      </c>
      <c r="I816" s="5">
        <v>1</v>
      </c>
      <c r="J816" s="7" t="s">
        <v>970</v>
      </c>
      <c r="K816" s="7">
        <v>42748.047268518516</v>
      </c>
      <c r="L816" s="3" t="s">
        <v>970</v>
      </c>
      <c r="M816" s="7">
        <v>42748.047268518516</v>
      </c>
      <c r="N816" s="3" t="s">
        <v>970</v>
      </c>
      <c r="O816" s="16" t="str">
        <f>TEXT(DATEVALUE(LEFT(F816,10)),"mm-yyyy")</f>
        <v>05-2015</v>
      </c>
      <c r="P816" s="16">
        <f>H816*I816</f>
        <v>5.99</v>
      </c>
    </row>
    <row r="817" spans="3:16" x14ac:dyDescent="0.25">
      <c r="C817" t="str">
        <f>IF(COUNTBLANK(E817:N817) = 10,"",IF(AND(NOT(ISBLANK(E817)),COUNTBLANK(E817:N817) = 9),"3 Delete",IF(ISBLANK(E817),"2 Add",IF(JenkinsHashRange(E817:N817) = "636835898","0 Original","1 Modify"))))</f>
        <v>0 Original</v>
      </c>
      <c r="D817" s="3" t="s">
        <v>1880</v>
      </c>
      <c r="E817" s="5">
        <v>2941</v>
      </c>
      <c r="F817" t="s">
        <v>1178</v>
      </c>
      <c r="G817" t="s">
        <v>814</v>
      </c>
      <c r="H817" s="9">
        <v>9.99</v>
      </c>
      <c r="I817" s="5">
        <v>2</v>
      </c>
      <c r="J817" s="7" t="s">
        <v>970</v>
      </c>
      <c r="K817" s="7">
        <v>42748.047268518516</v>
      </c>
      <c r="L817" s="3" t="s">
        <v>970</v>
      </c>
      <c r="M817" s="7">
        <v>42748.047268518516</v>
      </c>
      <c r="N817" s="3" t="s">
        <v>970</v>
      </c>
      <c r="O817" s="16" t="str">
        <f>TEXT(DATEVALUE(LEFT(F817,10)),"mm-yyyy")</f>
        <v>05-2015</v>
      </c>
      <c r="P817" s="16">
        <f>H817*I817</f>
        <v>19.98</v>
      </c>
    </row>
    <row r="818" spans="3:16" x14ac:dyDescent="0.25">
      <c r="C818" t="str">
        <f>IF(COUNTBLANK(E818:N818) = 10,"",IF(AND(NOT(ISBLANK(E818)),COUNTBLANK(E818:N818) = 9),"3 Delete",IF(ISBLANK(E818),"2 Add",IF(JenkinsHashRange(E818:N818) = "1917203362","0 Original","1 Modify"))))</f>
        <v>0 Original</v>
      </c>
      <c r="D818" s="3" t="s">
        <v>1881</v>
      </c>
      <c r="E818" s="5">
        <v>2942</v>
      </c>
      <c r="F818" t="s">
        <v>1179</v>
      </c>
      <c r="G818" t="s">
        <v>565</v>
      </c>
      <c r="H818" s="9">
        <v>5.99</v>
      </c>
      <c r="I818" s="5">
        <v>1</v>
      </c>
      <c r="J818" s="7" t="s">
        <v>970</v>
      </c>
      <c r="K818" s="7">
        <v>42748.047268518516</v>
      </c>
      <c r="L818" s="3" t="s">
        <v>970</v>
      </c>
      <c r="M818" s="7">
        <v>42748.047268518516</v>
      </c>
      <c r="N818" s="3" t="s">
        <v>970</v>
      </c>
      <c r="O818" s="16" t="str">
        <f>TEXT(DATEVALUE(LEFT(F818,10)),"mm-yyyy")</f>
        <v>05-2015</v>
      </c>
      <c r="P818" s="16">
        <f>H818*I818</f>
        <v>5.99</v>
      </c>
    </row>
    <row r="819" spans="3:16" x14ac:dyDescent="0.25">
      <c r="C819" t="str">
        <f>IF(COUNTBLANK(E819:N819) = 10,"",IF(AND(NOT(ISBLANK(E819)),COUNTBLANK(E819:N819) = 9),"3 Delete",IF(ISBLANK(E819),"2 Add",IF(JenkinsHashRange(E819:N819) = "1641286291","0 Original","1 Modify"))))</f>
        <v>0 Original</v>
      </c>
      <c r="D819" s="3" t="s">
        <v>1882</v>
      </c>
      <c r="E819" s="5">
        <v>2943</v>
      </c>
      <c r="F819" t="s">
        <v>1179</v>
      </c>
      <c r="G819" t="s">
        <v>957</v>
      </c>
      <c r="H819" s="9">
        <v>5.99</v>
      </c>
      <c r="I819" s="5">
        <v>1</v>
      </c>
      <c r="J819" s="7" t="s">
        <v>970</v>
      </c>
      <c r="K819" s="7">
        <v>42748.047268518516</v>
      </c>
      <c r="L819" s="3" t="s">
        <v>970</v>
      </c>
      <c r="M819" s="7">
        <v>42748.047268518516</v>
      </c>
      <c r="N819" s="3" t="s">
        <v>970</v>
      </c>
      <c r="O819" s="16" t="str">
        <f>TEXT(DATEVALUE(LEFT(F819,10)),"mm-yyyy")</f>
        <v>05-2015</v>
      </c>
      <c r="P819" s="16">
        <f>H819*I819</f>
        <v>5.99</v>
      </c>
    </row>
    <row r="820" spans="3:16" x14ac:dyDescent="0.25">
      <c r="C820" t="str">
        <f>IF(COUNTBLANK(E820:N820) = 10,"",IF(AND(NOT(ISBLANK(E820)),COUNTBLANK(E820:N820) = 9),"3 Delete",IF(ISBLANK(E820),"2 Add",IF(JenkinsHashRange(E820:N820) = "1919291616","0 Original","1 Modify"))))</f>
        <v>0 Original</v>
      </c>
      <c r="D820" s="3" t="s">
        <v>1883</v>
      </c>
      <c r="E820" s="5">
        <v>2944</v>
      </c>
      <c r="F820" t="s">
        <v>1179</v>
      </c>
      <c r="G820" t="s">
        <v>914</v>
      </c>
      <c r="H820" s="9">
        <v>8.99</v>
      </c>
      <c r="I820" s="5">
        <v>1</v>
      </c>
      <c r="J820" s="7" t="s">
        <v>970</v>
      </c>
      <c r="K820" s="7">
        <v>42748.047268518516</v>
      </c>
      <c r="L820" s="3" t="s">
        <v>970</v>
      </c>
      <c r="M820" s="7">
        <v>42748.047268518516</v>
      </c>
      <c r="N820" s="3" t="s">
        <v>970</v>
      </c>
      <c r="O820" s="16" t="str">
        <f>TEXT(DATEVALUE(LEFT(F820,10)),"mm-yyyy")</f>
        <v>05-2015</v>
      </c>
      <c r="P820" s="16">
        <f>H820*I820</f>
        <v>8.99</v>
      </c>
    </row>
    <row r="821" spans="3:16" x14ac:dyDescent="0.25">
      <c r="C821" t="str">
        <f>IF(COUNTBLANK(E821:N821) = 10,"",IF(AND(NOT(ISBLANK(E821)),COUNTBLANK(E821:N821) = 9),"3 Delete",IF(ISBLANK(E821),"2 Add",IF(JenkinsHashRange(E821:N821) = "2113196466","0 Original","1 Modify"))))</f>
        <v>0 Original</v>
      </c>
      <c r="D821" s="3" t="s">
        <v>1899</v>
      </c>
      <c r="E821" s="5">
        <v>3054</v>
      </c>
      <c r="F821" t="s">
        <v>1185</v>
      </c>
      <c r="G821" t="s">
        <v>877</v>
      </c>
      <c r="H821" s="9">
        <v>8.99</v>
      </c>
      <c r="I821" s="5">
        <v>1</v>
      </c>
      <c r="J821" s="7" t="s">
        <v>970</v>
      </c>
      <c r="K821" s="7">
        <v>42748.047268518516</v>
      </c>
      <c r="L821" s="3" t="s">
        <v>970</v>
      </c>
      <c r="M821" s="7">
        <v>42748.047268518516</v>
      </c>
      <c r="N821" s="3" t="s">
        <v>970</v>
      </c>
      <c r="O821" s="16" t="str">
        <f>TEXT(DATEVALUE(LEFT(F821,10)),"mm-yyyy")</f>
        <v>05-2015</v>
      </c>
      <c r="P821" s="16">
        <f>H821*I821</f>
        <v>8.99</v>
      </c>
    </row>
    <row r="822" spans="3:16" x14ac:dyDescent="0.25">
      <c r="C822" t="str">
        <f>IF(COUNTBLANK(E822:N822) = 10,"",IF(AND(NOT(ISBLANK(E822)),COUNTBLANK(E822:N822) = 9),"3 Delete",IF(ISBLANK(E822),"2 Add",IF(JenkinsHashRange(E822:N822) = "184562448","0 Original","1 Modify"))))</f>
        <v>0 Original</v>
      </c>
      <c r="D822" s="3" t="s">
        <v>1900</v>
      </c>
      <c r="E822" s="5">
        <v>3055</v>
      </c>
      <c r="F822" t="s">
        <v>1185</v>
      </c>
      <c r="G822" t="s">
        <v>957</v>
      </c>
      <c r="H822" s="9">
        <v>5.99</v>
      </c>
      <c r="I822" s="5">
        <v>1</v>
      </c>
      <c r="J822" s="7" t="s">
        <v>970</v>
      </c>
      <c r="K822" s="7">
        <v>42748.047268518516</v>
      </c>
      <c r="L822" s="3" t="s">
        <v>970</v>
      </c>
      <c r="M822" s="7">
        <v>42748.047268518516</v>
      </c>
      <c r="N822" s="3" t="s">
        <v>970</v>
      </c>
      <c r="O822" s="16" t="str">
        <f>TEXT(DATEVALUE(LEFT(F822,10)),"mm-yyyy")</f>
        <v>05-2015</v>
      </c>
      <c r="P822" s="16">
        <f>H822*I822</f>
        <v>5.99</v>
      </c>
    </row>
    <row r="823" spans="3:16" x14ac:dyDescent="0.25">
      <c r="C823" t="str">
        <f>IF(COUNTBLANK(E823:N823) = 10,"",IF(AND(NOT(ISBLANK(E823)),COUNTBLANK(E823:N823) = 9),"3 Delete",IF(ISBLANK(E823),"2 Add",IF(JenkinsHashRange(E823:N823) = "1378521365","0 Original","1 Modify"))))</f>
        <v>0 Original</v>
      </c>
      <c r="D823" s="3" t="s">
        <v>1901</v>
      </c>
      <c r="E823" s="5">
        <v>3056</v>
      </c>
      <c r="F823" t="s">
        <v>1185</v>
      </c>
      <c r="G823" t="s">
        <v>565</v>
      </c>
      <c r="H823" s="9">
        <v>5.99</v>
      </c>
      <c r="I823" s="5">
        <v>1</v>
      </c>
      <c r="J823" s="7" t="s">
        <v>970</v>
      </c>
      <c r="K823" s="7">
        <v>42748.047268518516</v>
      </c>
      <c r="L823" s="3" t="s">
        <v>970</v>
      </c>
      <c r="M823" s="7">
        <v>42748.047268518516</v>
      </c>
      <c r="N823" s="3" t="s">
        <v>970</v>
      </c>
      <c r="O823" s="16" t="str">
        <f>TEXT(DATEVALUE(LEFT(F823,10)),"mm-yyyy")</f>
        <v>05-2015</v>
      </c>
      <c r="P823" s="16">
        <f>H823*I823</f>
        <v>5.99</v>
      </c>
    </row>
    <row r="824" spans="3:16" x14ac:dyDescent="0.25">
      <c r="C824" t="str">
        <f>IF(COUNTBLANK(E824:N824) = 10,"",IF(AND(NOT(ISBLANK(E824)),COUNTBLANK(E824:N824) = 9),"3 Delete",IF(ISBLANK(E824),"2 Add",IF(JenkinsHashRange(E824:N824) = "42443004","0 Original","1 Modify"))))</f>
        <v>0 Original</v>
      </c>
      <c r="D824" s="3" t="s">
        <v>1902</v>
      </c>
      <c r="E824" s="5">
        <v>3057</v>
      </c>
      <c r="F824" t="s">
        <v>1185</v>
      </c>
      <c r="G824" t="s">
        <v>702</v>
      </c>
      <c r="H824" s="9">
        <v>7.99</v>
      </c>
      <c r="I824" s="5">
        <v>1</v>
      </c>
      <c r="J824" s="7" t="s">
        <v>970</v>
      </c>
      <c r="K824" s="7">
        <v>42748.047268518516</v>
      </c>
      <c r="L824" s="3" t="s">
        <v>970</v>
      </c>
      <c r="M824" s="7">
        <v>42748.047268518516</v>
      </c>
      <c r="N824" s="3" t="s">
        <v>970</v>
      </c>
      <c r="O824" s="16" t="str">
        <f>TEXT(DATEVALUE(LEFT(F824,10)),"mm-yyyy")</f>
        <v>05-2015</v>
      </c>
      <c r="P824" s="16">
        <f>H824*I824</f>
        <v>7.99</v>
      </c>
    </row>
    <row r="825" spans="3:16" x14ac:dyDescent="0.25">
      <c r="C825" t="str">
        <f>IF(COUNTBLANK(E825:N825) = 10,"",IF(AND(NOT(ISBLANK(E825)),COUNTBLANK(E825:N825) = 9),"3 Delete",IF(ISBLANK(E825),"2 Add",IF(JenkinsHashRange(E825:N825) = "647046472","0 Original","1 Modify"))))</f>
        <v>0 Original</v>
      </c>
      <c r="D825" s="3" t="s">
        <v>1903</v>
      </c>
      <c r="E825" s="5">
        <v>3058</v>
      </c>
      <c r="F825" t="s">
        <v>1185</v>
      </c>
      <c r="G825" t="s">
        <v>957</v>
      </c>
      <c r="H825" s="9">
        <v>5.99</v>
      </c>
      <c r="I825" s="5">
        <v>1</v>
      </c>
      <c r="J825" s="7" t="s">
        <v>970</v>
      </c>
      <c r="K825" s="7">
        <v>42748.047268518516</v>
      </c>
      <c r="L825" s="3" t="s">
        <v>970</v>
      </c>
      <c r="M825" s="7">
        <v>42748.047268518516</v>
      </c>
      <c r="N825" s="3" t="s">
        <v>970</v>
      </c>
      <c r="O825" s="16" t="str">
        <f>TEXT(DATEVALUE(LEFT(F825,10)),"mm-yyyy")</f>
        <v>05-2015</v>
      </c>
      <c r="P825" s="16">
        <f>H825*I825</f>
        <v>5.99</v>
      </c>
    </row>
    <row r="826" spans="3:16" x14ac:dyDescent="0.25">
      <c r="C826" t="str">
        <f>IF(COUNTBLANK(E826:N826) = 10,"",IF(AND(NOT(ISBLANK(E826)),COUNTBLANK(E826:N826) = 9),"3 Delete",IF(ISBLANK(E826),"2 Add",IF(JenkinsHashRange(E826:N826) = "1197339624","0 Original","1 Modify"))))</f>
        <v>0 Original</v>
      </c>
      <c r="D826" s="3" t="s">
        <v>1908</v>
      </c>
      <c r="E826" s="5">
        <v>3090</v>
      </c>
      <c r="F826" t="s">
        <v>1187</v>
      </c>
      <c r="G826" t="s">
        <v>877</v>
      </c>
      <c r="H826" s="9">
        <v>8.99</v>
      </c>
      <c r="I826" s="5">
        <v>1</v>
      </c>
      <c r="J826" s="7" t="s">
        <v>970</v>
      </c>
      <c r="K826" s="7">
        <v>42748.047268518516</v>
      </c>
      <c r="L826" s="3" t="s">
        <v>970</v>
      </c>
      <c r="M826" s="7">
        <v>42748.047268518516</v>
      </c>
      <c r="N826" s="3" t="s">
        <v>970</v>
      </c>
      <c r="O826" s="16" t="str">
        <f>TEXT(DATEVALUE(LEFT(F826,10)),"mm-yyyy")</f>
        <v>05-2015</v>
      </c>
      <c r="P826" s="16">
        <f>H826*I826</f>
        <v>8.99</v>
      </c>
    </row>
    <row r="827" spans="3:16" x14ac:dyDescent="0.25">
      <c r="C827" t="str">
        <f>IF(COUNTBLANK(E827:N827) = 10,"",IF(AND(NOT(ISBLANK(E827)),COUNTBLANK(E827:N827) = 9),"3 Delete",IF(ISBLANK(E827),"2 Add",IF(JenkinsHashRange(E827:N827) = "81224276","0 Original","1 Modify"))))</f>
        <v>0 Original</v>
      </c>
      <c r="D827" s="3" t="s">
        <v>1909</v>
      </c>
      <c r="E827" s="5">
        <v>3091</v>
      </c>
      <c r="F827" t="s">
        <v>1187</v>
      </c>
      <c r="G827" t="s">
        <v>957</v>
      </c>
      <c r="H827" s="9">
        <v>5.99</v>
      </c>
      <c r="I827" s="5">
        <v>1</v>
      </c>
      <c r="J827" s="7" t="s">
        <v>970</v>
      </c>
      <c r="K827" s="7">
        <v>42748.047268518516</v>
      </c>
      <c r="L827" s="3" t="s">
        <v>970</v>
      </c>
      <c r="M827" s="7">
        <v>42748.047268518516</v>
      </c>
      <c r="N827" s="3" t="s">
        <v>970</v>
      </c>
      <c r="O827" s="16" t="str">
        <f>TEXT(DATEVALUE(LEFT(F827,10)),"mm-yyyy")</f>
        <v>05-2015</v>
      </c>
      <c r="P827" s="16">
        <f>H827*I827</f>
        <v>5.99</v>
      </c>
    </row>
    <row r="828" spans="3:16" x14ac:dyDescent="0.25">
      <c r="C828" t="str">
        <f>IF(COUNTBLANK(E828:N828) = 10,"",IF(AND(NOT(ISBLANK(E828)),COUNTBLANK(E828:N828) = 9),"3 Delete",IF(ISBLANK(E828),"2 Add",IF(JenkinsHashRange(E828:N828) = "1892871145","0 Original","1 Modify"))))</f>
        <v>0 Original</v>
      </c>
      <c r="D828" s="3" t="s">
        <v>1910</v>
      </c>
      <c r="E828" s="5">
        <v>3100</v>
      </c>
      <c r="F828" t="s">
        <v>1188</v>
      </c>
      <c r="G828" t="s">
        <v>702</v>
      </c>
      <c r="H828" s="9">
        <v>7.99</v>
      </c>
      <c r="I828" s="5">
        <v>1</v>
      </c>
      <c r="J828" s="7" t="s">
        <v>970</v>
      </c>
      <c r="K828" s="7">
        <v>42748.047268518516</v>
      </c>
      <c r="L828" s="3" t="s">
        <v>970</v>
      </c>
      <c r="M828" s="7">
        <v>42748.047268518516</v>
      </c>
      <c r="N828" s="3" t="s">
        <v>970</v>
      </c>
      <c r="O828" s="16" t="str">
        <f>TEXT(DATEVALUE(LEFT(F828,10)),"mm-yyyy")</f>
        <v>05-2015</v>
      </c>
      <c r="P828" s="16">
        <f>H828*I828</f>
        <v>7.99</v>
      </c>
    </row>
    <row r="829" spans="3:16" x14ac:dyDescent="0.25">
      <c r="C829" t="str">
        <f>IF(COUNTBLANK(E829:N829) = 10,"",IF(AND(NOT(ISBLANK(E829)),COUNTBLANK(E829:N829) = 9),"3 Delete",IF(ISBLANK(E829),"2 Add",IF(JenkinsHashRange(E829:N829) = "1322250874","0 Original","1 Modify"))))</f>
        <v>0 Original</v>
      </c>
      <c r="D829" s="3" t="s">
        <v>1911</v>
      </c>
      <c r="E829" s="5">
        <v>3101</v>
      </c>
      <c r="F829" t="s">
        <v>1188</v>
      </c>
      <c r="G829" t="s">
        <v>904</v>
      </c>
      <c r="H829" s="9">
        <v>9.99</v>
      </c>
      <c r="I829" s="5">
        <v>2</v>
      </c>
      <c r="J829" s="7" t="s">
        <v>970</v>
      </c>
      <c r="K829" s="7">
        <v>42748.047268518516</v>
      </c>
      <c r="L829" s="3" t="s">
        <v>970</v>
      </c>
      <c r="M829" s="7">
        <v>42748.047268518516</v>
      </c>
      <c r="N829" s="3" t="s">
        <v>970</v>
      </c>
      <c r="O829" s="16" t="str">
        <f>TEXT(DATEVALUE(LEFT(F829,10)),"mm-yyyy")</f>
        <v>05-2015</v>
      </c>
      <c r="P829" s="16">
        <f>H829*I829</f>
        <v>19.98</v>
      </c>
    </row>
    <row r="830" spans="3:16" x14ac:dyDescent="0.25">
      <c r="C830" t="str">
        <f>IF(COUNTBLANK(E830:N830) = 10,"",IF(AND(NOT(ISBLANK(E830)),COUNTBLANK(E830:N830) = 9),"3 Delete",IF(ISBLANK(E830),"2 Add",IF(JenkinsHashRange(E830:N830) = "1612524597","0 Original","1 Modify"))))</f>
        <v>0 Original</v>
      </c>
      <c r="D830" s="3" t="s">
        <v>1912</v>
      </c>
      <c r="E830" s="5">
        <v>3102</v>
      </c>
      <c r="F830" t="s">
        <v>1188</v>
      </c>
      <c r="G830" t="s">
        <v>565</v>
      </c>
      <c r="H830" s="9">
        <v>5.99</v>
      </c>
      <c r="I830" s="5">
        <v>2</v>
      </c>
      <c r="J830" s="7" t="s">
        <v>970</v>
      </c>
      <c r="K830" s="7">
        <v>42748.047268518516</v>
      </c>
      <c r="L830" s="3" t="s">
        <v>970</v>
      </c>
      <c r="M830" s="7">
        <v>42748.047268518516</v>
      </c>
      <c r="N830" s="3" t="s">
        <v>970</v>
      </c>
      <c r="O830" s="16" t="str">
        <f>TEXT(DATEVALUE(LEFT(F830,10)),"mm-yyyy")</f>
        <v>05-2015</v>
      </c>
      <c r="P830" s="16">
        <f>H830*I830</f>
        <v>11.98</v>
      </c>
    </row>
    <row r="831" spans="3:16" x14ac:dyDescent="0.25">
      <c r="C831" t="str">
        <f>IF(COUNTBLANK(E831:N831) = 10,"",IF(AND(NOT(ISBLANK(E831)),COUNTBLANK(E831:N831) = 9),"3 Delete",IF(ISBLANK(E831),"2 Add",IF(JenkinsHashRange(E831:N831) = "1502237907","0 Original","1 Modify"))))</f>
        <v>0 Original</v>
      </c>
      <c r="D831" s="3" t="s">
        <v>1913</v>
      </c>
      <c r="E831" s="5">
        <v>3103</v>
      </c>
      <c r="F831" t="s">
        <v>1188</v>
      </c>
      <c r="G831" t="s">
        <v>904</v>
      </c>
      <c r="H831" s="9">
        <v>9.99</v>
      </c>
      <c r="I831" s="5">
        <v>2</v>
      </c>
      <c r="J831" s="7" t="s">
        <v>970</v>
      </c>
      <c r="K831" s="7">
        <v>42748.047268518516</v>
      </c>
      <c r="L831" s="3" t="s">
        <v>970</v>
      </c>
      <c r="M831" s="7">
        <v>42748.047268518516</v>
      </c>
      <c r="N831" s="3" t="s">
        <v>970</v>
      </c>
      <c r="O831" s="16" t="str">
        <f>TEXT(DATEVALUE(LEFT(F831,10)),"mm-yyyy")</f>
        <v>05-2015</v>
      </c>
      <c r="P831" s="16">
        <f>H831*I831</f>
        <v>19.98</v>
      </c>
    </row>
    <row r="832" spans="3:16" x14ac:dyDescent="0.25">
      <c r="C832" t="str">
        <f>IF(COUNTBLANK(E832:N832) = 10,"",IF(AND(NOT(ISBLANK(E832)),COUNTBLANK(E832:N832) = 9),"3 Delete",IF(ISBLANK(E832),"2 Add",IF(JenkinsHashRange(E832:N832) = "1157594419","0 Original","1 Modify"))))</f>
        <v>0 Original</v>
      </c>
      <c r="D832" s="3" t="s">
        <v>1917</v>
      </c>
      <c r="E832" s="5">
        <v>3163</v>
      </c>
      <c r="F832" t="s">
        <v>1191</v>
      </c>
      <c r="G832" t="s">
        <v>877</v>
      </c>
      <c r="H832" s="9">
        <v>8.99</v>
      </c>
      <c r="I832" s="5">
        <v>1</v>
      </c>
      <c r="J832" s="7" t="s">
        <v>970</v>
      </c>
      <c r="K832" s="7">
        <v>42748.047268518516</v>
      </c>
      <c r="L832" s="3" t="s">
        <v>970</v>
      </c>
      <c r="M832" s="7">
        <v>42748.047268518516</v>
      </c>
      <c r="N832" s="3" t="s">
        <v>970</v>
      </c>
      <c r="O832" s="16" t="str">
        <f>TEXT(DATEVALUE(LEFT(F832,10)),"mm-yyyy")</f>
        <v>05-2015</v>
      </c>
      <c r="P832" s="16">
        <f>H832*I832</f>
        <v>8.99</v>
      </c>
    </row>
    <row r="833" spans="3:16" x14ac:dyDescent="0.25">
      <c r="C833" t="str">
        <f>IF(COUNTBLANK(E833:N833) = 10,"",IF(AND(NOT(ISBLANK(E833)),COUNTBLANK(E833:N833) = 9),"3 Delete",IF(ISBLANK(E833),"2 Add",IF(JenkinsHashRange(E833:N833) = "253048963","0 Original","1 Modify"))))</f>
        <v>0 Original</v>
      </c>
      <c r="D833" s="3" t="s">
        <v>1918</v>
      </c>
      <c r="E833" s="5">
        <v>3164</v>
      </c>
      <c r="F833" t="s">
        <v>1191</v>
      </c>
      <c r="G833" t="s">
        <v>914</v>
      </c>
      <c r="H833" s="9">
        <v>8.99</v>
      </c>
      <c r="I833" s="5">
        <v>2</v>
      </c>
      <c r="J833" s="7" t="s">
        <v>970</v>
      </c>
      <c r="K833" s="7">
        <v>42748.047268518516</v>
      </c>
      <c r="L833" s="3" t="s">
        <v>970</v>
      </c>
      <c r="M833" s="7">
        <v>42748.047268518516</v>
      </c>
      <c r="N833" s="3" t="s">
        <v>970</v>
      </c>
      <c r="O833" s="16" t="str">
        <f>TEXT(DATEVALUE(LEFT(F833,10)),"mm-yyyy")</f>
        <v>05-2015</v>
      </c>
      <c r="P833" s="16">
        <f>H833*I833</f>
        <v>17.98</v>
      </c>
    </row>
    <row r="834" spans="3:16" x14ac:dyDescent="0.25">
      <c r="C834" t="str">
        <f>IF(COUNTBLANK(E834:N834) = 10,"",IF(AND(NOT(ISBLANK(E834)),COUNTBLANK(E834:N834) = 9),"3 Delete",IF(ISBLANK(E834),"2 Add",IF(JenkinsHashRange(E834:N834) = "1176982804","0 Original","1 Modify"))))</f>
        <v>0 Original</v>
      </c>
      <c r="D834" s="3" t="s">
        <v>1926</v>
      </c>
      <c r="E834" s="5">
        <v>3259</v>
      </c>
      <c r="F834" t="s">
        <v>1195</v>
      </c>
      <c r="G834" t="s">
        <v>565</v>
      </c>
      <c r="H834" s="9">
        <v>5.99</v>
      </c>
      <c r="I834" s="5">
        <v>2</v>
      </c>
      <c r="J834" s="7" t="s">
        <v>970</v>
      </c>
      <c r="K834" s="7">
        <v>42748.047268518516</v>
      </c>
      <c r="L834" s="3" t="s">
        <v>970</v>
      </c>
      <c r="M834" s="7">
        <v>42748.047268518516</v>
      </c>
      <c r="N834" s="3" t="s">
        <v>970</v>
      </c>
      <c r="O834" s="16" t="str">
        <f>TEXT(DATEVALUE(LEFT(F834,10)),"mm-yyyy")</f>
        <v>05-2015</v>
      </c>
      <c r="P834" s="16">
        <f>H834*I834</f>
        <v>11.98</v>
      </c>
    </row>
    <row r="835" spans="3:16" x14ac:dyDescent="0.25">
      <c r="C835" t="str">
        <f>IF(COUNTBLANK(E835:N835) = 10,"",IF(AND(NOT(ISBLANK(E835)),COUNTBLANK(E835:N835) = 9),"3 Delete",IF(ISBLANK(E835),"2 Add",IF(JenkinsHashRange(E835:N835) = "1253394790","0 Original","1 Modify"))))</f>
        <v>0 Original</v>
      </c>
      <c r="D835" s="3" t="s">
        <v>1970</v>
      </c>
      <c r="E835" s="5">
        <v>3499</v>
      </c>
      <c r="F835" t="s">
        <v>1208</v>
      </c>
      <c r="G835" t="s">
        <v>565</v>
      </c>
      <c r="H835" s="9">
        <v>5.99</v>
      </c>
      <c r="I835" s="5">
        <v>2</v>
      </c>
      <c r="J835" s="7" t="s">
        <v>970</v>
      </c>
      <c r="K835" s="7">
        <v>42748.047268518516</v>
      </c>
      <c r="L835" s="3" t="s">
        <v>970</v>
      </c>
      <c r="M835" s="7">
        <v>42748.047268518516</v>
      </c>
      <c r="N835" s="3" t="s">
        <v>970</v>
      </c>
      <c r="O835" s="16" t="str">
        <f>TEXT(DATEVALUE(LEFT(F835,10)),"mm-yyyy")</f>
        <v>05-2015</v>
      </c>
      <c r="P835" s="16">
        <f>H835*I835</f>
        <v>11.98</v>
      </c>
    </row>
    <row r="836" spans="3:16" x14ac:dyDescent="0.25">
      <c r="C836" t="str">
        <f>IF(COUNTBLANK(E836:N836) = 10,"",IF(AND(NOT(ISBLANK(E836)),COUNTBLANK(E836:N836) = 9),"3 Delete",IF(ISBLANK(E836),"2 Add",IF(JenkinsHashRange(E836:N836) = "1002474314","0 Original","1 Modify"))))</f>
        <v>0 Original</v>
      </c>
      <c r="D836" s="3" t="s">
        <v>1971</v>
      </c>
      <c r="E836" s="5">
        <v>3500</v>
      </c>
      <c r="F836" t="s">
        <v>1208</v>
      </c>
      <c r="G836" t="s">
        <v>814</v>
      </c>
      <c r="H836" s="9">
        <v>9.99</v>
      </c>
      <c r="I836" s="5">
        <v>1</v>
      </c>
      <c r="J836" s="7" t="s">
        <v>970</v>
      </c>
      <c r="K836" s="7">
        <v>42748.047268518516</v>
      </c>
      <c r="L836" s="3" t="s">
        <v>970</v>
      </c>
      <c r="M836" s="7">
        <v>42748.047268518516</v>
      </c>
      <c r="N836" s="3" t="s">
        <v>970</v>
      </c>
      <c r="O836" s="16" t="str">
        <f>TEXT(DATEVALUE(LEFT(F836,10)),"mm-yyyy")</f>
        <v>05-2015</v>
      </c>
      <c r="P836" s="16">
        <f>H836*I836</f>
        <v>9.99</v>
      </c>
    </row>
    <row r="837" spans="3:16" x14ac:dyDescent="0.25">
      <c r="C837" t="str">
        <f>IF(COUNTBLANK(E837:N837) = 10,"",IF(AND(NOT(ISBLANK(E837)),COUNTBLANK(E837:N837) = 9),"3 Delete",IF(ISBLANK(E837),"2 Add",IF(JenkinsHashRange(E837:N837) = "1807844568","0 Original","1 Modify"))))</f>
        <v>0 Original</v>
      </c>
      <c r="D837" s="3" t="s">
        <v>1972</v>
      </c>
      <c r="E837" s="5">
        <v>3501</v>
      </c>
      <c r="F837" t="s">
        <v>1208</v>
      </c>
      <c r="G837" t="s">
        <v>957</v>
      </c>
      <c r="H837" s="9">
        <v>5.99</v>
      </c>
      <c r="I837" s="5">
        <v>1</v>
      </c>
      <c r="J837" s="7" t="s">
        <v>970</v>
      </c>
      <c r="K837" s="7">
        <v>42748.047268518516</v>
      </c>
      <c r="L837" s="3" t="s">
        <v>970</v>
      </c>
      <c r="M837" s="7">
        <v>42748.047268518516</v>
      </c>
      <c r="N837" s="3" t="s">
        <v>970</v>
      </c>
      <c r="O837" s="16" t="str">
        <f>TEXT(DATEVALUE(LEFT(F837,10)),"mm-yyyy")</f>
        <v>05-2015</v>
      </c>
      <c r="P837" s="16">
        <f>H837*I837</f>
        <v>5.99</v>
      </c>
    </row>
    <row r="838" spans="3:16" x14ac:dyDescent="0.25">
      <c r="C838" t="str">
        <f>IF(COUNTBLANK(E838:N838) = 10,"",IF(AND(NOT(ISBLANK(E838)),COUNTBLANK(E838:N838) = 9),"3 Delete",IF(ISBLANK(E838),"2 Add",IF(JenkinsHashRange(E838:N838) = "70744489","0 Original","1 Modify"))))</f>
        <v>0 Original</v>
      </c>
      <c r="D838" s="3" t="s">
        <v>1973</v>
      </c>
      <c r="E838" s="5">
        <v>3502</v>
      </c>
      <c r="F838" t="s">
        <v>1208</v>
      </c>
      <c r="G838" t="s">
        <v>400</v>
      </c>
      <c r="H838" s="9">
        <v>6.99</v>
      </c>
      <c r="I838" s="5">
        <v>1</v>
      </c>
      <c r="J838" s="7" t="s">
        <v>970</v>
      </c>
      <c r="K838" s="7">
        <v>42748.047268518516</v>
      </c>
      <c r="L838" s="3" t="s">
        <v>970</v>
      </c>
      <c r="M838" s="7">
        <v>42748.047268518516</v>
      </c>
      <c r="N838" s="3" t="s">
        <v>970</v>
      </c>
      <c r="O838" s="16" t="str">
        <f>TEXT(DATEVALUE(LEFT(F838,10)),"mm-yyyy")</f>
        <v>05-2015</v>
      </c>
      <c r="P838" s="16">
        <f>H838*I838</f>
        <v>6.99</v>
      </c>
    </row>
    <row r="839" spans="3:16" x14ac:dyDescent="0.25">
      <c r="C839" t="str">
        <f>IF(COUNTBLANK(E839:N839) = 10,"",IF(AND(NOT(ISBLANK(E839)),COUNTBLANK(E839:N839) = 9),"3 Delete",IF(ISBLANK(E839),"2 Add",IF(JenkinsHashRange(E839:N839) = "1399989629","0 Original","1 Modify"))))</f>
        <v>0 Original</v>
      </c>
      <c r="D839" s="3" t="s">
        <v>1982</v>
      </c>
      <c r="E839" s="5">
        <v>3535</v>
      </c>
      <c r="F839" t="s">
        <v>1212</v>
      </c>
      <c r="G839" t="s">
        <v>565</v>
      </c>
      <c r="H839" s="9">
        <v>5.99</v>
      </c>
      <c r="I839" s="5">
        <v>1</v>
      </c>
      <c r="J839" s="7" t="s">
        <v>970</v>
      </c>
      <c r="K839" s="7">
        <v>42748.047268518516</v>
      </c>
      <c r="L839" s="3" t="s">
        <v>970</v>
      </c>
      <c r="M839" s="7">
        <v>42748.047268518516</v>
      </c>
      <c r="N839" s="3" t="s">
        <v>970</v>
      </c>
      <c r="O839" s="16" t="str">
        <f>TEXT(DATEVALUE(LEFT(F839,10)),"mm-yyyy")</f>
        <v>05-2015</v>
      </c>
      <c r="P839" s="16">
        <f>H839*I839</f>
        <v>5.99</v>
      </c>
    </row>
    <row r="840" spans="3:16" x14ac:dyDescent="0.25">
      <c r="C840" t="str">
        <f>IF(COUNTBLANK(E840:N840) = 10,"",IF(AND(NOT(ISBLANK(E840)),COUNTBLANK(E840:N840) = 9),"3 Delete",IF(ISBLANK(E840),"2 Add",IF(JenkinsHashRange(E840:N840) = "806283285","0 Original","1 Modify"))))</f>
        <v>0 Original</v>
      </c>
      <c r="D840" s="3" t="s">
        <v>1983</v>
      </c>
      <c r="E840" s="5">
        <v>3536</v>
      </c>
      <c r="F840" t="s">
        <v>1212</v>
      </c>
      <c r="G840" t="s">
        <v>904</v>
      </c>
      <c r="H840" s="9">
        <v>9.99</v>
      </c>
      <c r="I840" s="5">
        <v>2</v>
      </c>
      <c r="J840" s="7" t="s">
        <v>970</v>
      </c>
      <c r="K840" s="7">
        <v>42748.047268518516</v>
      </c>
      <c r="L840" s="3" t="s">
        <v>970</v>
      </c>
      <c r="M840" s="7">
        <v>42748.047268518516</v>
      </c>
      <c r="N840" s="3" t="s">
        <v>970</v>
      </c>
      <c r="O840" s="16" t="str">
        <f>TEXT(DATEVALUE(LEFT(F840,10)),"mm-yyyy")</f>
        <v>05-2015</v>
      </c>
      <c r="P840" s="16">
        <f>H840*I840</f>
        <v>19.98</v>
      </c>
    </row>
    <row r="841" spans="3:16" x14ac:dyDescent="0.25">
      <c r="C841" t="str">
        <f>IF(COUNTBLANK(E841:N841) = 10,"",IF(AND(NOT(ISBLANK(E841)),COUNTBLANK(E841:N841) = 9),"3 Delete",IF(ISBLANK(E841),"2 Add",IF(JenkinsHashRange(E841:N841) = "194048655","0 Original","1 Modify"))))</f>
        <v>0 Original</v>
      </c>
      <c r="D841" s="3" t="s">
        <v>2004</v>
      </c>
      <c r="E841" s="5">
        <v>3602</v>
      </c>
      <c r="F841" t="s">
        <v>1218</v>
      </c>
      <c r="G841" t="s">
        <v>914</v>
      </c>
      <c r="H841" s="9">
        <v>8.99</v>
      </c>
      <c r="I841" s="5">
        <v>2</v>
      </c>
      <c r="J841" s="7" t="s">
        <v>970</v>
      </c>
      <c r="K841" s="7">
        <v>42748.047268518516</v>
      </c>
      <c r="L841" s="3" t="s">
        <v>970</v>
      </c>
      <c r="M841" s="7">
        <v>42748.047268518516</v>
      </c>
      <c r="N841" s="3" t="s">
        <v>970</v>
      </c>
      <c r="O841" s="16" t="str">
        <f>TEXT(DATEVALUE(LEFT(F841,10)),"mm-yyyy")</f>
        <v>05-2015</v>
      </c>
      <c r="P841" s="16">
        <f>H841*I841</f>
        <v>17.98</v>
      </c>
    </row>
    <row r="842" spans="3:16" x14ac:dyDescent="0.25">
      <c r="C842" t="str">
        <f>IF(COUNTBLANK(E842:N842) = 10,"",IF(AND(NOT(ISBLANK(E842)),COUNTBLANK(E842:N842) = 9),"3 Delete",IF(ISBLANK(E842),"2 Add",IF(JenkinsHashRange(E842:N842) = "1293093929","0 Original","1 Modify"))))</f>
        <v>0 Original</v>
      </c>
      <c r="D842" s="3" t="s">
        <v>2005</v>
      </c>
      <c r="E842" s="5">
        <v>3603</v>
      </c>
      <c r="F842" t="s">
        <v>1218</v>
      </c>
      <c r="G842" t="s">
        <v>565</v>
      </c>
      <c r="H842" s="9">
        <v>5.99</v>
      </c>
      <c r="I842" s="5">
        <v>1</v>
      </c>
      <c r="J842" s="7" t="s">
        <v>970</v>
      </c>
      <c r="K842" s="7">
        <v>42748.047268518516</v>
      </c>
      <c r="L842" s="3" t="s">
        <v>970</v>
      </c>
      <c r="M842" s="7">
        <v>42748.047268518516</v>
      </c>
      <c r="N842" s="3" t="s">
        <v>970</v>
      </c>
      <c r="O842" s="16" t="str">
        <f>TEXT(DATEVALUE(LEFT(F842,10)),"mm-yyyy")</f>
        <v>05-2015</v>
      </c>
      <c r="P842" s="16">
        <f>H842*I842</f>
        <v>5.99</v>
      </c>
    </row>
    <row r="843" spans="3:16" x14ac:dyDescent="0.25">
      <c r="C843" t="str">
        <f>IF(COUNTBLANK(E843:N843) = 10,"",IF(AND(NOT(ISBLANK(E843)),COUNTBLANK(E843:N843) = 9),"3 Delete",IF(ISBLANK(E843),"2 Add",IF(JenkinsHashRange(E843:N843) = "1148217354","0 Original","1 Modify"))))</f>
        <v>0 Original</v>
      </c>
      <c r="D843" s="3" t="s">
        <v>2006</v>
      </c>
      <c r="E843" s="5">
        <v>3604</v>
      </c>
      <c r="F843" t="s">
        <v>1218</v>
      </c>
      <c r="G843" t="s">
        <v>565</v>
      </c>
      <c r="H843" s="9">
        <v>5.99</v>
      </c>
      <c r="I843" s="5">
        <v>1</v>
      </c>
      <c r="J843" s="7" t="s">
        <v>970</v>
      </c>
      <c r="K843" s="7">
        <v>42748.047268518516</v>
      </c>
      <c r="L843" s="3" t="s">
        <v>970</v>
      </c>
      <c r="M843" s="7">
        <v>42748.047268518516</v>
      </c>
      <c r="N843" s="3" t="s">
        <v>970</v>
      </c>
      <c r="O843" s="16" t="str">
        <f>TEXT(DATEVALUE(LEFT(F843,10)),"mm-yyyy")</f>
        <v>05-2015</v>
      </c>
      <c r="P843" s="16">
        <f>H843*I843</f>
        <v>5.99</v>
      </c>
    </row>
    <row r="844" spans="3:16" x14ac:dyDescent="0.25">
      <c r="C844" t="str">
        <f>IF(COUNTBLANK(E844:N844) = 10,"",IF(AND(NOT(ISBLANK(E844)),COUNTBLANK(E844:N844) = 9),"3 Delete",IF(ISBLANK(E844),"2 Add",IF(JenkinsHashRange(E844:N844) = "1972306634","0 Original","1 Modify"))))</f>
        <v>0 Original</v>
      </c>
      <c r="D844" s="3" t="s">
        <v>2045</v>
      </c>
      <c r="E844" s="5">
        <v>3745</v>
      </c>
      <c r="F844" t="s">
        <v>1231</v>
      </c>
      <c r="G844" t="s">
        <v>453</v>
      </c>
      <c r="H844" s="9">
        <v>8.99</v>
      </c>
      <c r="I844" s="5">
        <v>2</v>
      </c>
      <c r="J844" s="7" t="s">
        <v>970</v>
      </c>
      <c r="K844" s="7">
        <v>42748.047268518516</v>
      </c>
      <c r="L844" s="3" t="s">
        <v>970</v>
      </c>
      <c r="M844" s="7">
        <v>42748.047268518516</v>
      </c>
      <c r="N844" s="3" t="s">
        <v>970</v>
      </c>
      <c r="O844" s="16" t="str">
        <f>TEXT(DATEVALUE(LEFT(F844,10)),"mm-yyyy")</f>
        <v>05-2015</v>
      </c>
      <c r="P844" s="16">
        <f>H844*I844</f>
        <v>17.98</v>
      </c>
    </row>
    <row r="845" spans="3:16" x14ac:dyDescent="0.25">
      <c r="C845" t="str">
        <f>IF(COUNTBLANK(E845:N845) = 10,"",IF(AND(NOT(ISBLANK(E845)),COUNTBLANK(E845:N845) = 9),"3 Delete",IF(ISBLANK(E845),"2 Add",IF(JenkinsHashRange(E845:N845) = "473866489","0 Original","1 Modify"))))</f>
        <v>0 Original</v>
      </c>
      <c r="D845" s="3" t="s">
        <v>2046</v>
      </c>
      <c r="E845" s="5">
        <v>3746</v>
      </c>
      <c r="F845" t="s">
        <v>1231</v>
      </c>
      <c r="G845" t="s">
        <v>453</v>
      </c>
      <c r="H845" s="9">
        <v>8.99</v>
      </c>
      <c r="I845" s="5">
        <v>2</v>
      </c>
      <c r="J845" s="7" t="s">
        <v>970</v>
      </c>
      <c r="K845" s="7">
        <v>42748.047268518516</v>
      </c>
      <c r="L845" s="3" t="s">
        <v>970</v>
      </c>
      <c r="M845" s="7">
        <v>42748.047268518516</v>
      </c>
      <c r="N845" s="3" t="s">
        <v>970</v>
      </c>
      <c r="O845" s="16" t="str">
        <f>TEXT(DATEVALUE(LEFT(F845,10)),"mm-yyyy")</f>
        <v>05-2015</v>
      </c>
      <c r="P845" s="16">
        <f>H845*I845</f>
        <v>17.98</v>
      </c>
    </row>
    <row r="846" spans="3:16" x14ac:dyDescent="0.25">
      <c r="C846" t="str">
        <f>IF(COUNTBLANK(E846:N846) = 10,"",IF(AND(NOT(ISBLANK(E846)),COUNTBLANK(E846:N846) = 9),"3 Delete",IF(ISBLANK(E846),"2 Add",IF(JenkinsHashRange(E846:N846) = "940436293","0 Original","1 Modify"))))</f>
        <v>0 Original</v>
      </c>
      <c r="D846" s="3" t="s">
        <v>2047</v>
      </c>
      <c r="E846" s="5">
        <v>3747</v>
      </c>
      <c r="F846" t="s">
        <v>1231</v>
      </c>
      <c r="G846" t="s">
        <v>914</v>
      </c>
      <c r="H846" s="9">
        <v>8.99</v>
      </c>
      <c r="I846" s="5">
        <v>2</v>
      </c>
      <c r="J846" s="7" t="s">
        <v>970</v>
      </c>
      <c r="K846" s="7">
        <v>42748.047268518516</v>
      </c>
      <c r="L846" s="3" t="s">
        <v>970</v>
      </c>
      <c r="M846" s="7">
        <v>42748.047268518516</v>
      </c>
      <c r="N846" s="3" t="s">
        <v>970</v>
      </c>
      <c r="O846" s="16" t="str">
        <f>TEXT(DATEVALUE(LEFT(F846,10)),"mm-yyyy")</f>
        <v>05-2015</v>
      </c>
      <c r="P846" s="16">
        <f>H846*I846</f>
        <v>17.98</v>
      </c>
    </row>
    <row r="847" spans="3:16" x14ac:dyDescent="0.25">
      <c r="C847" t="str">
        <f>IF(COUNTBLANK(E847:N847) = 10,"",IF(AND(NOT(ISBLANK(E847)),COUNTBLANK(E847:N847) = 9),"3 Delete",IF(ISBLANK(E847),"2 Add",IF(JenkinsHashRange(E847:N847) = "861731617","0 Original","1 Modify"))))</f>
        <v>0 Original</v>
      </c>
      <c r="D847" s="3" t="s">
        <v>2048</v>
      </c>
      <c r="E847" s="5">
        <v>3748</v>
      </c>
      <c r="F847" t="s">
        <v>1231</v>
      </c>
      <c r="G847" t="s">
        <v>814</v>
      </c>
      <c r="H847" s="9">
        <v>9.99</v>
      </c>
      <c r="I847" s="5">
        <v>1</v>
      </c>
      <c r="J847" s="7" t="s">
        <v>970</v>
      </c>
      <c r="K847" s="7">
        <v>42748.047268518516</v>
      </c>
      <c r="L847" s="3" t="s">
        <v>970</v>
      </c>
      <c r="M847" s="7">
        <v>42748.047268518516</v>
      </c>
      <c r="N847" s="3" t="s">
        <v>970</v>
      </c>
      <c r="O847" s="16" t="str">
        <f>TEXT(DATEVALUE(LEFT(F847,10)),"mm-yyyy")</f>
        <v>05-2015</v>
      </c>
      <c r="P847" s="16">
        <f>H847*I847</f>
        <v>9.99</v>
      </c>
    </row>
    <row r="848" spans="3:16" x14ac:dyDescent="0.25">
      <c r="C848" t="str">
        <f>IF(COUNTBLANK(E848:N848) = 10,"",IF(AND(NOT(ISBLANK(E848)),COUNTBLANK(E848:N848) = 9),"3 Delete",IF(ISBLANK(E848),"2 Add",IF(JenkinsHashRange(E848:N848) = "743591468","0 Original","1 Modify"))))</f>
        <v>0 Original</v>
      </c>
      <c r="D848" s="3" t="s">
        <v>2049</v>
      </c>
      <c r="E848" s="5">
        <v>3749</v>
      </c>
      <c r="F848" t="s">
        <v>1231</v>
      </c>
      <c r="G848" t="s">
        <v>945</v>
      </c>
      <c r="H848" s="9">
        <v>7.99</v>
      </c>
      <c r="I848" s="5">
        <v>1</v>
      </c>
      <c r="J848" s="7" t="s">
        <v>970</v>
      </c>
      <c r="K848" s="7">
        <v>42748.047268518516</v>
      </c>
      <c r="L848" s="3" t="s">
        <v>970</v>
      </c>
      <c r="M848" s="7">
        <v>42748.047268518516</v>
      </c>
      <c r="N848" s="3" t="s">
        <v>970</v>
      </c>
      <c r="O848" s="16" t="str">
        <f>TEXT(DATEVALUE(LEFT(F848,10)),"mm-yyyy")</f>
        <v>05-2015</v>
      </c>
      <c r="P848" s="16">
        <f>H848*I848</f>
        <v>7.99</v>
      </c>
    </row>
    <row r="849" spans="3:16" x14ac:dyDescent="0.25">
      <c r="C849" t="str">
        <f>IF(COUNTBLANK(E849:N849) = 10,"",IF(AND(NOT(ISBLANK(E849)),COUNTBLANK(E849:N849) = 9),"3 Delete",IF(ISBLANK(E849),"2 Add",IF(JenkinsHashRange(E849:N849) = "1001554630","0 Original","1 Modify"))))</f>
        <v>0 Original</v>
      </c>
      <c r="D849" s="3" t="s">
        <v>2059</v>
      </c>
      <c r="E849" s="5">
        <v>3798</v>
      </c>
      <c r="F849" t="s">
        <v>1235</v>
      </c>
      <c r="G849" t="s">
        <v>702</v>
      </c>
      <c r="H849" s="9">
        <v>7.99</v>
      </c>
      <c r="I849" s="5">
        <v>2</v>
      </c>
      <c r="J849" s="7" t="s">
        <v>970</v>
      </c>
      <c r="K849" s="7">
        <v>42748.047268518516</v>
      </c>
      <c r="L849" s="3" t="s">
        <v>970</v>
      </c>
      <c r="M849" s="7">
        <v>42748.047268518516</v>
      </c>
      <c r="N849" s="3" t="s">
        <v>970</v>
      </c>
      <c r="O849" s="16" t="str">
        <f>TEXT(DATEVALUE(LEFT(F849,10)),"mm-yyyy")</f>
        <v>05-2015</v>
      </c>
      <c r="P849" s="16">
        <f>H849*I849</f>
        <v>15.98</v>
      </c>
    </row>
    <row r="850" spans="3:16" x14ac:dyDescent="0.25">
      <c r="C850" t="str">
        <f>IF(COUNTBLANK(E850:N850) = 10,"",IF(AND(NOT(ISBLANK(E850)),COUNTBLANK(E850:N850) = 9),"3 Delete",IF(ISBLANK(E850),"2 Add",IF(JenkinsHashRange(E850:N850) = "307462357","0 Original","1 Modify"))))</f>
        <v>0 Original</v>
      </c>
      <c r="D850" s="3" t="s">
        <v>2063</v>
      </c>
      <c r="E850" s="5">
        <v>3888</v>
      </c>
      <c r="F850" t="s">
        <v>1237</v>
      </c>
      <c r="G850" t="s">
        <v>453</v>
      </c>
      <c r="H850" s="9">
        <v>8.99</v>
      </c>
      <c r="I850" s="5">
        <v>2</v>
      </c>
      <c r="J850" s="7" t="s">
        <v>970</v>
      </c>
      <c r="K850" s="7">
        <v>42748.047268518516</v>
      </c>
      <c r="L850" s="3" t="s">
        <v>970</v>
      </c>
      <c r="M850" s="7">
        <v>42748.047268518516</v>
      </c>
      <c r="N850" s="3" t="s">
        <v>970</v>
      </c>
      <c r="O850" s="16" t="str">
        <f>TEXT(DATEVALUE(LEFT(F850,10)),"mm-yyyy")</f>
        <v>05-2015</v>
      </c>
      <c r="P850" s="16">
        <f>H850*I850</f>
        <v>17.98</v>
      </c>
    </row>
    <row r="851" spans="3:16" x14ac:dyDescent="0.25">
      <c r="C851" t="str">
        <f>IF(COUNTBLANK(E851:N851) = 10,"",IF(AND(NOT(ISBLANK(E851)),COUNTBLANK(E851:N851) = 9),"3 Delete",IF(ISBLANK(E851),"2 Add",IF(JenkinsHashRange(E851:N851) = "574467566","0 Original","1 Modify"))))</f>
        <v>0 Original</v>
      </c>
      <c r="D851" s="3" t="s">
        <v>2064</v>
      </c>
      <c r="E851" s="5">
        <v>3889</v>
      </c>
      <c r="F851" t="s">
        <v>1237</v>
      </c>
      <c r="G851" t="s">
        <v>565</v>
      </c>
      <c r="H851" s="9">
        <v>5.99</v>
      </c>
      <c r="I851" s="5">
        <v>1</v>
      </c>
      <c r="J851" s="7" t="s">
        <v>970</v>
      </c>
      <c r="K851" s="7">
        <v>42748.047268518516</v>
      </c>
      <c r="L851" s="3" t="s">
        <v>970</v>
      </c>
      <c r="M851" s="7">
        <v>42748.047268518516</v>
      </c>
      <c r="N851" s="3" t="s">
        <v>970</v>
      </c>
      <c r="O851" s="16" t="str">
        <f>TEXT(DATEVALUE(LEFT(F851,10)),"mm-yyyy")</f>
        <v>05-2015</v>
      </c>
      <c r="P851" s="16">
        <f>H851*I851</f>
        <v>5.99</v>
      </c>
    </row>
    <row r="852" spans="3:16" x14ac:dyDescent="0.25">
      <c r="C852" t="str">
        <f>IF(COUNTBLANK(E852:N852) = 10,"",IF(AND(NOT(ISBLANK(E852)),COUNTBLANK(E852:N852) = 9),"3 Delete",IF(ISBLANK(E852),"2 Add",IF(JenkinsHashRange(E852:N852) = "756267069","0 Original","1 Modify"))))</f>
        <v>0 Original</v>
      </c>
      <c r="D852" s="3" t="s">
        <v>2094</v>
      </c>
      <c r="E852" s="5">
        <v>3996</v>
      </c>
      <c r="F852" t="s">
        <v>1246</v>
      </c>
      <c r="G852" t="s">
        <v>914</v>
      </c>
      <c r="H852" s="9">
        <v>8.99</v>
      </c>
      <c r="I852" s="5">
        <v>1</v>
      </c>
      <c r="J852" s="7" t="s">
        <v>970</v>
      </c>
      <c r="K852" s="7">
        <v>42748.047268518516</v>
      </c>
      <c r="L852" s="3" t="s">
        <v>970</v>
      </c>
      <c r="M852" s="7">
        <v>42748.047268518516</v>
      </c>
      <c r="N852" s="3" t="s">
        <v>970</v>
      </c>
      <c r="O852" s="16" t="str">
        <f>TEXT(DATEVALUE(LEFT(F852,10)),"mm-yyyy")</f>
        <v>05-2015</v>
      </c>
      <c r="P852" s="16">
        <f>H852*I852</f>
        <v>8.99</v>
      </c>
    </row>
    <row r="853" spans="3:16" x14ac:dyDescent="0.25">
      <c r="C853" t="str">
        <f>IF(COUNTBLANK(E853:N853) = 10,"",IF(AND(NOT(ISBLANK(E853)),COUNTBLANK(E853:N853) = 9),"3 Delete",IF(ISBLANK(E853),"2 Add",IF(JenkinsHashRange(E853:N853) = "1417063170","0 Original","1 Modify"))))</f>
        <v>0 Original</v>
      </c>
      <c r="D853" s="3" t="s">
        <v>2095</v>
      </c>
      <c r="E853" s="5">
        <v>3997</v>
      </c>
      <c r="F853" t="s">
        <v>1246</v>
      </c>
      <c r="G853" t="s">
        <v>565</v>
      </c>
      <c r="H853" s="9">
        <v>5.99</v>
      </c>
      <c r="I853" s="5">
        <v>1</v>
      </c>
      <c r="J853" s="7" t="s">
        <v>970</v>
      </c>
      <c r="K853" s="7">
        <v>42748.047268518516</v>
      </c>
      <c r="L853" s="3" t="s">
        <v>970</v>
      </c>
      <c r="M853" s="7">
        <v>42748.047268518516</v>
      </c>
      <c r="N853" s="3" t="s">
        <v>970</v>
      </c>
      <c r="O853" s="16" t="str">
        <f>TEXT(DATEVALUE(LEFT(F853,10)),"mm-yyyy")</f>
        <v>05-2015</v>
      </c>
      <c r="P853" s="16">
        <f>H853*I853</f>
        <v>5.99</v>
      </c>
    </row>
    <row r="854" spans="3:16" x14ac:dyDescent="0.25">
      <c r="C854" t="str">
        <f>IF(COUNTBLANK(E854:N854) = 10,"",IF(AND(NOT(ISBLANK(E854)),COUNTBLANK(E854:N854) = 9),"3 Delete",IF(ISBLANK(E854),"2 Add",IF(JenkinsHashRange(E854:N854) = "1896633974","0 Original","1 Modify"))))</f>
        <v>0 Original</v>
      </c>
      <c r="D854" s="3" t="s">
        <v>1595</v>
      </c>
      <c r="E854" s="5">
        <v>1626</v>
      </c>
      <c r="F854" t="s">
        <v>1092</v>
      </c>
      <c r="G854" t="s">
        <v>846</v>
      </c>
      <c r="H854" s="9">
        <v>8.99</v>
      </c>
      <c r="I854" s="5">
        <v>1</v>
      </c>
      <c r="J854" s="7" t="s">
        <v>970</v>
      </c>
      <c r="K854" s="7">
        <v>42748.047268518516</v>
      </c>
      <c r="L854" s="3" t="s">
        <v>970</v>
      </c>
      <c r="M854" s="7">
        <v>42748.047268518516</v>
      </c>
      <c r="N854" s="3" t="s">
        <v>970</v>
      </c>
      <c r="O854" s="16" t="str">
        <f>TEXT(DATEVALUE(LEFT(F854,10)),"mm-yyyy")</f>
        <v>06-2015</v>
      </c>
      <c r="P854" s="16">
        <f>H854*I854</f>
        <v>8.99</v>
      </c>
    </row>
    <row r="855" spans="3:16" x14ac:dyDescent="0.25">
      <c r="C855" t="str">
        <f>IF(COUNTBLANK(E855:N855) = 10,"",IF(AND(NOT(ISBLANK(E855)),COUNTBLANK(E855:N855) = 9),"3 Delete",IF(ISBLANK(E855),"2 Add",IF(JenkinsHashRange(E855:N855) = "1019129184","0 Original","1 Modify"))))</f>
        <v>0 Original</v>
      </c>
      <c r="D855" s="3" t="s">
        <v>1596</v>
      </c>
      <c r="E855" s="5">
        <v>1627</v>
      </c>
      <c r="F855" t="s">
        <v>1092</v>
      </c>
      <c r="G855" t="s">
        <v>920</v>
      </c>
      <c r="H855" s="9">
        <v>5.99</v>
      </c>
      <c r="I855" s="5">
        <v>1</v>
      </c>
      <c r="J855" s="7" t="s">
        <v>970</v>
      </c>
      <c r="K855" s="7">
        <v>42748.047268518516</v>
      </c>
      <c r="L855" s="3" t="s">
        <v>970</v>
      </c>
      <c r="M855" s="7">
        <v>42748.047268518516</v>
      </c>
      <c r="N855" s="3" t="s">
        <v>970</v>
      </c>
      <c r="O855" s="16" t="str">
        <f>TEXT(DATEVALUE(LEFT(F855,10)),"mm-yyyy")</f>
        <v>06-2015</v>
      </c>
      <c r="P855" s="16">
        <f>H855*I855</f>
        <v>5.99</v>
      </c>
    </row>
    <row r="856" spans="3:16" x14ac:dyDescent="0.25">
      <c r="C856" t="str">
        <f>IF(COUNTBLANK(E856:N856) = 10,"",IF(AND(NOT(ISBLANK(E856)),COUNTBLANK(E856:N856) = 9),"3 Delete",IF(ISBLANK(E856),"2 Add",IF(JenkinsHashRange(E856:N856) = "997299053","0 Original","1 Modify"))))</f>
        <v>0 Original</v>
      </c>
      <c r="D856" s="3" t="s">
        <v>1597</v>
      </c>
      <c r="E856" s="5">
        <v>1628</v>
      </c>
      <c r="F856" t="s">
        <v>1092</v>
      </c>
      <c r="G856" t="s">
        <v>840</v>
      </c>
      <c r="H856" s="9">
        <v>9.99</v>
      </c>
      <c r="I856" s="5">
        <v>1</v>
      </c>
      <c r="J856" s="7" t="s">
        <v>970</v>
      </c>
      <c r="K856" s="7">
        <v>42748.047268518516</v>
      </c>
      <c r="L856" s="3" t="s">
        <v>970</v>
      </c>
      <c r="M856" s="7">
        <v>42748.047268518516</v>
      </c>
      <c r="N856" s="3" t="s">
        <v>970</v>
      </c>
      <c r="O856" s="16" t="str">
        <f>TEXT(DATEVALUE(LEFT(F856,10)),"mm-yyyy")</f>
        <v>06-2015</v>
      </c>
      <c r="P856" s="16">
        <f>H856*I856</f>
        <v>9.99</v>
      </c>
    </row>
    <row r="857" spans="3:16" x14ac:dyDescent="0.25">
      <c r="C857" t="str">
        <f>IF(COUNTBLANK(E857:N857) = 10,"",IF(AND(NOT(ISBLANK(E857)),COUNTBLANK(E857:N857) = 9),"3 Delete",IF(ISBLANK(E857),"2 Add",IF(JenkinsHashRange(E857:N857) = "1585020672","0 Original","1 Modify"))))</f>
        <v>0 Original</v>
      </c>
      <c r="D857" s="3" t="s">
        <v>1598</v>
      </c>
      <c r="E857" s="5">
        <v>1629</v>
      </c>
      <c r="F857" t="s">
        <v>1092</v>
      </c>
      <c r="G857" t="s">
        <v>550</v>
      </c>
      <c r="H857" s="9">
        <v>8.99</v>
      </c>
      <c r="I857" s="5">
        <v>1</v>
      </c>
      <c r="J857" s="7" t="s">
        <v>970</v>
      </c>
      <c r="K857" s="7">
        <v>42748.047268518516</v>
      </c>
      <c r="L857" s="3" t="s">
        <v>970</v>
      </c>
      <c r="M857" s="7">
        <v>42748.047268518516</v>
      </c>
      <c r="N857" s="3" t="s">
        <v>970</v>
      </c>
      <c r="O857" s="16" t="str">
        <f>TEXT(DATEVALUE(LEFT(F857,10)),"mm-yyyy")</f>
        <v>06-2015</v>
      </c>
      <c r="P857" s="16">
        <f>H857*I857</f>
        <v>8.99</v>
      </c>
    </row>
    <row r="858" spans="3:16" hidden="1" x14ac:dyDescent="0.25">
      <c r="C858" t="str">
        <f>IF(COUNTBLANK(E858:N858) = 10,"",IF(AND(NOT(ISBLANK(E858)),COUNTBLANK(E858:N858) = 9),"3 Delete",IF(ISBLANK(E858),"2 Add",IF(JenkinsHashRange(E858:N858) = "1239258034","0 Original","1 Modify"))))</f>
        <v/>
      </c>
      <c r="O858" s="16" t="e">
        <f t="shared" ref="O835:O898" si="0">TEXT(DATEVALUE(LEFT(F858,10)),"mm-yyyy")</f>
        <v>#VALUE!</v>
      </c>
      <c r="P858" s="16">
        <f t="shared" ref="P835:P898" si="1">H858*I858</f>
        <v>0</v>
      </c>
    </row>
    <row r="859" spans="3:16" hidden="1" x14ac:dyDescent="0.25">
      <c r="O859" s="16" t="e">
        <f t="shared" si="0"/>
        <v>#VALUE!</v>
      </c>
      <c r="P859" s="16">
        <f t="shared" si="1"/>
        <v>0</v>
      </c>
    </row>
    <row r="860" spans="3:16" hidden="1" x14ac:dyDescent="0.25">
      <c r="O860" s="16" t="e">
        <f t="shared" si="0"/>
        <v>#VALUE!</v>
      </c>
      <c r="P860" s="16">
        <f t="shared" si="1"/>
        <v>0</v>
      </c>
    </row>
    <row r="861" spans="3:16" hidden="1" x14ac:dyDescent="0.25">
      <c r="O861" s="16" t="e">
        <f t="shared" si="0"/>
        <v>#VALUE!</v>
      </c>
      <c r="P861" s="16">
        <f t="shared" si="1"/>
        <v>0</v>
      </c>
    </row>
    <row r="862" spans="3:16" hidden="1" x14ac:dyDescent="0.25">
      <c r="O862" s="16" t="e">
        <f t="shared" si="0"/>
        <v>#VALUE!</v>
      </c>
      <c r="P862" s="16">
        <f t="shared" si="1"/>
        <v>0</v>
      </c>
    </row>
    <row r="863" spans="3:16" hidden="1" x14ac:dyDescent="0.25">
      <c r="O863" s="16" t="e">
        <f t="shared" si="0"/>
        <v>#VALUE!</v>
      </c>
      <c r="P863" s="16">
        <f t="shared" si="1"/>
        <v>0</v>
      </c>
    </row>
    <row r="864" spans="3:16" hidden="1" x14ac:dyDescent="0.25">
      <c r="O864" s="16" t="e">
        <f t="shared" si="0"/>
        <v>#VALUE!</v>
      </c>
      <c r="P864" s="16">
        <f t="shared" si="1"/>
        <v>0</v>
      </c>
    </row>
    <row r="865" spans="15:16" hidden="1" x14ac:dyDescent="0.25">
      <c r="O865" s="16" t="e">
        <f t="shared" si="0"/>
        <v>#VALUE!</v>
      </c>
      <c r="P865" s="16">
        <f t="shared" si="1"/>
        <v>0</v>
      </c>
    </row>
    <row r="866" spans="15:16" hidden="1" x14ac:dyDescent="0.25">
      <c r="O866" s="16" t="e">
        <f t="shared" si="0"/>
        <v>#VALUE!</v>
      </c>
      <c r="P866" s="16">
        <f t="shared" si="1"/>
        <v>0</v>
      </c>
    </row>
    <row r="867" spans="15:16" hidden="1" x14ac:dyDescent="0.25">
      <c r="O867" s="16" t="e">
        <f t="shared" si="0"/>
        <v>#VALUE!</v>
      </c>
      <c r="P867" s="16">
        <f t="shared" si="1"/>
        <v>0</v>
      </c>
    </row>
    <row r="868" spans="15:16" hidden="1" x14ac:dyDescent="0.25">
      <c r="O868" s="16" t="e">
        <f t="shared" si="0"/>
        <v>#VALUE!</v>
      </c>
      <c r="P868" s="16">
        <f t="shared" si="1"/>
        <v>0</v>
      </c>
    </row>
    <row r="869" spans="15:16" hidden="1" x14ac:dyDescent="0.25">
      <c r="O869" s="16" t="e">
        <f t="shared" si="0"/>
        <v>#VALUE!</v>
      </c>
      <c r="P869" s="16">
        <f t="shared" si="1"/>
        <v>0</v>
      </c>
    </row>
    <row r="870" spans="15:16" hidden="1" x14ac:dyDescent="0.25">
      <c r="O870" s="16" t="e">
        <f t="shared" si="0"/>
        <v>#VALUE!</v>
      </c>
      <c r="P870" s="16">
        <f t="shared" si="1"/>
        <v>0</v>
      </c>
    </row>
    <row r="871" spans="15:16" hidden="1" x14ac:dyDescent="0.25">
      <c r="O871" s="16" t="e">
        <f t="shared" si="0"/>
        <v>#VALUE!</v>
      </c>
      <c r="P871" s="16">
        <f t="shared" si="1"/>
        <v>0</v>
      </c>
    </row>
    <row r="872" spans="15:16" hidden="1" x14ac:dyDescent="0.25">
      <c r="O872" s="16" t="e">
        <f t="shared" si="0"/>
        <v>#VALUE!</v>
      </c>
      <c r="P872" s="16">
        <f t="shared" si="1"/>
        <v>0</v>
      </c>
    </row>
    <row r="873" spans="15:16" hidden="1" x14ac:dyDescent="0.25">
      <c r="O873" s="16" t="e">
        <f t="shared" si="0"/>
        <v>#VALUE!</v>
      </c>
      <c r="P873" s="16">
        <f t="shared" si="1"/>
        <v>0</v>
      </c>
    </row>
    <row r="874" spans="15:16" hidden="1" x14ac:dyDescent="0.25">
      <c r="O874" s="16" t="e">
        <f t="shared" si="0"/>
        <v>#VALUE!</v>
      </c>
      <c r="P874" s="16">
        <f t="shared" si="1"/>
        <v>0</v>
      </c>
    </row>
    <row r="875" spans="15:16" hidden="1" x14ac:dyDescent="0.25">
      <c r="O875" s="16" t="e">
        <f t="shared" si="0"/>
        <v>#VALUE!</v>
      </c>
      <c r="P875" s="16">
        <f t="shared" si="1"/>
        <v>0</v>
      </c>
    </row>
    <row r="876" spans="15:16" hidden="1" x14ac:dyDescent="0.25">
      <c r="O876" s="16" t="e">
        <f t="shared" si="0"/>
        <v>#VALUE!</v>
      </c>
      <c r="P876" s="16">
        <f t="shared" si="1"/>
        <v>0</v>
      </c>
    </row>
    <row r="877" spans="15:16" hidden="1" x14ac:dyDescent="0.25">
      <c r="O877" s="16" t="e">
        <f t="shared" si="0"/>
        <v>#VALUE!</v>
      </c>
      <c r="P877" s="16">
        <f t="shared" si="1"/>
        <v>0</v>
      </c>
    </row>
    <row r="878" spans="15:16" hidden="1" x14ac:dyDescent="0.25">
      <c r="O878" s="16" t="e">
        <f t="shared" si="0"/>
        <v>#VALUE!</v>
      </c>
      <c r="P878" s="16">
        <f t="shared" si="1"/>
        <v>0</v>
      </c>
    </row>
    <row r="879" spans="15:16" hidden="1" x14ac:dyDescent="0.25">
      <c r="O879" s="16" t="e">
        <f t="shared" si="0"/>
        <v>#VALUE!</v>
      </c>
      <c r="P879" s="16">
        <f t="shared" si="1"/>
        <v>0</v>
      </c>
    </row>
    <row r="880" spans="15:16" hidden="1" x14ac:dyDescent="0.25">
      <c r="O880" s="16" t="e">
        <f t="shared" si="0"/>
        <v>#VALUE!</v>
      </c>
      <c r="P880" s="16">
        <f t="shared" si="1"/>
        <v>0</v>
      </c>
    </row>
    <row r="881" spans="15:16" hidden="1" x14ac:dyDescent="0.25">
      <c r="O881" s="16" t="e">
        <f t="shared" si="0"/>
        <v>#VALUE!</v>
      </c>
      <c r="P881" s="16">
        <f t="shared" si="1"/>
        <v>0</v>
      </c>
    </row>
    <row r="882" spans="15:16" hidden="1" x14ac:dyDescent="0.25">
      <c r="O882" s="16" t="e">
        <f t="shared" si="0"/>
        <v>#VALUE!</v>
      </c>
      <c r="P882" s="16">
        <f t="shared" si="1"/>
        <v>0</v>
      </c>
    </row>
    <row r="883" spans="15:16" hidden="1" x14ac:dyDescent="0.25">
      <c r="O883" s="16" t="e">
        <f t="shared" si="0"/>
        <v>#VALUE!</v>
      </c>
      <c r="P883" s="16">
        <f t="shared" si="1"/>
        <v>0</v>
      </c>
    </row>
    <row r="884" spans="15:16" hidden="1" x14ac:dyDescent="0.25">
      <c r="O884" s="16" t="e">
        <f t="shared" si="0"/>
        <v>#VALUE!</v>
      </c>
      <c r="P884" s="16">
        <f t="shared" si="1"/>
        <v>0</v>
      </c>
    </row>
    <row r="885" spans="15:16" hidden="1" x14ac:dyDescent="0.25">
      <c r="O885" s="16" t="e">
        <f t="shared" si="0"/>
        <v>#VALUE!</v>
      </c>
      <c r="P885" s="16">
        <f t="shared" si="1"/>
        <v>0</v>
      </c>
    </row>
    <row r="886" spans="15:16" hidden="1" x14ac:dyDescent="0.25">
      <c r="O886" s="16" t="e">
        <f t="shared" si="0"/>
        <v>#VALUE!</v>
      </c>
      <c r="P886" s="16">
        <f t="shared" si="1"/>
        <v>0</v>
      </c>
    </row>
    <row r="887" spans="15:16" hidden="1" x14ac:dyDescent="0.25">
      <c r="O887" s="16" t="e">
        <f t="shared" si="0"/>
        <v>#VALUE!</v>
      </c>
      <c r="P887" s="16">
        <f t="shared" si="1"/>
        <v>0</v>
      </c>
    </row>
    <row r="888" spans="15:16" hidden="1" x14ac:dyDescent="0.25">
      <c r="O888" s="16" t="e">
        <f t="shared" si="0"/>
        <v>#VALUE!</v>
      </c>
      <c r="P888" s="16">
        <f t="shared" si="1"/>
        <v>0</v>
      </c>
    </row>
    <row r="889" spans="15:16" hidden="1" x14ac:dyDescent="0.25">
      <c r="O889" s="16" t="e">
        <f t="shared" si="0"/>
        <v>#VALUE!</v>
      </c>
      <c r="P889" s="16">
        <f t="shared" si="1"/>
        <v>0</v>
      </c>
    </row>
    <row r="890" spans="15:16" hidden="1" x14ac:dyDescent="0.25">
      <c r="O890" s="16" t="e">
        <f t="shared" si="0"/>
        <v>#VALUE!</v>
      </c>
      <c r="P890" s="16">
        <f t="shared" si="1"/>
        <v>0</v>
      </c>
    </row>
    <row r="891" spans="15:16" hidden="1" x14ac:dyDescent="0.25">
      <c r="O891" s="16" t="e">
        <f t="shared" si="0"/>
        <v>#VALUE!</v>
      </c>
      <c r="P891" s="16">
        <f t="shared" si="1"/>
        <v>0</v>
      </c>
    </row>
    <row r="892" spans="15:16" hidden="1" x14ac:dyDescent="0.25">
      <c r="O892" s="16" t="e">
        <f t="shared" si="0"/>
        <v>#VALUE!</v>
      </c>
      <c r="P892" s="16">
        <f t="shared" si="1"/>
        <v>0</v>
      </c>
    </row>
    <row r="893" spans="15:16" hidden="1" x14ac:dyDescent="0.25">
      <c r="O893" s="16" t="e">
        <f t="shared" si="0"/>
        <v>#VALUE!</v>
      </c>
      <c r="P893" s="16">
        <f t="shared" si="1"/>
        <v>0</v>
      </c>
    </row>
    <row r="894" spans="15:16" hidden="1" x14ac:dyDescent="0.25">
      <c r="O894" s="16" t="e">
        <f t="shared" si="0"/>
        <v>#VALUE!</v>
      </c>
      <c r="P894" s="16">
        <f t="shared" si="1"/>
        <v>0</v>
      </c>
    </row>
    <row r="895" spans="15:16" hidden="1" x14ac:dyDescent="0.25">
      <c r="O895" s="16" t="e">
        <f t="shared" si="0"/>
        <v>#VALUE!</v>
      </c>
      <c r="P895" s="16">
        <f t="shared" si="1"/>
        <v>0</v>
      </c>
    </row>
    <row r="896" spans="15:16" hidden="1" x14ac:dyDescent="0.25">
      <c r="O896" s="16" t="e">
        <f t="shared" si="0"/>
        <v>#VALUE!</v>
      </c>
      <c r="P896" s="16">
        <f t="shared" si="1"/>
        <v>0</v>
      </c>
    </row>
    <row r="897" spans="15:16" hidden="1" x14ac:dyDescent="0.25">
      <c r="O897" s="16" t="e">
        <f t="shared" si="0"/>
        <v>#VALUE!</v>
      </c>
      <c r="P897" s="16">
        <f t="shared" si="1"/>
        <v>0</v>
      </c>
    </row>
    <row r="898" spans="15:16" hidden="1" x14ac:dyDescent="0.25">
      <c r="O898" s="16" t="e">
        <f t="shared" si="0"/>
        <v>#VALUE!</v>
      </c>
      <c r="P898" s="16">
        <f t="shared" si="1"/>
        <v>0</v>
      </c>
    </row>
    <row r="899" spans="15:16" hidden="1" x14ac:dyDescent="0.25">
      <c r="O899" s="16" t="e">
        <f t="shared" ref="O899:O962" si="2">TEXT(DATEVALUE(LEFT(F899,10)),"mm-yyyy")</f>
        <v>#VALUE!</v>
      </c>
      <c r="P899" s="16">
        <f t="shared" ref="P899:P962" si="3">H899*I899</f>
        <v>0</v>
      </c>
    </row>
    <row r="900" spans="15:16" hidden="1" x14ac:dyDescent="0.25">
      <c r="O900" s="16" t="e">
        <f t="shared" si="2"/>
        <v>#VALUE!</v>
      </c>
      <c r="P900" s="16">
        <f t="shared" si="3"/>
        <v>0</v>
      </c>
    </row>
    <row r="901" spans="15:16" hidden="1" x14ac:dyDescent="0.25">
      <c r="O901" s="16" t="e">
        <f t="shared" si="2"/>
        <v>#VALUE!</v>
      </c>
      <c r="P901" s="16">
        <f t="shared" si="3"/>
        <v>0</v>
      </c>
    </row>
    <row r="902" spans="15:16" hidden="1" x14ac:dyDescent="0.25">
      <c r="O902" s="16" t="e">
        <f t="shared" si="2"/>
        <v>#VALUE!</v>
      </c>
      <c r="P902" s="16">
        <f t="shared" si="3"/>
        <v>0</v>
      </c>
    </row>
    <row r="903" spans="15:16" hidden="1" x14ac:dyDescent="0.25">
      <c r="O903" s="16" t="e">
        <f t="shared" si="2"/>
        <v>#VALUE!</v>
      </c>
      <c r="P903" s="16">
        <f t="shared" si="3"/>
        <v>0</v>
      </c>
    </row>
    <row r="904" spans="15:16" hidden="1" x14ac:dyDescent="0.25">
      <c r="O904" s="16" t="e">
        <f t="shared" si="2"/>
        <v>#VALUE!</v>
      </c>
      <c r="P904" s="16">
        <f t="shared" si="3"/>
        <v>0</v>
      </c>
    </row>
    <row r="905" spans="15:16" hidden="1" x14ac:dyDescent="0.25">
      <c r="O905" s="16" t="e">
        <f t="shared" si="2"/>
        <v>#VALUE!</v>
      </c>
      <c r="P905" s="16">
        <f t="shared" si="3"/>
        <v>0</v>
      </c>
    </row>
    <row r="906" spans="15:16" hidden="1" x14ac:dyDescent="0.25">
      <c r="O906" s="16" t="e">
        <f t="shared" si="2"/>
        <v>#VALUE!</v>
      </c>
      <c r="P906" s="16">
        <f t="shared" si="3"/>
        <v>0</v>
      </c>
    </row>
    <row r="907" spans="15:16" hidden="1" x14ac:dyDescent="0.25">
      <c r="O907" s="16" t="e">
        <f t="shared" si="2"/>
        <v>#VALUE!</v>
      </c>
      <c r="P907" s="16">
        <f t="shared" si="3"/>
        <v>0</v>
      </c>
    </row>
    <row r="908" spans="15:16" hidden="1" x14ac:dyDescent="0.25">
      <c r="O908" s="16" t="e">
        <f t="shared" si="2"/>
        <v>#VALUE!</v>
      </c>
      <c r="P908" s="16">
        <f t="shared" si="3"/>
        <v>0</v>
      </c>
    </row>
    <row r="909" spans="15:16" hidden="1" x14ac:dyDescent="0.25">
      <c r="O909" s="16" t="e">
        <f t="shared" si="2"/>
        <v>#VALUE!</v>
      </c>
      <c r="P909" s="16">
        <f t="shared" si="3"/>
        <v>0</v>
      </c>
    </row>
    <row r="910" spans="15:16" hidden="1" x14ac:dyDescent="0.25">
      <c r="O910" s="16" t="e">
        <f t="shared" si="2"/>
        <v>#VALUE!</v>
      </c>
      <c r="P910" s="16">
        <f t="shared" si="3"/>
        <v>0</v>
      </c>
    </row>
    <row r="911" spans="15:16" hidden="1" x14ac:dyDescent="0.25">
      <c r="O911" s="16" t="e">
        <f t="shared" si="2"/>
        <v>#VALUE!</v>
      </c>
      <c r="P911" s="16">
        <f t="shared" si="3"/>
        <v>0</v>
      </c>
    </row>
    <row r="912" spans="15:16" hidden="1" x14ac:dyDescent="0.25">
      <c r="O912" s="16" t="e">
        <f t="shared" si="2"/>
        <v>#VALUE!</v>
      </c>
      <c r="P912" s="16">
        <f t="shared" si="3"/>
        <v>0</v>
      </c>
    </row>
    <row r="913" spans="15:16" hidden="1" x14ac:dyDescent="0.25">
      <c r="O913" s="16" t="e">
        <f t="shared" si="2"/>
        <v>#VALUE!</v>
      </c>
      <c r="P913" s="16">
        <f t="shared" si="3"/>
        <v>0</v>
      </c>
    </row>
    <row r="914" spans="15:16" hidden="1" x14ac:dyDescent="0.25">
      <c r="O914" s="16" t="e">
        <f t="shared" si="2"/>
        <v>#VALUE!</v>
      </c>
      <c r="P914" s="16">
        <f t="shared" si="3"/>
        <v>0</v>
      </c>
    </row>
    <row r="915" spans="15:16" hidden="1" x14ac:dyDescent="0.25">
      <c r="O915" s="16" t="e">
        <f t="shared" si="2"/>
        <v>#VALUE!</v>
      </c>
      <c r="P915" s="16">
        <f t="shared" si="3"/>
        <v>0</v>
      </c>
    </row>
    <row r="916" spans="15:16" hidden="1" x14ac:dyDescent="0.25">
      <c r="O916" s="16" t="e">
        <f t="shared" si="2"/>
        <v>#VALUE!</v>
      </c>
      <c r="P916" s="16">
        <f t="shared" si="3"/>
        <v>0</v>
      </c>
    </row>
    <row r="917" spans="15:16" hidden="1" x14ac:dyDescent="0.25">
      <c r="O917" s="16" t="e">
        <f t="shared" si="2"/>
        <v>#VALUE!</v>
      </c>
      <c r="P917" s="16">
        <f t="shared" si="3"/>
        <v>0</v>
      </c>
    </row>
    <row r="918" spans="15:16" hidden="1" x14ac:dyDescent="0.25">
      <c r="O918" s="16" t="e">
        <f t="shared" si="2"/>
        <v>#VALUE!</v>
      </c>
      <c r="P918" s="16">
        <f t="shared" si="3"/>
        <v>0</v>
      </c>
    </row>
    <row r="919" spans="15:16" hidden="1" x14ac:dyDescent="0.25">
      <c r="O919" s="16" t="e">
        <f t="shared" si="2"/>
        <v>#VALUE!</v>
      </c>
      <c r="P919" s="16">
        <f t="shared" si="3"/>
        <v>0</v>
      </c>
    </row>
    <row r="920" spans="15:16" hidden="1" x14ac:dyDescent="0.25">
      <c r="O920" s="16" t="e">
        <f t="shared" si="2"/>
        <v>#VALUE!</v>
      </c>
      <c r="P920" s="16">
        <f t="shared" si="3"/>
        <v>0</v>
      </c>
    </row>
    <row r="921" spans="15:16" hidden="1" x14ac:dyDescent="0.25">
      <c r="O921" s="16" t="e">
        <f t="shared" si="2"/>
        <v>#VALUE!</v>
      </c>
      <c r="P921" s="16">
        <f t="shared" si="3"/>
        <v>0</v>
      </c>
    </row>
    <row r="922" spans="15:16" hidden="1" x14ac:dyDescent="0.25">
      <c r="O922" s="16" t="e">
        <f t="shared" si="2"/>
        <v>#VALUE!</v>
      </c>
      <c r="P922" s="16">
        <f t="shared" si="3"/>
        <v>0</v>
      </c>
    </row>
    <row r="923" spans="15:16" hidden="1" x14ac:dyDescent="0.25">
      <c r="O923" s="16" t="e">
        <f t="shared" si="2"/>
        <v>#VALUE!</v>
      </c>
      <c r="P923" s="16">
        <f t="shared" si="3"/>
        <v>0</v>
      </c>
    </row>
    <row r="924" spans="15:16" hidden="1" x14ac:dyDescent="0.25">
      <c r="O924" s="16" t="e">
        <f t="shared" si="2"/>
        <v>#VALUE!</v>
      </c>
      <c r="P924" s="16">
        <f t="shared" si="3"/>
        <v>0</v>
      </c>
    </row>
    <row r="925" spans="15:16" hidden="1" x14ac:dyDescent="0.25">
      <c r="O925" s="16" t="e">
        <f t="shared" si="2"/>
        <v>#VALUE!</v>
      </c>
      <c r="P925" s="16">
        <f t="shared" si="3"/>
        <v>0</v>
      </c>
    </row>
    <row r="926" spans="15:16" hidden="1" x14ac:dyDescent="0.25">
      <c r="O926" s="16" t="e">
        <f t="shared" si="2"/>
        <v>#VALUE!</v>
      </c>
      <c r="P926" s="16">
        <f t="shared" si="3"/>
        <v>0</v>
      </c>
    </row>
    <row r="927" spans="15:16" hidden="1" x14ac:dyDescent="0.25">
      <c r="O927" s="16" t="e">
        <f t="shared" si="2"/>
        <v>#VALUE!</v>
      </c>
      <c r="P927" s="16">
        <f t="shared" si="3"/>
        <v>0</v>
      </c>
    </row>
    <row r="928" spans="15:16" hidden="1" x14ac:dyDescent="0.25">
      <c r="O928" s="16" t="e">
        <f t="shared" si="2"/>
        <v>#VALUE!</v>
      </c>
      <c r="P928" s="16">
        <f t="shared" si="3"/>
        <v>0</v>
      </c>
    </row>
    <row r="929" spans="15:16" hidden="1" x14ac:dyDescent="0.25">
      <c r="O929" s="16" t="e">
        <f t="shared" si="2"/>
        <v>#VALUE!</v>
      </c>
      <c r="P929" s="16">
        <f t="shared" si="3"/>
        <v>0</v>
      </c>
    </row>
    <row r="930" spans="15:16" hidden="1" x14ac:dyDescent="0.25">
      <c r="O930" s="16" t="e">
        <f t="shared" si="2"/>
        <v>#VALUE!</v>
      </c>
      <c r="P930" s="16">
        <f t="shared" si="3"/>
        <v>0</v>
      </c>
    </row>
    <row r="931" spans="15:16" hidden="1" x14ac:dyDescent="0.25">
      <c r="O931" s="16" t="e">
        <f t="shared" si="2"/>
        <v>#VALUE!</v>
      </c>
      <c r="P931" s="16">
        <f t="shared" si="3"/>
        <v>0</v>
      </c>
    </row>
    <row r="932" spans="15:16" hidden="1" x14ac:dyDescent="0.25">
      <c r="O932" s="16" t="e">
        <f t="shared" si="2"/>
        <v>#VALUE!</v>
      </c>
      <c r="P932" s="16">
        <f t="shared" si="3"/>
        <v>0</v>
      </c>
    </row>
    <row r="933" spans="15:16" hidden="1" x14ac:dyDescent="0.25">
      <c r="O933" s="16" t="e">
        <f t="shared" si="2"/>
        <v>#VALUE!</v>
      </c>
      <c r="P933" s="16">
        <f t="shared" si="3"/>
        <v>0</v>
      </c>
    </row>
    <row r="934" spans="15:16" hidden="1" x14ac:dyDescent="0.25">
      <c r="O934" s="16" t="e">
        <f t="shared" si="2"/>
        <v>#VALUE!</v>
      </c>
      <c r="P934" s="16">
        <f t="shared" si="3"/>
        <v>0</v>
      </c>
    </row>
    <row r="935" spans="15:16" hidden="1" x14ac:dyDescent="0.25">
      <c r="O935" s="16" t="e">
        <f t="shared" si="2"/>
        <v>#VALUE!</v>
      </c>
      <c r="P935" s="16">
        <f t="shared" si="3"/>
        <v>0</v>
      </c>
    </row>
    <row r="936" spans="15:16" hidden="1" x14ac:dyDescent="0.25">
      <c r="O936" s="16" t="e">
        <f t="shared" si="2"/>
        <v>#VALUE!</v>
      </c>
      <c r="P936" s="16">
        <f t="shared" si="3"/>
        <v>0</v>
      </c>
    </row>
    <row r="937" spans="15:16" hidden="1" x14ac:dyDescent="0.25">
      <c r="O937" s="16" t="e">
        <f t="shared" si="2"/>
        <v>#VALUE!</v>
      </c>
      <c r="P937" s="16">
        <f t="shared" si="3"/>
        <v>0</v>
      </c>
    </row>
    <row r="938" spans="15:16" hidden="1" x14ac:dyDescent="0.25">
      <c r="O938" s="16" t="e">
        <f t="shared" si="2"/>
        <v>#VALUE!</v>
      </c>
      <c r="P938" s="16">
        <f t="shared" si="3"/>
        <v>0</v>
      </c>
    </row>
    <row r="939" spans="15:16" hidden="1" x14ac:dyDescent="0.25">
      <c r="O939" s="16" t="e">
        <f t="shared" si="2"/>
        <v>#VALUE!</v>
      </c>
      <c r="P939" s="16">
        <f t="shared" si="3"/>
        <v>0</v>
      </c>
    </row>
    <row r="940" spans="15:16" hidden="1" x14ac:dyDescent="0.25">
      <c r="O940" s="16" t="e">
        <f t="shared" si="2"/>
        <v>#VALUE!</v>
      </c>
      <c r="P940" s="16">
        <f t="shared" si="3"/>
        <v>0</v>
      </c>
    </row>
    <row r="941" spans="15:16" hidden="1" x14ac:dyDescent="0.25">
      <c r="O941" s="16" t="e">
        <f t="shared" si="2"/>
        <v>#VALUE!</v>
      </c>
      <c r="P941" s="16">
        <f t="shared" si="3"/>
        <v>0</v>
      </c>
    </row>
    <row r="942" spans="15:16" hidden="1" x14ac:dyDescent="0.25">
      <c r="O942" s="16" t="e">
        <f t="shared" si="2"/>
        <v>#VALUE!</v>
      </c>
      <c r="P942" s="16">
        <f t="shared" si="3"/>
        <v>0</v>
      </c>
    </row>
    <row r="943" spans="15:16" hidden="1" x14ac:dyDescent="0.25">
      <c r="O943" s="16" t="e">
        <f t="shared" si="2"/>
        <v>#VALUE!</v>
      </c>
      <c r="P943" s="16">
        <f t="shared" si="3"/>
        <v>0</v>
      </c>
    </row>
    <row r="944" spans="15:16" hidden="1" x14ac:dyDescent="0.25">
      <c r="O944" s="16" t="e">
        <f t="shared" si="2"/>
        <v>#VALUE!</v>
      </c>
      <c r="P944" s="16">
        <f t="shared" si="3"/>
        <v>0</v>
      </c>
    </row>
    <row r="945" spans="15:16" hidden="1" x14ac:dyDescent="0.25">
      <c r="O945" s="16" t="e">
        <f t="shared" si="2"/>
        <v>#VALUE!</v>
      </c>
      <c r="P945" s="16">
        <f t="shared" si="3"/>
        <v>0</v>
      </c>
    </row>
    <row r="946" spans="15:16" hidden="1" x14ac:dyDescent="0.25">
      <c r="O946" s="16" t="e">
        <f t="shared" si="2"/>
        <v>#VALUE!</v>
      </c>
      <c r="P946" s="16">
        <f t="shared" si="3"/>
        <v>0</v>
      </c>
    </row>
    <row r="947" spans="15:16" hidden="1" x14ac:dyDescent="0.25">
      <c r="O947" s="16" t="e">
        <f t="shared" si="2"/>
        <v>#VALUE!</v>
      </c>
      <c r="P947" s="16">
        <f t="shared" si="3"/>
        <v>0</v>
      </c>
    </row>
    <row r="948" spans="15:16" hidden="1" x14ac:dyDescent="0.25">
      <c r="O948" s="16" t="e">
        <f t="shared" si="2"/>
        <v>#VALUE!</v>
      </c>
      <c r="P948" s="16">
        <f t="shared" si="3"/>
        <v>0</v>
      </c>
    </row>
    <row r="949" spans="15:16" hidden="1" x14ac:dyDescent="0.25">
      <c r="O949" s="16" t="e">
        <f t="shared" si="2"/>
        <v>#VALUE!</v>
      </c>
      <c r="P949" s="16">
        <f t="shared" si="3"/>
        <v>0</v>
      </c>
    </row>
    <row r="950" spans="15:16" hidden="1" x14ac:dyDescent="0.25">
      <c r="O950" s="16" t="e">
        <f t="shared" si="2"/>
        <v>#VALUE!</v>
      </c>
      <c r="P950" s="16">
        <f t="shared" si="3"/>
        <v>0</v>
      </c>
    </row>
    <row r="951" spans="15:16" hidden="1" x14ac:dyDescent="0.25">
      <c r="O951" s="16" t="e">
        <f t="shared" si="2"/>
        <v>#VALUE!</v>
      </c>
      <c r="P951" s="16">
        <f t="shared" si="3"/>
        <v>0</v>
      </c>
    </row>
    <row r="952" spans="15:16" hidden="1" x14ac:dyDescent="0.25">
      <c r="O952" s="16" t="e">
        <f t="shared" si="2"/>
        <v>#VALUE!</v>
      </c>
      <c r="P952" s="16">
        <f t="shared" si="3"/>
        <v>0</v>
      </c>
    </row>
    <row r="953" spans="15:16" hidden="1" x14ac:dyDescent="0.25">
      <c r="O953" s="16" t="e">
        <f t="shared" si="2"/>
        <v>#VALUE!</v>
      </c>
      <c r="P953" s="16">
        <f t="shared" si="3"/>
        <v>0</v>
      </c>
    </row>
    <row r="954" spans="15:16" hidden="1" x14ac:dyDescent="0.25">
      <c r="O954" s="16" t="e">
        <f t="shared" si="2"/>
        <v>#VALUE!</v>
      </c>
      <c r="P954" s="16">
        <f t="shared" si="3"/>
        <v>0</v>
      </c>
    </row>
    <row r="955" spans="15:16" hidden="1" x14ac:dyDescent="0.25">
      <c r="O955" s="16" t="e">
        <f t="shared" si="2"/>
        <v>#VALUE!</v>
      </c>
      <c r="P955" s="16">
        <f t="shared" si="3"/>
        <v>0</v>
      </c>
    </row>
    <row r="956" spans="15:16" hidden="1" x14ac:dyDescent="0.25">
      <c r="O956" s="16" t="e">
        <f t="shared" si="2"/>
        <v>#VALUE!</v>
      </c>
      <c r="P956" s="16">
        <f t="shared" si="3"/>
        <v>0</v>
      </c>
    </row>
    <row r="957" spans="15:16" hidden="1" x14ac:dyDescent="0.25">
      <c r="O957" s="16" t="e">
        <f t="shared" si="2"/>
        <v>#VALUE!</v>
      </c>
      <c r="P957" s="16">
        <f t="shared" si="3"/>
        <v>0</v>
      </c>
    </row>
    <row r="958" spans="15:16" hidden="1" x14ac:dyDescent="0.25">
      <c r="O958" s="16" t="e">
        <f t="shared" si="2"/>
        <v>#VALUE!</v>
      </c>
      <c r="P958" s="16">
        <f t="shared" si="3"/>
        <v>0</v>
      </c>
    </row>
    <row r="959" spans="15:16" hidden="1" x14ac:dyDescent="0.25">
      <c r="O959" s="16" t="e">
        <f t="shared" si="2"/>
        <v>#VALUE!</v>
      </c>
      <c r="P959" s="16">
        <f t="shared" si="3"/>
        <v>0</v>
      </c>
    </row>
    <row r="960" spans="15:16" hidden="1" x14ac:dyDescent="0.25">
      <c r="O960" s="16" t="e">
        <f t="shared" si="2"/>
        <v>#VALUE!</v>
      </c>
      <c r="P960" s="16">
        <f t="shared" si="3"/>
        <v>0</v>
      </c>
    </row>
    <row r="961" spans="15:16" hidden="1" x14ac:dyDescent="0.25">
      <c r="O961" s="16" t="e">
        <f t="shared" si="2"/>
        <v>#VALUE!</v>
      </c>
      <c r="P961" s="16">
        <f t="shared" si="3"/>
        <v>0</v>
      </c>
    </row>
    <row r="962" spans="15:16" hidden="1" x14ac:dyDescent="0.25">
      <c r="O962" s="16" t="e">
        <f t="shared" si="2"/>
        <v>#VALUE!</v>
      </c>
      <c r="P962" s="16">
        <f t="shared" si="3"/>
        <v>0</v>
      </c>
    </row>
    <row r="963" spans="15:16" hidden="1" x14ac:dyDescent="0.25">
      <c r="O963" s="16" t="e">
        <f t="shared" ref="O963:O1026" si="4">TEXT(DATEVALUE(LEFT(F963,10)),"mm-yyyy")</f>
        <v>#VALUE!</v>
      </c>
      <c r="P963" s="16">
        <f t="shared" ref="P963:P1026" si="5">H963*I963</f>
        <v>0</v>
      </c>
    </row>
    <row r="964" spans="15:16" hidden="1" x14ac:dyDescent="0.25">
      <c r="O964" s="16" t="e">
        <f t="shared" si="4"/>
        <v>#VALUE!</v>
      </c>
      <c r="P964" s="16">
        <f t="shared" si="5"/>
        <v>0</v>
      </c>
    </row>
    <row r="965" spans="15:16" hidden="1" x14ac:dyDescent="0.25">
      <c r="O965" s="16" t="e">
        <f t="shared" si="4"/>
        <v>#VALUE!</v>
      </c>
      <c r="P965" s="16">
        <f t="shared" si="5"/>
        <v>0</v>
      </c>
    </row>
    <row r="966" spans="15:16" hidden="1" x14ac:dyDescent="0.25">
      <c r="O966" s="16" t="e">
        <f t="shared" si="4"/>
        <v>#VALUE!</v>
      </c>
      <c r="P966" s="16">
        <f t="shared" si="5"/>
        <v>0</v>
      </c>
    </row>
    <row r="967" spans="15:16" hidden="1" x14ac:dyDescent="0.25">
      <c r="O967" s="16" t="e">
        <f t="shared" si="4"/>
        <v>#VALUE!</v>
      </c>
      <c r="P967" s="16">
        <f t="shared" si="5"/>
        <v>0</v>
      </c>
    </row>
    <row r="968" spans="15:16" hidden="1" x14ac:dyDescent="0.25">
      <c r="O968" s="16" t="e">
        <f t="shared" si="4"/>
        <v>#VALUE!</v>
      </c>
      <c r="P968" s="16">
        <f t="shared" si="5"/>
        <v>0</v>
      </c>
    </row>
    <row r="969" spans="15:16" hidden="1" x14ac:dyDescent="0.25">
      <c r="O969" s="16" t="e">
        <f t="shared" si="4"/>
        <v>#VALUE!</v>
      </c>
      <c r="P969" s="16">
        <f t="shared" si="5"/>
        <v>0</v>
      </c>
    </row>
    <row r="970" spans="15:16" hidden="1" x14ac:dyDescent="0.25">
      <c r="O970" s="16" t="e">
        <f t="shared" si="4"/>
        <v>#VALUE!</v>
      </c>
      <c r="P970" s="16">
        <f t="shared" si="5"/>
        <v>0</v>
      </c>
    </row>
    <row r="971" spans="15:16" hidden="1" x14ac:dyDescent="0.25">
      <c r="O971" s="16" t="e">
        <f t="shared" si="4"/>
        <v>#VALUE!</v>
      </c>
      <c r="P971" s="16">
        <f t="shared" si="5"/>
        <v>0</v>
      </c>
    </row>
    <row r="972" spans="15:16" hidden="1" x14ac:dyDescent="0.25">
      <c r="O972" s="16" t="e">
        <f t="shared" si="4"/>
        <v>#VALUE!</v>
      </c>
      <c r="P972" s="16">
        <f t="shared" si="5"/>
        <v>0</v>
      </c>
    </row>
    <row r="973" spans="15:16" hidden="1" x14ac:dyDescent="0.25">
      <c r="O973" s="16" t="e">
        <f t="shared" si="4"/>
        <v>#VALUE!</v>
      </c>
      <c r="P973" s="16">
        <f t="shared" si="5"/>
        <v>0</v>
      </c>
    </row>
    <row r="974" spans="15:16" hidden="1" x14ac:dyDescent="0.25">
      <c r="O974" s="16" t="e">
        <f t="shared" si="4"/>
        <v>#VALUE!</v>
      </c>
      <c r="P974" s="16">
        <f t="shared" si="5"/>
        <v>0</v>
      </c>
    </row>
    <row r="975" spans="15:16" hidden="1" x14ac:dyDescent="0.25">
      <c r="O975" s="16" t="e">
        <f t="shared" si="4"/>
        <v>#VALUE!</v>
      </c>
      <c r="P975" s="16">
        <f t="shared" si="5"/>
        <v>0</v>
      </c>
    </row>
    <row r="976" spans="15:16" hidden="1" x14ac:dyDescent="0.25">
      <c r="O976" s="16" t="e">
        <f t="shared" si="4"/>
        <v>#VALUE!</v>
      </c>
      <c r="P976" s="16">
        <f t="shared" si="5"/>
        <v>0</v>
      </c>
    </row>
    <row r="977" spans="15:16" hidden="1" x14ac:dyDescent="0.25">
      <c r="O977" s="16" t="e">
        <f t="shared" si="4"/>
        <v>#VALUE!</v>
      </c>
      <c r="P977" s="16">
        <f t="shared" si="5"/>
        <v>0</v>
      </c>
    </row>
    <row r="978" spans="15:16" hidden="1" x14ac:dyDescent="0.25">
      <c r="O978" s="16" t="e">
        <f t="shared" si="4"/>
        <v>#VALUE!</v>
      </c>
      <c r="P978" s="16">
        <f t="shared" si="5"/>
        <v>0</v>
      </c>
    </row>
    <row r="979" spans="15:16" hidden="1" x14ac:dyDescent="0.25">
      <c r="O979" s="16" t="e">
        <f t="shared" si="4"/>
        <v>#VALUE!</v>
      </c>
      <c r="P979" s="16">
        <f t="shared" si="5"/>
        <v>0</v>
      </c>
    </row>
    <row r="980" spans="15:16" hidden="1" x14ac:dyDescent="0.25">
      <c r="O980" s="16" t="e">
        <f t="shared" si="4"/>
        <v>#VALUE!</v>
      </c>
      <c r="P980" s="16">
        <f t="shared" si="5"/>
        <v>0</v>
      </c>
    </row>
    <row r="981" spans="15:16" hidden="1" x14ac:dyDescent="0.25">
      <c r="O981" s="16" t="e">
        <f t="shared" si="4"/>
        <v>#VALUE!</v>
      </c>
      <c r="P981" s="16">
        <f t="shared" si="5"/>
        <v>0</v>
      </c>
    </row>
    <row r="982" spans="15:16" hidden="1" x14ac:dyDescent="0.25">
      <c r="O982" s="16" t="e">
        <f t="shared" si="4"/>
        <v>#VALUE!</v>
      </c>
      <c r="P982" s="16">
        <f t="shared" si="5"/>
        <v>0</v>
      </c>
    </row>
    <row r="983" spans="15:16" hidden="1" x14ac:dyDescent="0.25">
      <c r="O983" s="16" t="e">
        <f t="shared" si="4"/>
        <v>#VALUE!</v>
      </c>
      <c r="P983" s="16">
        <f t="shared" si="5"/>
        <v>0</v>
      </c>
    </row>
    <row r="984" spans="15:16" hidden="1" x14ac:dyDescent="0.25">
      <c r="O984" s="16" t="e">
        <f t="shared" si="4"/>
        <v>#VALUE!</v>
      </c>
      <c r="P984" s="16">
        <f t="shared" si="5"/>
        <v>0</v>
      </c>
    </row>
    <row r="985" spans="15:16" hidden="1" x14ac:dyDescent="0.25">
      <c r="O985" s="16" t="e">
        <f t="shared" si="4"/>
        <v>#VALUE!</v>
      </c>
      <c r="P985" s="16">
        <f t="shared" si="5"/>
        <v>0</v>
      </c>
    </row>
    <row r="986" spans="15:16" hidden="1" x14ac:dyDescent="0.25">
      <c r="O986" s="16" t="e">
        <f t="shared" si="4"/>
        <v>#VALUE!</v>
      </c>
      <c r="P986" s="16">
        <f t="shared" si="5"/>
        <v>0</v>
      </c>
    </row>
    <row r="987" spans="15:16" hidden="1" x14ac:dyDescent="0.25">
      <c r="O987" s="16" t="e">
        <f t="shared" si="4"/>
        <v>#VALUE!</v>
      </c>
      <c r="P987" s="16">
        <f t="shared" si="5"/>
        <v>0</v>
      </c>
    </row>
    <row r="988" spans="15:16" hidden="1" x14ac:dyDescent="0.25">
      <c r="O988" s="16" t="e">
        <f t="shared" si="4"/>
        <v>#VALUE!</v>
      </c>
      <c r="P988" s="16">
        <f t="shared" si="5"/>
        <v>0</v>
      </c>
    </row>
    <row r="989" spans="15:16" hidden="1" x14ac:dyDescent="0.25">
      <c r="O989" s="16" t="e">
        <f t="shared" si="4"/>
        <v>#VALUE!</v>
      </c>
      <c r="P989" s="16">
        <f t="shared" si="5"/>
        <v>0</v>
      </c>
    </row>
    <row r="990" spans="15:16" hidden="1" x14ac:dyDescent="0.25">
      <c r="O990" s="16" t="e">
        <f t="shared" si="4"/>
        <v>#VALUE!</v>
      </c>
      <c r="P990" s="16">
        <f t="shared" si="5"/>
        <v>0</v>
      </c>
    </row>
    <row r="991" spans="15:16" hidden="1" x14ac:dyDescent="0.25">
      <c r="O991" s="16" t="e">
        <f t="shared" si="4"/>
        <v>#VALUE!</v>
      </c>
      <c r="P991" s="16">
        <f t="shared" si="5"/>
        <v>0</v>
      </c>
    </row>
    <row r="992" spans="15:16" hidden="1" x14ac:dyDescent="0.25">
      <c r="O992" s="16" t="e">
        <f t="shared" si="4"/>
        <v>#VALUE!</v>
      </c>
      <c r="P992" s="16">
        <f t="shared" si="5"/>
        <v>0</v>
      </c>
    </row>
    <row r="993" spans="15:16" hidden="1" x14ac:dyDescent="0.25">
      <c r="O993" s="16" t="e">
        <f t="shared" si="4"/>
        <v>#VALUE!</v>
      </c>
      <c r="P993" s="16">
        <f t="shared" si="5"/>
        <v>0</v>
      </c>
    </row>
    <row r="994" spans="15:16" hidden="1" x14ac:dyDescent="0.25">
      <c r="O994" s="16" t="e">
        <f t="shared" si="4"/>
        <v>#VALUE!</v>
      </c>
      <c r="P994" s="16">
        <f t="shared" si="5"/>
        <v>0</v>
      </c>
    </row>
    <row r="995" spans="15:16" hidden="1" x14ac:dyDescent="0.25">
      <c r="O995" s="16" t="e">
        <f t="shared" si="4"/>
        <v>#VALUE!</v>
      </c>
      <c r="P995" s="16">
        <f t="shared" si="5"/>
        <v>0</v>
      </c>
    </row>
    <row r="996" spans="15:16" hidden="1" x14ac:dyDescent="0.25">
      <c r="O996" s="16" t="e">
        <f t="shared" si="4"/>
        <v>#VALUE!</v>
      </c>
      <c r="P996" s="16">
        <f t="shared" si="5"/>
        <v>0</v>
      </c>
    </row>
    <row r="997" spans="15:16" hidden="1" x14ac:dyDescent="0.25">
      <c r="O997" s="16" t="e">
        <f t="shared" si="4"/>
        <v>#VALUE!</v>
      </c>
      <c r="P997" s="16">
        <f t="shared" si="5"/>
        <v>0</v>
      </c>
    </row>
    <row r="998" spans="15:16" hidden="1" x14ac:dyDescent="0.25">
      <c r="O998" s="16" t="e">
        <f t="shared" si="4"/>
        <v>#VALUE!</v>
      </c>
      <c r="P998" s="16">
        <f t="shared" si="5"/>
        <v>0</v>
      </c>
    </row>
    <row r="999" spans="15:16" hidden="1" x14ac:dyDescent="0.25">
      <c r="O999" s="16" t="e">
        <f t="shared" si="4"/>
        <v>#VALUE!</v>
      </c>
      <c r="P999" s="16">
        <f t="shared" si="5"/>
        <v>0</v>
      </c>
    </row>
    <row r="1000" spans="15:16" hidden="1" x14ac:dyDescent="0.25">
      <c r="O1000" s="16" t="e">
        <f t="shared" si="4"/>
        <v>#VALUE!</v>
      </c>
      <c r="P1000" s="16">
        <f t="shared" si="5"/>
        <v>0</v>
      </c>
    </row>
    <row r="1001" spans="15:16" hidden="1" x14ac:dyDescent="0.25">
      <c r="O1001" s="16" t="e">
        <f t="shared" si="4"/>
        <v>#VALUE!</v>
      </c>
      <c r="P1001" s="16">
        <f t="shared" si="5"/>
        <v>0</v>
      </c>
    </row>
    <row r="1002" spans="15:16" hidden="1" x14ac:dyDescent="0.25">
      <c r="O1002" s="16" t="e">
        <f t="shared" si="4"/>
        <v>#VALUE!</v>
      </c>
      <c r="P1002" s="16">
        <f t="shared" si="5"/>
        <v>0</v>
      </c>
    </row>
    <row r="1003" spans="15:16" hidden="1" x14ac:dyDescent="0.25">
      <c r="O1003" s="16" t="e">
        <f t="shared" si="4"/>
        <v>#VALUE!</v>
      </c>
      <c r="P1003" s="16">
        <f t="shared" si="5"/>
        <v>0</v>
      </c>
    </row>
    <row r="1004" spans="15:16" hidden="1" x14ac:dyDescent="0.25">
      <c r="O1004" s="16" t="e">
        <f t="shared" si="4"/>
        <v>#VALUE!</v>
      </c>
      <c r="P1004" s="16">
        <f t="shared" si="5"/>
        <v>0</v>
      </c>
    </row>
    <row r="1005" spans="15:16" hidden="1" x14ac:dyDescent="0.25">
      <c r="O1005" s="16" t="e">
        <f t="shared" si="4"/>
        <v>#VALUE!</v>
      </c>
      <c r="P1005" s="16">
        <f t="shared" si="5"/>
        <v>0</v>
      </c>
    </row>
    <row r="1006" spans="15:16" hidden="1" x14ac:dyDescent="0.25">
      <c r="O1006" s="16" t="e">
        <f t="shared" si="4"/>
        <v>#VALUE!</v>
      </c>
      <c r="P1006" s="16">
        <f t="shared" si="5"/>
        <v>0</v>
      </c>
    </row>
    <row r="1007" spans="15:16" hidden="1" x14ac:dyDescent="0.25">
      <c r="O1007" s="16" t="e">
        <f t="shared" si="4"/>
        <v>#VALUE!</v>
      </c>
      <c r="P1007" s="16">
        <f t="shared" si="5"/>
        <v>0</v>
      </c>
    </row>
    <row r="1008" spans="15:16" hidden="1" x14ac:dyDescent="0.25">
      <c r="O1008" s="16" t="e">
        <f t="shared" si="4"/>
        <v>#VALUE!</v>
      </c>
      <c r="P1008" s="16">
        <f t="shared" si="5"/>
        <v>0</v>
      </c>
    </row>
    <row r="1009" spans="15:16" hidden="1" x14ac:dyDescent="0.25">
      <c r="O1009" s="16" t="e">
        <f t="shared" si="4"/>
        <v>#VALUE!</v>
      </c>
      <c r="P1009" s="16">
        <f t="shared" si="5"/>
        <v>0</v>
      </c>
    </row>
    <row r="1010" spans="15:16" hidden="1" x14ac:dyDescent="0.25">
      <c r="O1010" s="16" t="e">
        <f t="shared" si="4"/>
        <v>#VALUE!</v>
      </c>
      <c r="P1010" s="16">
        <f t="shared" si="5"/>
        <v>0</v>
      </c>
    </row>
    <row r="1011" spans="15:16" hidden="1" x14ac:dyDescent="0.25">
      <c r="O1011" s="16" t="e">
        <f t="shared" si="4"/>
        <v>#VALUE!</v>
      </c>
      <c r="P1011" s="16">
        <f t="shared" si="5"/>
        <v>0</v>
      </c>
    </row>
    <row r="1012" spans="15:16" hidden="1" x14ac:dyDescent="0.25">
      <c r="O1012" s="16" t="e">
        <f t="shared" si="4"/>
        <v>#VALUE!</v>
      </c>
      <c r="P1012" s="16">
        <f t="shared" si="5"/>
        <v>0</v>
      </c>
    </row>
    <row r="1013" spans="15:16" hidden="1" x14ac:dyDescent="0.25">
      <c r="O1013" s="16" t="e">
        <f t="shared" si="4"/>
        <v>#VALUE!</v>
      </c>
      <c r="P1013" s="16">
        <f t="shared" si="5"/>
        <v>0</v>
      </c>
    </row>
    <row r="1014" spans="15:16" hidden="1" x14ac:dyDescent="0.25">
      <c r="O1014" s="16" t="e">
        <f t="shared" si="4"/>
        <v>#VALUE!</v>
      </c>
      <c r="P1014" s="16">
        <f t="shared" si="5"/>
        <v>0</v>
      </c>
    </row>
    <row r="1015" spans="15:16" hidden="1" x14ac:dyDescent="0.25">
      <c r="O1015" s="16" t="e">
        <f t="shared" si="4"/>
        <v>#VALUE!</v>
      </c>
      <c r="P1015" s="16">
        <f t="shared" si="5"/>
        <v>0</v>
      </c>
    </row>
    <row r="1016" spans="15:16" hidden="1" x14ac:dyDescent="0.25">
      <c r="O1016" s="16" t="e">
        <f t="shared" si="4"/>
        <v>#VALUE!</v>
      </c>
      <c r="P1016" s="16">
        <f t="shared" si="5"/>
        <v>0</v>
      </c>
    </row>
    <row r="1017" spans="15:16" hidden="1" x14ac:dyDescent="0.25">
      <c r="O1017" s="16" t="e">
        <f t="shared" si="4"/>
        <v>#VALUE!</v>
      </c>
      <c r="P1017" s="16">
        <f t="shared" si="5"/>
        <v>0</v>
      </c>
    </row>
    <row r="1018" spans="15:16" hidden="1" x14ac:dyDescent="0.25">
      <c r="O1018" s="16" t="e">
        <f t="shared" si="4"/>
        <v>#VALUE!</v>
      </c>
      <c r="P1018" s="16">
        <f t="shared" si="5"/>
        <v>0</v>
      </c>
    </row>
    <row r="1019" spans="15:16" hidden="1" x14ac:dyDescent="0.25">
      <c r="O1019" s="16" t="e">
        <f t="shared" si="4"/>
        <v>#VALUE!</v>
      </c>
      <c r="P1019" s="16">
        <f t="shared" si="5"/>
        <v>0</v>
      </c>
    </row>
    <row r="1020" spans="15:16" hidden="1" x14ac:dyDescent="0.25">
      <c r="O1020" s="16" t="e">
        <f t="shared" si="4"/>
        <v>#VALUE!</v>
      </c>
      <c r="P1020" s="16">
        <f t="shared" si="5"/>
        <v>0</v>
      </c>
    </row>
    <row r="1021" spans="15:16" hidden="1" x14ac:dyDescent="0.25">
      <c r="O1021" s="16" t="e">
        <f t="shared" si="4"/>
        <v>#VALUE!</v>
      </c>
      <c r="P1021" s="16">
        <f t="shared" si="5"/>
        <v>0</v>
      </c>
    </row>
    <row r="1022" spans="15:16" hidden="1" x14ac:dyDescent="0.25">
      <c r="O1022" s="16" t="e">
        <f t="shared" si="4"/>
        <v>#VALUE!</v>
      </c>
      <c r="P1022" s="16">
        <f t="shared" si="5"/>
        <v>0</v>
      </c>
    </row>
    <row r="1023" spans="15:16" hidden="1" x14ac:dyDescent="0.25">
      <c r="O1023" s="16" t="e">
        <f t="shared" si="4"/>
        <v>#VALUE!</v>
      </c>
      <c r="P1023" s="16">
        <f t="shared" si="5"/>
        <v>0</v>
      </c>
    </row>
    <row r="1024" spans="15:16" hidden="1" x14ac:dyDescent="0.25">
      <c r="O1024" s="16" t="e">
        <f t="shared" si="4"/>
        <v>#VALUE!</v>
      </c>
      <c r="P1024" s="16">
        <f t="shared" si="5"/>
        <v>0</v>
      </c>
    </row>
    <row r="1025" spans="15:16" hidden="1" x14ac:dyDescent="0.25">
      <c r="O1025" s="16" t="e">
        <f t="shared" si="4"/>
        <v>#VALUE!</v>
      </c>
      <c r="P1025" s="16">
        <f t="shared" si="5"/>
        <v>0</v>
      </c>
    </row>
    <row r="1026" spans="15:16" hidden="1" x14ac:dyDescent="0.25">
      <c r="O1026" s="16" t="e">
        <f t="shared" si="4"/>
        <v>#VALUE!</v>
      </c>
      <c r="P1026" s="16">
        <f t="shared" si="5"/>
        <v>0</v>
      </c>
    </row>
    <row r="1027" spans="15:16" hidden="1" x14ac:dyDescent="0.25">
      <c r="O1027" s="16" t="e">
        <f t="shared" ref="O1027:O1090" si="6">TEXT(DATEVALUE(LEFT(F1027,10)),"mm-yyyy")</f>
        <v>#VALUE!</v>
      </c>
      <c r="P1027" s="16">
        <f t="shared" ref="P1027:P1090" si="7">H1027*I1027</f>
        <v>0</v>
      </c>
    </row>
    <row r="1028" spans="15:16" hidden="1" x14ac:dyDescent="0.25">
      <c r="O1028" s="16" t="e">
        <f t="shared" si="6"/>
        <v>#VALUE!</v>
      </c>
      <c r="P1028" s="16">
        <f t="shared" si="7"/>
        <v>0</v>
      </c>
    </row>
    <row r="1029" spans="15:16" hidden="1" x14ac:dyDescent="0.25">
      <c r="O1029" s="16" t="e">
        <f t="shared" si="6"/>
        <v>#VALUE!</v>
      </c>
      <c r="P1029" s="16">
        <f t="shared" si="7"/>
        <v>0</v>
      </c>
    </row>
    <row r="1030" spans="15:16" hidden="1" x14ac:dyDescent="0.25">
      <c r="O1030" s="16" t="e">
        <f t="shared" si="6"/>
        <v>#VALUE!</v>
      </c>
      <c r="P1030" s="16">
        <f t="shared" si="7"/>
        <v>0</v>
      </c>
    </row>
    <row r="1031" spans="15:16" hidden="1" x14ac:dyDescent="0.25">
      <c r="O1031" s="16" t="e">
        <f t="shared" si="6"/>
        <v>#VALUE!</v>
      </c>
      <c r="P1031" s="16">
        <f t="shared" si="7"/>
        <v>0</v>
      </c>
    </row>
    <row r="1032" spans="15:16" hidden="1" x14ac:dyDescent="0.25">
      <c r="O1032" s="16" t="e">
        <f t="shared" si="6"/>
        <v>#VALUE!</v>
      </c>
      <c r="P1032" s="16">
        <f t="shared" si="7"/>
        <v>0</v>
      </c>
    </row>
    <row r="1033" spans="15:16" hidden="1" x14ac:dyDescent="0.25">
      <c r="O1033" s="16" t="e">
        <f t="shared" si="6"/>
        <v>#VALUE!</v>
      </c>
      <c r="P1033" s="16">
        <f t="shared" si="7"/>
        <v>0</v>
      </c>
    </row>
    <row r="1034" spans="15:16" hidden="1" x14ac:dyDescent="0.25">
      <c r="O1034" s="16" t="e">
        <f t="shared" si="6"/>
        <v>#VALUE!</v>
      </c>
      <c r="P1034" s="16">
        <f t="shared" si="7"/>
        <v>0</v>
      </c>
    </row>
    <row r="1035" spans="15:16" hidden="1" x14ac:dyDescent="0.25">
      <c r="O1035" s="16" t="e">
        <f t="shared" si="6"/>
        <v>#VALUE!</v>
      </c>
      <c r="P1035" s="16">
        <f t="shared" si="7"/>
        <v>0</v>
      </c>
    </row>
    <row r="1036" spans="15:16" hidden="1" x14ac:dyDescent="0.25">
      <c r="O1036" s="16" t="e">
        <f t="shared" si="6"/>
        <v>#VALUE!</v>
      </c>
      <c r="P1036" s="16">
        <f t="shared" si="7"/>
        <v>0</v>
      </c>
    </row>
    <row r="1037" spans="15:16" hidden="1" x14ac:dyDescent="0.25">
      <c r="O1037" s="16" t="e">
        <f t="shared" si="6"/>
        <v>#VALUE!</v>
      </c>
      <c r="P1037" s="16">
        <f t="shared" si="7"/>
        <v>0</v>
      </c>
    </row>
    <row r="1038" spans="15:16" hidden="1" x14ac:dyDescent="0.25">
      <c r="O1038" s="16" t="e">
        <f t="shared" si="6"/>
        <v>#VALUE!</v>
      </c>
      <c r="P1038" s="16">
        <f t="shared" si="7"/>
        <v>0</v>
      </c>
    </row>
    <row r="1039" spans="15:16" hidden="1" x14ac:dyDescent="0.25">
      <c r="O1039" s="16" t="e">
        <f t="shared" si="6"/>
        <v>#VALUE!</v>
      </c>
      <c r="P1039" s="16">
        <f t="shared" si="7"/>
        <v>0</v>
      </c>
    </row>
    <row r="1040" spans="15:16" hidden="1" x14ac:dyDescent="0.25">
      <c r="O1040" s="16" t="e">
        <f t="shared" si="6"/>
        <v>#VALUE!</v>
      </c>
      <c r="P1040" s="16">
        <f t="shared" si="7"/>
        <v>0</v>
      </c>
    </row>
    <row r="1041" spans="15:16" hidden="1" x14ac:dyDescent="0.25">
      <c r="O1041" s="16" t="e">
        <f t="shared" si="6"/>
        <v>#VALUE!</v>
      </c>
      <c r="P1041" s="16">
        <f t="shared" si="7"/>
        <v>0</v>
      </c>
    </row>
    <row r="1042" spans="15:16" hidden="1" x14ac:dyDescent="0.25">
      <c r="O1042" s="16" t="e">
        <f t="shared" si="6"/>
        <v>#VALUE!</v>
      </c>
      <c r="P1042" s="16">
        <f t="shared" si="7"/>
        <v>0</v>
      </c>
    </row>
    <row r="1043" spans="15:16" hidden="1" x14ac:dyDescent="0.25">
      <c r="O1043" s="16" t="e">
        <f t="shared" si="6"/>
        <v>#VALUE!</v>
      </c>
      <c r="P1043" s="16">
        <f t="shared" si="7"/>
        <v>0</v>
      </c>
    </row>
    <row r="1044" spans="15:16" hidden="1" x14ac:dyDescent="0.25">
      <c r="O1044" s="16" t="e">
        <f t="shared" si="6"/>
        <v>#VALUE!</v>
      </c>
      <c r="P1044" s="16">
        <f t="shared" si="7"/>
        <v>0</v>
      </c>
    </row>
    <row r="1045" spans="15:16" hidden="1" x14ac:dyDescent="0.25">
      <c r="O1045" s="16" t="e">
        <f t="shared" si="6"/>
        <v>#VALUE!</v>
      </c>
      <c r="P1045" s="16">
        <f t="shared" si="7"/>
        <v>0</v>
      </c>
    </row>
    <row r="1046" spans="15:16" hidden="1" x14ac:dyDescent="0.25">
      <c r="O1046" s="16" t="e">
        <f t="shared" si="6"/>
        <v>#VALUE!</v>
      </c>
      <c r="P1046" s="16">
        <f t="shared" si="7"/>
        <v>0</v>
      </c>
    </row>
    <row r="1047" spans="15:16" hidden="1" x14ac:dyDescent="0.25">
      <c r="O1047" s="16" t="e">
        <f t="shared" si="6"/>
        <v>#VALUE!</v>
      </c>
      <c r="P1047" s="16">
        <f t="shared" si="7"/>
        <v>0</v>
      </c>
    </row>
    <row r="1048" spans="15:16" hidden="1" x14ac:dyDescent="0.25">
      <c r="O1048" s="16" t="e">
        <f t="shared" si="6"/>
        <v>#VALUE!</v>
      </c>
      <c r="P1048" s="16">
        <f t="shared" si="7"/>
        <v>0</v>
      </c>
    </row>
    <row r="1049" spans="15:16" hidden="1" x14ac:dyDescent="0.25">
      <c r="O1049" s="16" t="e">
        <f t="shared" si="6"/>
        <v>#VALUE!</v>
      </c>
      <c r="P1049" s="16">
        <f t="shared" si="7"/>
        <v>0</v>
      </c>
    </row>
    <row r="1050" spans="15:16" hidden="1" x14ac:dyDescent="0.25">
      <c r="O1050" s="16" t="e">
        <f t="shared" si="6"/>
        <v>#VALUE!</v>
      </c>
      <c r="P1050" s="16">
        <f t="shared" si="7"/>
        <v>0</v>
      </c>
    </row>
    <row r="1051" spans="15:16" hidden="1" x14ac:dyDescent="0.25">
      <c r="O1051" s="16" t="e">
        <f t="shared" si="6"/>
        <v>#VALUE!</v>
      </c>
      <c r="P1051" s="16">
        <f t="shared" si="7"/>
        <v>0</v>
      </c>
    </row>
    <row r="1052" spans="15:16" hidden="1" x14ac:dyDescent="0.25">
      <c r="O1052" s="16" t="e">
        <f t="shared" si="6"/>
        <v>#VALUE!</v>
      </c>
      <c r="P1052" s="16">
        <f t="shared" si="7"/>
        <v>0</v>
      </c>
    </row>
    <row r="1053" spans="15:16" hidden="1" x14ac:dyDescent="0.25">
      <c r="O1053" s="16" t="e">
        <f t="shared" si="6"/>
        <v>#VALUE!</v>
      </c>
      <c r="P1053" s="16">
        <f t="shared" si="7"/>
        <v>0</v>
      </c>
    </row>
    <row r="1054" spans="15:16" hidden="1" x14ac:dyDescent="0.25">
      <c r="O1054" s="16" t="e">
        <f t="shared" si="6"/>
        <v>#VALUE!</v>
      </c>
      <c r="P1054" s="16">
        <f t="shared" si="7"/>
        <v>0</v>
      </c>
    </row>
    <row r="1055" spans="15:16" hidden="1" x14ac:dyDescent="0.25">
      <c r="O1055" s="16" t="e">
        <f t="shared" si="6"/>
        <v>#VALUE!</v>
      </c>
      <c r="P1055" s="16">
        <f t="shared" si="7"/>
        <v>0</v>
      </c>
    </row>
    <row r="1056" spans="15:16" hidden="1" x14ac:dyDescent="0.25">
      <c r="O1056" s="16" t="e">
        <f t="shared" si="6"/>
        <v>#VALUE!</v>
      </c>
      <c r="P1056" s="16">
        <f t="shared" si="7"/>
        <v>0</v>
      </c>
    </row>
    <row r="1057" spans="15:16" hidden="1" x14ac:dyDescent="0.25">
      <c r="O1057" s="16" t="e">
        <f t="shared" si="6"/>
        <v>#VALUE!</v>
      </c>
      <c r="P1057" s="16">
        <f t="shared" si="7"/>
        <v>0</v>
      </c>
    </row>
    <row r="1058" spans="15:16" hidden="1" x14ac:dyDescent="0.25">
      <c r="O1058" s="16" t="e">
        <f t="shared" si="6"/>
        <v>#VALUE!</v>
      </c>
      <c r="P1058" s="16">
        <f t="shared" si="7"/>
        <v>0</v>
      </c>
    </row>
    <row r="1059" spans="15:16" hidden="1" x14ac:dyDescent="0.25">
      <c r="O1059" s="16" t="e">
        <f t="shared" si="6"/>
        <v>#VALUE!</v>
      </c>
      <c r="P1059" s="16">
        <f t="shared" si="7"/>
        <v>0</v>
      </c>
    </row>
    <row r="1060" spans="15:16" hidden="1" x14ac:dyDescent="0.25">
      <c r="O1060" s="16" t="e">
        <f t="shared" si="6"/>
        <v>#VALUE!</v>
      </c>
      <c r="P1060" s="16">
        <f t="shared" si="7"/>
        <v>0</v>
      </c>
    </row>
    <row r="1061" spans="15:16" hidden="1" x14ac:dyDescent="0.25">
      <c r="O1061" s="16" t="e">
        <f t="shared" si="6"/>
        <v>#VALUE!</v>
      </c>
      <c r="P1061" s="16">
        <f t="shared" si="7"/>
        <v>0</v>
      </c>
    </row>
    <row r="1062" spans="15:16" hidden="1" x14ac:dyDescent="0.25">
      <c r="O1062" s="16" t="e">
        <f t="shared" si="6"/>
        <v>#VALUE!</v>
      </c>
      <c r="P1062" s="16">
        <f t="shared" si="7"/>
        <v>0</v>
      </c>
    </row>
    <row r="1063" spans="15:16" hidden="1" x14ac:dyDescent="0.25">
      <c r="O1063" s="16" t="e">
        <f t="shared" si="6"/>
        <v>#VALUE!</v>
      </c>
      <c r="P1063" s="16">
        <f t="shared" si="7"/>
        <v>0</v>
      </c>
    </row>
    <row r="1064" spans="15:16" hidden="1" x14ac:dyDescent="0.25">
      <c r="O1064" s="16" t="e">
        <f t="shared" si="6"/>
        <v>#VALUE!</v>
      </c>
      <c r="P1064" s="16">
        <f t="shared" si="7"/>
        <v>0</v>
      </c>
    </row>
    <row r="1065" spans="15:16" hidden="1" x14ac:dyDescent="0.25">
      <c r="O1065" s="16" t="e">
        <f t="shared" si="6"/>
        <v>#VALUE!</v>
      </c>
      <c r="P1065" s="16">
        <f t="shared" si="7"/>
        <v>0</v>
      </c>
    </row>
    <row r="1066" spans="15:16" hidden="1" x14ac:dyDescent="0.25">
      <c r="O1066" s="16" t="e">
        <f t="shared" si="6"/>
        <v>#VALUE!</v>
      </c>
      <c r="P1066" s="16">
        <f t="shared" si="7"/>
        <v>0</v>
      </c>
    </row>
    <row r="1067" spans="15:16" hidden="1" x14ac:dyDescent="0.25">
      <c r="O1067" s="16" t="e">
        <f t="shared" si="6"/>
        <v>#VALUE!</v>
      </c>
      <c r="P1067" s="16">
        <f t="shared" si="7"/>
        <v>0</v>
      </c>
    </row>
    <row r="1068" spans="15:16" hidden="1" x14ac:dyDescent="0.25">
      <c r="O1068" s="16" t="e">
        <f t="shared" si="6"/>
        <v>#VALUE!</v>
      </c>
      <c r="P1068" s="16">
        <f t="shared" si="7"/>
        <v>0</v>
      </c>
    </row>
    <row r="1069" spans="15:16" hidden="1" x14ac:dyDescent="0.25">
      <c r="O1069" s="16" t="e">
        <f t="shared" si="6"/>
        <v>#VALUE!</v>
      </c>
      <c r="P1069" s="16">
        <f t="shared" si="7"/>
        <v>0</v>
      </c>
    </row>
    <row r="1070" spans="15:16" hidden="1" x14ac:dyDescent="0.25">
      <c r="O1070" s="16" t="e">
        <f t="shared" si="6"/>
        <v>#VALUE!</v>
      </c>
      <c r="P1070" s="16">
        <f t="shared" si="7"/>
        <v>0</v>
      </c>
    </row>
    <row r="1071" spans="15:16" hidden="1" x14ac:dyDescent="0.25">
      <c r="O1071" s="16" t="e">
        <f t="shared" si="6"/>
        <v>#VALUE!</v>
      </c>
      <c r="P1071" s="16">
        <f t="shared" si="7"/>
        <v>0</v>
      </c>
    </row>
    <row r="1072" spans="15:16" hidden="1" x14ac:dyDescent="0.25">
      <c r="O1072" s="16" t="e">
        <f t="shared" si="6"/>
        <v>#VALUE!</v>
      </c>
      <c r="P1072" s="16">
        <f t="shared" si="7"/>
        <v>0</v>
      </c>
    </row>
    <row r="1073" spans="15:16" hidden="1" x14ac:dyDescent="0.25">
      <c r="O1073" s="16" t="e">
        <f t="shared" si="6"/>
        <v>#VALUE!</v>
      </c>
      <c r="P1073" s="16">
        <f t="shared" si="7"/>
        <v>0</v>
      </c>
    </row>
    <row r="1074" spans="15:16" hidden="1" x14ac:dyDescent="0.25">
      <c r="O1074" s="16" t="e">
        <f t="shared" si="6"/>
        <v>#VALUE!</v>
      </c>
      <c r="P1074" s="16">
        <f t="shared" si="7"/>
        <v>0</v>
      </c>
    </row>
    <row r="1075" spans="15:16" hidden="1" x14ac:dyDescent="0.25">
      <c r="O1075" s="16" t="e">
        <f t="shared" si="6"/>
        <v>#VALUE!</v>
      </c>
      <c r="P1075" s="16">
        <f t="shared" si="7"/>
        <v>0</v>
      </c>
    </row>
    <row r="1076" spans="15:16" hidden="1" x14ac:dyDescent="0.25">
      <c r="O1076" s="16" t="e">
        <f t="shared" si="6"/>
        <v>#VALUE!</v>
      </c>
      <c r="P1076" s="16">
        <f t="shared" si="7"/>
        <v>0</v>
      </c>
    </row>
    <row r="1077" spans="15:16" hidden="1" x14ac:dyDescent="0.25">
      <c r="O1077" s="16" t="e">
        <f t="shared" si="6"/>
        <v>#VALUE!</v>
      </c>
      <c r="P1077" s="16">
        <f t="shared" si="7"/>
        <v>0</v>
      </c>
    </row>
    <row r="1078" spans="15:16" hidden="1" x14ac:dyDescent="0.25">
      <c r="O1078" s="16" t="e">
        <f t="shared" si="6"/>
        <v>#VALUE!</v>
      </c>
      <c r="P1078" s="16">
        <f t="shared" si="7"/>
        <v>0</v>
      </c>
    </row>
    <row r="1079" spans="15:16" hidden="1" x14ac:dyDescent="0.25">
      <c r="O1079" s="16" t="e">
        <f t="shared" si="6"/>
        <v>#VALUE!</v>
      </c>
      <c r="P1079" s="16">
        <f t="shared" si="7"/>
        <v>0</v>
      </c>
    </row>
    <row r="1080" spans="15:16" hidden="1" x14ac:dyDescent="0.25">
      <c r="O1080" s="16" t="e">
        <f t="shared" si="6"/>
        <v>#VALUE!</v>
      </c>
      <c r="P1080" s="16">
        <f t="shared" si="7"/>
        <v>0</v>
      </c>
    </row>
    <row r="1081" spans="15:16" hidden="1" x14ac:dyDescent="0.25">
      <c r="O1081" s="16" t="e">
        <f t="shared" si="6"/>
        <v>#VALUE!</v>
      </c>
      <c r="P1081" s="16">
        <f t="shared" si="7"/>
        <v>0</v>
      </c>
    </row>
    <row r="1082" spans="15:16" hidden="1" x14ac:dyDescent="0.25">
      <c r="O1082" s="16" t="e">
        <f t="shared" si="6"/>
        <v>#VALUE!</v>
      </c>
      <c r="P1082" s="16">
        <f t="shared" si="7"/>
        <v>0</v>
      </c>
    </row>
    <row r="1083" spans="15:16" hidden="1" x14ac:dyDescent="0.25">
      <c r="O1083" s="16" t="e">
        <f t="shared" si="6"/>
        <v>#VALUE!</v>
      </c>
      <c r="P1083" s="16">
        <f t="shared" si="7"/>
        <v>0</v>
      </c>
    </row>
    <row r="1084" spans="15:16" hidden="1" x14ac:dyDescent="0.25">
      <c r="O1084" s="16" t="e">
        <f t="shared" si="6"/>
        <v>#VALUE!</v>
      </c>
      <c r="P1084" s="16">
        <f t="shared" si="7"/>
        <v>0</v>
      </c>
    </row>
    <row r="1085" spans="15:16" hidden="1" x14ac:dyDescent="0.25">
      <c r="O1085" s="16" t="e">
        <f t="shared" si="6"/>
        <v>#VALUE!</v>
      </c>
      <c r="P1085" s="16">
        <f t="shared" si="7"/>
        <v>0</v>
      </c>
    </row>
    <row r="1086" spans="15:16" hidden="1" x14ac:dyDescent="0.25">
      <c r="O1086" s="16" t="e">
        <f t="shared" si="6"/>
        <v>#VALUE!</v>
      </c>
      <c r="P1086" s="16">
        <f t="shared" si="7"/>
        <v>0</v>
      </c>
    </row>
    <row r="1087" spans="15:16" hidden="1" x14ac:dyDescent="0.25">
      <c r="O1087" s="16" t="e">
        <f t="shared" si="6"/>
        <v>#VALUE!</v>
      </c>
      <c r="P1087" s="16">
        <f t="shared" si="7"/>
        <v>0</v>
      </c>
    </row>
    <row r="1088" spans="15:16" hidden="1" x14ac:dyDescent="0.25">
      <c r="O1088" s="16" t="e">
        <f t="shared" si="6"/>
        <v>#VALUE!</v>
      </c>
      <c r="P1088" s="16">
        <f t="shared" si="7"/>
        <v>0</v>
      </c>
    </row>
    <row r="1089" spans="15:16" hidden="1" x14ac:dyDescent="0.25">
      <c r="O1089" s="16" t="e">
        <f t="shared" si="6"/>
        <v>#VALUE!</v>
      </c>
      <c r="P1089" s="16">
        <f t="shared" si="7"/>
        <v>0</v>
      </c>
    </row>
    <row r="1090" spans="15:16" hidden="1" x14ac:dyDescent="0.25">
      <c r="O1090" s="16" t="e">
        <f t="shared" si="6"/>
        <v>#VALUE!</v>
      </c>
      <c r="P1090" s="16">
        <f t="shared" si="7"/>
        <v>0</v>
      </c>
    </row>
    <row r="1091" spans="15:16" hidden="1" x14ac:dyDescent="0.25">
      <c r="O1091" s="16" t="e">
        <f t="shared" ref="O1091:O1154" si="8">TEXT(DATEVALUE(LEFT(F1091,10)),"mm-yyyy")</f>
        <v>#VALUE!</v>
      </c>
      <c r="P1091" s="16">
        <f t="shared" ref="P1091:P1154" si="9">H1091*I1091</f>
        <v>0</v>
      </c>
    </row>
    <row r="1092" spans="15:16" hidden="1" x14ac:dyDescent="0.25">
      <c r="O1092" s="16" t="e">
        <f t="shared" si="8"/>
        <v>#VALUE!</v>
      </c>
      <c r="P1092" s="16">
        <f t="shared" si="9"/>
        <v>0</v>
      </c>
    </row>
    <row r="1093" spans="15:16" hidden="1" x14ac:dyDescent="0.25">
      <c r="O1093" s="16" t="e">
        <f t="shared" si="8"/>
        <v>#VALUE!</v>
      </c>
      <c r="P1093" s="16">
        <f t="shared" si="9"/>
        <v>0</v>
      </c>
    </row>
    <row r="1094" spans="15:16" hidden="1" x14ac:dyDescent="0.25">
      <c r="O1094" s="16" t="e">
        <f t="shared" si="8"/>
        <v>#VALUE!</v>
      </c>
      <c r="P1094" s="16">
        <f t="shared" si="9"/>
        <v>0</v>
      </c>
    </row>
    <row r="1095" spans="15:16" hidden="1" x14ac:dyDescent="0.25">
      <c r="O1095" s="16" t="e">
        <f t="shared" si="8"/>
        <v>#VALUE!</v>
      </c>
      <c r="P1095" s="16">
        <f t="shared" si="9"/>
        <v>0</v>
      </c>
    </row>
    <row r="1096" spans="15:16" hidden="1" x14ac:dyDescent="0.25">
      <c r="O1096" s="16" t="e">
        <f t="shared" si="8"/>
        <v>#VALUE!</v>
      </c>
      <c r="P1096" s="16">
        <f t="shared" si="9"/>
        <v>0</v>
      </c>
    </row>
    <row r="1097" spans="15:16" hidden="1" x14ac:dyDescent="0.25">
      <c r="O1097" s="16" t="e">
        <f t="shared" si="8"/>
        <v>#VALUE!</v>
      </c>
      <c r="P1097" s="16">
        <f t="shared" si="9"/>
        <v>0</v>
      </c>
    </row>
    <row r="1098" spans="15:16" hidden="1" x14ac:dyDescent="0.25">
      <c r="O1098" s="16" t="e">
        <f t="shared" si="8"/>
        <v>#VALUE!</v>
      </c>
      <c r="P1098" s="16">
        <f t="shared" si="9"/>
        <v>0</v>
      </c>
    </row>
    <row r="1099" spans="15:16" hidden="1" x14ac:dyDescent="0.25">
      <c r="O1099" s="16" t="e">
        <f t="shared" si="8"/>
        <v>#VALUE!</v>
      </c>
      <c r="P1099" s="16">
        <f t="shared" si="9"/>
        <v>0</v>
      </c>
    </row>
    <row r="1100" spans="15:16" hidden="1" x14ac:dyDescent="0.25">
      <c r="O1100" s="16" t="e">
        <f t="shared" si="8"/>
        <v>#VALUE!</v>
      </c>
      <c r="P1100" s="16">
        <f t="shared" si="9"/>
        <v>0</v>
      </c>
    </row>
    <row r="1101" spans="15:16" hidden="1" x14ac:dyDescent="0.25">
      <c r="O1101" s="16" t="e">
        <f t="shared" si="8"/>
        <v>#VALUE!</v>
      </c>
      <c r="P1101" s="16">
        <f t="shared" si="9"/>
        <v>0</v>
      </c>
    </row>
    <row r="1102" spans="15:16" hidden="1" x14ac:dyDescent="0.25">
      <c r="O1102" s="16" t="e">
        <f t="shared" si="8"/>
        <v>#VALUE!</v>
      </c>
      <c r="P1102" s="16">
        <f t="shared" si="9"/>
        <v>0</v>
      </c>
    </row>
    <row r="1103" spans="15:16" hidden="1" x14ac:dyDescent="0.25">
      <c r="O1103" s="16" t="e">
        <f t="shared" si="8"/>
        <v>#VALUE!</v>
      </c>
      <c r="P1103" s="16">
        <f t="shared" si="9"/>
        <v>0</v>
      </c>
    </row>
    <row r="1104" spans="15:16" hidden="1" x14ac:dyDescent="0.25">
      <c r="O1104" s="16" t="e">
        <f t="shared" si="8"/>
        <v>#VALUE!</v>
      </c>
      <c r="P1104" s="16">
        <f t="shared" si="9"/>
        <v>0</v>
      </c>
    </row>
    <row r="1105" spans="15:16" hidden="1" x14ac:dyDescent="0.25">
      <c r="O1105" s="16" t="e">
        <f t="shared" si="8"/>
        <v>#VALUE!</v>
      </c>
      <c r="P1105" s="16">
        <f t="shared" si="9"/>
        <v>0</v>
      </c>
    </row>
    <row r="1106" spans="15:16" hidden="1" x14ac:dyDescent="0.25">
      <c r="O1106" s="16" t="e">
        <f t="shared" si="8"/>
        <v>#VALUE!</v>
      </c>
      <c r="P1106" s="16">
        <f t="shared" si="9"/>
        <v>0</v>
      </c>
    </row>
    <row r="1107" spans="15:16" hidden="1" x14ac:dyDescent="0.25">
      <c r="O1107" s="16" t="e">
        <f t="shared" si="8"/>
        <v>#VALUE!</v>
      </c>
      <c r="P1107" s="16">
        <f t="shared" si="9"/>
        <v>0</v>
      </c>
    </row>
    <row r="1108" spans="15:16" hidden="1" x14ac:dyDescent="0.25">
      <c r="O1108" s="16" t="e">
        <f t="shared" si="8"/>
        <v>#VALUE!</v>
      </c>
      <c r="P1108" s="16">
        <f t="shared" si="9"/>
        <v>0</v>
      </c>
    </row>
    <row r="1109" spans="15:16" hidden="1" x14ac:dyDescent="0.25">
      <c r="O1109" s="16" t="e">
        <f t="shared" si="8"/>
        <v>#VALUE!</v>
      </c>
      <c r="P1109" s="16">
        <f t="shared" si="9"/>
        <v>0</v>
      </c>
    </row>
    <row r="1110" spans="15:16" hidden="1" x14ac:dyDescent="0.25">
      <c r="O1110" s="16" t="e">
        <f t="shared" si="8"/>
        <v>#VALUE!</v>
      </c>
      <c r="P1110" s="16">
        <f t="shared" si="9"/>
        <v>0</v>
      </c>
    </row>
    <row r="1111" spans="15:16" hidden="1" x14ac:dyDescent="0.25">
      <c r="O1111" s="16" t="e">
        <f t="shared" si="8"/>
        <v>#VALUE!</v>
      </c>
      <c r="P1111" s="16">
        <f t="shared" si="9"/>
        <v>0</v>
      </c>
    </row>
    <row r="1112" spans="15:16" hidden="1" x14ac:dyDescent="0.25">
      <c r="O1112" s="16" t="e">
        <f t="shared" si="8"/>
        <v>#VALUE!</v>
      </c>
      <c r="P1112" s="16">
        <f t="shared" si="9"/>
        <v>0</v>
      </c>
    </row>
    <row r="1113" spans="15:16" hidden="1" x14ac:dyDescent="0.25">
      <c r="O1113" s="16" t="e">
        <f t="shared" si="8"/>
        <v>#VALUE!</v>
      </c>
      <c r="P1113" s="16">
        <f t="shared" si="9"/>
        <v>0</v>
      </c>
    </row>
    <row r="1114" spans="15:16" hidden="1" x14ac:dyDescent="0.25">
      <c r="O1114" s="16" t="e">
        <f t="shared" si="8"/>
        <v>#VALUE!</v>
      </c>
      <c r="P1114" s="16">
        <f t="shared" si="9"/>
        <v>0</v>
      </c>
    </row>
    <row r="1115" spans="15:16" hidden="1" x14ac:dyDescent="0.25">
      <c r="O1115" s="16" t="e">
        <f t="shared" si="8"/>
        <v>#VALUE!</v>
      </c>
      <c r="P1115" s="16">
        <f t="shared" si="9"/>
        <v>0</v>
      </c>
    </row>
    <row r="1116" spans="15:16" hidden="1" x14ac:dyDescent="0.25">
      <c r="O1116" s="16" t="e">
        <f t="shared" si="8"/>
        <v>#VALUE!</v>
      </c>
      <c r="P1116" s="16">
        <f t="shared" si="9"/>
        <v>0</v>
      </c>
    </row>
    <row r="1117" spans="15:16" hidden="1" x14ac:dyDescent="0.25">
      <c r="O1117" s="16" t="e">
        <f t="shared" si="8"/>
        <v>#VALUE!</v>
      </c>
      <c r="P1117" s="16">
        <f t="shared" si="9"/>
        <v>0</v>
      </c>
    </row>
    <row r="1118" spans="15:16" hidden="1" x14ac:dyDescent="0.25">
      <c r="O1118" s="16" t="e">
        <f t="shared" si="8"/>
        <v>#VALUE!</v>
      </c>
      <c r="P1118" s="16">
        <f t="shared" si="9"/>
        <v>0</v>
      </c>
    </row>
    <row r="1119" spans="15:16" hidden="1" x14ac:dyDescent="0.25">
      <c r="O1119" s="16" t="e">
        <f t="shared" si="8"/>
        <v>#VALUE!</v>
      </c>
      <c r="P1119" s="16">
        <f t="shared" si="9"/>
        <v>0</v>
      </c>
    </row>
    <row r="1120" spans="15:16" hidden="1" x14ac:dyDescent="0.25">
      <c r="O1120" s="16" t="e">
        <f t="shared" si="8"/>
        <v>#VALUE!</v>
      </c>
      <c r="P1120" s="16">
        <f t="shared" si="9"/>
        <v>0</v>
      </c>
    </row>
    <row r="1121" spans="15:16" hidden="1" x14ac:dyDescent="0.25">
      <c r="O1121" s="16" t="e">
        <f t="shared" si="8"/>
        <v>#VALUE!</v>
      </c>
      <c r="P1121" s="16">
        <f t="shared" si="9"/>
        <v>0</v>
      </c>
    </row>
    <row r="1122" spans="15:16" hidden="1" x14ac:dyDescent="0.25">
      <c r="O1122" s="16" t="e">
        <f t="shared" si="8"/>
        <v>#VALUE!</v>
      </c>
      <c r="P1122" s="16">
        <f t="shared" si="9"/>
        <v>0</v>
      </c>
    </row>
    <row r="1123" spans="15:16" hidden="1" x14ac:dyDescent="0.25">
      <c r="O1123" s="16" t="e">
        <f t="shared" si="8"/>
        <v>#VALUE!</v>
      </c>
      <c r="P1123" s="16">
        <f t="shared" si="9"/>
        <v>0</v>
      </c>
    </row>
    <row r="1124" spans="15:16" hidden="1" x14ac:dyDescent="0.25">
      <c r="O1124" s="16" t="e">
        <f t="shared" si="8"/>
        <v>#VALUE!</v>
      </c>
      <c r="P1124" s="16">
        <f t="shared" si="9"/>
        <v>0</v>
      </c>
    </row>
    <row r="1125" spans="15:16" hidden="1" x14ac:dyDescent="0.25">
      <c r="O1125" s="16" t="e">
        <f t="shared" si="8"/>
        <v>#VALUE!</v>
      </c>
      <c r="P1125" s="16">
        <f t="shared" si="9"/>
        <v>0</v>
      </c>
    </row>
    <row r="1126" spans="15:16" hidden="1" x14ac:dyDescent="0.25">
      <c r="O1126" s="16" t="e">
        <f t="shared" si="8"/>
        <v>#VALUE!</v>
      </c>
      <c r="P1126" s="16">
        <f t="shared" si="9"/>
        <v>0</v>
      </c>
    </row>
    <row r="1127" spans="15:16" hidden="1" x14ac:dyDescent="0.25">
      <c r="O1127" s="16" t="e">
        <f t="shared" si="8"/>
        <v>#VALUE!</v>
      </c>
      <c r="P1127" s="16">
        <f t="shared" si="9"/>
        <v>0</v>
      </c>
    </row>
    <row r="1128" spans="15:16" hidden="1" x14ac:dyDescent="0.25">
      <c r="O1128" s="16" t="e">
        <f t="shared" si="8"/>
        <v>#VALUE!</v>
      </c>
      <c r="P1128" s="16">
        <f t="shared" si="9"/>
        <v>0</v>
      </c>
    </row>
    <row r="1129" spans="15:16" hidden="1" x14ac:dyDescent="0.25">
      <c r="O1129" s="16" t="e">
        <f t="shared" si="8"/>
        <v>#VALUE!</v>
      </c>
      <c r="P1129" s="16">
        <f t="shared" si="9"/>
        <v>0</v>
      </c>
    </row>
    <row r="1130" spans="15:16" hidden="1" x14ac:dyDescent="0.25">
      <c r="O1130" s="16" t="e">
        <f t="shared" si="8"/>
        <v>#VALUE!</v>
      </c>
      <c r="P1130" s="16">
        <f t="shared" si="9"/>
        <v>0</v>
      </c>
    </row>
    <row r="1131" spans="15:16" hidden="1" x14ac:dyDescent="0.25">
      <c r="O1131" s="16" t="e">
        <f t="shared" si="8"/>
        <v>#VALUE!</v>
      </c>
      <c r="P1131" s="16">
        <f t="shared" si="9"/>
        <v>0</v>
      </c>
    </row>
    <row r="1132" spans="15:16" hidden="1" x14ac:dyDescent="0.25">
      <c r="O1132" s="16" t="e">
        <f t="shared" si="8"/>
        <v>#VALUE!</v>
      </c>
      <c r="P1132" s="16">
        <f t="shared" si="9"/>
        <v>0</v>
      </c>
    </row>
    <row r="1133" spans="15:16" hidden="1" x14ac:dyDescent="0.25">
      <c r="O1133" s="16" t="e">
        <f t="shared" si="8"/>
        <v>#VALUE!</v>
      </c>
      <c r="P1133" s="16">
        <f t="shared" si="9"/>
        <v>0</v>
      </c>
    </row>
    <row r="1134" spans="15:16" hidden="1" x14ac:dyDescent="0.25">
      <c r="O1134" s="16" t="e">
        <f t="shared" si="8"/>
        <v>#VALUE!</v>
      </c>
      <c r="P1134" s="16">
        <f t="shared" si="9"/>
        <v>0</v>
      </c>
    </row>
    <row r="1135" spans="15:16" hidden="1" x14ac:dyDescent="0.25">
      <c r="O1135" s="16" t="e">
        <f t="shared" si="8"/>
        <v>#VALUE!</v>
      </c>
      <c r="P1135" s="16">
        <f t="shared" si="9"/>
        <v>0</v>
      </c>
    </row>
    <row r="1136" spans="15:16" hidden="1" x14ac:dyDescent="0.25">
      <c r="O1136" s="16" t="e">
        <f t="shared" si="8"/>
        <v>#VALUE!</v>
      </c>
      <c r="P1136" s="16">
        <f t="shared" si="9"/>
        <v>0</v>
      </c>
    </row>
    <row r="1137" spans="15:16" hidden="1" x14ac:dyDescent="0.25">
      <c r="O1137" s="16" t="e">
        <f t="shared" si="8"/>
        <v>#VALUE!</v>
      </c>
      <c r="P1137" s="16">
        <f t="shared" si="9"/>
        <v>0</v>
      </c>
    </row>
    <row r="1138" spans="15:16" hidden="1" x14ac:dyDescent="0.25">
      <c r="O1138" s="16" t="e">
        <f t="shared" si="8"/>
        <v>#VALUE!</v>
      </c>
      <c r="P1138" s="16">
        <f t="shared" si="9"/>
        <v>0</v>
      </c>
    </row>
    <row r="1139" spans="15:16" hidden="1" x14ac:dyDescent="0.25">
      <c r="O1139" s="16" t="e">
        <f t="shared" si="8"/>
        <v>#VALUE!</v>
      </c>
      <c r="P1139" s="16">
        <f t="shared" si="9"/>
        <v>0</v>
      </c>
    </row>
    <row r="1140" spans="15:16" hidden="1" x14ac:dyDescent="0.25">
      <c r="O1140" s="16" t="e">
        <f t="shared" si="8"/>
        <v>#VALUE!</v>
      </c>
      <c r="P1140" s="16">
        <f t="shared" si="9"/>
        <v>0</v>
      </c>
    </row>
    <row r="1141" spans="15:16" hidden="1" x14ac:dyDescent="0.25">
      <c r="O1141" s="16" t="e">
        <f t="shared" si="8"/>
        <v>#VALUE!</v>
      </c>
      <c r="P1141" s="16">
        <f t="shared" si="9"/>
        <v>0</v>
      </c>
    </row>
    <row r="1142" spans="15:16" hidden="1" x14ac:dyDescent="0.25">
      <c r="O1142" s="16" t="e">
        <f t="shared" si="8"/>
        <v>#VALUE!</v>
      </c>
      <c r="P1142" s="16">
        <f t="shared" si="9"/>
        <v>0</v>
      </c>
    </row>
    <row r="1143" spans="15:16" hidden="1" x14ac:dyDescent="0.25">
      <c r="O1143" s="16" t="e">
        <f t="shared" si="8"/>
        <v>#VALUE!</v>
      </c>
      <c r="P1143" s="16">
        <f t="shared" si="9"/>
        <v>0</v>
      </c>
    </row>
    <row r="1144" spans="15:16" hidden="1" x14ac:dyDescent="0.25">
      <c r="O1144" s="16" t="e">
        <f t="shared" si="8"/>
        <v>#VALUE!</v>
      </c>
      <c r="P1144" s="16">
        <f t="shared" si="9"/>
        <v>0</v>
      </c>
    </row>
    <row r="1145" spans="15:16" hidden="1" x14ac:dyDescent="0.25">
      <c r="O1145" s="16" t="e">
        <f t="shared" si="8"/>
        <v>#VALUE!</v>
      </c>
      <c r="P1145" s="16">
        <f t="shared" si="9"/>
        <v>0</v>
      </c>
    </row>
    <row r="1146" spans="15:16" hidden="1" x14ac:dyDescent="0.25">
      <c r="O1146" s="16" t="e">
        <f t="shared" si="8"/>
        <v>#VALUE!</v>
      </c>
      <c r="P1146" s="16">
        <f t="shared" si="9"/>
        <v>0</v>
      </c>
    </row>
    <row r="1147" spans="15:16" hidden="1" x14ac:dyDescent="0.25">
      <c r="O1147" s="16" t="e">
        <f t="shared" si="8"/>
        <v>#VALUE!</v>
      </c>
      <c r="P1147" s="16">
        <f t="shared" si="9"/>
        <v>0</v>
      </c>
    </row>
    <row r="1148" spans="15:16" hidden="1" x14ac:dyDescent="0.25">
      <c r="O1148" s="16" t="e">
        <f t="shared" si="8"/>
        <v>#VALUE!</v>
      </c>
      <c r="P1148" s="16">
        <f t="shared" si="9"/>
        <v>0</v>
      </c>
    </row>
    <row r="1149" spans="15:16" hidden="1" x14ac:dyDescent="0.25">
      <c r="O1149" s="16" t="e">
        <f t="shared" si="8"/>
        <v>#VALUE!</v>
      </c>
      <c r="P1149" s="16">
        <f t="shared" si="9"/>
        <v>0</v>
      </c>
    </row>
    <row r="1150" spans="15:16" hidden="1" x14ac:dyDescent="0.25">
      <c r="O1150" s="16" t="e">
        <f t="shared" si="8"/>
        <v>#VALUE!</v>
      </c>
      <c r="P1150" s="16">
        <f t="shared" si="9"/>
        <v>0</v>
      </c>
    </row>
    <row r="1151" spans="15:16" hidden="1" x14ac:dyDescent="0.25">
      <c r="O1151" s="16" t="e">
        <f t="shared" si="8"/>
        <v>#VALUE!</v>
      </c>
      <c r="P1151" s="16">
        <f t="shared" si="9"/>
        <v>0</v>
      </c>
    </row>
    <row r="1152" spans="15:16" hidden="1" x14ac:dyDescent="0.25">
      <c r="O1152" s="16" t="e">
        <f t="shared" si="8"/>
        <v>#VALUE!</v>
      </c>
      <c r="P1152" s="16">
        <f t="shared" si="9"/>
        <v>0</v>
      </c>
    </row>
    <row r="1153" spans="15:16" hidden="1" x14ac:dyDescent="0.25">
      <c r="O1153" s="16" t="e">
        <f t="shared" si="8"/>
        <v>#VALUE!</v>
      </c>
      <c r="P1153" s="16">
        <f t="shared" si="9"/>
        <v>0</v>
      </c>
    </row>
    <row r="1154" spans="15:16" hidden="1" x14ac:dyDescent="0.25">
      <c r="O1154" s="16" t="e">
        <f t="shared" si="8"/>
        <v>#VALUE!</v>
      </c>
      <c r="P1154" s="16">
        <f t="shared" si="9"/>
        <v>0</v>
      </c>
    </row>
    <row r="1155" spans="15:16" hidden="1" x14ac:dyDescent="0.25">
      <c r="O1155" s="16" t="e">
        <f t="shared" ref="O1155:O1218" si="10">TEXT(DATEVALUE(LEFT(F1155,10)),"mm-yyyy")</f>
        <v>#VALUE!</v>
      </c>
      <c r="P1155" s="16">
        <f t="shared" ref="P1155:P1218" si="11">H1155*I1155</f>
        <v>0</v>
      </c>
    </row>
    <row r="1156" spans="15:16" hidden="1" x14ac:dyDescent="0.25">
      <c r="O1156" s="16" t="e">
        <f t="shared" si="10"/>
        <v>#VALUE!</v>
      </c>
      <c r="P1156" s="16">
        <f t="shared" si="11"/>
        <v>0</v>
      </c>
    </row>
    <row r="1157" spans="15:16" hidden="1" x14ac:dyDescent="0.25">
      <c r="O1157" s="16" t="e">
        <f t="shared" si="10"/>
        <v>#VALUE!</v>
      </c>
      <c r="P1157" s="16">
        <f t="shared" si="11"/>
        <v>0</v>
      </c>
    </row>
    <row r="1158" spans="15:16" hidden="1" x14ac:dyDescent="0.25">
      <c r="O1158" s="16" t="e">
        <f t="shared" si="10"/>
        <v>#VALUE!</v>
      </c>
      <c r="P1158" s="16">
        <f t="shared" si="11"/>
        <v>0</v>
      </c>
    </row>
    <row r="1159" spans="15:16" hidden="1" x14ac:dyDescent="0.25">
      <c r="O1159" s="16" t="e">
        <f t="shared" si="10"/>
        <v>#VALUE!</v>
      </c>
      <c r="P1159" s="16">
        <f t="shared" si="11"/>
        <v>0</v>
      </c>
    </row>
    <row r="1160" spans="15:16" hidden="1" x14ac:dyDescent="0.25">
      <c r="O1160" s="16" t="e">
        <f t="shared" si="10"/>
        <v>#VALUE!</v>
      </c>
      <c r="P1160" s="16">
        <f t="shared" si="11"/>
        <v>0</v>
      </c>
    </row>
    <row r="1161" spans="15:16" hidden="1" x14ac:dyDescent="0.25">
      <c r="O1161" s="16" t="e">
        <f t="shared" si="10"/>
        <v>#VALUE!</v>
      </c>
      <c r="P1161" s="16">
        <f t="shared" si="11"/>
        <v>0</v>
      </c>
    </row>
    <row r="1162" spans="15:16" hidden="1" x14ac:dyDescent="0.25">
      <c r="O1162" s="16" t="e">
        <f t="shared" si="10"/>
        <v>#VALUE!</v>
      </c>
      <c r="P1162" s="16">
        <f t="shared" si="11"/>
        <v>0</v>
      </c>
    </row>
    <row r="1163" spans="15:16" hidden="1" x14ac:dyDescent="0.25">
      <c r="O1163" s="16" t="e">
        <f t="shared" si="10"/>
        <v>#VALUE!</v>
      </c>
      <c r="P1163" s="16">
        <f t="shared" si="11"/>
        <v>0</v>
      </c>
    </row>
    <row r="1164" spans="15:16" hidden="1" x14ac:dyDescent="0.25">
      <c r="O1164" s="16" t="e">
        <f t="shared" si="10"/>
        <v>#VALUE!</v>
      </c>
      <c r="P1164" s="16">
        <f t="shared" si="11"/>
        <v>0</v>
      </c>
    </row>
    <row r="1165" spans="15:16" hidden="1" x14ac:dyDescent="0.25">
      <c r="O1165" s="16" t="e">
        <f t="shared" si="10"/>
        <v>#VALUE!</v>
      </c>
      <c r="P1165" s="16">
        <f t="shared" si="11"/>
        <v>0</v>
      </c>
    </row>
    <row r="1166" spans="15:16" hidden="1" x14ac:dyDescent="0.25">
      <c r="O1166" s="16" t="e">
        <f t="shared" si="10"/>
        <v>#VALUE!</v>
      </c>
      <c r="P1166" s="16">
        <f t="shared" si="11"/>
        <v>0</v>
      </c>
    </row>
    <row r="1167" spans="15:16" hidden="1" x14ac:dyDescent="0.25">
      <c r="O1167" s="16" t="e">
        <f t="shared" si="10"/>
        <v>#VALUE!</v>
      </c>
      <c r="P1167" s="16">
        <f t="shared" si="11"/>
        <v>0</v>
      </c>
    </row>
    <row r="1168" spans="15:16" hidden="1" x14ac:dyDescent="0.25">
      <c r="O1168" s="16" t="e">
        <f t="shared" si="10"/>
        <v>#VALUE!</v>
      </c>
      <c r="P1168" s="16">
        <f t="shared" si="11"/>
        <v>0</v>
      </c>
    </row>
    <row r="1169" spans="15:16" hidden="1" x14ac:dyDescent="0.25">
      <c r="O1169" s="16" t="e">
        <f t="shared" si="10"/>
        <v>#VALUE!</v>
      </c>
      <c r="P1169" s="16">
        <f t="shared" si="11"/>
        <v>0</v>
      </c>
    </row>
    <row r="1170" spans="15:16" hidden="1" x14ac:dyDescent="0.25">
      <c r="O1170" s="16" t="e">
        <f t="shared" si="10"/>
        <v>#VALUE!</v>
      </c>
      <c r="P1170" s="16">
        <f t="shared" si="11"/>
        <v>0</v>
      </c>
    </row>
    <row r="1171" spans="15:16" hidden="1" x14ac:dyDescent="0.25">
      <c r="O1171" s="16" t="e">
        <f t="shared" si="10"/>
        <v>#VALUE!</v>
      </c>
      <c r="P1171" s="16">
        <f t="shared" si="11"/>
        <v>0</v>
      </c>
    </row>
    <row r="1172" spans="15:16" hidden="1" x14ac:dyDescent="0.25">
      <c r="O1172" s="16" t="e">
        <f t="shared" si="10"/>
        <v>#VALUE!</v>
      </c>
      <c r="P1172" s="16">
        <f t="shared" si="11"/>
        <v>0</v>
      </c>
    </row>
    <row r="1173" spans="15:16" hidden="1" x14ac:dyDescent="0.25">
      <c r="O1173" s="16" t="e">
        <f t="shared" si="10"/>
        <v>#VALUE!</v>
      </c>
      <c r="P1173" s="16">
        <f t="shared" si="11"/>
        <v>0</v>
      </c>
    </row>
    <row r="1174" spans="15:16" hidden="1" x14ac:dyDescent="0.25">
      <c r="O1174" s="16" t="e">
        <f t="shared" si="10"/>
        <v>#VALUE!</v>
      </c>
      <c r="P1174" s="16">
        <f t="shared" si="11"/>
        <v>0</v>
      </c>
    </row>
    <row r="1175" spans="15:16" hidden="1" x14ac:dyDescent="0.25">
      <c r="O1175" s="16" t="e">
        <f t="shared" si="10"/>
        <v>#VALUE!</v>
      </c>
      <c r="P1175" s="16">
        <f t="shared" si="11"/>
        <v>0</v>
      </c>
    </row>
    <row r="1176" spans="15:16" hidden="1" x14ac:dyDescent="0.25">
      <c r="O1176" s="16" t="e">
        <f t="shared" si="10"/>
        <v>#VALUE!</v>
      </c>
      <c r="P1176" s="16">
        <f t="shared" si="11"/>
        <v>0</v>
      </c>
    </row>
    <row r="1177" spans="15:16" hidden="1" x14ac:dyDescent="0.25">
      <c r="O1177" s="16" t="e">
        <f t="shared" si="10"/>
        <v>#VALUE!</v>
      </c>
      <c r="P1177" s="16">
        <f t="shared" si="11"/>
        <v>0</v>
      </c>
    </row>
    <row r="1178" spans="15:16" hidden="1" x14ac:dyDescent="0.25">
      <c r="O1178" s="16" t="e">
        <f t="shared" si="10"/>
        <v>#VALUE!</v>
      </c>
      <c r="P1178" s="16">
        <f t="shared" si="11"/>
        <v>0</v>
      </c>
    </row>
    <row r="1179" spans="15:16" hidden="1" x14ac:dyDescent="0.25">
      <c r="O1179" s="16" t="e">
        <f t="shared" si="10"/>
        <v>#VALUE!</v>
      </c>
      <c r="P1179" s="16">
        <f t="shared" si="11"/>
        <v>0</v>
      </c>
    </row>
    <row r="1180" spans="15:16" hidden="1" x14ac:dyDescent="0.25">
      <c r="O1180" s="16" t="e">
        <f t="shared" si="10"/>
        <v>#VALUE!</v>
      </c>
      <c r="P1180" s="16">
        <f t="shared" si="11"/>
        <v>0</v>
      </c>
    </row>
    <row r="1181" spans="15:16" hidden="1" x14ac:dyDescent="0.25">
      <c r="O1181" s="16" t="e">
        <f t="shared" si="10"/>
        <v>#VALUE!</v>
      </c>
      <c r="P1181" s="16">
        <f t="shared" si="11"/>
        <v>0</v>
      </c>
    </row>
    <row r="1182" spans="15:16" hidden="1" x14ac:dyDescent="0.25">
      <c r="O1182" s="16" t="e">
        <f t="shared" si="10"/>
        <v>#VALUE!</v>
      </c>
      <c r="P1182" s="16">
        <f t="shared" si="11"/>
        <v>0</v>
      </c>
    </row>
    <row r="1183" spans="15:16" hidden="1" x14ac:dyDescent="0.25">
      <c r="O1183" s="16" t="e">
        <f t="shared" si="10"/>
        <v>#VALUE!</v>
      </c>
      <c r="P1183" s="16">
        <f t="shared" si="11"/>
        <v>0</v>
      </c>
    </row>
    <row r="1184" spans="15:16" hidden="1" x14ac:dyDescent="0.25">
      <c r="O1184" s="16" t="e">
        <f t="shared" si="10"/>
        <v>#VALUE!</v>
      </c>
      <c r="P1184" s="16">
        <f t="shared" si="11"/>
        <v>0</v>
      </c>
    </row>
    <row r="1185" spans="15:16" hidden="1" x14ac:dyDescent="0.25">
      <c r="O1185" s="16" t="e">
        <f t="shared" si="10"/>
        <v>#VALUE!</v>
      </c>
      <c r="P1185" s="16">
        <f t="shared" si="11"/>
        <v>0</v>
      </c>
    </row>
    <row r="1186" spans="15:16" hidden="1" x14ac:dyDescent="0.25">
      <c r="O1186" s="16" t="e">
        <f t="shared" si="10"/>
        <v>#VALUE!</v>
      </c>
      <c r="P1186" s="16">
        <f t="shared" si="11"/>
        <v>0</v>
      </c>
    </row>
    <row r="1187" spans="15:16" hidden="1" x14ac:dyDescent="0.25">
      <c r="O1187" s="16" t="e">
        <f t="shared" si="10"/>
        <v>#VALUE!</v>
      </c>
      <c r="P1187" s="16">
        <f t="shared" si="11"/>
        <v>0</v>
      </c>
    </row>
    <row r="1188" spans="15:16" hidden="1" x14ac:dyDescent="0.25">
      <c r="O1188" s="16" t="e">
        <f t="shared" si="10"/>
        <v>#VALUE!</v>
      </c>
      <c r="P1188" s="16">
        <f t="shared" si="11"/>
        <v>0</v>
      </c>
    </row>
    <row r="1189" spans="15:16" hidden="1" x14ac:dyDescent="0.25">
      <c r="O1189" s="16" t="e">
        <f t="shared" si="10"/>
        <v>#VALUE!</v>
      </c>
      <c r="P1189" s="16">
        <f t="shared" si="11"/>
        <v>0</v>
      </c>
    </row>
    <row r="1190" spans="15:16" hidden="1" x14ac:dyDescent="0.25">
      <c r="O1190" s="16" t="e">
        <f t="shared" si="10"/>
        <v>#VALUE!</v>
      </c>
      <c r="P1190" s="16">
        <f t="shared" si="11"/>
        <v>0</v>
      </c>
    </row>
    <row r="1191" spans="15:16" hidden="1" x14ac:dyDescent="0.25">
      <c r="O1191" s="16" t="e">
        <f t="shared" si="10"/>
        <v>#VALUE!</v>
      </c>
      <c r="P1191" s="16">
        <f t="shared" si="11"/>
        <v>0</v>
      </c>
    </row>
    <row r="1192" spans="15:16" hidden="1" x14ac:dyDescent="0.25">
      <c r="O1192" s="16" t="e">
        <f t="shared" si="10"/>
        <v>#VALUE!</v>
      </c>
      <c r="P1192" s="16">
        <f t="shared" si="11"/>
        <v>0</v>
      </c>
    </row>
    <row r="1193" spans="15:16" hidden="1" x14ac:dyDescent="0.25">
      <c r="O1193" s="16" t="e">
        <f t="shared" si="10"/>
        <v>#VALUE!</v>
      </c>
      <c r="P1193" s="16">
        <f t="shared" si="11"/>
        <v>0</v>
      </c>
    </row>
    <row r="1194" spans="15:16" hidden="1" x14ac:dyDescent="0.25">
      <c r="O1194" s="16" t="e">
        <f t="shared" si="10"/>
        <v>#VALUE!</v>
      </c>
      <c r="P1194" s="16">
        <f t="shared" si="11"/>
        <v>0</v>
      </c>
    </row>
    <row r="1195" spans="15:16" hidden="1" x14ac:dyDescent="0.25">
      <c r="O1195" s="16" t="e">
        <f t="shared" si="10"/>
        <v>#VALUE!</v>
      </c>
      <c r="P1195" s="16">
        <f t="shared" si="11"/>
        <v>0</v>
      </c>
    </row>
    <row r="1196" spans="15:16" hidden="1" x14ac:dyDescent="0.25">
      <c r="O1196" s="16" t="e">
        <f t="shared" si="10"/>
        <v>#VALUE!</v>
      </c>
      <c r="P1196" s="16">
        <f t="shared" si="11"/>
        <v>0</v>
      </c>
    </row>
    <row r="1197" spans="15:16" hidden="1" x14ac:dyDescent="0.25">
      <c r="O1197" s="16" t="e">
        <f t="shared" si="10"/>
        <v>#VALUE!</v>
      </c>
      <c r="P1197" s="16">
        <f t="shared" si="11"/>
        <v>0</v>
      </c>
    </row>
    <row r="1198" spans="15:16" hidden="1" x14ac:dyDescent="0.25">
      <c r="O1198" s="16" t="e">
        <f t="shared" si="10"/>
        <v>#VALUE!</v>
      </c>
      <c r="P1198" s="16">
        <f t="shared" si="11"/>
        <v>0</v>
      </c>
    </row>
    <row r="1199" spans="15:16" hidden="1" x14ac:dyDescent="0.25">
      <c r="O1199" s="16" t="e">
        <f t="shared" si="10"/>
        <v>#VALUE!</v>
      </c>
      <c r="P1199" s="16">
        <f t="shared" si="11"/>
        <v>0</v>
      </c>
    </row>
    <row r="1200" spans="15:16" hidden="1" x14ac:dyDescent="0.25">
      <c r="O1200" s="16" t="e">
        <f t="shared" si="10"/>
        <v>#VALUE!</v>
      </c>
      <c r="P1200" s="16">
        <f t="shared" si="11"/>
        <v>0</v>
      </c>
    </row>
    <row r="1201" spans="15:16" hidden="1" x14ac:dyDescent="0.25">
      <c r="O1201" s="16" t="e">
        <f t="shared" si="10"/>
        <v>#VALUE!</v>
      </c>
      <c r="P1201" s="16">
        <f t="shared" si="11"/>
        <v>0</v>
      </c>
    </row>
    <row r="1202" spans="15:16" hidden="1" x14ac:dyDescent="0.25">
      <c r="O1202" s="16" t="e">
        <f t="shared" si="10"/>
        <v>#VALUE!</v>
      </c>
      <c r="P1202" s="16">
        <f t="shared" si="11"/>
        <v>0</v>
      </c>
    </row>
    <row r="1203" spans="15:16" hidden="1" x14ac:dyDescent="0.25">
      <c r="O1203" s="16" t="e">
        <f t="shared" si="10"/>
        <v>#VALUE!</v>
      </c>
      <c r="P1203" s="16">
        <f t="shared" si="11"/>
        <v>0</v>
      </c>
    </row>
    <row r="1204" spans="15:16" hidden="1" x14ac:dyDescent="0.25">
      <c r="O1204" s="16" t="e">
        <f t="shared" si="10"/>
        <v>#VALUE!</v>
      </c>
      <c r="P1204" s="16">
        <f t="shared" si="11"/>
        <v>0</v>
      </c>
    </row>
    <row r="1205" spans="15:16" hidden="1" x14ac:dyDescent="0.25">
      <c r="O1205" s="16" t="e">
        <f t="shared" si="10"/>
        <v>#VALUE!</v>
      </c>
      <c r="P1205" s="16">
        <f t="shared" si="11"/>
        <v>0</v>
      </c>
    </row>
    <row r="1206" spans="15:16" hidden="1" x14ac:dyDescent="0.25">
      <c r="O1206" s="16" t="e">
        <f t="shared" si="10"/>
        <v>#VALUE!</v>
      </c>
      <c r="P1206" s="16">
        <f t="shared" si="11"/>
        <v>0</v>
      </c>
    </row>
    <row r="1207" spans="15:16" hidden="1" x14ac:dyDescent="0.25">
      <c r="O1207" s="16" t="e">
        <f t="shared" si="10"/>
        <v>#VALUE!</v>
      </c>
      <c r="P1207" s="16">
        <f t="shared" si="11"/>
        <v>0</v>
      </c>
    </row>
    <row r="1208" spans="15:16" hidden="1" x14ac:dyDescent="0.25">
      <c r="O1208" s="16" t="e">
        <f t="shared" si="10"/>
        <v>#VALUE!</v>
      </c>
      <c r="P1208" s="16">
        <f t="shared" si="11"/>
        <v>0</v>
      </c>
    </row>
    <row r="1209" spans="15:16" hidden="1" x14ac:dyDescent="0.25">
      <c r="O1209" s="16" t="e">
        <f t="shared" si="10"/>
        <v>#VALUE!</v>
      </c>
      <c r="P1209" s="16">
        <f t="shared" si="11"/>
        <v>0</v>
      </c>
    </row>
    <row r="1210" spans="15:16" hidden="1" x14ac:dyDescent="0.25">
      <c r="O1210" s="16" t="e">
        <f t="shared" si="10"/>
        <v>#VALUE!</v>
      </c>
      <c r="P1210" s="16">
        <f t="shared" si="11"/>
        <v>0</v>
      </c>
    </row>
    <row r="1211" spans="15:16" hidden="1" x14ac:dyDescent="0.25">
      <c r="O1211" s="16" t="e">
        <f t="shared" si="10"/>
        <v>#VALUE!</v>
      </c>
      <c r="P1211" s="16">
        <f t="shared" si="11"/>
        <v>0</v>
      </c>
    </row>
    <row r="1212" spans="15:16" hidden="1" x14ac:dyDescent="0.25">
      <c r="O1212" s="16" t="e">
        <f t="shared" si="10"/>
        <v>#VALUE!</v>
      </c>
      <c r="P1212" s="16">
        <f t="shared" si="11"/>
        <v>0</v>
      </c>
    </row>
    <row r="1213" spans="15:16" hidden="1" x14ac:dyDescent="0.25">
      <c r="O1213" s="16" t="e">
        <f t="shared" si="10"/>
        <v>#VALUE!</v>
      </c>
      <c r="P1213" s="16">
        <f t="shared" si="11"/>
        <v>0</v>
      </c>
    </row>
    <row r="1214" spans="15:16" hidden="1" x14ac:dyDescent="0.25">
      <c r="O1214" s="16" t="e">
        <f t="shared" si="10"/>
        <v>#VALUE!</v>
      </c>
      <c r="P1214" s="16">
        <f t="shared" si="11"/>
        <v>0</v>
      </c>
    </row>
    <row r="1215" spans="15:16" hidden="1" x14ac:dyDescent="0.25">
      <c r="O1215" s="16" t="e">
        <f t="shared" si="10"/>
        <v>#VALUE!</v>
      </c>
      <c r="P1215" s="16">
        <f t="shared" si="11"/>
        <v>0</v>
      </c>
    </row>
    <row r="1216" spans="15:16" hidden="1" x14ac:dyDescent="0.25">
      <c r="O1216" s="16" t="e">
        <f t="shared" si="10"/>
        <v>#VALUE!</v>
      </c>
      <c r="P1216" s="16">
        <f t="shared" si="11"/>
        <v>0</v>
      </c>
    </row>
    <row r="1217" spans="15:16" hidden="1" x14ac:dyDescent="0.25">
      <c r="O1217" s="16" t="e">
        <f t="shared" si="10"/>
        <v>#VALUE!</v>
      </c>
      <c r="P1217" s="16">
        <f t="shared" si="11"/>
        <v>0</v>
      </c>
    </row>
    <row r="1218" spans="15:16" hidden="1" x14ac:dyDescent="0.25">
      <c r="O1218" s="16" t="e">
        <f t="shared" si="10"/>
        <v>#VALUE!</v>
      </c>
      <c r="P1218" s="16">
        <f t="shared" si="11"/>
        <v>0</v>
      </c>
    </row>
    <row r="1219" spans="15:16" hidden="1" x14ac:dyDescent="0.25">
      <c r="O1219" s="16" t="e">
        <f t="shared" ref="O1219:O1282" si="12">TEXT(DATEVALUE(LEFT(F1219,10)),"mm-yyyy")</f>
        <v>#VALUE!</v>
      </c>
      <c r="P1219" s="16">
        <f t="shared" ref="P1219:P1282" si="13">H1219*I1219</f>
        <v>0</v>
      </c>
    </row>
    <row r="1220" spans="15:16" hidden="1" x14ac:dyDescent="0.25">
      <c r="O1220" s="16" t="e">
        <f t="shared" si="12"/>
        <v>#VALUE!</v>
      </c>
      <c r="P1220" s="16">
        <f t="shared" si="13"/>
        <v>0</v>
      </c>
    </row>
    <row r="1221" spans="15:16" hidden="1" x14ac:dyDescent="0.25">
      <c r="O1221" s="16" t="e">
        <f t="shared" si="12"/>
        <v>#VALUE!</v>
      </c>
      <c r="P1221" s="16">
        <f t="shared" si="13"/>
        <v>0</v>
      </c>
    </row>
    <row r="1222" spans="15:16" hidden="1" x14ac:dyDescent="0.25">
      <c r="O1222" s="16" t="e">
        <f t="shared" si="12"/>
        <v>#VALUE!</v>
      </c>
      <c r="P1222" s="16">
        <f t="shared" si="13"/>
        <v>0</v>
      </c>
    </row>
    <row r="1223" spans="15:16" hidden="1" x14ac:dyDescent="0.25">
      <c r="O1223" s="16" t="e">
        <f t="shared" si="12"/>
        <v>#VALUE!</v>
      </c>
      <c r="P1223" s="16">
        <f t="shared" si="13"/>
        <v>0</v>
      </c>
    </row>
    <row r="1224" spans="15:16" hidden="1" x14ac:dyDescent="0.25">
      <c r="O1224" s="16" t="e">
        <f t="shared" si="12"/>
        <v>#VALUE!</v>
      </c>
      <c r="P1224" s="16">
        <f t="shared" si="13"/>
        <v>0</v>
      </c>
    </row>
    <row r="1225" spans="15:16" hidden="1" x14ac:dyDescent="0.25">
      <c r="O1225" s="16" t="e">
        <f t="shared" si="12"/>
        <v>#VALUE!</v>
      </c>
      <c r="P1225" s="16">
        <f t="shared" si="13"/>
        <v>0</v>
      </c>
    </row>
    <row r="1226" spans="15:16" hidden="1" x14ac:dyDescent="0.25">
      <c r="O1226" s="16" t="e">
        <f t="shared" si="12"/>
        <v>#VALUE!</v>
      </c>
      <c r="P1226" s="16">
        <f t="shared" si="13"/>
        <v>0</v>
      </c>
    </row>
    <row r="1227" spans="15:16" hidden="1" x14ac:dyDescent="0.25">
      <c r="O1227" s="16" t="e">
        <f t="shared" si="12"/>
        <v>#VALUE!</v>
      </c>
      <c r="P1227" s="16">
        <f t="shared" si="13"/>
        <v>0</v>
      </c>
    </row>
    <row r="1228" spans="15:16" hidden="1" x14ac:dyDescent="0.25">
      <c r="O1228" s="16" t="e">
        <f t="shared" si="12"/>
        <v>#VALUE!</v>
      </c>
      <c r="P1228" s="16">
        <f t="shared" si="13"/>
        <v>0</v>
      </c>
    </row>
    <row r="1229" spans="15:16" hidden="1" x14ac:dyDescent="0.25">
      <c r="O1229" s="16" t="e">
        <f t="shared" si="12"/>
        <v>#VALUE!</v>
      </c>
      <c r="P1229" s="16">
        <f t="shared" si="13"/>
        <v>0</v>
      </c>
    </row>
    <row r="1230" spans="15:16" hidden="1" x14ac:dyDescent="0.25">
      <c r="O1230" s="16" t="e">
        <f t="shared" si="12"/>
        <v>#VALUE!</v>
      </c>
      <c r="P1230" s="16">
        <f t="shared" si="13"/>
        <v>0</v>
      </c>
    </row>
    <row r="1231" spans="15:16" hidden="1" x14ac:dyDescent="0.25">
      <c r="O1231" s="16" t="e">
        <f t="shared" si="12"/>
        <v>#VALUE!</v>
      </c>
      <c r="P1231" s="16">
        <f t="shared" si="13"/>
        <v>0</v>
      </c>
    </row>
    <row r="1232" spans="15:16" hidden="1" x14ac:dyDescent="0.25">
      <c r="O1232" s="16" t="e">
        <f t="shared" si="12"/>
        <v>#VALUE!</v>
      </c>
      <c r="P1232" s="16">
        <f t="shared" si="13"/>
        <v>0</v>
      </c>
    </row>
    <row r="1233" spans="15:16" hidden="1" x14ac:dyDescent="0.25">
      <c r="O1233" s="16" t="e">
        <f t="shared" si="12"/>
        <v>#VALUE!</v>
      </c>
      <c r="P1233" s="16">
        <f t="shared" si="13"/>
        <v>0</v>
      </c>
    </row>
    <row r="1234" spans="15:16" hidden="1" x14ac:dyDescent="0.25">
      <c r="O1234" s="16" t="e">
        <f t="shared" si="12"/>
        <v>#VALUE!</v>
      </c>
      <c r="P1234" s="16">
        <f t="shared" si="13"/>
        <v>0</v>
      </c>
    </row>
    <row r="1235" spans="15:16" hidden="1" x14ac:dyDescent="0.25">
      <c r="O1235" s="16" t="e">
        <f t="shared" si="12"/>
        <v>#VALUE!</v>
      </c>
      <c r="P1235" s="16">
        <f t="shared" si="13"/>
        <v>0</v>
      </c>
    </row>
    <row r="1236" spans="15:16" hidden="1" x14ac:dyDescent="0.25">
      <c r="O1236" s="16" t="e">
        <f t="shared" si="12"/>
        <v>#VALUE!</v>
      </c>
      <c r="P1236" s="16">
        <f t="shared" si="13"/>
        <v>0</v>
      </c>
    </row>
    <row r="1237" spans="15:16" hidden="1" x14ac:dyDescent="0.25">
      <c r="O1237" s="16" t="e">
        <f t="shared" si="12"/>
        <v>#VALUE!</v>
      </c>
      <c r="P1237" s="16">
        <f t="shared" si="13"/>
        <v>0</v>
      </c>
    </row>
    <row r="1238" spans="15:16" hidden="1" x14ac:dyDescent="0.25">
      <c r="O1238" s="16" t="e">
        <f t="shared" si="12"/>
        <v>#VALUE!</v>
      </c>
      <c r="P1238" s="16">
        <f t="shared" si="13"/>
        <v>0</v>
      </c>
    </row>
    <row r="1239" spans="15:16" hidden="1" x14ac:dyDescent="0.25">
      <c r="O1239" s="16" t="e">
        <f t="shared" si="12"/>
        <v>#VALUE!</v>
      </c>
      <c r="P1239" s="16">
        <f t="shared" si="13"/>
        <v>0</v>
      </c>
    </row>
    <row r="1240" spans="15:16" hidden="1" x14ac:dyDescent="0.25">
      <c r="O1240" s="16" t="e">
        <f t="shared" si="12"/>
        <v>#VALUE!</v>
      </c>
      <c r="P1240" s="16">
        <f t="shared" si="13"/>
        <v>0</v>
      </c>
    </row>
    <row r="1241" spans="15:16" hidden="1" x14ac:dyDescent="0.25">
      <c r="O1241" s="16" t="e">
        <f t="shared" si="12"/>
        <v>#VALUE!</v>
      </c>
      <c r="P1241" s="16">
        <f t="shared" si="13"/>
        <v>0</v>
      </c>
    </row>
    <row r="1242" spans="15:16" hidden="1" x14ac:dyDescent="0.25">
      <c r="O1242" s="16" t="e">
        <f t="shared" si="12"/>
        <v>#VALUE!</v>
      </c>
      <c r="P1242" s="16">
        <f t="shared" si="13"/>
        <v>0</v>
      </c>
    </row>
    <row r="1243" spans="15:16" hidden="1" x14ac:dyDescent="0.25">
      <c r="O1243" s="16" t="e">
        <f t="shared" si="12"/>
        <v>#VALUE!</v>
      </c>
      <c r="P1243" s="16">
        <f t="shared" si="13"/>
        <v>0</v>
      </c>
    </row>
    <row r="1244" spans="15:16" hidden="1" x14ac:dyDescent="0.25">
      <c r="O1244" s="16" t="e">
        <f t="shared" si="12"/>
        <v>#VALUE!</v>
      </c>
      <c r="P1244" s="16">
        <f t="shared" si="13"/>
        <v>0</v>
      </c>
    </row>
    <row r="1245" spans="15:16" hidden="1" x14ac:dyDescent="0.25">
      <c r="O1245" s="16" t="e">
        <f t="shared" si="12"/>
        <v>#VALUE!</v>
      </c>
      <c r="P1245" s="16">
        <f t="shared" si="13"/>
        <v>0</v>
      </c>
    </row>
    <row r="1246" spans="15:16" hidden="1" x14ac:dyDescent="0.25">
      <c r="O1246" s="16" t="e">
        <f t="shared" si="12"/>
        <v>#VALUE!</v>
      </c>
      <c r="P1246" s="16">
        <f t="shared" si="13"/>
        <v>0</v>
      </c>
    </row>
    <row r="1247" spans="15:16" hidden="1" x14ac:dyDescent="0.25">
      <c r="O1247" s="16" t="e">
        <f t="shared" si="12"/>
        <v>#VALUE!</v>
      </c>
      <c r="P1247" s="16">
        <f t="shared" si="13"/>
        <v>0</v>
      </c>
    </row>
    <row r="1248" spans="15:16" hidden="1" x14ac:dyDescent="0.25">
      <c r="O1248" s="16" t="e">
        <f t="shared" si="12"/>
        <v>#VALUE!</v>
      </c>
      <c r="P1248" s="16">
        <f t="shared" si="13"/>
        <v>0</v>
      </c>
    </row>
    <row r="1249" spans="15:16" hidden="1" x14ac:dyDescent="0.25">
      <c r="O1249" s="16" t="e">
        <f t="shared" si="12"/>
        <v>#VALUE!</v>
      </c>
      <c r="P1249" s="16">
        <f t="shared" si="13"/>
        <v>0</v>
      </c>
    </row>
    <row r="1250" spans="15:16" hidden="1" x14ac:dyDescent="0.25">
      <c r="O1250" s="16" t="e">
        <f t="shared" si="12"/>
        <v>#VALUE!</v>
      </c>
      <c r="P1250" s="16">
        <f t="shared" si="13"/>
        <v>0</v>
      </c>
    </row>
    <row r="1251" spans="15:16" hidden="1" x14ac:dyDescent="0.25">
      <c r="O1251" s="16" t="e">
        <f t="shared" si="12"/>
        <v>#VALUE!</v>
      </c>
      <c r="P1251" s="16">
        <f t="shared" si="13"/>
        <v>0</v>
      </c>
    </row>
    <row r="1252" spans="15:16" hidden="1" x14ac:dyDescent="0.25">
      <c r="O1252" s="16" t="e">
        <f t="shared" si="12"/>
        <v>#VALUE!</v>
      </c>
      <c r="P1252" s="16">
        <f t="shared" si="13"/>
        <v>0</v>
      </c>
    </row>
    <row r="1253" spans="15:16" hidden="1" x14ac:dyDescent="0.25">
      <c r="O1253" s="16" t="e">
        <f t="shared" si="12"/>
        <v>#VALUE!</v>
      </c>
      <c r="P1253" s="16">
        <f t="shared" si="13"/>
        <v>0</v>
      </c>
    </row>
    <row r="1254" spans="15:16" hidden="1" x14ac:dyDescent="0.25">
      <c r="O1254" s="16" t="e">
        <f t="shared" si="12"/>
        <v>#VALUE!</v>
      </c>
      <c r="P1254" s="16">
        <f t="shared" si="13"/>
        <v>0</v>
      </c>
    </row>
    <row r="1255" spans="15:16" hidden="1" x14ac:dyDescent="0.25">
      <c r="O1255" s="16" t="e">
        <f t="shared" si="12"/>
        <v>#VALUE!</v>
      </c>
      <c r="P1255" s="16">
        <f t="shared" si="13"/>
        <v>0</v>
      </c>
    </row>
    <row r="1256" spans="15:16" hidden="1" x14ac:dyDescent="0.25">
      <c r="O1256" s="16" t="e">
        <f t="shared" si="12"/>
        <v>#VALUE!</v>
      </c>
      <c r="P1256" s="16">
        <f t="shared" si="13"/>
        <v>0</v>
      </c>
    </row>
    <row r="1257" spans="15:16" hidden="1" x14ac:dyDescent="0.25">
      <c r="O1257" s="16" t="e">
        <f t="shared" si="12"/>
        <v>#VALUE!</v>
      </c>
      <c r="P1257" s="16">
        <f t="shared" si="13"/>
        <v>0</v>
      </c>
    </row>
    <row r="1258" spans="15:16" hidden="1" x14ac:dyDescent="0.25">
      <c r="O1258" s="16" t="e">
        <f t="shared" si="12"/>
        <v>#VALUE!</v>
      </c>
      <c r="P1258" s="16">
        <f t="shared" si="13"/>
        <v>0</v>
      </c>
    </row>
    <row r="1259" spans="15:16" hidden="1" x14ac:dyDescent="0.25">
      <c r="O1259" s="16" t="e">
        <f t="shared" si="12"/>
        <v>#VALUE!</v>
      </c>
      <c r="P1259" s="16">
        <f t="shared" si="13"/>
        <v>0</v>
      </c>
    </row>
    <row r="1260" spans="15:16" hidden="1" x14ac:dyDescent="0.25">
      <c r="O1260" s="16" t="e">
        <f t="shared" si="12"/>
        <v>#VALUE!</v>
      </c>
      <c r="P1260" s="16">
        <f t="shared" si="13"/>
        <v>0</v>
      </c>
    </row>
    <row r="1261" spans="15:16" hidden="1" x14ac:dyDescent="0.25">
      <c r="O1261" s="16" t="e">
        <f t="shared" si="12"/>
        <v>#VALUE!</v>
      </c>
      <c r="P1261" s="16">
        <f t="shared" si="13"/>
        <v>0</v>
      </c>
    </row>
    <row r="1262" spans="15:16" hidden="1" x14ac:dyDescent="0.25">
      <c r="O1262" s="16" t="e">
        <f t="shared" si="12"/>
        <v>#VALUE!</v>
      </c>
      <c r="P1262" s="16">
        <f t="shared" si="13"/>
        <v>0</v>
      </c>
    </row>
    <row r="1263" spans="15:16" hidden="1" x14ac:dyDescent="0.25">
      <c r="O1263" s="16" t="e">
        <f t="shared" si="12"/>
        <v>#VALUE!</v>
      </c>
      <c r="P1263" s="16">
        <f t="shared" si="13"/>
        <v>0</v>
      </c>
    </row>
    <row r="1264" spans="15:16" hidden="1" x14ac:dyDescent="0.25">
      <c r="O1264" s="16" t="e">
        <f t="shared" si="12"/>
        <v>#VALUE!</v>
      </c>
      <c r="P1264" s="16">
        <f t="shared" si="13"/>
        <v>0</v>
      </c>
    </row>
    <row r="1265" spans="15:16" hidden="1" x14ac:dyDescent="0.25">
      <c r="O1265" s="16" t="e">
        <f t="shared" si="12"/>
        <v>#VALUE!</v>
      </c>
      <c r="P1265" s="16">
        <f t="shared" si="13"/>
        <v>0</v>
      </c>
    </row>
    <row r="1266" spans="15:16" hidden="1" x14ac:dyDescent="0.25">
      <c r="O1266" s="16" t="e">
        <f t="shared" si="12"/>
        <v>#VALUE!</v>
      </c>
      <c r="P1266" s="16">
        <f t="shared" si="13"/>
        <v>0</v>
      </c>
    </row>
    <row r="1267" spans="15:16" hidden="1" x14ac:dyDescent="0.25">
      <c r="O1267" s="16" t="e">
        <f t="shared" si="12"/>
        <v>#VALUE!</v>
      </c>
      <c r="P1267" s="16">
        <f t="shared" si="13"/>
        <v>0</v>
      </c>
    </row>
    <row r="1268" spans="15:16" hidden="1" x14ac:dyDescent="0.25">
      <c r="O1268" s="16" t="e">
        <f t="shared" si="12"/>
        <v>#VALUE!</v>
      </c>
      <c r="P1268" s="16">
        <f t="shared" si="13"/>
        <v>0</v>
      </c>
    </row>
    <row r="1269" spans="15:16" hidden="1" x14ac:dyDescent="0.25">
      <c r="O1269" s="16" t="e">
        <f t="shared" si="12"/>
        <v>#VALUE!</v>
      </c>
      <c r="P1269" s="16">
        <f t="shared" si="13"/>
        <v>0</v>
      </c>
    </row>
    <row r="1270" spans="15:16" hidden="1" x14ac:dyDescent="0.25">
      <c r="O1270" s="16" t="e">
        <f t="shared" si="12"/>
        <v>#VALUE!</v>
      </c>
      <c r="P1270" s="16">
        <f t="shared" si="13"/>
        <v>0</v>
      </c>
    </row>
    <row r="1271" spans="15:16" hidden="1" x14ac:dyDescent="0.25">
      <c r="O1271" s="16" t="e">
        <f t="shared" si="12"/>
        <v>#VALUE!</v>
      </c>
      <c r="P1271" s="16">
        <f t="shared" si="13"/>
        <v>0</v>
      </c>
    </row>
    <row r="1272" spans="15:16" hidden="1" x14ac:dyDescent="0.25">
      <c r="O1272" s="16" t="e">
        <f t="shared" si="12"/>
        <v>#VALUE!</v>
      </c>
      <c r="P1272" s="16">
        <f t="shared" si="13"/>
        <v>0</v>
      </c>
    </row>
    <row r="1273" spans="15:16" hidden="1" x14ac:dyDescent="0.25">
      <c r="O1273" s="16" t="e">
        <f t="shared" si="12"/>
        <v>#VALUE!</v>
      </c>
      <c r="P1273" s="16">
        <f t="shared" si="13"/>
        <v>0</v>
      </c>
    </row>
    <row r="1274" spans="15:16" hidden="1" x14ac:dyDescent="0.25">
      <c r="O1274" s="16" t="e">
        <f t="shared" si="12"/>
        <v>#VALUE!</v>
      </c>
      <c r="P1274" s="16">
        <f t="shared" si="13"/>
        <v>0</v>
      </c>
    </row>
    <row r="1275" spans="15:16" hidden="1" x14ac:dyDescent="0.25">
      <c r="O1275" s="16" t="e">
        <f t="shared" si="12"/>
        <v>#VALUE!</v>
      </c>
      <c r="P1275" s="16">
        <f t="shared" si="13"/>
        <v>0</v>
      </c>
    </row>
    <row r="1276" spans="15:16" hidden="1" x14ac:dyDescent="0.25">
      <c r="O1276" s="16" t="e">
        <f t="shared" si="12"/>
        <v>#VALUE!</v>
      </c>
      <c r="P1276" s="16">
        <f t="shared" si="13"/>
        <v>0</v>
      </c>
    </row>
    <row r="1277" spans="15:16" hidden="1" x14ac:dyDescent="0.25">
      <c r="O1277" s="16" t="e">
        <f t="shared" si="12"/>
        <v>#VALUE!</v>
      </c>
      <c r="P1277" s="16">
        <f t="shared" si="13"/>
        <v>0</v>
      </c>
    </row>
    <row r="1278" spans="15:16" hidden="1" x14ac:dyDescent="0.25">
      <c r="O1278" s="16" t="e">
        <f t="shared" si="12"/>
        <v>#VALUE!</v>
      </c>
      <c r="P1278" s="16">
        <f t="shared" si="13"/>
        <v>0</v>
      </c>
    </row>
    <row r="1279" spans="15:16" hidden="1" x14ac:dyDescent="0.25">
      <c r="O1279" s="16" t="e">
        <f t="shared" si="12"/>
        <v>#VALUE!</v>
      </c>
      <c r="P1279" s="16">
        <f t="shared" si="13"/>
        <v>0</v>
      </c>
    </row>
    <row r="1280" spans="15:16" hidden="1" x14ac:dyDescent="0.25">
      <c r="O1280" s="16" t="e">
        <f t="shared" si="12"/>
        <v>#VALUE!</v>
      </c>
      <c r="P1280" s="16">
        <f t="shared" si="13"/>
        <v>0</v>
      </c>
    </row>
    <row r="1281" spans="15:16" hidden="1" x14ac:dyDescent="0.25">
      <c r="O1281" s="16" t="e">
        <f t="shared" si="12"/>
        <v>#VALUE!</v>
      </c>
      <c r="P1281" s="16">
        <f t="shared" si="13"/>
        <v>0</v>
      </c>
    </row>
    <row r="1282" spans="15:16" hidden="1" x14ac:dyDescent="0.25">
      <c r="O1282" s="16" t="e">
        <f t="shared" si="12"/>
        <v>#VALUE!</v>
      </c>
      <c r="P1282" s="16">
        <f t="shared" si="13"/>
        <v>0</v>
      </c>
    </row>
    <row r="1283" spans="15:16" hidden="1" x14ac:dyDescent="0.25">
      <c r="O1283" s="16" t="e">
        <f t="shared" ref="O1283:O1346" si="14">TEXT(DATEVALUE(LEFT(F1283,10)),"mm-yyyy")</f>
        <v>#VALUE!</v>
      </c>
      <c r="P1283" s="16">
        <f t="shared" ref="P1283:P1346" si="15">H1283*I1283</f>
        <v>0</v>
      </c>
    </row>
    <row r="1284" spans="15:16" hidden="1" x14ac:dyDescent="0.25">
      <c r="O1284" s="16" t="e">
        <f t="shared" si="14"/>
        <v>#VALUE!</v>
      </c>
      <c r="P1284" s="16">
        <f t="shared" si="15"/>
        <v>0</v>
      </c>
    </row>
    <row r="1285" spans="15:16" hidden="1" x14ac:dyDescent="0.25">
      <c r="O1285" s="16" t="e">
        <f t="shared" si="14"/>
        <v>#VALUE!</v>
      </c>
      <c r="P1285" s="16">
        <f t="shared" si="15"/>
        <v>0</v>
      </c>
    </row>
    <row r="1286" spans="15:16" hidden="1" x14ac:dyDescent="0.25">
      <c r="O1286" s="16" t="e">
        <f t="shared" si="14"/>
        <v>#VALUE!</v>
      </c>
      <c r="P1286" s="16">
        <f t="shared" si="15"/>
        <v>0</v>
      </c>
    </row>
    <row r="1287" spans="15:16" hidden="1" x14ac:dyDescent="0.25">
      <c r="O1287" s="16" t="e">
        <f t="shared" si="14"/>
        <v>#VALUE!</v>
      </c>
      <c r="P1287" s="16">
        <f t="shared" si="15"/>
        <v>0</v>
      </c>
    </row>
    <row r="1288" spans="15:16" hidden="1" x14ac:dyDescent="0.25">
      <c r="O1288" s="16" t="e">
        <f t="shared" si="14"/>
        <v>#VALUE!</v>
      </c>
      <c r="P1288" s="16">
        <f t="shared" si="15"/>
        <v>0</v>
      </c>
    </row>
    <row r="1289" spans="15:16" hidden="1" x14ac:dyDescent="0.25">
      <c r="O1289" s="16" t="e">
        <f t="shared" si="14"/>
        <v>#VALUE!</v>
      </c>
      <c r="P1289" s="16">
        <f t="shared" si="15"/>
        <v>0</v>
      </c>
    </row>
    <row r="1290" spans="15:16" hidden="1" x14ac:dyDescent="0.25">
      <c r="O1290" s="16" t="e">
        <f t="shared" si="14"/>
        <v>#VALUE!</v>
      </c>
      <c r="P1290" s="16">
        <f t="shared" si="15"/>
        <v>0</v>
      </c>
    </row>
    <row r="1291" spans="15:16" hidden="1" x14ac:dyDescent="0.25">
      <c r="O1291" s="16" t="e">
        <f t="shared" si="14"/>
        <v>#VALUE!</v>
      </c>
      <c r="P1291" s="16">
        <f t="shared" si="15"/>
        <v>0</v>
      </c>
    </row>
    <row r="1292" spans="15:16" hidden="1" x14ac:dyDescent="0.25">
      <c r="O1292" s="16" t="e">
        <f t="shared" si="14"/>
        <v>#VALUE!</v>
      </c>
      <c r="P1292" s="16">
        <f t="shared" si="15"/>
        <v>0</v>
      </c>
    </row>
    <row r="1293" spans="15:16" hidden="1" x14ac:dyDescent="0.25">
      <c r="O1293" s="16" t="e">
        <f t="shared" si="14"/>
        <v>#VALUE!</v>
      </c>
      <c r="P1293" s="16">
        <f t="shared" si="15"/>
        <v>0</v>
      </c>
    </row>
    <row r="1294" spans="15:16" hidden="1" x14ac:dyDescent="0.25">
      <c r="O1294" s="16" t="e">
        <f t="shared" si="14"/>
        <v>#VALUE!</v>
      </c>
      <c r="P1294" s="16">
        <f t="shared" si="15"/>
        <v>0</v>
      </c>
    </row>
    <row r="1295" spans="15:16" hidden="1" x14ac:dyDescent="0.25">
      <c r="O1295" s="16" t="e">
        <f t="shared" si="14"/>
        <v>#VALUE!</v>
      </c>
      <c r="P1295" s="16">
        <f t="shared" si="15"/>
        <v>0</v>
      </c>
    </row>
    <row r="1296" spans="15:16" hidden="1" x14ac:dyDescent="0.25">
      <c r="O1296" s="16" t="e">
        <f t="shared" si="14"/>
        <v>#VALUE!</v>
      </c>
      <c r="P1296" s="16">
        <f t="shared" si="15"/>
        <v>0</v>
      </c>
    </row>
    <row r="1297" spans="15:16" hidden="1" x14ac:dyDescent="0.25">
      <c r="O1297" s="16" t="e">
        <f t="shared" si="14"/>
        <v>#VALUE!</v>
      </c>
      <c r="P1297" s="16">
        <f t="shared" si="15"/>
        <v>0</v>
      </c>
    </row>
    <row r="1298" spans="15:16" hidden="1" x14ac:dyDescent="0.25">
      <c r="O1298" s="16" t="e">
        <f t="shared" si="14"/>
        <v>#VALUE!</v>
      </c>
      <c r="P1298" s="16">
        <f t="shared" si="15"/>
        <v>0</v>
      </c>
    </row>
    <row r="1299" spans="15:16" hidden="1" x14ac:dyDescent="0.25">
      <c r="O1299" s="16" t="e">
        <f t="shared" si="14"/>
        <v>#VALUE!</v>
      </c>
      <c r="P1299" s="16">
        <f t="shared" si="15"/>
        <v>0</v>
      </c>
    </row>
    <row r="1300" spans="15:16" hidden="1" x14ac:dyDescent="0.25">
      <c r="O1300" s="16" t="e">
        <f t="shared" si="14"/>
        <v>#VALUE!</v>
      </c>
      <c r="P1300" s="16">
        <f t="shared" si="15"/>
        <v>0</v>
      </c>
    </row>
    <row r="1301" spans="15:16" hidden="1" x14ac:dyDescent="0.25">
      <c r="O1301" s="16" t="e">
        <f t="shared" si="14"/>
        <v>#VALUE!</v>
      </c>
      <c r="P1301" s="16">
        <f t="shared" si="15"/>
        <v>0</v>
      </c>
    </row>
    <row r="1302" spans="15:16" hidden="1" x14ac:dyDescent="0.25">
      <c r="O1302" s="16" t="e">
        <f t="shared" si="14"/>
        <v>#VALUE!</v>
      </c>
      <c r="P1302" s="16">
        <f t="shared" si="15"/>
        <v>0</v>
      </c>
    </row>
    <row r="1303" spans="15:16" hidden="1" x14ac:dyDescent="0.25">
      <c r="O1303" s="16" t="e">
        <f t="shared" si="14"/>
        <v>#VALUE!</v>
      </c>
      <c r="P1303" s="16">
        <f t="shared" si="15"/>
        <v>0</v>
      </c>
    </row>
    <row r="1304" spans="15:16" hidden="1" x14ac:dyDescent="0.25">
      <c r="O1304" s="16" t="e">
        <f t="shared" si="14"/>
        <v>#VALUE!</v>
      </c>
      <c r="P1304" s="16">
        <f t="shared" si="15"/>
        <v>0</v>
      </c>
    </row>
    <row r="1305" spans="15:16" hidden="1" x14ac:dyDescent="0.25">
      <c r="O1305" s="16" t="e">
        <f t="shared" si="14"/>
        <v>#VALUE!</v>
      </c>
      <c r="P1305" s="16">
        <f t="shared" si="15"/>
        <v>0</v>
      </c>
    </row>
    <row r="1306" spans="15:16" hidden="1" x14ac:dyDescent="0.25">
      <c r="O1306" s="16" t="e">
        <f t="shared" si="14"/>
        <v>#VALUE!</v>
      </c>
      <c r="P1306" s="16">
        <f t="shared" si="15"/>
        <v>0</v>
      </c>
    </row>
    <row r="1307" spans="15:16" hidden="1" x14ac:dyDescent="0.25">
      <c r="O1307" s="16" t="e">
        <f t="shared" si="14"/>
        <v>#VALUE!</v>
      </c>
      <c r="P1307" s="16">
        <f t="shared" si="15"/>
        <v>0</v>
      </c>
    </row>
    <row r="1308" spans="15:16" hidden="1" x14ac:dyDescent="0.25">
      <c r="O1308" s="16" t="e">
        <f t="shared" si="14"/>
        <v>#VALUE!</v>
      </c>
      <c r="P1308" s="16">
        <f t="shared" si="15"/>
        <v>0</v>
      </c>
    </row>
    <row r="1309" spans="15:16" hidden="1" x14ac:dyDescent="0.25">
      <c r="O1309" s="16" t="e">
        <f t="shared" si="14"/>
        <v>#VALUE!</v>
      </c>
      <c r="P1309" s="16">
        <f t="shared" si="15"/>
        <v>0</v>
      </c>
    </row>
    <row r="1310" spans="15:16" hidden="1" x14ac:dyDescent="0.25">
      <c r="O1310" s="16" t="e">
        <f t="shared" si="14"/>
        <v>#VALUE!</v>
      </c>
      <c r="P1310" s="16">
        <f t="shared" si="15"/>
        <v>0</v>
      </c>
    </row>
    <row r="1311" spans="15:16" hidden="1" x14ac:dyDescent="0.25">
      <c r="O1311" s="16" t="e">
        <f t="shared" si="14"/>
        <v>#VALUE!</v>
      </c>
      <c r="P1311" s="16">
        <f t="shared" si="15"/>
        <v>0</v>
      </c>
    </row>
    <row r="1312" spans="15:16" hidden="1" x14ac:dyDescent="0.25">
      <c r="O1312" s="16" t="e">
        <f t="shared" si="14"/>
        <v>#VALUE!</v>
      </c>
      <c r="P1312" s="16">
        <f t="shared" si="15"/>
        <v>0</v>
      </c>
    </row>
    <row r="1313" spans="15:16" hidden="1" x14ac:dyDescent="0.25">
      <c r="O1313" s="16" t="e">
        <f t="shared" si="14"/>
        <v>#VALUE!</v>
      </c>
      <c r="P1313" s="16">
        <f t="shared" si="15"/>
        <v>0</v>
      </c>
    </row>
    <row r="1314" spans="15:16" hidden="1" x14ac:dyDescent="0.25">
      <c r="O1314" s="16" t="e">
        <f t="shared" si="14"/>
        <v>#VALUE!</v>
      </c>
      <c r="P1314" s="16">
        <f t="shared" si="15"/>
        <v>0</v>
      </c>
    </row>
    <row r="1315" spans="15:16" hidden="1" x14ac:dyDescent="0.25">
      <c r="O1315" s="16" t="e">
        <f t="shared" si="14"/>
        <v>#VALUE!</v>
      </c>
      <c r="P1315" s="16">
        <f t="shared" si="15"/>
        <v>0</v>
      </c>
    </row>
    <row r="1316" spans="15:16" hidden="1" x14ac:dyDescent="0.25">
      <c r="O1316" s="16" t="e">
        <f t="shared" si="14"/>
        <v>#VALUE!</v>
      </c>
      <c r="P1316" s="16">
        <f t="shared" si="15"/>
        <v>0</v>
      </c>
    </row>
    <row r="1317" spans="15:16" hidden="1" x14ac:dyDescent="0.25">
      <c r="O1317" s="16" t="e">
        <f t="shared" si="14"/>
        <v>#VALUE!</v>
      </c>
      <c r="P1317" s="16">
        <f t="shared" si="15"/>
        <v>0</v>
      </c>
    </row>
    <row r="1318" spans="15:16" hidden="1" x14ac:dyDescent="0.25">
      <c r="O1318" s="16" t="e">
        <f t="shared" si="14"/>
        <v>#VALUE!</v>
      </c>
      <c r="P1318" s="16">
        <f t="shared" si="15"/>
        <v>0</v>
      </c>
    </row>
    <row r="1319" spans="15:16" hidden="1" x14ac:dyDescent="0.25">
      <c r="O1319" s="16" t="e">
        <f t="shared" si="14"/>
        <v>#VALUE!</v>
      </c>
      <c r="P1319" s="16">
        <f t="shared" si="15"/>
        <v>0</v>
      </c>
    </row>
    <row r="1320" spans="15:16" hidden="1" x14ac:dyDescent="0.25">
      <c r="O1320" s="16" t="e">
        <f t="shared" si="14"/>
        <v>#VALUE!</v>
      </c>
      <c r="P1320" s="16">
        <f t="shared" si="15"/>
        <v>0</v>
      </c>
    </row>
    <row r="1321" spans="15:16" hidden="1" x14ac:dyDescent="0.25">
      <c r="O1321" s="16" t="e">
        <f t="shared" si="14"/>
        <v>#VALUE!</v>
      </c>
      <c r="P1321" s="16">
        <f t="shared" si="15"/>
        <v>0</v>
      </c>
    </row>
    <row r="1322" spans="15:16" hidden="1" x14ac:dyDescent="0.25">
      <c r="O1322" s="16" t="e">
        <f t="shared" si="14"/>
        <v>#VALUE!</v>
      </c>
      <c r="P1322" s="16">
        <f t="shared" si="15"/>
        <v>0</v>
      </c>
    </row>
    <row r="1323" spans="15:16" hidden="1" x14ac:dyDescent="0.25">
      <c r="O1323" s="16" t="e">
        <f t="shared" si="14"/>
        <v>#VALUE!</v>
      </c>
      <c r="P1323" s="16">
        <f t="shared" si="15"/>
        <v>0</v>
      </c>
    </row>
    <row r="1324" spans="15:16" hidden="1" x14ac:dyDescent="0.25">
      <c r="O1324" s="16" t="e">
        <f t="shared" si="14"/>
        <v>#VALUE!</v>
      </c>
      <c r="P1324" s="16">
        <f t="shared" si="15"/>
        <v>0</v>
      </c>
    </row>
    <row r="1325" spans="15:16" hidden="1" x14ac:dyDescent="0.25">
      <c r="O1325" s="16" t="e">
        <f t="shared" si="14"/>
        <v>#VALUE!</v>
      </c>
      <c r="P1325" s="16">
        <f t="shared" si="15"/>
        <v>0</v>
      </c>
    </row>
    <row r="1326" spans="15:16" hidden="1" x14ac:dyDescent="0.25">
      <c r="O1326" s="16" t="e">
        <f t="shared" si="14"/>
        <v>#VALUE!</v>
      </c>
      <c r="P1326" s="16">
        <f t="shared" si="15"/>
        <v>0</v>
      </c>
    </row>
    <row r="1327" spans="15:16" hidden="1" x14ac:dyDescent="0.25">
      <c r="O1327" s="16" t="e">
        <f t="shared" si="14"/>
        <v>#VALUE!</v>
      </c>
      <c r="P1327" s="16">
        <f t="shared" si="15"/>
        <v>0</v>
      </c>
    </row>
    <row r="1328" spans="15:16" hidden="1" x14ac:dyDescent="0.25">
      <c r="O1328" s="16" t="e">
        <f t="shared" si="14"/>
        <v>#VALUE!</v>
      </c>
      <c r="P1328" s="16">
        <f t="shared" si="15"/>
        <v>0</v>
      </c>
    </row>
    <row r="1329" spans="15:16" hidden="1" x14ac:dyDescent="0.25">
      <c r="O1329" s="16" t="e">
        <f t="shared" si="14"/>
        <v>#VALUE!</v>
      </c>
      <c r="P1329" s="16">
        <f t="shared" si="15"/>
        <v>0</v>
      </c>
    </row>
    <row r="1330" spans="15:16" hidden="1" x14ac:dyDescent="0.25">
      <c r="O1330" s="16" t="e">
        <f t="shared" si="14"/>
        <v>#VALUE!</v>
      </c>
      <c r="P1330" s="16">
        <f t="shared" si="15"/>
        <v>0</v>
      </c>
    </row>
    <row r="1331" spans="15:16" hidden="1" x14ac:dyDescent="0.25">
      <c r="O1331" s="16" t="e">
        <f t="shared" si="14"/>
        <v>#VALUE!</v>
      </c>
      <c r="P1331" s="16">
        <f t="shared" si="15"/>
        <v>0</v>
      </c>
    </row>
    <row r="1332" spans="15:16" hidden="1" x14ac:dyDescent="0.25">
      <c r="O1332" s="16" t="e">
        <f t="shared" si="14"/>
        <v>#VALUE!</v>
      </c>
      <c r="P1332" s="16">
        <f t="shared" si="15"/>
        <v>0</v>
      </c>
    </row>
    <row r="1333" spans="15:16" hidden="1" x14ac:dyDescent="0.25">
      <c r="O1333" s="16" t="e">
        <f t="shared" si="14"/>
        <v>#VALUE!</v>
      </c>
      <c r="P1333" s="16">
        <f t="shared" si="15"/>
        <v>0</v>
      </c>
    </row>
    <row r="1334" spans="15:16" hidden="1" x14ac:dyDescent="0.25">
      <c r="O1334" s="16" t="e">
        <f t="shared" si="14"/>
        <v>#VALUE!</v>
      </c>
      <c r="P1334" s="16">
        <f t="shared" si="15"/>
        <v>0</v>
      </c>
    </row>
    <row r="1335" spans="15:16" hidden="1" x14ac:dyDescent="0.25">
      <c r="O1335" s="16" t="e">
        <f t="shared" si="14"/>
        <v>#VALUE!</v>
      </c>
      <c r="P1335" s="16">
        <f t="shared" si="15"/>
        <v>0</v>
      </c>
    </row>
    <row r="1336" spans="15:16" hidden="1" x14ac:dyDescent="0.25">
      <c r="O1336" s="16" t="e">
        <f t="shared" si="14"/>
        <v>#VALUE!</v>
      </c>
      <c r="P1336" s="16">
        <f t="shared" si="15"/>
        <v>0</v>
      </c>
    </row>
    <row r="1337" spans="15:16" hidden="1" x14ac:dyDescent="0.25">
      <c r="O1337" s="16" t="e">
        <f t="shared" si="14"/>
        <v>#VALUE!</v>
      </c>
      <c r="P1337" s="16">
        <f t="shared" si="15"/>
        <v>0</v>
      </c>
    </row>
    <row r="1338" spans="15:16" hidden="1" x14ac:dyDescent="0.25">
      <c r="O1338" s="16" t="e">
        <f t="shared" si="14"/>
        <v>#VALUE!</v>
      </c>
      <c r="P1338" s="16">
        <f t="shared" si="15"/>
        <v>0</v>
      </c>
    </row>
    <row r="1339" spans="15:16" hidden="1" x14ac:dyDescent="0.25">
      <c r="O1339" s="16" t="e">
        <f t="shared" si="14"/>
        <v>#VALUE!</v>
      </c>
      <c r="P1339" s="16">
        <f t="shared" si="15"/>
        <v>0</v>
      </c>
    </row>
    <row r="1340" spans="15:16" hidden="1" x14ac:dyDescent="0.25">
      <c r="O1340" s="16" t="e">
        <f t="shared" si="14"/>
        <v>#VALUE!</v>
      </c>
      <c r="P1340" s="16">
        <f t="shared" si="15"/>
        <v>0</v>
      </c>
    </row>
    <row r="1341" spans="15:16" hidden="1" x14ac:dyDescent="0.25">
      <c r="O1341" s="16" t="e">
        <f t="shared" si="14"/>
        <v>#VALUE!</v>
      </c>
      <c r="P1341" s="16">
        <f t="shared" si="15"/>
        <v>0</v>
      </c>
    </row>
    <row r="1342" spans="15:16" hidden="1" x14ac:dyDescent="0.25">
      <c r="O1342" s="16" t="e">
        <f t="shared" si="14"/>
        <v>#VALUE!</v>
      </c>
      <c r="P1342" s="16">
        <f t="shared" si="15"/>
        <v>0</v>
      </c>
    </row>
    <row r="1343" spans="15:16" hidden="1" x14ac:dyDescent="0.25">
      <c r="O1343" s="16" t="e">
        <f t="shared" si="14"/>
        <v>#VALUE!</v>
      </c>
      <c r="P1343" s="16">
        <f t="shared" si="15"/>
        <v>0</v>
      </c>
    </row>
    <row r="1344" spans="15:16" hidden="1" x14ac:dyDescent="0.25">
      <c r="O1344" s="16" t="e">
        <f t="shared" si="14"/>
        <v>#VALUE!</v>
      </c>
      <c r="P1344" s="16">
        <f t="shared" si="15"/>
        <v>0</v>
      </c>
    </row>
    <row r="1345" spans="15:16" hidden="1" x14ac:dyDescent="0.25">
      <c r="O1345" s="16" t="e">
        <f t="shared" si="14"/>
        <v>#VALUE!</v>
      </c>
      <c r="P1345" s="16">
        <f t="shared" si="15"/>
        <v>0</v>
      </c>
    </row>
    <row r="1346" spans="15:16" hidden="1" x14ac:dyDescent="0.25">
      <c r="O1346" s="16" t="e">
        <f t="shared" si="14"/>
        <v>#VALUE!</v>
      </c>
      <c r="P1346" s="16">
        <f t="shared" si="15"/>
        <v>0</v>
      </c>
    </row>
    <row r="1347" spans="15:16" hidden="1" x14ac:dyDescent="0.25">
      <c r="O1347" s="16" t="e">
        <f t="shared" ref="O1347:O1410" si="16">TEXT(DATEVALUE(LEFT(F1347,10)),"mm-yyyy")</f>
        <v>#VALUE!</v>
      </c>
      <c r="P1347" s="16">
        <f t="shared" ref="P1347:P1410" si="17">H1347*I1347</f>
        <v>0</v>
      </c>
    </row>
    <row r="1348" spans="15:16" hidden="1" x14ac:dyDescent="0.25">
      <c r="O1348" s="16" t="e">
        <f t="shared" si="16"/>
        <v>#VALUE!</v>
      </c>
      <c r="P1348" s="16">
        <f t="shared" si="17"/>
        <v>0</v>
      </c>
    </row>
    <row r="1349" spans="15:16" hidden="1" x14ac:dyDescent="0.25">
      <c r="O1349" s="16" t="e">
        <f t="shared" si="16"/>
        <v>#VALUE!</v>
      </c>
      <c r="P1349" s="16">
        <f t="shared" si="17"/>
        <v>0</v>
      </c>
    </row>
    <row r="1350" spans="15:16" hidden="1" x14ac:dyDescent="0.25">
      <c r="O1350" s="16" t="e">
        <f t="shared" si="16"/>
        <v>#VALUE!</v>
      </c>
      <c r="P1350" s="16">
        <f t="shared" si="17"/>
        <v>0</v>
      </c>
    </row>
    <row r="1351" spans="15:16" hidden="1" x14ac:dyDescent="0.25">
      <c r="O1351" s="16" t="e">
        <f t="shared" si="16"/>
        <v>#VALUE!</v>
      </c>
      <c r="P1351" s="16">
        <f t="shared" si="17"/>
        <v>0</v>
      </c>
    </row>
    <row r="1352" spans="15:16" hidden="1" x14ac:dyDescent="0.25">
      <c r="O1352" s="16" t="e">
        <f t="shared" si="16"/>
        <v>#VALUE!</v>
      </c>
      <c r="P1352" s="16">
        <f t="shared" si="17"/>
        <v>0</v>
      </c>
    </row>
    <row r="1353" spans="15:16" hidden="1" x14ac:dyDescent="0.25">
      <c r="O1353" s="16" t="e">
        <f t="shared" si="16"/>
        <v>#VALUE!</v>
      </c>
      <c r="P1353" s="16">
        <f t="shared" si="17"/>
        <v>0</v>
      </c>
    </row>
    <row r="1354" spans="15:16" hidden="1" x14ac:dyDescent="0.25">
      <c r="O1354" s="16" t="e">
        <f t="shared" si="16"/>
        <v>#VALUE!</v>
      </c>
      <c r="P1354" s="16">
        <f t="shared" si="17"/>
        <v>0</v>
      </c>
    </row>
    <row r="1355" spans="15:16" hidden="1" x14ac:dyDescent="0.25">
      <c r="O1355" s="16" t="e">
        <f t="shared" si="16"/>
        <v>#VALUE!</v>
      </c>
      <c r="P1355" s="16">
        <f t="shared" si="17"/>
        <v>0</v>
      </c>
    </row>
    <row r="1356" spans="15:16" hidden="1" x14ac:dyDescent="0.25">
      <c r="O1356" s="16" t="e">
        <f t="shared" si="16"/>
        <v>#VALUE!</v>
      </c>
      <c r="P1356" s="16">
        <f t="shared" si="17"/>
        <v>0</v>
      </c>
    </row>
    <row r="1357" spans="15:16" hidden="1" x14ac:dyDescent="0.25">
      <c r="O1357" s="16" t="e">
        <f t="shared" si="16"/>
        <v>#VALUE!</v>
      </c>
      <c r="P1357" s="16">
        <f t="shared" si="17"/>
        <v>0</v>
      </c>
    </row>
    <row r="1358" spans="15:16" hidden="1" x14ac:dyDescent="0.25">
      <c r="O1358" s="16" t="e">
        <f t="shared" si="16"/>
        <v>#VALUE!</v>
      </c>
      <c r="P1358" s="16">
        <f t="shared" si="17"/>
        <v>0</v>
      </c>
    </row>
    <row r="1359" spans="15:16" hidden="1" x14ac:dyDescent="0.25">
      <c r="O1359" s="16" t="e">
        <f t="shared" si="16"/>
        <v>#VALUE!</v>
      </c>
      <c r="P1359" s="16">
        <f t="shared" si="17"/>
        <v>0</v>
      </c>
    </row>
    <row r="1360" spans="15:16" hidden="1" x14ac:dyDescent="0.25">
      <c r="O1360" s="16" t="e">
        <f t="shared" si="16"/>
        <v>#VALUE!</v>
      </c>
      <c r="P1360" s="16">
        <f t="shared" si="17"/>
        <v>0</v>
      </c>
    </row>
    <row r="1361" spans="15:16" hidden="1" x14ac:dyDescent="0.25">
      <c r="O1361" s="16" t="e">
        <f t="shared" si="16"/>
        <v>#VALUE!</v>
      </c>
      <c r="P1361" s="16">
        <f t="shared" si="17"/>
        <v>0</v>
      </c>
    </row>
    <row r="1362" spans="15:16" hidden="1" x14ac:dyDescent="0.25">
      <c r="O1362" s="16" t="e">
        <f t="shared" si="16"/>
        <v>#VALUE!</v>
      </c>
      <c r="P1362" s="16">
        <f t="shared" si="17"/>
        <v>0</v>
      </c>
    </row>
    <row r="1363" spans="15:16" hidden="1" x14ac:dyDescent="0.25">
      <c r="O1363" s="16" t="e">
        <f t="shared" si="16"/>
        <v>#VALUE!</v>
      </c>
      <c r="P1363" s="16">
        <f t="shared" si="17"/>
        <v>0</v>
      </c>
    </row>
    <row r="1364" spans="15:16" hidden="1" x14ac:dyDescent="0.25">
      <c r="O1364" s="16" t="e">
        <f t="shared" si="16"/>
        <v>#VALUE!</v>
      </c>
      <c r="P1364" s="16">
        <f t="shared" si="17"/>
        <v>0</v>
      </c>
    </row>
    <row r="1365" spans="15:16" hidden="1" x14ac:dyDescent="0.25">
      <c r="O1365" s="16" t="e">
        <f t="shared" si="16"/>
        <v>#VALUE!</v>
      </c>
      <c r="P1365" s="16">
        <f t="shared" si="17"/>
        <v>0</v>
      </c>
    </row>
    <row r="1366" spans="15:16" hidden="1" x14ac:dyDescent="0.25">
      <c r="O1366" s="16" t="e">
        <f t="shared" si="16"/>
        <v>#VALUE!</v>
      </c>
      <c r="P1366" s="16">
        <f t="shared" si="17"/>
        <v>0</v>
      </c>
    </row>
    <row r="1367" spans="15:16" hidden="1" x14ac:dyDescent="0.25">
      <c r="O1367" s="16" t="e">
        <f t="shared" si="16"/>
        <v>#VALUE!</v>
      </c>
      <c r="P1367" s="16">
        <f t="shared" si="17"/>
        <v>0</v>
      </c>
    </row>
    <row r="1368" spans="15:16" hidden="1" x14ac:dyDescent="0.25">
      <c r="O1368" s="16" t="e">
        <f t="shared" si="16"/>
        <v>#VALUE!</v>
      </c>
      <c r="P1368" s="16">
        <f t="shared" si="17"/>
        <v>0</v>
      </c>
    </row>
    <row r="1369" spans="15:16" hidden="1" x14ac:dyDescent="0.25">
      <c r="O1369" s="16" t="e">
        <f t="shared" si="16"/>
        <v>#VALUE!</v>
      </c>
      <c r="P1369" s="16">
        <f t="shared" si="17"/>
        <v>0</v>
      </c>
    </row>
    <row r="1370" spans="15:16" hidden="1" x14ac:dyDescent="0.25">
      <c r="O1370" s="16" t="e">
        <f t="shared" si="16"/>
        <v>#VALUE!</v>
      </c>
      <c r="P1370" s="16">
        <f t="shared" si="17"/>
        <v>0</v>
      </c>
    </row>
    <row r="1371" spans="15:16" hidden="1" x14ac:dyDescent="0.25">
      <c r="O1371" s="16" t="e">
        <f t="shared" si="16"/>
        <v>#VALUE!</v>
      </c>
      <c r="P1371" s="16">
        <f t="shared" si="17"/>
        <v>0</v>
      </c>
    </row>
    <row r="1372" spans="15:16" hidden="1" x14ac:dyDescent="0.25">
      <c r="O1372" s="16" t="e">
        <f t="shared" si="16"/>
        <v>#VALUE!</v>
      </c>
      <c r="P1372" s="16">
        <f t="shared" si="17"/>
        <v>0</v>
      </c>
    </row>
    <row r="1373" spans="15:16" hidden="1" x14ac:dyDescent="0.25">
      <c r="O1373" s="16" t="e">
        <f t="shared" si="16"/>
        <v>#VALUE!</v>
      </c>
      <c r="P1373" s="16">
        <f t="shared" si="17"/>
        <v>0</v>
      </c>
    </row>
    <row r="1374" spans="15:16" hidden="1" x14ac:dyDescent="0.25">
      <c r="O1374" s="16" t="e">
        <f t="shared" si="16"/>
        <v>#VALUE!</v>
      </c>
      <c r="P1374" s="16">
        <f t="shared" si="17"/>
        <v>0</v>
      </c>
    </row>
    <row r="1375" spans="15:16" hidden="1" x14ac:dyDescent="0.25">
      <c r="O1375" s="16" t="e">
        <f t="shared" si="16"/>
        <v>#VALUE!</v>
      </c>
      <c r="P1375" s="16">
        <f t="shared" si="17"/>
        <v>0</v>
      </c>
    </row>
    <row r="1376" spans="15:16" hidden="1" x14ac:dyDescent="0.25">
      <c r="O1376" s="16" t="e">
        <f t="shared" si="16"/>
        <v>#VALUE!</v>
      </c>
      <c r="P1376" s="16">
        <f t="shared" si="17"/>
        <v>0</v>
      </c>
    </row>
    <row r="1377" spans="15:16" hidden="1" x14ac:dyDescent="0.25">
      <c r="O1377" s="16" t="e">
        <f t="shared" si="16"/>
        <v>#VALUE!</v>
      </c>
      <c r="P1377" s="16">
        <f t="shared" si="17"/>
        <v>0</v>
      </c>
    </row>
    <row r="1378" spans="15:16" hidden="1" x14ac:dyDescent="0.25">
      <c r="O1378" s="16" t="e">
        <f t="shared" si="16"/>
        <v>#VALUE!</v>
      </c>
      <c r="P1378" s="16">
        <f t="shared" si="17"/>
        <v>0</v>
      </c>
    </row>
    <row r="1379" spans="15:16" hidden="1" x14ac:dyDescent="0.25">
      <c r="O1379" s="16" t="e">
        <f t="shared" si="16"/>
        <v>#VALUE!</v>
      </c>
      <c r="P1379" s="16">
        <f t="shared" si="17"/>
        <v>0</v>
      </c>
    </row>
    <row r="1380" spans="15:16" hidden="1" x14ac:dyDescent="0.25">
      <c r="O1380" s="16" t="e">
        <f t="shared" si="16"/>
        <v>#VALUE!</v>
      </c>
      <c r="P1380" s="16">
        <f t="shared" si="17"/>
        <v>0</v>
      </c>
    </row>
    <row r="1381" spans="15:16" hidden="1" x14ac:dyDescent="0.25">
      <c r="O1381" s="16" t="e">
        <f t="shared" si="16"/>
        <v>#VALUE!</v>
      </c>
      <c r="P1381" s="16">
        <f t="shared" si="17"/>
        <v>0</v>
      </c>
    </row>
    <row r="1382" spans="15:16" hidden="1" x14ac:dyDescent="0.25">
      <c r="O1382" s="16" t="e">
        <f t="shared" si="16"/>
        <v>#VALUE!</v>
      </c>
      <c r="P1382" s="16">
        <f t="shared" si="17"/>
        <v>0</v>
      </c>
    </row>
    <row r="1383" spans="15:16" hidden="1" x14ac:dyDescent="0.25">
      <c r="O1383" s="16" t="e">
        <f t="shared" si="16"/>
        <v>#VALUE!</v>
      </c>
      <c r="P1383" s="16">
        <f t="shared" si="17"/>
        <v>0</v>
      </c>
    </row>
    <row r="1384" spans="15:16" hidden="1" x14ac:dyDescent="0.25">
      <c r="O1384" s="16" t="e">
        <f t="shared" si="16"/>
        <v>#VALUE!</v>
      </c>
      <c r="P1384" s="16">
        <f t="shared" si="17"/>
        <v>0</v>
      </c>
    </row>
    <row r="1385" spans="15:16" hidden="1" x14ac:dyDescent="0.25">
      <c r="O1385" s="16" t="e">
        <f t="shared" si="16"/>
        <v>#VALUE!</v>
      </c>
      <c r="P1385" s="16">
        <f t="shared" si="17"/>
        <v>0</v>
      </c>
    </row>
    <row r="1386" spans="15:16" hidden="1" x14ac:dyDescent="0.25">
      <c r="O1386" s="16" t="e">
        <f t="shared" si="16"/>
        <v>#VALUE!</v>
      </c>
      <c r="P1386" s="16">
        <f t="shared" si="17"/>
        <v>0</v>
      </c>
    </row>
    <row r="1387" spans="15:16" hidden="1" x14ac:dyDescent="0.25">
      <c r="O1387" s="16" t="e">
        <f t="shared" si="16"/>
        <v>#VALUE!</v>
      </c>
      <c r="P1387" s="16">
        <f t="shared" si="17"/>
        <v>0</v>
      </c>
    </row>
    <row r="1388" spans="15:16" hidden="1" x14ac:dyDescent="0.25">
      <c r="O1388" s="16" t="e">
        <f t="shared" si="16"/>
        <v>#VALUE!</v>
      </c>
      <c r="P1388" s="16">
        <f t="shared" si="17"/>
        <v>0</v>
      </c>
    </row>
    <row r="1389" spans="15:16" hidden="1" x14ac:dyDescent="0.25">
      <c r="O1389" s="16" t="e">
        <f t="shared" si="16"/>
        <v>#VALUE!</v>
      </c>
      <c r="P1389" s="16">
        <f t="shared" si="17"/>
        <v>0</v>
      </c>
    </row>
    <row r="1390" spans="15:16" hidden="1" x14ac:dyDescent="0.25">
      <c r="O1390" s="16" t="e">
        <f t="shared" si="16"/>
        <v>#VALUE!</v>
      </c>
      <c r="P1390" s="16">
        <f t="shared" si="17"/>
        <v>0</v>
      </c>
    </row>
    <row r="1391" spans="15:16" hidden="1" x14ac:dyDescent="0.25">
      <c r="O1391" s="16" t="e">
        <f t="shared" si="16"/>
        <v>#VALUE!</v>
      </c>
      <c r="P1391" s="16">
        <f t="shared" si="17"/>
        <v>0</v>
      </c>
    </row>
    <row r="1392" spans="15:16" hidden="1" x14ac:dyDescent="0.25">
      <c r="O1392" s="16" t="e">
        <f t="shared" si="16"/>
        <v>#VALUE!</v>
      </c>
      <c r="P1392" s="16">
        <f t="shared" si="17"/>
        <v>0</v>
      </c>
    </row>
    <row r="1393" spans="15:16" hidden="1" x14ac:dyDescent="0.25">
      <c r="O1393" s="16" t="e">
        <f t="shared" si="16"/>
        <v>#VALUE!</v>
      </c>
      <c r="P1393" s="16">
        <f t="shared" si="17"/>
        <v>0</v>
      </c>
    </row>
    <row r="1394" spans="15:16" hidden="1" x14ac:dyDescent="0.25">
      <c r="O1394" s="16" t="e">
        <f t="shared" si="16"/>
        <v>#VALUE!</v>
      </c>
      <c r="P1394" s="16">
        <f t="shared" si="17"/>
        <v>0</v>
      </c>
    </row>
    <row r="1395" spans="15:16" hidden="1" x14ac:dyDescent="0.25">
      <c r="O1395" s="16" t="e">
        <f t="shared" si="16"/>
        <v>#VALUE!</v>
      </c>
      <c r="P1395" s="16">
        <f t="shared" si="17"/>
        <v>0</v>
      </c>
    </row>
    <row r="1396" spans="15:16" hidden="1" x14ac:dyDescent="0.25">
      <c r="O1396" s="16" t="e">
        <f t="shared" si="16"/>
        <v>#VALUE!</v>
      </c>
      <c r="P1396" s="16">
        <f t="shared" si="17"/>
        <v>0</v>
      </c>
    </row>
    <row r="1397" spans="15:16" hidden="1" x14ac:dyDescent="0.25">
      <c r="O1397" s="16" t="e">
        <f t="shared" si="16"/>
        <v>#VALUE!</v>
      </c>
      <c r="P1397" s="16">
        <f t="shared" si="17"/>
        <v>0</v>
      </c>
    </row>
    <row r="1398" spans="15:16" hidden="1" x14ac:dyDescent="0.25">
      <c r="O1398" s="16" t="e">
        <f t="shared" si="16"/>
        <v>#VALUE!</v>
      </c>
      <c r="P1398" s="16">
        <f t="shared" si="17"/>
        <v>0</v>
      </c>
    </row>
    <row r="1399" spans="15:16" hidden="1" x14ac:dyDescent="0.25">
      <c r="O1399" s="16" t="e">
        <f t="shared" si="16"/>
        <v>#VALUE!</v>
      </c>
      <c r="P1399" s="16">
        <f t="shared" si="17"/>
        <v>0</v>
      </c>
    </row>
    <row r="1400" spans="15:16" hidden="1" x14ac:dyDescent="0.25">
      <c r="O1400" s="16" t="e">
        <f t="shared" si="16"/>
        <v>#VALUE!</v>
      </c>
      <c r="P1400" s="16">
        <f t="shared" si="17"/>
        <v>0</v>
      </c>
    </row>
    <row r="1401" spans="15:16" hidden="1" x14ac:dyDescent="0.25">
      <c r="O1401" s="16" t="e">
        <f t="shared" si="16"/>
        <v>#VALUE!</v>
      </c>
      <c r="P1401" s="16">
        <f t="shared" si="17"/>
        <v>0</v>
      </c>
    </row>
    <row r="1402" spans="15:16" hidden="1" x14ac:dyDescent="0.25">
      <c r="O1402" s="16" t="e">
        <f t="shared" si="16"/>
        <v>#VALUE!</v>
      </c>
      <c r="P1402" s="16">
        <f t="shared" si="17"/>
        <v>0</v>
      </c>
    </row>
    <row r="1403" spans="15:16" hidden="1" x14ac:dyDescent="0.25">
      <c r="O1403" s="16" t="e">
        <f t="shared" si="16"/>
        <v>#VALUE!</v>
      </c>
      <c r="P1403" s="16">
        <f t="shared" si="17"/>
        <v>0</v>
      </c>
    </row>
    <row r="1404" spans="15:16" hidden="1" x14ac:dyDescent="0.25">
      <c r="O1404" s="16" t="e">
        <f t="shared" si="16"/>
        <v>#VALUE!</v>
      </c>
      <c r="P1404" s="16">
        <f t="shared" si="17"/>
        <v>0</v>
      </c>
    </row>
    <row r="1405" spans="15:16" hidden="1" x14ac:dyDescent="0.25">
      <c r="O1405" s="16" t="e">
        <f t="shared" si="16"/>
        <v>#VALUE!</v>
      </c>
      <c r="P1405" s="16">
        <f t="shared" si="17"/>
        <v>0</v>
      </c>
    </row>
    <row r="1406" spans="15:16" hidden="1" x14ac:dyDescent="0.25">
      <c r="O1406" s="16" t="e">
        <f t="shared" si="16"/>
        <v>#VALUE!</v>
      </c>
      <c r="P1406" s="16">
        <f t="shared" si="17"/>
        <v>0</v>
      </c>
    </row>
    <row r="1407" spans="15:16" hidden="1" x14ac:dyDescent="0.25">
      <c r="O1407" s="16" t="e">
        <f t="shared" si="16"/>
        <v>#VALUE!</v>
      </c>
      <c r="P1407" s="16">
        <f t="shared" si="17"/>
        <v>0</v>
      </c>
    </row>
    <row r="1408" spans="15:16" hidden="1" x14ac:dyDescent="0.25">
      <c r="O1408" s="16" t="e">
        <f t="shared" si="16"/>
        <v>#VALUE!</v>
      </c>
      <c r="P1408" s="16">
        <f t="shared" si="17"/>
        <v>0</v>
      </c>
    </row>
    <row r="1409" spans="15:16" hidden="1" x14ac:dyDescent="0.25">
      <c r="O1409" s="16" t="e">
        <f t="shared" si="16"/>
        <v>#VALUE!</v>
      </c>
      <c r="P1409" s="16">
        <f t="shared" si="17"/>
        <v>0</v>
      </c>
    </row>
    <row r="1410" spans="15:16" hidden="1" x14ac:dyDescent="0.25">
      <c r="O1410" s="16" t="e">
        <f t="shared" si="16"/>
        <v>#VALUE!</v>
      </c>
      <c r="P1410" s="16">
        <f t="shared" si="17"/>
        <v>0</v>
      </c>
    </row>
    <row r="1411" spans="15:16" hidden="1" x14ac:dyDescent="0.25">
      <c r="O1411" s="16" t="e">
        <f t="shared" ref="O1411:O1474" si="18">TEXT(DATEVALUE(LEFT(F1411,10)),"mm-yyyy")</f>
        <v>#VALUE!</v>
      </c>
      <c r="P1411" s="16">
        <f t="shared" ref="P1411:P1474" si="19">H1411*I1411</f>
        <v>0</v>
      </c>
    </row>
    <row r="1412" spans="15:16" hidden="1" x14ac:dyDescent="0.25">
      <c r="O1412" s="16" t="e">
        <f t="shared" si="18"/>
        <v>#VALUE!</v>
      </c>
      <c r="P1412" s="16">
        <f t="shared" si="19"/>
        <v>0</v>
      </c>
    </row>
    <row r="1413" spans="15:16" hidden="1" x14ac:dyDescent="0.25">
      <c r="O1413" s="16" t="e">
        <f t="shared" si="18"/>
        <v>#VALUE!</v>
      </c>
      <c r="P1413" s="16">
        <f t="shared" si="19"/>
        <v>0</v>
      </c>
    </row>
    <row r="1414" spans="15:16" hidden="1" x14ac:dyDescent="0.25">
      <c r="O1414" s="16" t="e">
        <f t="shared" si="18"/>
        <v>#VALUE!</v>
      </c>
      <c r="P1414" s="16">
        <f t="shared" si="19"/>
        <v>0</v>
      </c>
    </row>
    <row r="1415" spans="15:16" hidden="1" x14ac:dyDescent="0.25">
      <c r="O1415" s="16" t="e">
        <f t="shared" si="18"/>
        <v>#VALUE!</v>
      </c>
      <c r="P1415" s="16">
        <f t="shared" si="19"/>
        <v>0</v>
      </c>
    </row>
    <row r="1416" spans="15:16" hidden="1" x14ac:dyDescent="0.25">
      <c r="O1416" s="16" t="e">
        <f t="shared" si="18"/>
        <v>#VALUE!</v>
      </c>
      <c r="P1416" s="16">
        <f t="shared" si="19"/>
        <v>0</v>
      </c>
    </row>
    <row r="1417" spans="15:16" hidden="1" x14ac:dyDescent="0.25">
      <c r="O1417" s="16" t="e">
        <f t="shared" si="18"/>
        <v>#VALUE!</v>
      </c>
      <c r="P1417" s="16">
        <f t="shared" si="19"/>
        <v>0</v>
      </c>
    </row>
    <row r="1418" spans="15:16" hidden="1" x14ac:dyDescent="0.25">
      <c r="O1418" s="16" t="e">
        <f t="shared" si="18"/>
        <v>#VALUE!</v>
      </c>
      <c r="P1418" s="16">
        <f t="shared" si="19"/>
        <v>0</v>
      </c>
    </row>
    <row r="1419" spans="15:16" hidden="1" x14ac:dyDescent="0.25">
      <c r="O1419" s="16" t="e">
        <f t="shared" si="18"/>
        <v>#VALUE!</v>
      </c>
      <c r="P1419" s="16">
        <f t="shared" si="19"/>
        <v>0</v>
      </c>
    </row>
    <row r="1420" spans="15:16" hidden="1" x14ac:dyDescent="0.25">
      <c r="O1420" s="16" t="e">
        <f t="shared" si="18"/>
        <v>#VALUE!</v>
      </c>
      <c r="P1420" s="16">
        <f t="shared" si="19"/>
        <v>0</v>
      </c>
    </row>
    <row r="1421" spans="15:16" hidden="1" x14ac:dyDescent="0.25">
      <c r="O1421" s="16" t="e">
        <f t="shared" si="18"/>
        <v>#VALUE!</v>
      </c>
      <c r="P1421" s="16">
        <f t="shared" si="19"/>
        <v>0</v>
      </c>
    </row>
    <row r="1422" spans="15:16" hidden="1" x14ac:dyDescent="0.25">
      <c r="O1422" s="16" t="e">
        <f t="shared" si="18"/>
        <v>#VALUE!</v>
      </c>
      <c r="P1422" s="16">
        <f t="shared" si="19"/>
        <v>0</v>
      </c>
    </row>
    <row r="1423" spans="15:16" hidden="1" x14ac:dyDescent="0.25">
      <c r="O1423" s="16" t="e">
        <f t="shared" si="18"/>
        <v>#VALUE!</v>
      </c>
      <c r="P1423" s="16">
        <f t="shared" si="19"/>
        <v>0</v>
      </c>
    </row>
    <row r="1424" spans="15:16" hidden="1" x14ac:dyDescent="0.25">
      <c r="O1424" s="16" t="e">
        <f t="shared" si="18"/>
        <v>#VALUE!</v>
      </c>
      <c r="P1424" s="16">
        <f t="shared" si="19"/>
        <v>0</v>
      </c>
    </row>
    <row r="1425" spans="15:16" hidden="1" x14ac:dyDescent="0.25">
      <c r="O1425" s="16" t="e">
        <f t="shared" si="18"/>
        <v>#VALUE!</v>
      </c>
      <c r="P1425" s="16">
        <f t="shared" si="19"/>
        <v>0</v>
      </c>
    </row>
    <row r="1426" spans="15:16" hidden="1" x14ac:dyDescent="0.25">
      <c r="O1426" s="16" t="e">
        <f t="shared" si="18"/>
        <v>#VALUE!</v>
      </c>
      <c r="P1426" s="16">
        <f t="shared" si="19"/>
        <v>0</v>
      </c>
    </row>
    <row r="1427" spans="15:16" hidden="1" x14ac:dyDescent="0.25">
      <c r="O1427" s="16" t="e">
        <f t="shared" si="18"/>
        <v>#VALUE!</v>
      </c>
      <c r="P1427" s="16">
        <f t="shared" si="19"/>
        <v>0</v>
      </c>
    </row>
    <row r="1428" spans="15:16" hidden="1" x14ac:dyDescent="0.25">
      <c r="O1428" s="16" t="e">
        <f t="shared" si="18"/>
        <v>#VALUE!</v>
      </c>
      <c r="P1428" s="16">
        <f t="shared" si="19"/>
        <v>0</v>
      </c>
    </row>
    <row r="1429" spans="15:16" hidden="1" x14ac:dyDescent="0.25">
      <c r="O1429" s="16" t="e">
        <f t="shared" si="18"/>
        <v>#VALUE!</v>
      </c>
      <c r="P1429" s="16">
        <f t="shared" si="19"/>
        <v>0</v>
      </c>
    </row>
    <row r="1430" spans="15:16" hidden="1" x14ac:dyDescent="0.25">
      <c r="O1430" s="16" t="e">
        <f t="shared" si="18"/>
        <v>#VALUE!</v>
      </c>
      <c r="P1430" s="16">
        <f t="shared" si="19"/>
        <v>0</v>
      </c>
    </row>
    <row r="1431" spans="15:16" hidden="1" x14ac:dyDescent="0.25">
      <c r="O1431" s="16" t="e">
        <f t="shared" si="18"/>
        <v>#VALUE!</v>
      </c>
      <c r="P1431" s="16">
        <f t="shared" si="19"/>
        <v>0</v>
      </c>
    </row>
    <row r="1432" spans="15:16" hidden="1" x14ac:dyDescent="0.25">
      <c r="O1432" s="16" t="e">
        <f t="shared" si="18"/>
        <v>#VALUE!</v>
      </c>
      <c r="P1432" s="16">
        <f t="shared" si="19"/>
        <v>0</v>
      </c>
    </row>
    <row r="1433" spans="15:16" hidden="1" x14ac:dyDescent="0.25">
      <c r="O1433" s="16" t="e">
        <f t="shared" si="18"/>
        <v>#VALUE!</v>
      </c>
      <c r="P1433" s="16">
        <f t="shared" si="19"/>
        <v>0</v>
      </c>
    </row>
    <row r="1434" spans="15:16" hidden="1" x14ac:dyDescent="0.25">
      <c r="O1434" s="16" t="e">
        <f t="shared" si="18"/>
        <v>#VALUE!</v>
      </c>
      <c r="P1434" s="16">
        <f t="shared" si="19"/>
        <v>0</v>
      </c>
    </row>
    <row r="1435" spans="15:16" hidden="1" x14ac:dyDescent="0.25">
      <c r="O1435" s="16" t="e">
        <f t="shared" si="18"/>
        <v>#VALUE!</v>
      </c>
      <c r="P1435" s="16">
        <f t="shared" si="19"/>
        <v>0</v>
      </c>
    </row>
    <row r="1436" spans="15:16" hidden="1" x14ac:dyDescent="0.25">
      <c r="O1436" s="16" t="e">
        <f t="shared" si="18"/>
        <v>#VALUE!</v>
      </c>
      <c r="P1436" s="16">
        <f t="shared" si="19"/>
        <v>0</v>
      </c>
    </row>
    <row r="1437" spans="15:16" hidden="1" x14ac:dyDescent="0.25">
      <c r="O1437" s="16" t="e">
        <f t="shared" si="18"/>
        <v>#VALUE!</v>
      </c>
      <c r="P1437" s="16">
        <f t="shared" si="19"/>
        <v>0</v>
      </c>
    </row>
    <row r="1438" spans="15:16" hidden="1" x14ac:dyDescent="0.25">
      <c r="O1438" s="16" t="e">
        <f t="shared" si="18"/>
        <v>#VALUE!</v>
      </c>
      <c r="P1438" s="16">
        <f t="shared" si="19"/>
        <v>0</v>
      </c>
    </row>
    <row r="1439" spans="15:16" hidden="1" x14ac:dyDescent="0.25">
      <c r="O1439" s="16" t="e">
        <f t="shared" si="18"/>
        <v>#VALUE!</v>
      </c>
      <c r="P1439" s="16">
        <f t="shared" si="19"/>
        <v>0</v>
      </c>
    </row>
    <row r="1440" spans="15:16" hidden="1" x14ac:dyDescent="0.25">
      <c r="O1440" s="16" t="e">
        <f t="shared" si="18"/>
        <v>#VALUE!</v>
      </c>
      <c r="P1440" s="16">
        <f t="shared" si="19"/>
        <v>0</v>
      </c>
    </row>
    <row r="1441" spans="15:16" hidden="1" x14ac:dyDescent="0.25">
      <c r="O1441" s="16" t="e">
        <f t="shared" si="18"/>
        <v>#VALUE!</v>
      </c>
      <c r="P1441" s="16">
        <f t="shared" si="19"/>
        <v>0</v>
      </c>
    </row>
    <row r="1442" spans="15:16" hidden="1" x14ac:dyDescent="0.25">
      <c r="O1442" s="16" t="e">
        <f t="shared" si="18"/>
        <v>#VALUE!</v>
      </c>
      <c r="P1442" s="16">
        <f t="shared" si="19"/>
        <v>0</v>
      </c>
    </row>
    <row r="1443" spans="15:16" hidden="1" x14ac:dyDescent="0.25">
      <c r="O1443" s="16" t="e">
        <f t="shared" si="18"/>
        <v>#VALUE!</v>
      </c>
      <c r="P1443" s="16">
        <f t="shared" si="19"/>
        <v>0</v>
      </c>
    </row>
    <row r="1444" spans="15:16" hidden="1" x14ac:dyDescent="0.25">
      <c r="O1444" s="16" t="e">
        <f t="shared" si="18"/>
        <v>#VALUE!</v>
      </c>
      <c r="P1444" s="16">
        <f t="shared" si="19"/>
        <v>0</v>
      </c>
    </row>
    <row r="1445" spans="15:16" hidden="1" x14ac:dyDescent="0.25">
      <c r="O1445" s="16" t="e">
        <f t="shared" si="18"/>
        <v>#VALUE!</v>
      </c>
      <c r="P1445" s="16">
        <f t="shared" si="19"/>
        <v>0</v>
      </c>
    </row>
    <row r="1446" spans="15:16" hidden="1" x14ac:dyDescent="0.25">
      <c r="O1446" s="16" t="e">
        <f t="shared" si="18"/>
        <v>#VALUE!</v>
      </c>
      <c r="P1446" s="16">
        <f t="shared" si="19"/>
        <v>0</v>
      </c>
    </row>
    <row r="1447" spans="15:16" hidden="1" x14ac:dyDescent="0.25">
      <c r="O1447" s="16" t="e">
        <f t="shared" si="18"/>
        <v>#VALUE!</v>
      </c>
      <c r="P1447" s="16">
        <f t="shared" si="19"/>
        <v>0</v>
      </c>
    </row>
    <row r="1448" spans="15:16" hidden="1" x14ac:dyDescent="0.25">
      <c r="O1448" s="16" t="e">
        <f t="shared" si="18"/>
        <v>#VALUE!</v>
      </c>
      <c r="P1448" s="16">
        <f t="shared" si="19"/>
        <v>0</v>
      </c>
    </row>
    <row r="1449" spans="15:16" hidden="1" x14ac:dyDescent="0.25">
      <c r="O1449" s="16" t="e">
        <f t="shared" si="18"/>
        <v>#VALUE!</v>
      </c>
      <c r="P1449" s="16">
        <f t="shared" si="19"/>
        <v>0</v>
      </c>
    </row>
    <row r="1450" spans="15:16" hidden="1" x14ac:dyDescent="0.25">
      <c r="O1450" s="16" t="e">
        <f t="shared" si="18"/>
        <v>#VALUE!</v>
      </c>
      <c r="P1450" s="16">
        <f t="shared" si="19"/>
        <v>0</v>
      </c>
    </row>
    <row r="1451" spans="15:16" hidden="1" x14ac:dyDescent="0.25">
      <c r="O1451" s="16" t="e">
        <f t="shared" si="18"/>
        <v>#VALUE!</v>
      </c>
      <c r="P1451" s="16">
        <f t="shared" si="19"/>
        <v>0</v>
      </c>
    </row>
    <row r="1452" spans="15:16" hidden="1" x14ac:dyDescent="0.25">
      <c r="O1452" s="16" t="e">
        <f t="shared" si="18"/>
        <v>#VALUE!</v>
      </c>
      <c r="P1452" s="16">
        <f t="shared" si="19"/>
        <v>0</v>
      </c>
    </row>
    <row r="1453" spans="15:16" hidden="1" x14ac:dyDescent="0.25">
      <c r="O1453" s="16" t="e">
        <f t="shared" si="18"/>
        <v>#VALUE!</v>
      </c>
      <c r="P1453" s="16">
        <f t="shared" si="19"/>
        <v>0</v>
      </c>
    </row>
    <row r="1454" spans="15:16" hidden="1" x14ac:dyDescent="0.25">
      <c r="O1454" s="16" t="e">
        <f t="shared" si="18"/>
        <v>#VALUE!</v>
      </c>
      <c r="P1454" s="16">
        <f t="shared" si="19"/>
        <v>0</v>
      </c>
    </row>
    <row r="1455" spans="15:16" hidden="1" x14ac:dyDescent="0.25">
      <c r="O1455" s="16" t="e">
        <f t="shared" si="18"/>
        <v>#VALUE!</v>
      </c>
      <c r="P1455" s="16">
        <f t="shared" si="19"/>
        <v>0</v>
      </c>
    </row>
    <row r="1456" spans="15:16" hidden="1" x14ac:dyDescent="0.25">
      <c r="O1456" s="16" t="e">
        <f t="shared" si="18"/>
        <v>#VALUE!</v>
      </c>
      <c r="P1456" s="16">
        <f t="shared" si="19"/>
        <v>0</v>
      </c>
    </row>
    <row r="1457" spans="15:16" hidden="1" x14ac:dyDescent="0.25">
      <c r="O1457" s="16" t="e">
        <f t="shared" si="18"/>
        <v>#VALUE!</v>
      </c>
      <c r="P1457" s="16">
        <f t="shared" si="19"/>
        <v>0</v>
      </c>
    </row>
    <row r="1458" spans="15:16" hidden="1" x14ac:dyDescent="0.25">
      <c r="O1458" s="16" t="e">
        <f t="shared" si="18"/>
        <v>#VALUE!</v>
      </c>
      <c r="P1458" s="16">
        <f t="shared" si="19"/>
        <v>0</v>
      </c>
    </row>
    <row r="1459" spans="15:16" hidden="1" x14ac:dyDescent="0.25">
      <c r="O1459" s="16" t="e">
        <f t="shared" si="18"/>
        <v>#VALUE!</v>
      </c>
      <c r="P1459" s="16">
        <f t="shared" si="19"/>
        <v>0</v>
      </c>
    </row>
    <row r="1460" spans="15:16" hidden="1" x14ac:dyDescent="0.25">
      <c r="O1460" s="16" t="e">
        <f t="shared" si="18"/>
        <v>#VALUE!</v>
      </c>
      <c r="P1460" s="16">
        <f t="shared" si="19"/>
        <v>0</v>
      </c>
    </row>
    <row r="1461" spans="15:16" hidden="1" x14ac:dyDescent="0.25">
      <c r="O1461" s="16" t="e">
        <f t="shared" si="18"/>
        <v>#VALUE!</v>
      </c>
      <c r="P1461" s="16">
        <f t="shared" si="19"/>
        <v>0</v>
      </c>
    </row>
    <row r="1462" spans="15:16" hidden="1" x14ac:dyDescent="0.25">
      <c r="O1462" s="16" t="e">
        <f t="shared" si="18"/>
        <v>#VALUE!</v>
      </c>
      <c r="P1462" s="16">
        <f t="shared" si="19"/>
        <v>0</v>
      </c>
    </row>
    <row r="1463" spans="15:16" hidden="1" x14ac:dyDescent="0.25">
      <c r="O1463" s="16" t="e">
        <f t="shared" si="18"/>
        <v>#VALUE!</v>
      </c>
      <c r="P1463" s="16">
        <f t="shared" si="19"/>
        <v>0</v>
      </c>
    </row>
    <row r="1464" spans="15:16" hidden="1" x14ac:dyDescent="0.25">
      <c r="O1464" s="16" t="e">
        <f t="shared" si="18"/>
        <v>#VALUE!</v>
      </c>
      <c r="P1464" s="16">
        <f t="shared" si="19"/>
        <v>0</v>
      </c>
    </row>
    <row r="1465" spans="15:16" hidden="1" x14ac:dyDescent="0.25">
      <c r="O1465" s="16" t="e">
        <f t="shared" si="18"/>
        <v>#VALUE!</v>
      </c>
      <c r="P1465" s="16">
        <f t="shared" si="19"/>
        <v>0</v>
      </c>
    </row>
    <row r="1466" spans="15:16" hidden="1" x14ac:dyDescent="0.25">
      <c r="O1466" s="16" t="e">
        <f t="shared" si="18"/>
        <v>#VALUE!</v>
      </c>
      <c r="P1466" s="16">
        <f t="shared" si="19"/>
        <v>0</v>
      </c>
    </row>
    <row r="1467" spans="15:16" hidden="1" x14ac:dyDescent="0.25">
      <c r="O1467" s="16" t="e">
        <f t="shared" si="18"/>
        <v>#VALUE!</v>
      </c>
      <c r="P1467" s="16">
        <f t="shared" si="19"/>
        <v>0</v>
      </c>
    </row>
    <row r="1468" spans="15:16" hidden="1" x14ac:dyDescent="0.25">
      <c r="O1468" s="16" t="e">
        <f t="shared" si="18"/>
        <v>#VALUE!</v>
      </c>
      <c r="P1468" s="16">
        <f t="shared" si="19"/>
        <v>0</v>
      </c>
    </row>
    <row r="1469" spans="15:16" hidden="1" x14ac:dyDescent="0.25">
      <c r="O1469" s="16" t="e">
        <f t="shared" si="18"/>
        <v>#VALUE!</v>
      </c>
      <c r="P1469" s="16">
        <f t="shared" si="19"/>
        <v>0</v>
      </c>
    </row>
    <row r="1470" spans="15:16" hidden="1" x14ac:dyDescent="0.25">
      <c r="O1470" s="16" t="e">
        <f t="shared" si="18"/>
        <v>#VALUE!</v>
      </c>
      <c r="P1470" s="16">
        <f t="shared" si="19"/>
        <v>0</v>
      </c>
    </row>
    <row r="1471" spans="15:16" hidden="1" x14ac:dyDescent="0.25">
      <c r="O1471" s="16" t="e">
        <f t="shared" si="18"/>
        <v>#VALUE!</v>
      </c>
      <c r="P1471" s="16">
        <f t="shared" si="19"/>
        <v>0</v>
      </c>
    </row>
    <row r="1472" spans="15:16" hidden="1" x14ac:dyDescent="0.25">
      <c r="O1472" s="16" t="e">
        <f t="shared" si="18"/>
        <v>#VALUE!</v>
      </c>
      <c r="P1472" s="16">
        <f t="shared" si="19"/>
        <v>0</v>
      </c>
    </row>
    <row r="1473" spans="15:16" hidden="1" x14ac:dyDescent="0.25">
      <c r="O1473" s="16" t="e">
        <f t="shared" si="18"/>
        <v>#VALUE!</v>
      </c>
      <c r="P1473" s="16">
        <f t="shared" si="19"/>
        <v>0</v>
      </c>
    </row>
    <row r="1474" spans="15:16" hidden="1" x14ac:dyDescent="0.25">
      <c r="O1474" s="16" t="e">
        <f t="shared" si="18"/>
        <v>#VALUE!</v>
      </c>
      <c r="P1474" s="16">
        <f t="shared" si="19"/>
        <v>0</v>
      </c>
    </row>
    <row r="1475" spans="15:16" hidden="1" x14ac:dyDescent="0.25">
      <c r="O1475" s="16" t="e">
        <f t="shared" ref="O1475:O1538" si="20">TEXT(DATEVALUE(LEFT(F1475,10)),"mm-yyyy")</f>
        <v>#VALUE!</v>
      </c>
      <c r="P1475" s="16">
        <f t="shared" ref="P1475:P1538" si="21">H1475*I1475</f>
        <v>0</v>
      </c>
    </row>
    <row r="1476" spans="15:16" hidden="1" x14ac:dyDescent="0.25">
      <c r="O1476" s="16" t="e">
        <f t="shared" si="20"/>
        <v>#VALUE!</v>
      </c>
      <c r="P1476" s="16">
        <f t="shared" si="21"/>
        <v>0</v>
      </c>
    </row>
    <row r="1477" spans="15:16" hidden="1" x14ac:dyDescent="0.25">
      <c r="O1477" s="16" t="e">
        <f t="shared" si="20"/>
        <v>#VALUE!</v>
      </c>
      <c r="P1477" s="16">
        <f t="shared" si="21"/>
        <v>0</v>
      </c>
    </row>
    <row r="1478" spans="15:16" hidden="1" x14ac:dyDescent="0.25">
      <c r="O1478" s="16" t="e">
        <f t="shared" si="20"/>
        <v>#VALUE!</v>
      </c>
      <c r="P1478" s="16">
        <f t="shared" si="21"/>
        <v>0</v>
      </c>
    </row>
    <row r="1479" spans="15:16" hidden="1" x14ac:dyDescent="0.25">
      <c r="O1479" s="16" t="e">
        <f t="shared" si="20"/>
        <v>#VALUE!</v>
      </c>
      <c r="P1479" s="16">
        <f t="shared" si="21"/>
        <v>0</v>
      </c>
    </row>
    <row r="1480" spans="15:16" hidden="1" x14ac:dyDescent="0.25">
      <c r="O1480" s="16" t="e">
        <f t="shared" si="20"/>
        <v>#VALUE!</v>
      </c>
      <c r="P1480" s="16">
        <f t="shared" si="21"/>
        <v>0</v>
      </c>
    </row>
    <row r="1481" spans="15:16" hidden="1" x14ac:dyDescent="0.25">
      <c r="O1481" s="16" t="e">
        <f t="shared" si="20"/>
        <v>#VALUE!</v>
      </c>
      <c r="P1481" s="16">
        <f t="shared" si="21"/>
        <v>0</v>
      </c>
    </row>
    <row r="1482" spans="15:16" hidden="1" x14ac:dyDescent="0.25">
      <c r="O1482" s="16" t="e">
        <f t="shared" si="20"/>
        <v>#VALUE!</v>
      </c>
      <c r="P1482" s="16">
        <f t="shared" si="21"/>
        <v>0</v>
      </c>
    </row>
    <row r="1483" spans="15:16" hidden="1" x14ac:dyDescent="0.25">
      <c r="O1483" s="16" t="e">
        <f t="shared" si="20"/>
        <v>#VALUE!</v>
      </c>
      <c r="P1483" s="16">
        <f t="shared" si="21"/>
        <v>0</v>
      </c>
    </row>
    <row r="1484" spans="15:16" hidden="1" x14ac:dyDescent="0.25">
      <c r="O1484" s="16" t="e">
        <f t="shared" si="20"/>
        <v>#VALUE!</v>
      </c>
      <c r="P1484" s="16">
        <f t="shared" si="21"/>
        <v>0</v>
      </c>
    </row>
    <row r="1485" spans="15:16" hidden="1" x14ac:dyDescent="0.25">
      <c r="O1485" s="16" t="e">
        <f t="shared" si="20"/>
        <v>#VALUE!</v>
      </c>
      <c r="P1485" s="16">
        <f t="shared" si="21"/>
        <v>0</v>
      </c>
    </row>
    <row r="1486" spans="15:16" hidden="1" x14ac:dyDescent="0.25">
      <c r="O1486" s="16" t="e">
        <f t="shared" si="20"/>
        <v>#VALUE!</v>
      </c>
      <c r="P1486" s="16">
        <f t="shared" si="21"/>
        <v>0</v>
      </c>
    </row>
    <row r="1487" spans="15:16" hidden="1" x14ac:dyDescent="0.25">
      <c r="O1487" s="16" t="e">
        <f t="shared" si="20"/>
        <v>#VALUE!</v>
      </c>
      <c r="P1487" s="16">
        <f t="shared" si="21"/>
        <v>0</v>
      </c>
    </row>
    <row r="1488" spans="15:16" hidden="1" x14ac:dyDescent="0.25">
      <c r="O1488" s="16" t="e">
        <f t="shared" si="20"/>
        <v>#VALUE!</v>
      </c>
      <c r="P1488" s="16">
        <f t="shared" si="21"/>
        <v>0</v>
      </c>
    </row>
    <row r="1489" spans="15:16" hidden="1" x14ac:dyDescent="0.25">
      <c r="O1489" s="16" t="e">
        <f t="shared" si="20"/>
        <v>#VALUE!</v>
      </c>
      <c r="P1489" s="16">
        <f t="shared" si="21"/>
        <v>0</v>
      </c>
    </row>
    <row r="1490" spans="15:16" hidden="1" x14ac:dyDescent="0.25">
      <c r="O1490" s="16" t="e">
        <f t="shared" si="20"/>
        <v>#VALUE!</v>
      </c>
      <c r="P1490" s="16">
        <f t="shared" si="21"/>
        <v>0</v>
      </c>
    </row>
    <row r="1491" spans="15:16" hidden="1" x14ac:dyDescent="0.25">
      <c r="O1491" s="16" t="e">
        <f t="shared" si="20"/>
        <v>#VALUE!</v>
      </c>
      <c r="P1491" s="16">
        <f t="shared" si="21"/>
        <v>0</v>
      </c>
    </row>
    <row r="1492" spans="15:16" hidden="1" x14ac:dyDescent="0.25">
      <c r="O1492" s="16" t="e">
        <f t="shared" si="20"/>
        <v>#VALUE!</v>
      </c>
      <c r="P1492" s="16">
        <f t="shared" si="21"/>
        <v>0</v>
      </c>
    </row>
    <row r="1493" spans="15:16" hidden="1" x14ac:dyDescent="0.25">
      <c r="O1493" s="16" t="e">
        <f t="shared" si="20"/>
        <v>#VALUE!</v>
      </c>
      <c r="P1493" s="16">
        <f t="shared" si="21"/>
        <v>0</v>
      </c>
    </row>
    <row r="1494" spans="15:16" hidden="1" x14ac:dyDescent="0.25">
      <c r="O1494" s="16" t="e">
        <f t="shared" si="20"/>
        <v>#VALUE!</v>
      </c>
      <c r="P1494" s="16">
        <f t="shared" si="21"/>
        <v>0</v>
      </c>
    </row>
    <row r="1495" spans="15:16" hidden="1" x14ac:dyDescent="0.25">
      <c r="O1495" s="16" t="e">
        <f t="shared" si="20"/>
        <v>#VALUE!</v>
      </c>
      <c r="P1495" s="16">
        <f t="shared" si="21"/>
        <v>0</v>
      </c>
    </row>
    <row r="1496" spans="15:16" hidden="1" x14ac:dyDescent="0.25">
      <c r="O1496" s="16" t="e">
        <f t="shared" si="20"/>
        <v>#VALUE!</v>
      </c>
      <c r="P1496" s="16">
        <f t="shared" si="21"/>
        <v>0</v>
      </c>
    </row>
    <row r="1497" spans="15:16" hidden="1" x14ac:dyDescent="0.25">
      <c r="O1497" s="16" t="e">
        <f t="shared" si="20"/>
        <v>#VALUE!</v>
      </c>
      <c r="P1497" s="16">
        <f t="shared" si="21"/>
        <v>0</v>
      </c>
    </row>
    <row r="1498" spans="15:16" hidden="1" x14ac:dyDescent="0.25">
      <c r="O1498" s="16" t="e">
        <f t="shared" si="20"/>
        <v>#VALUE!</v>
      </c>
      <c r="P1498" s="16">
        <f t="shared" si="21"/>
        <v>0</v>
      </c>
    </row>
    <row r="1499" spans="15:16" hidden="1" x14ac:dyDescent="0.25">
      <c r="O1499" s="16" t="e">
        <f t="shared" si="20"/>
        <v>#VALUE!</v>
      </c>
      <c r="P1499" s="16">
        <f t="shared" si="21"/>
        <v>0</v>
      </c>
    </row>
    <row r="1500" spans="15:16" hidden="1" x14ac:dyDescent="0.25">
      <c r="O1500" s="16" t="e">
        <f t="shared" si="20"/>
        <v>#VALUE!</v>
      </c>
      <c r="P1500" s="16">
        <f t="shared" si="21"/>
        <v>0</v>
      </c>
    </row>
    <row r="1501" spans="15:16" hidden="1" x14ac:dyDescent="0.25">
      <c r="O1501" s="16" t="e">
        <f t="shared" si="20"/>
        <v>#VALUE!</v>
      </c>
      <c r="P1501" s="16">
        <f t="shared" si="21"/>
        <v>0</v>
      </c>
    </row>
    <row r="1502" spans="15:16" hidden="1" x14ac:dyDescent="0.25">
      <c r="O1502" s="16" t="e">
        <f t="shared" si="20"/>
        <v>#VALUE!</v>
      </c>
      <c r="P1502" s="16">
        <f t="shared" si="21"/>
        <v>0</v>
      </c>
    </row>
    <row r="1503" spans="15:16" hidden="1" x14ac:dyDescent="0.25">
      <c r="O1503" s="16" t="e">
        <f t="shared" si="20"/>
        <v>#VALUE!</v>
      </c>
      <c r="P1503" s="16">
        <f t="shared" si="21"/>
        <v>0</v>
      </c>
    </row>
    <row r="1504" spans="15:16" hidden="1" x14ac:dyDescent="0.25">
      <c r="O1504" s="16" t="e">
        <f t="shared" si="20"/>
        <v>#VALUE!</v>
      </c>
      <c r="P1504" s="16">
        <f t="shared" si="21"/>
        <v>0</v>
      </c>
    </row>
    <row r="1505" spans="15:16" hidden="1" x14ac:dyDescent="0.25">
      <c r="O1505" s="16" t="e">
        <f t="shared" si="20"/>
        <v>#VALUE!</v>
      </c>
      <c r="P1505" s="16">
        <f t="shared" si="21"/>
        <v>0</v>
      </c>
    </row>
    <row r="1506" spans="15:16" hidden="1" x14ac:dyDescent="0.25">
      <c r="O1506" s="16" t="e">
        <f t="shared" si="20"/>
        <v>#VALUE!</v>
      </c>
      <c r="P1506" s="16">
        <f t="shared" si="21"/>
        <v>0</v>
      </c>
    </row>
    <row r="1507" spans="15:16" hidden="1" x14ac:dyDescent="0.25">
      <c r="O1507" s="16" t="e">
        <f t="shared" si="20"/>
        <v>#VALUE!</v>
      </c>
      <c r="P1507" s="16">
        <f t="shared" si="21"/>
        <v>0</v>
      </c>
    </row>
    <row r="1508" spans="15:16" hidden="1" x14ac:dyDescent="0.25">
      <c r="O1508" s="16" t="e">
        <f t="shared" si="20"/>
        <v>#VALUE!</v>
      </c>
      <c r="P1508" s="16">
        <f t="shared" si="21"/>
        <v>0</v>
      </c>
    </row>
    <row r="1509" spans="15:16" hidden="1" x14ac:dyDescent="0.25">
      <c r="O1509" s="16" t="e">
        <f t="shared" si="20"/>
        <v>#VALUE!</v>
      </c>
      <c r="P1509" s="16">
        <f t="shared" si="21"/>
        <v>0</v>
      </c>
    </row>
    <row r="1510" spans="15:16" hidden="1" x14ac:dyDescent="0.25">
      <c r="O1510" s="16" t="e">
        <f t="shared" si="20"/>
        <v>#VALUE!</v>
      </c>
      <c r="P1510" s="16">
        <f t="shared" si="21"/>
        <v>0</v>
      </c>
    </row>
    <row r="1511" spans="15:16" hidden="1" x14ac:dyDescent="0.25">
      <c r="O1511" s="16" t="e">
        <f t="shared" si="20"/>
        <v>#VALUE!</v>
      </c>
      <c r="P1511" s="16">
        <f t="shared" si="21"/>
        <v>0</v>
      </c>
    </row>
    <row r="1512" spans="15:16" hidden="1" x14ac:dyDescent="0.25">
      <c r="O1512" s="16" t="e">
        <f t="shared" si="20"/>
        <v>#VALUE!</v>
      </c>
      <c r="P1512" s="16">
        <f t="shared" si="21"/>
        <v>0</v>
      </c>
    </row>
    <row r="1513" spans="15:16" hidden="1" x14ac:dyDescent="0.25">
      <c r="O1513" s="16" t="e">
        <f t="shared" si="20"/>
        <v>#VALUE!</v>
      </c>
      <c r="P1513" s="16">
        <f t="shared" si="21"/>
        <v>0</v>
      </c>
    </row>
    <row r="1514" spans="15:16" hidden="1" x14ac:dyDescent="0.25">
      <c r="O1514" s="16" t="e">
        <f t="shared" si="20"/>
        <v>#VALUE!</v>
      </c>
      <c r="P1514" s="16">
        <f t="shared" si="21"/>
        <v>0</v>
      </c>
    </row>
    <row r="1515" spans="15:16" hidden="1" x14ac:dyDescent="0.25">
      <c r="O1515" s="16" t="e">
        <f t="shared" si="20"/>
        <v>#VALUE!</v>
      </c>
      <c r="P1515" s="16">
        <f t="shared" si="21"/>
        <v>0</v>
      </c>
    </row>
    <row r="1516" spans="15:16" hidden="1" x14ac:dyDescent="0.25">
      <c r="O1516" s="16" t="e">
        <f t="shared" si="20"/>
        <v>#VALUE!</v>
      </c>
      <c r="P1516" s="16">
        <f t="shared" si="21"/>
        <v>0</v>
      </c>
    </row>
    <row r="1517" spans="15:16" hidden="1" x14ac:dyDescent="0.25">
      <c r="O1517" s="16" t="e">
        <f t="shared" si="20"/>
        <v>#VALUE!</v>
      </c>
      <c r="P1517" s="16">
        <f t="shared" si="21"/>
        <v>0</v>
      </c>
    </row>
    <row r="1518" spans="15:16" hidden="1" x14ac:dyDescent="0.25">
      <c r="O1518" s="16" t="e">
        <f t="shared" si="20"/>
        <v>#VALUE!</v>
      </c>
      <c r="P1518" s="16">
        <f t="shared" si="21"/>
        <v>0</v>
      </c>
    </row>
    <row r="1519" spans="15:16" hidden="1" x14ac:dyDescent="0.25">
      <c r="O1519" s="16" t="e">
        <f t="shared" si="20"/>
        <v>#VALUE!</v>
      </c>
      <c r="P1519" s="16">
        <f t="shared" si="21"/>
        <v>0</v>
      </c>
    </row>
    <row r="1520" spans="15:16" hidden="1" x14ac:dyDescent="0.25">
      <c r="O1520" s="16" t="e">
        <f t="shared" si="20"/>
        <v>#VALUE!</v>
      </c>
      <c r="P1520" s="16">
        <f t="shared" si="21"/>
        <v>0</v>
      </c>
    </row>
    <row r="1521" spans="15:16" hidden="1" x14ac:dyDescent="0.25">
      <c r="O1521" s="16" t="e">
        <f t="shared" si="20"/>
        <v>#VALUE!</v>
      </c>
      <c r="P1521" s="16">
        <f t="shared" si="21"/>
        <v>0</v>
      </c>
    </row>
    <row r="1522" spans="15:16" hidden="1" x14ac:dyDescent="0.25">
      <c r="O1522" s="16" t="e">
        <f t="shared" si="20"/>
        <v>#VALUE!</v>
      </c>
      <c r="P1522" s="16">
        <f t="shared" si="21"/>
        <v>0</v>
      </c>
    </row>
    <row r="1523" spans="15:16" hidden="1" x14ac:dyDescent="0.25">
      <c r="O1523" s="16" t="e">
        <f t="shared" si="20"/>
        <v>#VALUE!</v>
      </c>
      <c r="P1523" s="16">
        <f t="shared" si="21"/>
        <v>0</v>
      </c>
    </row>
    <row r="1524" spans="15:16" hidden="1" x14ac:dyDescent="0.25">
      <c r="O1524" s="16" t="e">
        <f t="shared" si="20"/>
        <v>#VALUE!</v>
      </c>
      <c r="P1524" s="16">
        <f t="shared" si="21"/>
        <v>0</v>
      </c>
    </row>
    <row r="1525" spans="15:16" hidden="1" x14ac:dyDescent="0.25">
      <c r="O1525" s="16" t="e">
        <f t="shared" si="20"/>
        <v>#VALUE!</v>
      </c>
      <c r="P1525" s="16">
        <f t="shared" si="21"/>
        <v>0</v>
      </c>
    </row>
    <row r="1526" spans="15:16" hidden="1" x14ac:dyDescent="0.25">
      <c r="O1526" s="16" t="e">
        <f t="shared" si="20"/>
        <v>#VALUE!</v>
      </c>
      <c r="P1526" s="16">
        <f t="shared" si="21"/>
        <v>0</v>
      </c>
    </row>
    <row r="1527" spans="15:16" hidden="1" x14ac:dyDescent="0.25">
      <c r="O1527" s="16" t="e">
        <f t="shared" si="20"/>
        <v>#VALUE!</v>
      </c>
      <c r="P1527" s="16">
        <f t="shared" si="21"/>
        <v>0</v>
      </c>
    </row>
    <row r="1528" spans="15:16" hidden="1" x14ac:dyDescent="0.25">
      <c r="O1528" s="16" t="e">
        <f t="shared" si="20"/>
        <v>#VALUE!</v>
      </c>
      <c r="P1528" s="16">
        <f t="shared" si="21"/>
        <v>0</v>
      </c>
    </row>
    <row r="1529" spans="15:16" hidden="1" x14ac:dyDescent="0.25">
      <c r="O1529" s="16" t="e">
        <f t="shared" si="20"/>
        <v>#VALUE!</v>
      </c>
      <c r="P1529" s="16">
        <f t="shared" si="21"/>
        <v>0</v>
      </c>
    </row>
    <row r="1530" spans="15:16" hidden="1" x14ac:dyDescent="0.25">
      <c r="O1530" s="16" t="e">
        <f t="shared" si="20"/>
        <v>#VALUE!</v>
      </c>
      <c r="P1530" s="16">
        <f t="shared" si="21"/>
        <v>0</v>
      </c>
    </row>
    <row r="1531" spans="15:16" hidden="1" x14ac:dyDescent="0.25">
      <c r="O1531" s="16" t="e">
        <f t="shared" si="20"/>
        <v>#VALUE!</v>
      </c>
      <c r="P1531" s="16">
        <f t="shared" si="21"/>
        <v>0</v>
      </c>
    </row>
    <row r="1532" spans="15:16" hidden="1" x14ac:dyDescent="0.25">
      <c r="O1532" s="16" t="e">
        <f t="shared" si="20"/>
        <v>#VALUE!</v>
      </c>
      <c r="P1532" s="16">
        <f t="shared" si="21"/>
        <v>0</v>
      </c>
    </row>
    <row r="1533" spans="15:16" hidden="1" x14ac:dyDescent="0.25">
      <c r="O1533" s="16" t="e">
        <f t="shared" si="20"/>
        <v>#VALUE!</v>
      </c>
      <c r="P1533" s="16">
        <f t="shared" si="21"/>
        <v>0</v>
      </c>
    </row>
    <row r="1534" spans="15:16" hidden="1" x14ac:dyDescent="0.25">
      <c r="O1534" s="16" t="e">
        <f t="shared" si="20"/>
        <v>#VALUE!</v>
      </c>
      <c r="P1534" s="16">
        <f t="shared" si="21"/>
        <v>0</v>
      </c>
    </row>
    <row r="1535" spans="15:16" hidden="1" x14ac:dyDescent="0.25">
      <c r="O1535" s="16" t="e">
        <f t="shared" si="20"/>
        <v>#VALUE!</v>
      </c>
      <c r="P1535" s="16">
        <f t="shared" si="21"/>
        <v>0</v>
      </c>
    </row>
    <row r="1536" spans="15:16" hidden="1" x14ac:dyDescent="0.25">
      <c r="O1536" s="16" t="e">
        <f t="shared" si="20"/>
        <v>#VALUE!</v>
      </c>
      <c r="P1536" s="16">
        <f t="shared" si="21"/>
        <v>0</v>
      </c>
    </row>
    <row r="1537" spans="15:16" hidden="1" x14ac:dyDescent="0.25">
      <c r="O1537" s="16" t="e">
        <f t="shared" si="20"/>
        <v>#VALUE!</v>
      </c>
      <c r="P1537" s="16">
        <f t="shared" si="21"/>
        <v>0</v>
      </c>
    </row>
    <row r="1538" spans="15:16" hidden="1" x14ac:dyDescent="0.25">
      <c r="O1538" s="16" t="e">
        <f t="shared" si="20"/>
        <v>#VALUE!</v>
      </c>
      <c r="P1538" s="16">
        <f t="shared" si="21"/>
        <v>0</v>
      </c>
    </row>
    <row r="1539" spans="15:16" hidden="1" x14ac:dyDescent="0.25">
      <c r="O1539" s="16" t="e">
        <f t="shared" ref="O1539:O1602" si="22">TEXT(DATEVALUE(LEFT(F1539,10)),"mm-yyyy")</f>
        <v>#VALUE!</v>
      </c>
      <c r="P1539" s="16">
        <f t="shared" ref="P1539:P1602" si="23">H1539*I1539</f>
        <v>0</v>
      </c>
    </row>
    <row r="1540" spans="15:16" hidden="1" x14ac:dyDescent="0.25">
      <c r="O1540" s="16" t="e">
        <f t="shared" si="22"/>
        <v>#VALUE!</v>
      </c>
      <c r="P1540" s="16">
        <f t="shared" si="23"/>
        <v>0</v>
      </c>
    </row>
    <row r="1541" spans="15:16" hidden="1" x14ac:dyDescent="0.25">
      <c r="O1541" s="16" t="e">
        <f t="shared" si="22"/>
        <v>#VALUE!</v>
      </c>
      <c r="P1541" s="16">
        <f t="shared" si="23"/>
        <v>0</v>
      </c>
    </row>
    <row r="1542" spans="15:16" hidden="1" x14ac:dyDescent="0.25">
      <c r="O1542" s="16" t="e">
        <f t="shared" si="22"/>
        <v>#VALUE!</v>
      </c>
      <c r="P1542" s="16">
        <f t="shared" si="23"/>
        <v>0</v>
      </c>
    </row>
    <row r="1543" spans="15:16" hidden="1" x14ac:dyDescent="0.25">
      <c r="O1543" s="16" t="e">
        <f t="shared" si="22"/>
        <v>#VALUE!</v>
      </c>
      <c r="P1543" s="16">
        <f t="shared" si="23"/>
        <v>0</v>
      </c>
    </row>
    <row r="1544" spans="15:16" hidden="1" x14ac:dyDescent="0.25">
      <c r="O1544" s="16" t="e">
        <f t="shared" si="22"/>
        <v>#VALUE!</v>
      </c>
      <c r="P1544" s="16">
        <f t="shared" si="23"/>
        <v>0</v>
      </c>
    </row>
    <row r="1545" spans="15:16" hidden="1" x14ac:dyDescent="0.25">
      <c r="O1545" s="16" t="e">
        <f t="shared" si="22"/>
        <v>#VALUE!</v>
      </c>
      <c r="P1545" s="16">
        <f t="shared" si="23"/>
        <v>0</v>
      </c>
    </row>
    <row r="1546" spans="15:16" hidden="1" x14ac:dyDescent="0.25">
      <c r="O1546" s="16" t="e">
        <f t="shared" si="22"/>
        <v>#VALUE!</v>
      </c>
      <c r="P1546" s="16">
        <f t="shared" si="23"/>
        <v>0</v>
      </c>
    </row>
    <row r="1547" spans="15:16" hidden="1" x14ac:dyDescent="0.25">
      <c r="O1547" s="16" t="e">
        <f t="shared" si="22"/>
        <v>#VALUE!</v>
      </c>
      <c r="P1547" s="16">
        <f t="shared" si="23"/>
        <v>0</v>
      </c>
    </row>
    <row r="1548" spans="15:16" hidden="1" x14ac:dyDescent="0.25">
      <c r="O1548" s="16" t="e">
        <f t="shared" si="22"/>
        <v>#VALUE!</v>
      </c>
      <c r="P1548" s="16">
        <f t="shared" si="23"/>
        <v>0</v>
      </c>
    </row>
    <row r="1549" spans="15:16" hidden="1" x14ac:dyDescent="0.25">
      <c r="O1549" s="16" t="e">
        <f t="shared" si="22"/>
        <v>#VALUE!</v>
      </c>
      <c r="P1549" s="16">
        <f t="shared" si="23"/>
        <v>0</v>
      </c>
    </row>
    <row r="1550" spans="15:16" hidden="1" x14ac:dyDescent="0.25">
      <c r="O1550" s="16" t="e">
        <f t="shared" si="22"/>
        <v>#VALUE!</v>
      </c>
      <c r="P1550" s="16">
        <f t="shared" si="23"/>
        <v>0</v>
      </c>
    </row>
    <row r="1551" spans="15:16" hidden="1" x14ac:dyDescent="0.25">
      <c r="O1551" s="16" t="e">
        <f t="shared" si="22"/>
        <v>#VALUE!</v>
      </c>
      <c r="P1551" s="16">
        <f t="shared" si="23"/>
        <v>0</v>
      </c>
    </row>
    <row r="1552" spans="15:16" hidden="1" x14ac:dyDescent="0.25">
      <c r="O1552" s="16" t="e">
        <f t="shared" si="22"/>
        <v>#VALUE!</v>
      </c>
      <c r="P1552" s="16">
        <f t="shared" si="23"/>
        <v>0</v>
      </c>
    </row>
    <row r="1553" spans="15:16" hidden="1" x14ac:dyDescent="0.25">
      <c r="O1553" s="16" t="e">
        <f t="shared" si="22"/>
        <v>#VALUE!</v>
      </c>
      <c r="P1553" s="16">
        <f t="shared" si="23"/>
        <v>0</v>
      </c>
    </row>
    <row r="1554" spans="15:16" hidden="1" x14ac:dyDescent="0.25">
      <c r="O1554" s="16" t="e">
        <f t="shared" si="22"/>
        <v>#VALUE!</v>
      </c>
      <c r="P1554" s="16">
        <f t="shared" si="23"/>
        <v>0</v>
      </c>
    </row>
    <row r="1555" spans="15:16" hidden="1" x14ac:dyDescent="0.25">
      <c r="O1555" s="16" t="e">
        <f t="shared" si="22"/>
        <v>#VALUE!</v>
      </c>
      <c r="P1555" s="16">
        <f t="shared" si="23"/>
        <v>0</v>
      </c>
    </row>
    <row r="1556" spans="15:16" hidden="1" x14ac:dyDescent="0.25">
      <c r="O1556" s="16" t="e">
        <f t="shared" si="22"/>
        <v>#VALUE!</v>
      </c>
      <c r="P1556" s="16">
        <f t="shared" si="23"/>
        <v>0</v>
      </c>
    </row>
    <row r="1557" spans="15:16" hidden="1" x14ac:dyDescent="0.25">
      <c r="O1557" s="16" t="e">
        <f t="shared" si="22"/>
        <v>#VALUE!</v>
      </c>
      <c r="P1557" s="16">
        <f t="shared" si="23"/>
        <v>0</v>
      </c>
    </row>
    <row r="1558" spans="15:16" hidden="1" x14ac:dyDescent="0.25">
      <c r="O1558" s="16" t="e">
        <f t="shared" si="22"/>
        <v>#VALUE!</v>
      </c>
      <c r="P1558" s="16">
        <f t="shared" si="23"/>
        <v>0</v>
      </c>
    </row>
    <row r="1559" spans="15:16" hidden="1" x14ac:dyDescent="0.25">
      <c r="O1559" s="16" t="e">
        <f t="shared" si="22"/>
        <v>#VALUE!</v>
      </c>
      <c r="P1559" s="16">
        <f t="shared" si="23"/>
        <v>0</v>
      </c>
    </row>
    <row r="1560" spans="15:16" hidden="1" x14ac:dyDescent="0.25">
      <c r="O1560" s="16" t="e">
        <f t="shared" si="22"/>
        <v>#VALUE!</v>
      </c>
      <c r="P1560" s="16">
        <f t="shared" si="23"/>
        <v>0</v>
      </c>
    </row>
    <row r="1561" spans="15:16" hidden="1" x14ac:dyDescent="0.25">
      <c r="O1561" s="16" t="e">
        <f t="shared" si="22"/>
        <v>#VALUE!</v>
      </c>
      <c r="P1561" s="16">
        <f t="shared" si="23"/>
        <v>0</v>
      </c>
    </row>
    <row r="1562" spans="15:16" hidden="1" x14ac:dyDescent="0.25">
      <c r="O1562" s="16" t="e">
        <f t="shared" si="22"/>
        <v>#VALUE!</v>
      </c>
      <c r="P1562" s="16">
        <f t="shared" si="23"/>
        <v>0</v>
      </c>
    </row>
    <row r="1563" spans="15:16" hidden="1" x14ac:dyDescent="0.25">
      <c r="O1563" s="16" t="e">
        <f t="shared" si="22"/>
        <v>#VALUE!</v>
      </c>
      <c r="P1563" s="16">
        <f t="shared" si="23"/>
        <v>0</v>
      </c>
    </row>
    <row r="1564" spans="15:16" hidden="1" x14ac:dyDescent="0.25">
      <c r="O1564" s="16" t="e">
        <f t="shared" si="22"/>
        <v>#VALUE!</v>
      </c>
      <c r="P1564" s="16">
        <f t="shared" si="23"/>
        <v>0</v>
      </c>
    </row>
    <row r="1565" spans="15:16" hidden="1" x14ac:dyDescent="0.25">
      <c r="O1565" s="16" t="e">
        <f t="shared" si="22"/>
        <v>#VALUE!</v>
      </c>
      <c r="P1565" s="16">
        <f t="shared" si="23"/>
        <v>0</v>
      </c>
    </row>
    <row r="1566" spans="15:16" hidden="1" x14ac:dyDescent="0.25">
      <c r="O1566" s="16" t="e">
        <f t="shared" si="22"/>
        <v>#VALUE!</v>
      </c>
      <c r="P1566" s="16">
        <f t="shared" si="23"/>
        <v>0</v>
      </c>
    </row>
    <row r="1567" spans="15:16" hidden="1" x14ac:dyDescent="0.25">
      <c r="O1567" s="16" t="e">
        <f t="shared" si="22"/>
        <v>#VALUE!</v>
      </c>
      <c r="P1567" s="16">
        <f t="shared" si="23"/>
        <v>0</v>
      </c>
    </row>
    <row r="1568" spans="15:16" hidden="1" x14ac:dyDescent="0.25">
      <c r="O1568" s="16" t="e">
        <f t="shared" si="22"/>
        <v>#VALUE!</v>
      </c>
      <c r="P1568" s="16">
        <f t="shared" si="23"/>
        <v>0</v>
      </c>
    </row>
    <row r="1569" spans="15:16" hidden="1" x14ac:dyDescent="0.25">
      <c r="O1569" s="16" t="e">
        <f t="shared" si="22"/>
        <v>#VALUE!</v>
      </c>
      <c r="P1569" s="16">
        <f t="shared" si="23"/>
        <v>0</v>
      </c>
    </row>
    <row r="1570" spans="15:16" hidden="1" x14ac:dyDescent="0.25">
      <c r="O1570" s="16" t="e">
        <f t="shared" si="22"/>
        <v>#VALUE!</v>
      </c>
      <c r="P1570" s="16">
        <f t="shared" si="23"/>
        <v>0</v>
      </c>
    </row>
    <row r="1571" spans="15:16" hidden="1" x14ac:dyDescent="0.25">
      <c r="O1571" s="16" t="e">
        <f t="shared" si="22"/>
        <v>#VALUE!</v>
      </c>
      <c r="P1571" s="16">
        <f t="shared" si="23"/>
        <v>0</v>
      </c>
    </row>
    <row r="1572" spans="15:16" hidden="1" x14ac:dyDescent="0.25">
      <c r="O1572" s="16" t="e">
        <f t="shared" si="22"/>
        <v>#VALUE!</v>
      </c>
      <c r="P1572" s="16">
        <f t="shared" si="23"/>
        <v>0</v>
      </c>
    </row>
    <row r="1573" spans="15:16" hidden="1" x14ac:dyDescent="0.25">
      <c r="O1573" s="16" t="e">
        <f t="shared" si="22"/>
        <v>#VALUE!</v>
      </c>
      <c r="P1573" s="16">
        <f t="shared" si="23"/>
        <v>0</v>
      </c>
    </row>
    <row r="1574" spans="15:16" hidden="1" x14ac:dyDescent="0.25">
      <c r="O1574" s="16" t="e">
        <f t="shared" si="22"/>
        <v>#VALUE!</v>
      </c>
      <c r="P1574" s="16">
        <f t="shared" si="23"/>
        <v>0</v>
      </c>
    </row>
    <row r="1575" spans="15:16" hidden="1" x14ac:dyDescent="0.25">
      <c r="O1575" s="16" t="e">
        <f t="shared" si="22"/>
        <v>#VALUE!</v>
      </c>
      <c r="P1575" s="16">
        <f t="shared" si="23"/>
        <v>0</v>
      </c>
    </row>
    <row r="1576" spans="15:16" hidden="1" x14ac:dyDescent="0.25">
      <c r="O1576" s="16" t="e">
        <f t="shared" si="22"/>
        <v>#VALUE!</v>
      </c>
      <c r="P1576" s="16">
        <f t="shared" si="23"/>
        <v>0</v>
      </c>
    </row>
    <row r="1577" spans="15:16" hidden="1" x14ac:dyDescent="0.25">
      <c r="O1577" s="16" t="e">
        <f t="shared" si="22"/>
        <v>#VALUE!</v>
      </c>
      <c r="P1577" s="16">
        <f t="shared" si="23"/>
        <v>0</v>
      </c>
    </row>
    <row r="1578" spans="15:16" hidden="1" x14ac:dyDescent="0.25">
      <c r="O1578" s="16" t="e">
        <f t="shared" si="22"/>
        <v>#VALUE!</v>
      </c>
      <c r="P1578" s="16">
        <f t="shared" si="23"/>
        <v>0</v>
      </c>
    </row>
    <row r="1579" spans="15:16" hidden="1" x14ac:dyDescent="0.25">
      <c r="O1579" s="16" t="e">
        <f t="shared" si="22"/>
        <v>#VALUE!</v>
      </c>
      <c r="P1579" s="16">
        <f t="shared" si="23"/>
        <v>0</v>
      </c>
    </row>
    <row r="1580" spans="15:16" hidden="1" x14ac:dyDescent="0.25">
      <c r="O1580" s="16" t="e">
        <f t="shared" si="22"/>
        <v>#VALUE!</v>
      </c>
      <c r="P1580" s="16">
        <f t="shared" si="23"/>
        <v>0</v>
      </c>
    </row>
    <row r="1581" spans="15:16" hidden="1" x14ac:dyDescent="0.25">
      <c r="O1581" s="16" t="e">
        <f t="shared" si="22"/>
        <v>#VALUE!</v>
      </c>
      <c r="P1581" s="16">
        <f t="shared" si="23"/>
        <v>0</v>
      </c>
    </row>
    <row r="1582" spans="15:16" hidden="1" x14ac:dyDescent="0.25">
      <c r="O1582" s="16" t="e">
        <f t="shared" si="22"/>
        <v>#VALUE!</v>
      </c>
      <c r="P1582" s="16">
        <f t="shared" si="23"/>
        <v>0</v>
      </c>
    </row>
    <row r="1583" spans="15:16" hidden="1" x14ac:dyDescent="0.25">
      <c r="O1583" s="16" t="e">
        <f t="shared" si="22"/>
        <v>#VALUE!</v>
      </c>
      <c r="P1583" s="16">
        <f t="shared" si="23"/>
        <v>0</v>
      </c>
    </row>
    <row r="1584" spans="15:16" hidden="1" x14ac:dyDescent="0.25">
      <c r="O1584" s="16" t="e">
        <f t="shared" si="22"/>
        <v>#VALUE!</v>
      </c>
      <c r="P1584" s="16">
        <f t="shared" si="23"/>
        <v>0</v>
      </c>
    </row>
    <row r="1585" spans="15:16" hidden="1" x14ac:dyDescent="0.25">
      <c r="O1585" s="16" t="e">
        <f t="shared" si="22"/>
        <v>#VALUE!</v>
      </c>
      <c r="P1585" s="16">
        <f t="shared" si="23"/>
        <v>0</v>
      </c>
    </row>
    <row r="1586" spans="15:16" hidden="1" x14ac:dyDescent="0.25">
      <c r="O1586" s="16" t="e">
        <f t="shared" si="22"/>
        <v>#VALUE!</v>
      </c>
      <c r="P1586" s="16">
        <f t="shared" si="23"/>
        <v>0</v>
      </c>
    </row>
    <row r="1587" spans="15:16" hidden="1" x14ac:dyDescent="0.25">
      <c r="O1587" s="16" t="e">
        <f t="shared" si="22"/>
        <v>#VALUE!</v>
      </c>
      <c r="P1587" s="16">
        <f t="shared" si="23"/>
        <v>0</v>
      </c>
    </row>
    <row r="1588" spans="15:16" hidden="1" x14ac:dyDescent="0.25">
      <c r="O1588" s="16" t="e">
        <f t="shared" si="22"/>
        <v>#VALUE!</v>
      </c>
      <c r="P1588" s="16">
        <f t="shared" si="23"/>
        <v>0</v>
      </c>
    </row>
    <row r="1589" spans="15:16" hidden="1" x14ac:dyDescent="0.25">
      <c r="O1589" s="16" t="e">
        <f t="shared" si="22"/>
        <v>#VALUE!</v>
      </c>
      <c r="P1589" s="16">
        <f t="shared" si="23"/>
        <v>0</v>
      </c>
    </row>
    <row r="1590" spans="15:16" hidden="1" x14ac:dyDescent="0.25">
      <c r="O1590" s="16" t="e">
        <f t="shared" si="22"/>
        <v>#VALUE!</v>
      </c>
      <c r="P1590" s="16">
        <f t="shared" si="23"/>
        <v>0</v>
      </c>
    </row>
    <row r="1591" spans="15:16" hidden="1" x14ac:dyDescent="0.25">
      <c r="O1591" s="16" t="e">
        <f t="shared" si="22"/>
        <v>#VALUE!</v>
      </c>
      <c r="P1591" s="16">
        <f t="shared" si="23"/>
        <v>0</v>
      </c>
    </row>
    <row r="1592" spans="15:16" hidden="1" x14ac:dyDescent="0.25">
      <c r="O1592" s="16" t="e">
        <f t="shared" si="22"/>
        <v>#VALUE!</v>
      </c>
      <c r="P1592" s="16">
        <f t="shared" si="23"/>
        <v>0</v>
      </c>
    </row>
    <row r="1593" spans="15:16" hidden="1" x14ac:dyDescent="0.25">
      <c r="O1593" s="16" t="e">
        <f t="shared" si="22"/>
        <v>#VALUE!</v>
      </c>
      <c r="P1593" s="16">
        <f t="shared" si="23"/>
        <v>0</v>
      </c>
    </row>
    <row r="1594" spans="15:16" hidden="1" x14ac:dyDescent="0.25">
      <c r="O1594" s="16" t="e">
        <f t="shared" si="22"/>
        <v>#VALUE!</v>
      </c>
      <c r="P1594" s="16">
        <f t="shared" si="23"/>
        <v>0</v>
      </c>
    </row>
    <row r="1595" spans="15:16" hidden="1" x14ac:dyDescent="0.25">
      <c r="O1595" s="16" t="e">
        <f t="shared" si="22"/>
        <v>#VALUE!</v>
      </c>
      <c r="P1595" s="16">
        <f t="shared" si="23"/>
        <v>0</v>
      </c>
    </row>
    <row r="1596" spans="15:16" hidden="1" x14ac:dyDescent="0.25">
      <c r="O1596" s="16" t="e">
        <f t="shared" si="22"/>
        <v>#VALUE!</v>
      </c>
      <c r="P1596" s="16">
        <f t="shared" si="23"/>
        <v>0</v>
      </c>
    </row>
    <row r="1597" spans="15:16" hidden="1" x14ac:dyDescent="0.25">
      <c r="O1597" s="16" t="e">
        <f t="shared" si="22"/>
        <v>#VALUE!</v>
      </c>
      <c r="P1597" s="16">
        <f t="shared" si="23"/>
        <v>0</v>
      </c>
    </row>
    <row r="1598" spans="15:16" hidden="1" x14ac:dyDescent="0.25">
      <c r="O1598" s="16" t="e">
        <f t="shared" si="22"/>
        <v>#VALUE!</v>
      </c>
      <c r="P1598" s="16">
        <f t="shared" si="23"/>
        <v>0</v>
      </c>
    </row>
    <row r="1599" spans="15:16" hidden="1" x14ac:dyDescent="0.25">
      <c r="O1599" s="16" t="e">
        <f t="shared" si="22"/>
        <v>#VALUE!</v>
      </c>
      <c r="P1599" s="16">
        <f t="shared" si="23"/>
        <v>0</v>
      </c>
    </row>
    <row r="1600" spans="15:16" hidden="1" x14ac:dyDescent="0.25">
      <c r="O1600" s="16" t="e">
        <f t="shared" si="22"/>
        <v>#VALUE!</v>
      </c>
      <c r="P1600" s="16">
        <f t="shared" si="23"/>
        <v>0</v>
      </c>
    </row>
    <row r="1601" spans="15:16" hidden="1" x14ac:dyDescent="0.25">
      <c r="O1601" s="16" t="e">
        <f t="shared" si="22"/>
        <v>#VALUE!</v>
      </c>
      <c r="P1601" s="16">
        <f t="shared" si="23"/>
        <v>0</v>
      </c>
    </row>
    <row r="1602" spans="15:16" hidden="1" x14ac:dyDescent="0.25">
      <c r="O1602" s="16" t="e">
        <f t="shared" si="22"/>
        <v>#VALUE!</v>
      </c>
      <c r="P1602" s="16">
        <f t="shared" si="23"/>
        <v>0</v>
      </c>
    </row>
    <row r="1603" spans="15:16" hidden="1" x14ac:dyDescent="0.25">
      <c r="O1603" s="16" t="e">
        <f t="shared" ref="O1603:O1666" si="24">TEXT(DATEVALUE(LEFT(F1603,10)),"mm-yyyy")</f>
        <v>#VALUE!</v>
      </c>
      <c r="P1603" s="16">
        <f t="shared" ref="P1603:P1666" si="25">H1603*I1603</f>
        <v>0</v>
      </c>
    </row>
    <row r="1604" spans="15:16" hidden="1" x14ac:dyDescent="0.25">
      <c r="O1604" s="16" t="e">
        <f t="shared" si="24"/>
        <v>#VALUE!</v>
      </c>
      <c r="P1604" s="16">
        <f t="shared" si="25"/>
        <v>0</v>
      </c>
    </row>
    <row r="1605" spans="15:16" hidden="1" x14ac:dyDescent="0.25">
      <c r="O1605" s="16" t="e">
        <f t="shared" si="24"/>
        <v>#VALUE!</v>
      </c>
      <c r="P1605" s="16">
        <f t="shared" si="25"/>
        <v>0</v>
      </c>
    </row>
    <row r="1606" spans="15:16" hidden="1" x14ac:dyDescent="0.25">
      <c r="O1606" s="16" t="e">
        <f t="shared" si="24"/>
        <v>#VALUE!</v>
      </c>
      <c r="P1606" s="16">
        <f t="shared" si="25"/>
        <v>0</v>
      </c>
    </row>
    <row r="1607" spans="15:16" hidden="1" x14ac:dyDescent="0.25">
      <c r="O1607" s="16" t="e">
        <f t="shared" si="24"/>
        <v>#VALUE!</v>
      </c>
      <c r="P1607" s="16">
        <f t="shared" si="25"/>
        <v>0</v>
      </c>
    </row>
    <row r="1608" spans="15:16" hidden="1" x14ac:dyDescent="0.25">
      <c r="O1608" s="16" t="e">
        <f t="shared" si="24"/>
        <v>#VALUE!</v>
      </c>
      <c r="P1608" s="16">
        <f t="shared" si="25"/>
        <v>0</v>
      </c>
    </row>
    <row r="1609" spans="15:16" hidden="1" x14ac:dyDescent="0.25">
      <c r="O1609" s="16" t="e">
        <f t="shared" si="24"/>
        <v>#VALUE!</v>
      </c>
      <c r="P1609" s="16">
        <f t="shared" si="25"/>
        <v>0</v>
      </c>
    </row>
    <row r="1610" spans="15:16" hidden="1" x14ac:dyDescent="0.25">
      <c r="O1610" s="16" t="e">
        <f t="shared" si="24"/>
        <v>#VALUE!</v>
      </c>
      <c r="P1610" s="16">
        <f t="shared" si="25"/>
        <v>0</v>
      </c>
    </row>
    <row r="1611" spans="15:16" hidden="1" x14ac:dyDescent="0.25">
      <c r="O1611" s="16" t="e">
        <f t="shared" si="24"/>
        <v>#VALUE!</v>
      </c>
      <c r="P1611" s="16">
        <f t="shared" si="25"/>
        <v>0</v>
      </c>
    </row>
    <row r="1612" spans="15:16" hidden="1" x14ac:dyDescent="0.25">
      <c r="O1612" s="16" t="e">
        <f t="shared" si="24"/>
        <v>#VALUE!</v>
      </c>
      <c r="P1612" s="16">
        <f t="shared" si="25"/>
        <v>0</v>
      </c>
    </row>
    <row r="1613" spans="15:16" hidden="1" x14ac:dyDescent="0.25">
      <c r="O1613" s="16" t="e">
        <f t="shared" si="24"/>
        <v>#VALUE!</v>
      </c>
      <c r="P1613" s="16">
        <f t="shared" si="25"/>
        <v>0</v>
      </c>
    </row>
    <row r="1614" spans="15:16" hidden="1" x14ac:dyDescent="0.25">
      <c r="O1614" s="16" t="e">
        <f t="shared" si="24"/>
        <v>#VALUE!</v>
      </c>
      <c r="P1614" s="16">
        <f t="shared" si="25"/>
        <v>0</v>
      </c>
    </row>
    <row r="1615" spans="15:16" hidden="1" x14ac:dyDescent="0.25">
      <c r="O1615" s="16" t="e">
        <f t="shared" si="24"/>
        <v>#VALUE!</v>
      </c>
      <c r="P1615" s="16">
        <f t="shared" si="25"/>
        <v>0</v>
      </c>
    </row>
    <row r="1616" spans="15:16" hidden="1" x14ac:dyDescent="0.25">
      <c r="O1616" s="16" t="e">
        <f t="shared" si="24"/>
        <v>#VALUE!</v>
      </c>
      <c r="P1616" s="16">
        <f t="shared" si="25"/>
        <v>0</v>
      </c>
    </row>
    <row r="1617" spans="15:16" hidden="1" x14ac:dyDescent="0.25">
      <c r="O1617" s="16" t="e">
        <f t="shared" si="24"/>
        <v>#VALUE!</v>
      </c>
      <c r="P1617" s="16">
        <f t="shared" si="25"/>
        <v>0</v>
      </c>
    </row>
    <row r="1618" spans="15:16" hidden="1" x14ac:dyDescent="0.25">
      <c r="O1618" s="16" t="e">
        <f t="shared" si="24"/>
        <v>#VALUE!</v>
      </c>
      <c r="P1618" s="16">
        <f t="shared" si="25"/>
        <v>0</v>
      </c>
    </row>
    <row r="1619" spans="15:16" hidden="1" x14ac:dyDescent="0.25">
      <c r="O1619" s="16" t="e">
        <f t="shared" si="24"/>
        <v>#VALUE!</v>
      </c>
      <c r="P1619" s="16">
        <f t="shared" si="25"/>
        <v>0</v>
      </c>
    </row>
    <row r="1620" spans="15:16" hidden="1" x14ac:dyDescent="0.25">
      <c r="O1620" s="16" t="e">
        <f t="shared" si="24"/>
        <v>#VALUE!</v>
      </c>
      <c r="P1620" s="16">
        <f t="shared" si="25"/>
        <v>0</v>
      </c>
    </row>
    <row r="1621" spans="15:16" hidden="1" x14ac:dyDescent="0.25">
      <c r="O1621" s="16" t="e">
        <f t="shared" si="24"/>
        <v>#VALUE!</v>
      </c>
      <c r="P1621" s="16">
        <f t="shared" si="25"/>
        <v>0</v>
      </c>
    </row>
    <row r="1622" spans="15:16" hidden="1" x14ac:dyDescent="0.25">
      <c r="O1622" s="16" t="e">
        <f t="shared" si="24"/>
        <v>#VALUE!</v>
      </c>
      <c r="P1622" s="16">
        <f t="shared" si="25"/>
        <v>0</v>
      </c>
    </row>
    <row r="1623" spans="15:16" hidden="1" x14ac:dyDescent="0.25">
      <c r="O1623" s="16" t="e">
        <f t="shared" si="24"/>
        <v>#VALUE!</v>
      </c>
      <c r="P1623" s="16">
        <f t="shared" si="25"/>
        <v>0</v>
      </c>
    </row>
    <row r="1624" spans="15:16" hidden="1" x14ac:dyDescent="0.25">
      <c r="O1624" s="16" t="e">
        <f t="shared" si="24"/>
        <v>#VALUE!</v>
      </c>
      <c r="P1624" s="16">
        <f t="shared" si="25"/>
        <v>0</v>
      </c>
    </row>
    <row r="1625" spans="15:16" hidden="1" x14ac:dyDescent="0.25">
      <c r="O1625" s="16" t="e">
        <f t="shared" si="24"/>
        <v>#VALUE!</v>
      </c>
      <c r="P1625" s="16">
        <f t="shared" si="25"/>
        <v>0</v>
      </c>
    </row>
    <row r="1626" spans="15:16" hidden="1" x14ac:dyDescent="0.25">
      <c r="O1626" s="16" t="e">
        <f t="shared" si="24"/>
        <v>#VALUE!</v>
      </c>
      <c r="P1626" s="16">
        <f t="shared" si="25"/>
        <v>0</v>
      </c>
    </row>
    <row r="1627" spans="15:16" hidden="1" x14ac:dyDescent="0.25">
      <c r="O1627" s="16" t="e">
        <f t="shared" si="24"/>
        <v>#VALUE!</v>
      </c>
      <c r="P1627" s="16">
        <f t="shared" si="25"/>
        <v>0</v>
      </c>
    </row>
    <row r="1628" spans="15:16" hidden="1" x14ac:dyDescent="0.25">
      <c r="O1628" s="16" t="e">
        <f t="shared" si="24"/>
        <v>#VALUE!</v>
      </c>
      <c r="P1628" s="16">
        <f t="shared" si="25"/>
        <v>0</v>
      </c>
    </row>
    <row r="1629" spans="15:16" hidden="1" x14ac:dyDescent="0.25">
      <c r="O1629" s="16" t="e">
        <f t="shared" si="24"/>
        <v>#VALUE!</v>
      </c>
      <c r="P1629" s="16">
        <f t="shared" si="25"/>
        <v>0</v>
      </c>
    </row>
    <row r="1630" spans="15:16" hidden="1" x14ac:dyDescent="0.25">
      <c r="O1630" s="16" t="e">
        <f t="shared" si="24"/>
        <v>#VALUE!</v>
      </c>
      <c r="P1630" s="16">
        <f t="shared" si="25"/>
        <v>0</v>
      </c>
    </row>
    <row r="1631" spans="15:16" hidden="1" x14ac:dyDescent="0.25">
      <c r="O1631" s="16" t="e">
        <f t="shared" si="24"/>
        <v>#VALUE!</v>
      </c>
      <c r="P1631" s="16">
        <f t="shared" si="25"/>
        <v>0</v>
      </c>
    </row>
    <row r="1632" spans="15:16" hidden="1" x14ac:dyDescent="0.25">
      <c r="O1632" s="16" t="e">
        <f t="shared" si="24"/>
        <v>#VALUE!</v>
      </c>
      <c r="P1632" s="16">
        <f t="shared" si="25"/>
        <v>0</v>
      </c>
    </row>
    <row r="1633" spans="15:16" hidden="1" x14ac:dyDescent="0.25">
      <c r="O1633" s="16" t="e">
        <f t="shared" si="24"/>
        <v>#VALUE!</v>
      </c>
      <c r="P1633" s="16">
        <f t="shared" si="25"/>
        <v>0</v>
      </c>
    </row>
    <row r="1634" spans="15:16" hidden="1" x14ac:dyDescent="0.25">
      <c r="O1634" s="16" t="e">
        <f t="shared" si="24"/>
        <v>#VALUE!</v>
      </c>
      <c r="P1634" s="16">
        <f t="shared" si="25"/>
        <v>0</v>
      </c>
    </row>
    <row r="1635" spans="15:16" hidden="1" x14ac:dyDescent="0.25">
      <c r="O1635" s="16" t="e">
        <f t="shared" si="24"/>
        <v>#VALUE!</v>
      </c>
      <c r="P1635" s="16">
        <f t="shared" si="25"/>
        <v>0</v>
      </c>
    </row>
    <row r="1636" spans="15:16" hidden="1" x14ac:dyDescent="0.25">
      <c r="O1636" s="16" t="e">
        <f t="shared" si="24"/>
        <v>#VALUE!</v>
      </c>
      <c r="P1636" s="16">
        <f t="shared" si="25"/>
        <v>0</v>
      </c>
    </row>
    <row r="1637" spans="15:16" hidden="1" x14ac:dyDescent="0.25">
      <c r="O1637" s="16" t="e">
        <f t="shared" si="24"/>
        <v>#VALUE!</v>
      </c>
      <c r="P1637" s="16">
        <f t="shared" si="25"/>
        <v>0</v>
      </c>
    </row>
    <row r="1638" spans="15:16" hidden="1" x14ac:dyDescent="0.25">
      <c r="O1638" s="16" t="e">
        <f t="shared" si="24"/>
        <v>#VALUE!</v>
      </c>
      <c r="P1638" s="16">
        <f t="shared" si="25"/>
        <v>0</v>
      </c>
    </row>
    <row r="1639" spans="15:16" hidden="1" x14ac:dyDescent="0.25">
      <c r="O1639" s="16" t="e">
        <f t="shared" si="24"/>
        <v>#VALUE!</v>
      </c>
      <c r="P1639" s="16">
        <f t="shared" si="25"/>
        <v>0</v>
      </c>
    </row>
    <row r="1640" spans="15:16" hidden="1" x14ac:dyDescent="0.25">
      <c r="O1640" s="16" t="e">
        <f t="shared" si="24"/>
        <v>#VALUE!</v>
      </c>
      <c r="P1640" s="16">
        <f t="shared" si="25"/>
        <v>0</v>
      </c>
    </row>
    <row r="1641" spans="15:16" hidden="1" x14ac:dyDescent="0.25">
      <c r="O1641" s="16" t="e">
        <f t="shared" si="24"/>
        <v>#VALUE!</v>
      </c>
      <c r="P1641" s="16">
        <f t="shared" si="25"/>
        <v>0</v>
      </c>
    </row>
    <row r="1642" spans="15:16" hidden="1" x14ac:dyDescent="0.25">
      <c r="O1642" s="16" t="e">
        <f t="shared" si="24"/>
        <v>#VALUE!</v>
      </c>
      <c r="P1642" s="16">
        <f t="shared" si="25"/>
        <v>0</v>
      </c>
    </row>
    <row r="1643" spans="15:16" hidden="1" x14ac:dyDescent="0.25">
      <c r="O1643" s="16" t="e">
        <f t="shared" si="24"/>
        <v>#VALUE!</v>
      </c>
      <c r="P1643" s="16">
        <f t="shared" si="25"/>
        <v>0</v>
      </c>
    </row>
    <row r="1644" spans="15:16" hidden="1" x14ac:dyDescent="0.25">
      <c r="O1644" s="16" t="e">
        <f t="shared" si="24"/>
        <v>#VALUE!</v>
      </c>
      <c r="P1644" s="16">
        <f t="shared" si="25"/>
        <v>0</v>
      </c>
    </row>
    <row r="1645" spans="15:16" hidden="1" x14ac:dyDescent="0.25">
      <c r="O1645" s="16" t="e">
        <f t="shared" si="24"/>
        <v>#VALUE!</v>
      </c>
      <c r="P1645" s="16">
        <f t="shared" si="25"/>
        <v>0</v>
      </c>
    </row>
    <row r="1646" spans="15:16" hidden="1" x14ac:dyDescent="0.25">
      <c r="O1646" s="16" t="e">
        <f t="shared" si="24"/>
        <v>#VALUE!</v>
      </c>
      <c r="P1646" s="16">
        <f t="shared" si="25"/>
        <v>0</v>
      </c>
    </row>
    <row r="1647" spans="15:16" hidden="1" x14ac:dyDescent="0.25">
      <c r="O1647" s="16" t="e">
        <f t="shared" si="24"/>
        <v>#VALUE!</v>
      </c>
      <c r="P1647" s="16">
        <f t="shared" si="25"/>
        <v>0</v>
      </c>
    </row>
    <row r="1648" spans="15:16" hidden="1" x14ac:dyDescent="0.25">
      <c r="O1648" s="16" t="e">
        <f t="shared" si="24"/>
        <v>#VALUE!</v>
      </c>
      <c r="P1648" s="16">
        <f t="shared" si="25"/>
        <v>0</v>
      </c>
    </row>
    <row r="1649" spans="15:16" hidden="1" x14ac:dyDescent="0.25">
      <c r="O1649" s="16" t="e">
        <f t="shared" si="24"/>
        <v>#VALUE!</v>
      </c>
      <c r="P1649" s="16">
        <f t="shared" si="25"/>
        <v>0</v>
      </c>
    </row>
    <row r="1650" spans="15:16" hidden="1" x14ac:dyDescent="0.25">
      <c r="O1650" s="16" t="e">
        <f t="shared" si="24"/>
        <v>#VALUE!</v>
      </c>
      <c r="P1650" s="16">
        <f t="shared" si="25"/>
        <v>0</v>
      </c>
    </row>
    <row r="1651" spans="15:16" hidden="1" x14ac:dyDescent="0.25">
      <c r="O1651" s="16" t="e">
        <f t="shared" si="24"/>
        <v>#VALUE!</v>
      </c>
      <c r="P1651" s="16">
        <f t="shared" si="25"/>
        <v>0</v>
      </c>
    </row>
    <row r="1652" spans="15:16" hidden="1" x14ac:dyDescent="0.25">
      <c r="O1652" s="16" t="e">
        <f t="shared" si="24"/>
        <v>#VALUE!</v>
      </c>
      <c r="P1652" s="16">
        <f t="shared" si="25"/>
        <v>0</v>
      </c>
    </row>
    <row r="1653" spans="15:16" hidden="1" x14ac:dyDescent="0.25">
      <c r="O1653" s="16" t="e">
        <f t="shared" si="24"/>
        <v>#VALUE!</v>
      </c>
      <c r="P1653" s="16">
        <f t="shared" si="25"/>
        <v>0</v>
      </c>
    </row>
    <row r="1654" spans="15:16" hidden="1" x14ac:dyDescent="0.25">
      <c r="O1654" s="16" t="e">
        <f t="shared" si="24"/>
        <v>#VALUE!</v>
      </c>
      <c r="P1654" s="16">
        <f t="shared" si="25"/>
        <v>0</v>
      </c>
    </row>
    <row r="1655" spans="15:16" hidden="1" x14ac:dyDescent="0.25">
      <c r="O1655" s="16" t="e">
        <f t="shared" si="24"/>
        <v>#VALUE!</v>
      </c>
      <c r="P1655" s="16">
        <f t="shared" si="25"/>
        <v>0</v>
      </c>
    </row>
    <row r="1656" spans="15:16" hidden="1" x14ac:dyDescent="0.25">
      <c r="O1656" s="16" t="e">
        <f t="shared" si="24"/>
        <v>#VALUE!</v>
      </c>
      <c r="P1656" s="16">
        <f t="shared" si="25"/>
        <v>0</v>
      </c>
    </row>
    <row r="1657" spans="15:16" hidden="1" x14ac:dyDescent="0.25">
      <c r="O1657" s="16" t="e">
        <f t="shared" si="24"/>
        <v>#VALUE!</v>
      </c>
      <c r="P1657" s="16">
        <f t="shared" si="25"/>
        <v>0</v>
      </c>
    </row>
    <row r="1658" spans="15:16" hidden="1" x14ac:dyDescent="0.25">
      <c r="O1658" s="16" t="e">
        <f t="shared" si="24"/>
        <v>#VALUE!</v>
      </c>
      <c r="P1658" s="16">
        <f t="shared" si="25"/>
        <v>0</v>
      </c>
    </row>
    <row r="1659" spans="15:16" hidden="1" x14ac:dyDescent="0.25">
      <c r="O1659" s="16" t="e">
        <f t="shared" si="24"/>
        <v>#VALUE!</v>
      </c>
      <c r="P1659" s="16">
        <f t="shared" si="25"/>
        <v>0</v>
      </c>
    </row>
    <row r="1660" spans="15:16" hidden="1" x14ac:dyDescent="0.25">
      <c r="O1660" s="16" t="e">
        <f t="shared" si="24"/>
        <v>#VALUE!</v>
      </c>
      <c r="P1660" s="16">
        <f t="shared" si="25"/>
        <v>0</v>
      </c>
    </row>
    <row r="1661" spans="15:16" hidden="1" x14ac:dyDescent="0.25">
      <c r="O1661" s="16" t="e">
        <f t="shared" si="24"/>
        <v>#VALUE!</v>
      </c>
      <c r="P1661" s="16">
        <f t="shared" si="25"/>
        <v>0</v>
      </c>
    </row>
    <row r="1662" spans="15:16" hidden="1" x14ac:dyDescent="0.25">
      <c r="O1662" s="16" t="e">
        <f t="shared" si="24"/>
        <v>#VALUE!</v>
      </c>
      <c r="P1662" s="16">
        <f t="shared" si="25"/>
        <v>0</v>
      </c>
    </row>
    <row r="1663" spans="15:16" hidden="1" x14ac:dyDescent="0.25">
      <c r="O1663" s="16" t="e">
        <f t="shared" si="24"/>
        <v>#VALUE!</v>
      </c>
      <c r="P1663" s="16">
        <f t="shared" si="25"/>
        <v>0</v>
      </c>
    </row>
    <row r="1664" spans="15:16" hidden="1" x14ac:dyDescent="0.25">
      <c r="O1664" s="16" t="e">
        <f t="shared" si="24"/>
        <v>#VALUE!</v>
      </c>
      <c r="P1664" s="16">
        <f t="shared" si="25"/>
        <v>0</v>
      </c>
    </row>
    <row r="1665" spans="15:16" hidden="1" x14ac:dyDescent="0.25">
      <c r="O1665" s="16" t="e">
        <f t="shared" si="24"/>
        <v>#VALUE!</v>
      </c>
      <c r="P1665" s="16">
        <f t="shared" si="25"/>
        <v>0</v>
      </c>
    </row>
    <row r="1666" spans="15:16" hidden="1" x14ac:dyDescent="0.25">
      <c r="O1666" s="16" t="e">
        <f t="shared" si="24"/>
        <v>#VALUE!</v>
      </c>
      <c r="P1666" s="16">
        <f t="shared" si="25"/>
        <v>0</v>
      </c>
    </row>
    <row r="1667" spans="15:16" hidden="1" x14ac:dyDescent="0.25">
      <c r="O1667" s="16" t="e">
        <f t="shared" ref="O1667:O1730" si="26">TEXT(DATEVALUE(LEFT(F1667,10)),"mm-yyyy")</f>
        <v>#VALUE!</v>
      </c>
      <c r="P1667" s="16">
        <f t="shared" ref="P1667:P1730" si="27">H1667*I1667</f>
        <v>0</v>
      </c>
    </row>
    <row r="1668" spans="15:16" hidden="1" x14ac:dyDescent="0.25">
      <c r="O1668" s="16" t="e">
        <f t="shared" si="26"/>
        <v>#VALUE!</v>
      </c>
      <c r="P1668" s="16">
        <f t="shared" si="27"/>
        <v>0</v>
      </c>
    </row>
    <row r="1669" spans="15:16" hidden="1" x14ac:dyDescent="0.25">
      <c r="O1669" s="16" t="e">
        <f t="shared" si="26"/>
        <v>#VALUE!</v>
      </c>
      <c r="P1669" s="16">
        <f t="shared" si="27"/>
        <v>0</v>
      </c>
    </row>
    <row r="1670" spans="15:16" hidden="1" x14ac:dyDescent="0.25">
      <c r="O1670" s="16" t="e">
        <f t="shared" si="26"/>
        <v>#VALUE!</v>
      </c>
      <c r="P1670" s="16">
        <f t="shared" si="27"/>
        <v>0</v>
      </c>
    </row>
    <row r="1671" spans="15:16" hidden="1" x14ac:dyDescent="0.25">
      <c r="O1671" s="16" t="e">
        <f t="shared" si="26"/>
        <v>#VALUE!</v>
      </c>
      <c r="P1671" s="16">
        <f t="shared" si="27"/>
        <v>0</v>
      </c>
    </row>
    <row r="1672" spans="15:16" hidden="1" x14ac:dyDescent="0.25">
      <c r="O1672" s="16" t="e">
        <f t="shared" si="26"/>
        <v>#VALUE!</v>
      </c>
      <c r="P1672" s="16">
        <f t="shared" si="27"/>
        <v>0</v>
      </c>
    </row>
    <row r="1673" spans="15:16" hidden="1" x14ac:dyDescent="0.25">
      <c r="O1673" s="16" t="e">
        <f t="shared" si="26"/>
        <v>#VALUE!</v>
      </c>
      <c r="P1673" s="16">
        <f t="shared" si="27"/>
        <v>0</v>
      </c>
    </row>
    <row r="1674" spans="15:16" hidden="1" x14ac:dyDescent="0.25">
      <c r="O1674" s="16" t="e">
        <f t="shared" si="26"/>
        <v>#VALUE!</v>
      </c>
      <c r="P1674" s="16">
        <f t="shared" si="27"/>
        <v>0</v>
      </c>
    </row>
    <row r="1675" spans="15:16" hidden="1" x14ac:dyDescent="0.25">
      <c r="O1675" s="16" t="e">
        <f t="shared" si="26"/>
        <v>#VALUE!</v>
      </c>
      <c r="P1675" s="16">
        <f t="shared" si="27"/>
        <v>0</v>
      </c>
    </row>
    <row r="1676" spans="15:16" hidden="1" x14ac:dyDescent="0.25">
      <c r="O1676" s="16" t="e">
        <f t="shared" si="26"/>
        <v>#VALUE!</v>
      </c>
      <c r="P1676" s="16">
        <f t="shared" si="27"/>
        <v>0</v>
      </c>
    </row>
    <row r="1677" spans="15:16" hidden="1" x14ac:dyDescent="0.25">
      <c r="O1677" s="16" t="e">
        <f t="shared" si="26"/>
        <v>#VALUE!</v>
      </c>
      <c r="P1677" s="16">
        <f t="shared" si="27"/>
        <v>0</v>
      </c>
    </row>
    <row r="1678" spans="15:16" hidden="1" x14ac:dyDescent="0.25">
      <c r="O1678" s="16" t="e">
        <f t="shared" si="26"/>
        <v>#VALUE!</v>
      </c>
      <c r="P1678" s="16">
        <f t="shared" si="27"/>
        <v>0</v>
      </c>
    </row>
    <row r="1679" spans="15:16" hidden="1" x14ac:dyDescent="0.25">
      <c r="O1679" s="16" t="e">
        <f t="shared" si="26"/>
        <v>#VALUE!</v>
      </c>
      <c r="P1679" s="16">
        <f t="shared" si="27"/>
        <v>0</v>
      </c>
    </row>
    <row r="1680" spans="15:16" hidden="1" x14ac:dyDescent="0.25">
      <c r="O1680" s="16" t="e">
        <f t="shared" si="26"/>
        <v>#VALUE!</v>
      </c>
      <c r="P1680" s="16">
        <f t="shared" si="27"/>
        <v>0</v>
      </c>
    </row>
    <row r="1681" spans="15:16" hidden="1" x14ac:dyDescent="0.25">
      <c r="O1681" s="16" t="e">
        <f t="shared" si="26"/>
        <v>#VALUE!</v>
      </c>
      <c r="P1681" s="16">
        <f t="shared" si="27"/>
        <v>0</v>
      </c>
    </row>
    <row r="1682" spans="15:16" hidden="1" x14ac:dyDescent="0.25">
      <c r="O1682" s="16" t="e">
        <f t="shared" si="26"/>
        <v>#VALUE!</v>
      </c>
      <c r="P1682" s="16">
        <f t="shared" si="27"/>
        <v>0</v>
      </c>
    </row>
    <row r="1683" spans="15:16" hidden="1" x14ac:dyDescent="0.25">
      <c r="O1683" s="16" t="e">
        <f t="shared" si="26"/>
        <v>#VALUE!</v>
      </c>
      <c r="P1683" s="16">
        <f t="shared" si="27"/>
        <v>0</v>
      </c>
    </row>
    <row r="1684" spans="15:16" hidden="1" x14ac:dyDescent="0.25">
      <c r="O1684" s="16" t="e">
        <f t="shared" si="26"/>
        <v>#VALUE!</v>
      </c>
      <c r="P1684" s="16">
        <f t="shared" si="27"/>
        <v>0</v>
      </c>
    </row>
    <row r="1685" spans="15:16" hidden="1" x14ac:dyDescent="0.25">
      <c r="O1685" s="16" t="e">
        <f t="shared" si="26"/>
        <v>#VALUE!</v>
      </c>
      <c r="P1685" s="16">
        <f t="shared" si="27"/>
        <v>0</v>
      </c>
    </row>
    <row r="1686" spans="15:16" hidden="1" x14ac:dyDescent="0.25">
      <c r="O1686" s="16" t="e">
        <f t="shared" si="26"/>
        <v>#VALUE!</v>
      </c>
      <c r="P1686" s="16">
        <f t="shared" si="27"/>
        <v>0</v>
      </c>
    </row>
    <row r="1687" spans="15:16" hidden="1" x14ac:dyDescent="0.25">
      <c r="O1687" s="16" t="e">
        <f t="shared" si="26"/>
        <v>#VALUE!</v>
      </c>
      <c r="P1687" s="16">
        <f t="shared" si="27"/>
        <v>0</v>
      </c>
    </row>
    <row r="1688" spans="15:16" hidden="1" x14ac:dyDescent="0.25">
      <c r="O1688" s="16" t="e">
        <f t="shared" si="26"/>
        <v>#VALUE!</v>
      </c>
      <c r="P1688" s="16">
        <f t="shared" si="27"/>
        <v>0</v>
      </c>
    </row>
    <row r="1689" spans="15:16" hidden="1" x14ac:dyDescent="0.25">
      <c r="O1689" s="16" t="e">
        <f t="shared" si="26"/>
        <v>#VALUE!</v>
      </c>
      <c r="P1689" s="16">
        <f t="shared" si="27"/>
        <v>0</v>
      </c>
    </row>
    <row r="1690" spans="15:16" hidden="1" x14ac:dyDescent="0.25">
      <c r="O1690" s="16" t="e">
        <f t="shared" si="26"/>
        <v>#VALUE!</v>
      </c>
      <c r="P1690" s="16">
        <f t="shared" si="27"/>
        <v>0</v>
      </c>
    </row>
    <row r="1691" spans="15:16" hidden="1" x14ac:dyDescent="0.25">
      <c r="O1691" s="16" t="e">
        <f t="shared" si="26"/>
        <v>#VALUE!</v>
      </c>
      <c r="P1691" s="16">
        <f t="shared" si="27"/>
        <v>0</v>
      </c>
    </row>
    <row r="1692" spans="15:16" hidden="1" x14ac:dyDescent="0.25">
      <c r="O1692" s="16" t="e">
        <f t="shared" si="26"/>
        <v>#VALUE!</v>
      </c>
      <c r="P1692" s="16">
        <f t="shared" si="27"/>
        <v>0</v>
      </c>
    </row>
    <row r="1693" spans="15:16" hidden="1" x14ac:dyDescent="0.25">
      <c r="O1693" s="16" t="e">
        <f t="shared" si="26"/>
        <v>#VALUE!</v>
      </c>
      <c r="P1693" s="16">
        <f t="shared" si="27"/>
        <v>0</v>
      </c>
    </row>
    <row r="1694" spans="15:16" hidden="1" x14ac:dyDescent="0.25">
      <c r="O1694" s="16" t="e">
        <f t="shared" si="26"/>
        <v>#VALUE!</v>
      </c>
      <c r="P1694" s="16">
        <f t="shared" si="27"/>
        <v>0</v>
      </c>
    </row>
    <row r="1695" spans="15:16" hidden="1" x14ac:dyDescent="0.25">
      <c r="O1695" s="16" t="e">
        <f t="shared" si="26"/>
        <v>#VALUE!</v>
      </c>
      <c r="P1695" s="16">
        <f t="shared" si="27"/>
        <v>0</v>
      </c>
    </row>
    <row r="1696" spans="15:16" hidden="1" x14ac:dyDescent="0.25">
      <c r="O1696" s="16" t="e">
        <f t="shared" si="26"/>
        <v>#VALUE!</v>
      </c>
      <c r="P1696" s="16">
        <f t="shared" si="27"/>
        <v>0</v>
      </c>
    </row>
    <row r="1697" spans="15:16" hidden="1" x14ac:dyDescent="0.25">
      <c r="O1697" s="16" t="e">
        <f t="shared" si="26"/>
        <v>#VALUE!</v>
      </c>
      <c r="P1697" s="16">
        <f t="shared" si="27"/>
        <v>0</v>
      </c>
    </row>
    <row r="1698" spans="15:16" hidden="1" x14ac:dyDescent="0.25">
      <c r="O1698" s="16" t="e">
        <f t="shared" si="26"/>
        <v>#VALUE!</v>
      </c>
      <c r="P1698" s="16">
        <f t="shared" si="27"/>
        <v>0</v>
      </c>
    </row>
    <row r="1699" spans="15:16" hidden="1" x14ac:dyDescent="0.25">
      <c r="O1699" s="16" t="e">
        <f t="shared" si="26"/>
        <v>#VALUE!</v>
      </c>
      <c r="P1699" s="16">
        <f t="shared" si="27"/>
        <v>0</v>
      </c>
    </row>
    <row r="1700" spans="15:16" hidden="1" x14ac:dyDescent="0.25">
      <c r="O1700" s="16" t="e">
        <f t="shared" si="26"/>
        <v>#VALUE!</v>
      </c>
      <c r="P1700" s="16">
        <f t="shared" si="27"/>
        <v>0</v>
      </c>
    </row>
    <row r="1701" spans="15:16" hidden="1" x14ac:dyDescent="0.25">
      <c r="O1701" s="16" t="e">
        <f t="shared" si="26"/>
        <v>#VALUE!</v>
      </c>
      <c r="P1701" s="16">
        <f t="shared" si="27"/>
        <v>0</v>
      </c>
    </row>
    <row r="1702" spans="15:16" hidden="1" x14ac:dyDescent="0.25">
      <c r="O1702" s="16" t="e">
        <f t="shared" si="26"/>
        <v>#VALUE!</v>
      </c>
      <c r="P1702" s="16">
        <f t="shared" si="27"/>
        <v>0</v>
      </c>
    </row>
    <row r="1703" spans="15:16" hidden="1" x14ac:dyDescent="0.25">
      <c r="O1703" s="16" t="e">
        <f t="shared" si="26"/>
        <v>#VALUE!</v>
      </c>
      <c r="P1703" s="16">
        <f t="shared" si="27"/>
        <v>0</v>
      </c>
    </row>
    <row r="1704" spans="15:16" hidden="1" x14ac:dyDescent="0.25">
      <c r="O1704" s="16" t="e">
        <f t="shared" si="26"/>
        <v>#VALUE!</v>
      </c>
      <c r="P1704" s="16">
        <f t="shared" si="27"/>
        <v>0</v>
      </c>
    </row>
    <row r="1705" spans="15:16" hidden="1" x14ac:dyDescent="0.25">
      <c r="O1705" s="16" t="e">
        <f t="shared" si="26"/>
        <v>#VALUE!</v>
      </c>
      <c r="P1705" s="16">
        <f t="shared" si="27"/>
        <v>0</v>
      </c>
    </row>
    <row r="1706" spans="15:16" hidden="1" x14ac:dyDescent="0.25">
      <c r="O1706" s="16" t="e">
        <f t="shared" si="26"/>
        <v>#VALUE!</v>
      </c>
      <c r="P1706" s="16">
        <f t="shared" si="27"/>
        <v>0</v>
      </c>
    </row>
    <row r="1707" spans="15:16" hidden="1" x14ac:dyDescent="0.25">
      <c r="O1707" s="16" t="e">
        <f t="shared" si="26"/>
        <v>#VALUE!</v>
      </c>
      <c r="P1707" s="16">
        <f t="shared" si="27"/>
        <v>0</v>
      </c>
    </row>
    <row r="1708" spans="15:16" hidden="1" x14ac:dyDescent="0.25">
      <c r="O1708" s="16" t="e">
        <f t="shared" si="26"/>
        <v>#VALUE!</v>
      </c>
      <c r="P1708" s="16">
        <f t="shared" si="27"/>
        <v>0</v>
      </c>
    </row>
    <row r="1709" spans="15:16" hidden="1" x14ac:dyDescent="0.25">
      <c r="O1709" s="16" t="e">
        <f t="shared" si="26"/>
        <v>#VALUE!</v>
      </c>
      <c r="P1709" s="16">
        <f t="shared" si="27"/>
        <v>0</v>
      </c>
    </row>
    <row r="1710" spans="15:16" hidden="1" x14ac:dyDescent="0.25">
      <c r="O1710" s="16" t="e">
        <f t="shared" si="26"/>
        <v>#VALUE!</v>
      </c>
      <c r="P1710" s="16">
        <f t="shared" si="27"/>
        <v>0</v>
      </c>
    </row>
    <row r="1711" spans="15:16" hidden="1" x14ac:dyDescent="0.25">
      <c r="O1711" s="16" t="e">
        <f t="shared" si="26"/>
        <v>#VALUE!</v>
      </c>
      <c r="P1711" s="16">
        <f t="shared" si="27"/>
        <v>0</v>
      </c>
    </row>
    <row r="1712" spans="15:16" hidden="1" x14ac:dyDescent="0.25">
      <c r="O1712" s="16" t="e">
        <f t="shared" si="26"/>
        <v>#VALUE!</v>
      </c>
      <c r="P1712" s="16">
        <f t="shared" si="27"/>
        <v>0</v>
      </c>
    </row>
    <row r="1713" spans="15:16" hidden="1" x14ac:dyDescent="0.25">
      <c r="O1713" s="16" t="e">
        <f t="shared" si="26"/>
        <v>#VALUE!</v>
      </c>
      <c r="P1713" s="16">
        <f t="shared" si="27"/>
        <v>0</v>
      </c>
    </row>
    <row r="1714" spans="15:16" hidden="1" x14ac:dyDescent="0.25">
      <c r="O1714" s="16" t="e">
        <f t="shared" si="26"/>
        <v>#VALUE!</v>
      </c>
      <c r="P1714" s="16">
        <f t="shared" si="27"/>
        <v>0</v>
      </c>
    </row>
    <row r="1715" spans="15:16" hidden="1" x14ac:dyDescent="0.25">
      <c r="O1715" s="16" t="e">
        <f t="shared" si="26"/>
        <v>#VALUE!</v>
      </c>
      <c r="P1715" s="16">
        <f t="shared" si="27"/>
        <v>0</v>
      </c>
    </row>
    <row r="1716" spans="15:16" hidden="1" x14ac:dyDescent="0.25">
      <c r="O1716" s="16" t="e">
        <f t="shared" si="26"/>
        <v>#VALUE!</v>
      </c>
      <c r="P1716" s="16">
        <f t="shared" si="27"/>
        <v>0</v>
      </c>
    </row>
    <row r="1717" spans="15:16" hidden="1" x14ac:dyDescent="0.25">
      <c r="O1717" s="16" t="e">
        <f t="shared" si="26"/>
        <v>#VALUE!</v>
      </c>
      <c r="P1717" s="16">
        <f t="shared" si="27"/>
        <v>0</v>
      </c>
    </row>
    <row r="1718" spans="15:16" hidden="1" x14ac:dyDescent="0.25">
      <c r="O1718" s="16" t="e">
        <f t="shared" si="26"/>
        <v>#VALUE!</v>
      </c>
      <c r="P1718" s="16">
        <f t="shared" si="27"/>
        <v>0</v>
      </c>
    </row>
    <row r="1719" spans="15:16" hidden="1" x14ac:dyDescent="0.25">
      <c r="O1719" s="16" t="e">
        <f t="shared" si="26"/>
        <v>#VALUE!</v>
      </c>
      <c r="P1719" s="16">
        <f t="shared" si="27"/>
        <v>0</v>
      </c>
    </row>
    <row r="1720" spans="15:16" hidden="1" x14ac:dyDescent="0.25">
      <c r="O1720" s="16" t="e">
        <f t="shared" si="26"/>
        <v>#VALUE!</v>
      </c>
      <c r="P1720" s="16">
        <f t="shared" si="27"/>
        <v>0</v>
      </c>
    </row>
    <row r="1721" spans="15:16" hidden="1" x14ac:dyDescent="0.25">
      <c r="O1721" s="16" t="e">
        <f t="shared" si="26"/>
        <v>#VALUE!</v>
      </c>
      <c r="P1721" s="16">
        <f t="shared" si="27"/>
        <v>0</v>
      </c>
    </row>
    <row r="1722" spans="15:16" hidden="1" x14ac:dyDescent="0.25">
      <c r="O1722" s="16" t="e">
        <f t="shared" si="26"/>
        <v>#VALUE!</v>
      </c>
      <c r="P1722" s="16">
        <f t="shared" si="27"/>
        <v>0</v>
      </c>
    </row>
    <row r="1723" spans="15:16" hidden="1" x14ac:dyDescent="0.25">
      <c r="O1723" s="16" t="e">
        <f t="shared" si="26"/>
        <v>#VALUE!</v>
      </c>
      <c r="P1723" s="16">
        <f t="shared" si="27"/>
        <v>0</v>
      </c>
    </row>
    <row r="1724" spans="15:16" hidden="1" x14ac:dyDescent="0.25">
      <c r="O1724" s="16" t="e">
        <f t="shared" si="26"/>
        <v>#VALUE!</v>
      </c>
      <c r="P1724" s="16">
        <f t="shared" si="27"/>
        <v>0</v>
      </c>
    </row>
    <row r="1725" spans="15:16" hidden="1" x14ac:dyDescent="0.25">
      <c r="O1725" s="16" t="e">
        <f t="shared" si="26"/>
        <v>#VALUE!</v>
      </c>
      <c r="P1725" s="16">
        <f t="shared" si="27"/>
        <v>0</v>
      </c>
    </row>
    <row r="1726" spans="15:16" hidden="1" x14ac:dyDescent="0.25">
      <c r="O1726" s="16" t="e">
        <f t="shared" si="26"/>
        <v>#VALUE!</v>
      </c>
      <c r="P1726" s="16">
        <f t="shared" si="27"/>
        <v>0</v>
      </c>
    </row>
    <row r="1727" spans="15:16" hidden="1" x14ac:dyDescent="0.25">
      <c r="O1727" s="16" t="e">
        <f t="shared" si="26"/>
        <v>#VALUE!</v>
      </c>
      <c r="P1727" s="16">
        <f t="shared" si="27"/>
        <v>0</v>
      </c>
    </row>
    <row r="1728" spans="15:16" hidden="1" x14ac:dyDescent="0.25">
      <c r="O1728" s="16" t="e">
        <f t="shared" si="26"/>
        <v>#VALUE!</v>
      </c>
      <c r="P1728" s="16">
        <f t="shared" si="27"/>
        <v>0</v>
      </c>
    </row>
    <row r="1729" spans="15:16" hidden="1" x14ac:dyDescent="0.25">
      <c r="O1729" s="16" t="e">
        <f t="shared" si="26"/>
        <v>#VALUE!</v>
      </c>
      <c r="P1729" s="16">
        <f t="shared" si="27"/>
        <v>0</v>
      </c>
    </row>
    <row r="1730" spans="15:16" hidden="1" x14ac:dyDescent="0.25">
      <c r="O1730" s="16" t="e">
        <f t="shared" si="26"/>
        <v>#VALUE!</v>
      </c>
      <c r="P1730" s="16">
        <f t="shared" si="27"/>
        <v>0</v>
      </c>
    </row>
    <row r="1731" spans="15:16" hidden="1" x14ac:dyDescent="0.25">
      <c r="O1731" s="16" t="e">
        <f t="shared" ref="O1731:O1794" si="28">TEXT(DATEVALUE(LEFT(F1731,10)),"mm-yyyy")</f>
        <v>#VALUE!</v>
      </c>
      <c r="P1731" s="16">
        <f t="shared" ref="P1731:P1794" si="29">H1731*I1731</f>
        <v>0</v>
      </c>
    </row>
    <row r="1732" spans="15:16" hidden="1" x14ac:dyDescent="0.25">
      <c r="O1732" s="16" t="e">
        <f t="shared" si="28"/>
        <v>#VALUE!</v>
      </c>
      <c r="P1732" s="16">
        <f t="shared" si="29"/>
        <v>0</v>
      </c>
    </row>
    <row r="1733" spans="15:16" hidden="1" x14ac:dyDescent="0.25">
      <c r="O1733" s="16" t="e">
        <f t="shared" si="28"/>
        <v>#VALUE!</v>
      </c>
      <c r="P1733" s="16">
        <f t="shared" si="29"/>
        <v>0</v>
      </c>
    </row>
    <row r="1734" spans="15:16" hidden="1" x14ac:dyDescent="0.25">
      <c r="O1734" s="16" t="e">
        <f t="shared" si="28"/>
        <v>#VALUE!</v>
      </c>
      <c r="P1734" s="16">
        <f t="shared" si="29"/>
        <v>0</v>
      </c>
    </row>
    <row r="1735" spans="15:16" hidden="1" x14ac:dyDescent="0.25">
      <c r="O1735" s="16" t="e">
        <f t="shared" si="28"/>
        <v>#VALUE!</v>
      </c>
      <c r="P1735" s="16">
        <f t="shared" si="29"/>
        <v>0</v>
      </c>
    </row>
    <row r="1736" spans="15:16" hidden="1" x14ac:dyDescent="0.25">
      <c r="O1736" s="16" t="e">
        <f t="shared" si="28"/>
        <v>#VALUE!</v>
      </c>
      <c r="P1736" s="16">
        <f t="shared" si="29"/>
        <v>0</v>
      </c>
    </row>
    <row r="1737" spans="15:16" hidden="1" x14ac:dyDescent="0.25">
      <c r="O1737" s="16" t="e">
        <f t="shared" si="28"/>
        <v>#VALUE!</v>
      </c>
      <c r="P1737" s="16">
        <f t="shared" si="29"/>
        <v>0</v>
      </c>
    </row>
    <row r="1738" spans="15:16" hidden="1" x14ac:dyDescent="0.25">
      <c r="O1738" s="16" t="e">
        <f t="shared" si="28"/>
        <v>#VALUE!</v>
      </c>
      <c r="P1738" s="16">
        <f t="shared" si="29"/>
        <v>0</v>
      </c>
    </row>
    <row r="1739" spans="15:16" hidden="1" x14ac:dyDescent="0.25">
      <c r="O1739" s="16" t="e">
        <f t="shared" si="28"/>
        <v>#VALUE!</v>
      </c>
      <c r="P1739" s="16">
        <f t="shared" si="29"/>
        <v>0</v>
      </c>
    </row>
    <row r="1740" spans="15:16" hidden="1" x14ac:dyDescent="0.25">
      <c r="O1740" s="16" t="e">
        <f t="shared" si="28"/>
        <v>#VALUE!</v>
      </c>
      <c r="P1740" s="16">
        <f t="shared" si="29"/>
        <v>0</v>
      </c>
    </row>
    <row r="1741" spans="15:16" hidden="1" x14ac:dyDescent="0.25">
      <c r="O1741" s="16" t="e">
        <f t="shared" si="28"/>
        <v>#VALUE!</v>
      </c>
      <c r="P1741" s="16">
        <f t="shared" si="29"/>
        <v>0</v>
      </c>
    </row>
    <row r="1742" spans="15:16" hidden="1" x14ac:dyDescent="0.25">
      <c r="O1742" s="16" t="e">
        <f t="shared" si="28"/>
        <v>#VALUE!</v>
      </c>
      <c r="P1742" s="16">
        <f t="shared" si="29"/>
        <v>0</v>
      </c>
    </row>
    <row r="1743" spans="15:16" hidden="1" x14ac:dyDescent="0.25">
      <c r="O1743" s="16" t="e">
        <f t="shared" si="28"/>
        <v>#VALUE!</v>
      </c>
      <c r="P1743" s="16">
        <f t="shared" si="29"/>
        <v>0</v>
      </c>
    </row>
    <row r="1744" spans="15:16" hidden="1" x14ac:dyDescent="0.25">
      <c r="O1744" s="16" t="e">
        <f t="shared" si="28"/>
        <v>#VALUE!</v>
      </c>
      <c r="P1744" s="16">
        <f t="shared" si="29"/>
        <v>0</v>
      </c>
    </row>
    <row r="1745" spans="15:16" hidden="1" x14ac:dyDescent="0.25">
      <c r="O1745" s="16" t="e">
        <f t="shared" si="28"/>
        <v>#VALUE!</v>
      </c>
      <c r="P1745" s="16">
        <f t="shared" si="29"/>
        <v>0</v>
      </c>
    </row>
    <row r="1746" spans="15:16" hidden="1" x14ac:dyDescent="0.25">
      <c r="O1746" s="16" t="e">
        <f t="shared" si="28"/>
        <v>#VALUE!</v>
      </c>
      <c r="P1746" s="16">
        <f t="shared" si="29"/>
        <v>0</v>
      </c>
    </row>
    <row r="1747" spans="15:16" hidden="1" x14ac:dyDescent="0.25">
      <c r="O1747" s="16" t="e">
        <f t="shared" si="28"/>
        <v>#VALUE!</v>
      </c>
      <c r="P1747" s="16">
        <f t="shared" si="29"/>
        <v>0</v>
      </c>
    </row>
    <row r="1748" spans="15:16" hidden="1" x14ac:dyDescent="0.25">
      <c r="O1748" s="16" t="e">
        <f t="shared" si="28"/>
        <v>#VALUE!</v>
      </c>
      <c r="P1748" s="16">
        <f t="shared" si="29"/>
        <v>0</v>
      </c>
    </row>
    <row r="1749" spans="15:16" hidden="1" x14ac:dyDescent="0.25">
      <c r="O1749" s="16" t="e">
        <f t="shared" si="28"/>
        <v>#VALUE!</v>
      </c>
      <c r="P1749" s="16">
        <f t="shared" si="29"/>
        <v>0</v>
      </c>
    </row>
    <row r="1750" spans="15:16" hidden="1" x14ac:dyDescent="0.25">
      <c r="O1750" s="16" t="e">
        <f t="shared" si="28"/>
        <v>#VALUE!</v>
      </c>
      <c r="P1750" s="16">
        <f t="shared" si="29"/>
        <v>0</v>
      </c>
    </row>
    <row r="1751" spans="15:16" hidden="1" x14ac:dyDescent="0.25">
      <c r="O1751" s="16" t="e">
        <f t="shared" si="28"/>
        <v>#VALUE!</v>
      </c>
      <c r="P1751" s="16">
        <f t="shared" si="29"/>
        <v>0</v>
      </c>
    </row>
    <row r="1752" spans="15:16" hidden="1" x14ac:dyDescent="0.25">
      <c r="O1752" s="16" t="e">
        <f t="shared" si="28"/>
        <v>#VALUE!</v>
      </c>
      <c r="P1752" s="16">
        <f t="shared" si="29"/>
        <v>0</v>
      </c>
    </row>
    <row r="1753" spans="15:16" hidden="1" x14ac:dyDescent="0.25">
      <c r="O1753" s="16" t="e">
        <f t="shared" si="28"/>
        <v>#VALUE!</v>
      </c>
      <c r="P1753" s="16">
        <f t="shared" si="29"/>
        <v>0</v>
      </c>
    </row>
    <row r="1754" spans="15:16" hidden="1" x14ac:dyDescent="0.25">
      <c r="O1754" s="16" t="e">
        <f t="shared" si="28"/>
        <v>#VALUE!</v>
      </c>
      <c r="P1754" s="16">
        <f t="shared" si="29"/>
        <v>0</v>
      </c>
    </row>
    <row r="1755" spans="15:16" hidden="1" x14ac:dyDescent="0.25">
      <c r="O1755" s="16" t="e">
        <f t="shared" si="28"/>
        <v>#VALUE!</v>
      </c>
      <c r="P1755" s="16">
        <f t="shared" si="29"/>
        <v>0</v>
      </c>
    </row>
    <row r="1756" spans="15:16" hidden="1" x14ac:dyDescent="0.25">
      <c r="O1756" s="16" t="e">
        <f t="shared" si="28"/>
        <v>#VALUE!</v>
      </c>
      <c r="P1756" s="16">
        <f t="shared" si="29"/>
        <v>0</v>
      </c>
    </row>
    <row r="1757" spans="15:16" hidden="1" x14ac:dyDescent="0.25">
      <c r="O1757" s="16" t="e">
        <f t="shared" si="28"/>
        <v>#VALUE!</v>
      </c>
      <c r="P1757" s="16">
        <f t="shared" si="29"/>
        <v>0</v>
      </c>
    </row>
    <row r="1758" spans="15:16" hidden="1" x14ac:dyDescent="0.25">
      <c r="O1758" s="16" t="e">
        <f t="shared" si="28"/>
        <v>#VALUE!</v>
      </c>
      <c r="P1758" s="16">
        <f t="shared" si="29"/>
        <v>0</v>
      </c>
    </row>
    <row r="1759" spans="15:16" hidden="1" x14ac:dyDescent="0.25">
      <c r="O1759" s="16" t="e">
        <f t="shared" si="28"/>
        <v>#VALUE!</v>
      </c>
      <c r="P1759" s="16">
        <f t="shared" si="29"/>
        <v>0</v>
      </c>
    </row>
    <row r="1760" spans="15:16" hidden="1" x14ac:dyDescent="0.25">
      <c r="O1760" s="16" t="e">
        <f t="shared" si="28"/>
        <v>#VALUE!</v>
      </c>
      <c r="P1760" s="16">
        <f t="shared" si="29"/>
        <v>0</v>
      </c>
    </row>
    <row r="1761" spans="15:16" hidden="1" x14ac:dyDescent="0.25">
      <c r="O1761" s="16" t="e">
        <f t="shared" si="28"/>
        <v>#VALUE!</v>
      </c>
      <c r="P1761" s="16">
        <f t="shared" si="29"/>
        <v>0</v>
      </c>
    </row>
    <row r="1762" spans="15:16" hidden="1" x14ac:dyDescent="0.25">
      <c r="O1762" s="16" t="e">
        <f t="shared" si="28"/>
        <v>#VALUE!</v>
      </c>
      <c r="P1762" s="16">
        <f t="shared" si="29"/>
        <v>0</v>
      </c>
    </row>
    <row r="1763" spans="15:16" hidden="1" x14ac:dyDescent="0.25">
      <c r="O1763" s="16" t="e">
        <f t="shared" si="28"/>
        <v>#VALUE!</v>
      </c>
      <c r="P1763" s="16">
        <f t="shared" si="29"/>
        <v>0</v>
      </c>
    </row>
    <row r="1764" spans="15:16" hidden="1" x14ac:dyDescent="0.25">
      <c r="O1764" s="16" t="e">
        <f t="shared" si="28"/>
        <v>#VALUE!</v>
      </c>
      <c r="P1764" s="16">
        <f t="shared" si="29"/>
        <v>0</v>
      </c>
    </row>
    <row r="1765" spans="15:16" hidden="1" x14ac:dyDescent="0.25">
      <c r="O1765" s="16" t="e">
        <f t="shared" si="28"/>
        <v>#VALUE!</v>
      </c>
      <c r="P1765" s="16">
        <f t="shared" si="29"/>
        <v>0</v>
      </c>
    </row>
    <row r="1766" spans="15:16" hidden="1" x14ac:dyDescent="0.25">
      <c r="O1766" s="16" t="e">
        <f t="shared" si="28"/>
        <v>#VALUE!</v>
      </c>
      <c r="P1766" s="16">
        <f t="shared" si="29"/>
        <v>0</v>
      </c>
    </row>
    <row r="1767" spans="15:16" hidden="1" x14ac:dyDescent="0.25">
      <c r="O1767" s="16" t="e">
        <f t="shared" si="28"/>
        <v>#VALUE!</v>
      </c>
      <c r="P1767" s="16">
        <f t="shared" si="29"/>
        <v>0</v>
      </c>
    </row>
    <row r="1768" spans="15:16" hidden="1" x14ac:dyDescent="0.25">
      <c r="O1768" s="16" t="e">
        <f t="shared" si="28"/>
        <v>#VALUE!</v>
      </c>
      <c r="P1768" s="16">
        <f t="shared" si="29"/>
        <v>0</v>
      </c>
    </row>
    <row r="1769" spans="15:16" hidden="1" x14ac:dyDescent="0.25">
      <c r="O1769" s="16" t="e">
        <f t="shared" si="28"/>
        <v>#VALUE!</v>
      </c>
      <c r="P1769" s="16">
        <f t="shared" si="29"/>
        <v>0</v>
      </c>
    </row>
    <row r="1770" spans="15:16" hidden="1" x14ac:dyDescent="0.25">
      <c r="O1770" s="16" t="e">
        <f t="shared" si="28"/>
        <v>#VALUE!</v>
      </c>
      <c r="P1770" s="16">
        <f t="shared" si="29"/>
        <v>0</v>
      </c>
    </row>
    <row r="1771" spans="15:16" hidden="1" x14ac:dyDescent="0.25">
      <c r="O1771" s="16" t="e">
        <f t="shared" si="28"/>
        <v>#VALUE!</v>
      </c>
      <c r="P1771" s="16">
        <f t="shared" si="29"/>
        <v>0</v>
      </c>
    </row>
    <row r="1772" spans="15:16" hidden="1" x14ac:dyDescent="0.25">
      <c r="O1772" s="16" t="e">
        <f t="shared" si="28"/>
        <v>#VALUE!</v>
      </c>
      <c r="P1772" s="16">
        <f t="shared" si="29"/>
        <v>0</v>
      </c>
    </row>
    <row r="1773" spans="15:16" hidden="1" x14ac:dyDescent="0.25">
      <c r="O1773" s="16" t="e">
        <f t="shared" si="28"/>
        <v>#VALUE!</v>
      </c>
      <c r="P1773" s="16">
        <f t="shared" si="29"/>
        <v>0</v>
      </c>
    </row>
    <row r="1774" spans="15:16" hidden="1" x14ac:dyDescent="0.25">
      <c r="O1774" s="16" t="e">
        <f t="shared" si="28"/>
        <v>#VALUE!</v>
      </c>
      <c r="P1774" s="16">
        <f t="shared" si="29"/>
        <v>0</v>
      </c>
    </row>
    <row r="1775" spans="15:16" hidden="1" x14ac:dyDescent="0.25">
      <c r="O1775" s="16" t="e">
        <f t="shared" si="28"/>
        <v>#VALUE!</v>
      </c>
      <c r="P1775" s="16">
        <f t="shared" si="29"/>
        <v>0</v>
      </c>
    </row>
    <row r="1776" spans="15:16" hidden="1" x14ac:dyDescent="0.25">
      <c r="O1776" s="16" t="e">
        <f t="shared" si="28"/>
        <v>#VALUE!</v>
      </c>
      <c r="P1776" s="16">
        <f t="shared" si="29"/>
        <v>0</v>
      </c>
    </row>
    <row r="1777" spans="15:16" hidden="1" x14ac:dyDescent="0.25">
      <c r="O1777" s="16" t="e">
        <f t="shared" si="28"/>
        <v>#VALUE!</v>
      </c>
      <c r="P1777" s="16">
        <f t="shared" si="29"/>
        <v>0</v>
      </c>
    </row>
    <row r="1778" spans="15:16" hidden="1" x14ac:dyDescent="0.25">
      <c r="O1778" s="16" t="e">
        <f t="shared" si="28"/>
        <v>#VALUE!</v>
      </c>
      <c r="P1778" s="16">
        <f t="shared" si="29"/>
        <v>0</v>
      </c>
    </row>
    <row r="1779" spans="15:16" hidden="1" x14ac:dyDescent="0.25">
      <c r="O1779" s="16" t="e">
        <f t="shared" si="28"/>
        <v>#VALUE!</v>
      </c>
      <c r="P1779" s="16">
        <f t="shared" si="29"/>
        <v>0</v>
      </c>
    </row>
    <row r="1780" spans="15:16" hidden="1" x14ac:dyDescent="0.25">
      <c r="O1780" s="16" t="e">
        <f t="shared" si="28"/>
        <v>#VALUE!</v>
      </c>
      <c r="P1780" s="16">
        <f t="shared" si="29"/>
        <v>0</v>
      </c>
    </row>
    <row r="1781" spans="15:16" hidden="1" x14ac:dyDescent="0.25">
      <c r="O1781" s="16" t="e">
        <f t="shared" si="28"/>
        <v>#VALUE!</v>
      </c>
      <c r="P1781" s="16">
        <f t="shared" si="29"/>
        <v>0</v>
      </c>
    </row>
    <row r="1782" spans="15:16" hidden="1" x14ac:dyDescent="0.25">
      <c r="O1782" s="16" t="e">
        <f t="shared" si="28"/>
        <v>#VALUE!</v>
      </c>
      <c r="P1782" s="16">
        <f t="shared" si="29"/>
        <v>0</v>
      </c>
    </row>
    <row r="1783" spans="15:16" hidden="1" x14ac:dyDescent="0.25">
      <c r="O1783" s="16" t="e">
        <f t="shared" si="28"/>
        <v>#VALUE!</v>
      </c>
      <c r="P1783" s="16">
        <f t="shared" si="29"/>
        <v>0</v>
      </c>
    </row>
    <row r="1784" spans="15:16" hidden="1" x14ac:dyDescent="0.25">
      <c r="O1784" s="16" t="e">
        <f t="shared" si="28"/>
        <v>#VALUE!</v>
      </c>
      <c r="P1784" s="16">
        <f t="shared" si="29"/>
        <v>0</v>
      </c>
    </row>
    <row r="1785" spans="15:16" hidden="1" x14ac:dyDescent="0.25">
      <c r="O1785" s="16" t="e">
        <f t="shared" si="28"/>
        <v>#VALUE!</v>
      </c>
      <c r="P1785" s="16">
        <f t="shared" si="29"/>
        <v>0</v>
      </c>
    </row>
    <row r="1786" spans="15:16" hidden="1" x14ac:dyDescent="0.25">
      <c r="O1786" s="16" t="e">
        <f t="shared" si="28"/>
        <v>#VALUE!</v>
      </c>
      <c r="P1786" s="16">
        <f t="shared" si="29"/>
        <v>0</v>
      </c>
    </row>
    <row r="1787" spans="15:16" hidden="1" x14ac:dyDescent="0.25">
      <c r="O1787" s="16" t="e">
        <f t="shared" si="28"/>
        <v>#VALUE!</v>
      </c>
      <c r="P1787" s="16">
        <f t="shared" si="29"/>
        <v>0</v>
      </c>
    </row>
    <row r="1788" spans="15:16" hidden="1" x14ac:dyDescent="0.25">
      <c r="O1788" s="16" t="e">
        <f t="shared" si="28"/>
        <v>#VALUE!</v>
      </c>
      <c r="P1788" s="16">
        <f t="shared" si="29"/>
        <v>0</v>
      </c>
    </row>
    <row r="1789" spans="15:16" hidden="1" x14ac:dyDescent="0.25">
      <c r="O1789" s="16" t="e">
        <f t="shared" si="28"/>
        <v>#VALUE!</v>
      </c>
      <c r="P1789" s="16">
        <f t="shared" si="29"/>
        <v>0</v>
      </c>
    </row>
    <row r="1790" spans="15:16" hidden="1" x14ac:dyDescent="0.25">
      <c r="O1790" s="16" t="e">
        <f t="shared" si="28"/>
        <v>#VALUE!</v>
      </c>
      <c r="P1790" s="16">
        <f t="shared" si="29"/>
        <v>0</v>
      </c>
    </row>
    <row r="1791" spans="15:16" hidden="1" x14ac:dyDescent="0.25">
      <c r="O1791" s="16" t="e">
        <f t="shared" si="28"/>
        <v>#VALUE!</v>
      </c>
      <c r="P1791" s="16">
        <f t="shared" si="29"/>
        <v>0</v>
      </c>
    </row>
    <row r="1792" spans="15:16" hidden="1" x14ac:dyDescent="0.25">
      <c r="O1792" s="16" t="e">
        <f t="shared" si="28"/>
        <v>#VALUE!</v>
      </c>
      <c r="P1792" s="16">
        <f t="shared" si="29"/>
        <v>0</v>
      </c>
    </row>
    <row r="1793" spans="15:16" hidden="1" x14ac:dyDescent="0.25">
      <c r="O1793" s="16" t="e">
        <f t="shared" si="28"/>
        <v>#VALUE!</v>
      </c>
      <c r="P1793" s="16">
        <f t="shared" si="29"/>
        <v>0</v>
      </c>
    </row>
    <row r="1794" spans="15:16" hidden="1" x14ac:dyDescent="0.25">
      <c r="O1794" s="16" t="e">
        <f t="shared" si="28"/>
        <v>#VALUE!</v>
      </c>
      <c r="P1794" s="16">
        <f t="shared" si="29"/>
        <v>0</v>
      </c>
    </row>
    <row r="1795" spans="15:16" hidden="1" x14ac:dyDescent="0.25">
      <c r="O1795" s="16" t="e">
        <f t="shared" ref="O1795:O1858" si="30">TEXT(DATEVALUE(LEFT(F1795,10)),"mm-yyyy")</f>
        <v>#VALUE!</v>
      </c>
      <c r="P1795" s="16">
        <f t="shared" ref="P1795:P1858" si="31">H1795*I1795</f>
        <v>0</v>
      </c>
    </row>
    <row r="1796" spans="15:16" hidden="1" x14ac:dyDescent="0.25">
      <c r="O1796" s="16" t="e">
        <f t="shared" si="30"/>
        <v>#VALUE!</v>
      </c>
      <c r="P1796" s="16">
        <f t="shared" si="31"/>
        <v>0</v>
      </c>
    </row>
    <row r="1797" spans="15:16" hidden="1" x14ac:dyDescent="0.25">
      <c r="O1797" s="16" t="e">
        <f t="shared" si="30"/>
        <v>#VALUE!</v>
      </c>
      <c r="P1797" s="16">
        <f t="shared" si="31"/>
        <v>0</v>
      </c>
    </row>
    <row r="1798" spans="15:16" hidden="1" x14ac:dyDescent="0.25">
      <c r="O1798" s="16" t="e">
        <f t="shared" si="30"/>
        <v>#VALUE!</v>
      </c>
      <c r="P1798" s="16">
        <f t="shared" si="31"/>
        <v>0</v>
      </c>
    </row>
    <row r="1799" spans="15:16" hidden="1" x14ac:dyDescent="0.25">
      <c r="O1799" s="16" t="e">
        <f t="shared" si="30"/>
        <v>#VALUE!</v>
      </c>
      <c r="P1799" s="16">
        <f t="shared" si="31"/>
        <v>0</v>
      </c>
    </row>
    <row r="1800" spans="15:16" hidden="1" x14ac:dyDescent="0.25">
      <c r="O1800" s="16" t="e">
        <f t="shared" si="30"/>
        <v>#VALUE!</v>
      </c>
      <c r="P1800" s="16">
        <f t="shared" si="31"/>
        <v>0</v>
      </c>
    </row>
    <row r="1801" spans="15:16" hidden="1" x14ac:dyDescent="0.25">
      <c r="O1801" s="16" t="e">
        <f t="shared" si="30"/>
        <v>#VALUE!</v>
      </c>
      <c r="P1801" s="16">
        <f t="shared" si="31"/>
        <v>0</v>
      </c>
    </row>
    <row r="1802" spans="15:16" hidden="1" x14ac:dyDescent="0.25">
      <c r="O1802" s="16" t="e">
        <f t="shared" si="30"/>
        <v>#VALUE!</v>
      </c>
      <c r="P1802" s="16">
        <f t="shared" si="31"/>
        <v>0</v>
      </c>
    </row>
    <row r="1803" spans="15:16" hidden="1" x14ac:dyDescent="0.25">
      <c r="O1803" s="16" t="e">
        <f t="shared" si="30"/>
        <v>#VALUE!</v>
      </c>
      <c r="P1803" s="16">
        <f t="shared" si="31"/>
        <v>0</v>
      </c>
    </row>
    <row r="1804" spans="15:16" hidden="1" x14ac:dyDescent="0.25">
      <c r="O1804" s="16" t="e">
        <f t="shared" si="30"/>
        <v>#VALUE!</v>
      </c>
      <c r="P1804" s="16">
        <f t="shared" si="31"/>
        <v>0</v>
      </c>
    </row>
    <row r="1805" spans="15:16" hidden="1" x14ac:dyDescent="0.25">
      <c r="O1805" s="16" t="e">
        <f t="shared" si="30"/>
        <v>#VALUE!</v>
      </c>
      <c r="P1805" s="16">
        <f t="shared" si="31"/>
        <v>0</v>
      </c>
    </row>
    <row r="1806" spans="15:16" hidden="1" x14ac:dyDescent="0.25">
      <c r="O1806" s="16" t="e">
        <f t="shared" si="30"/>
        <v>#VALUE!</v>
      </c>
      <c r="P1806" s="16">
        <f t="shared" si="31"/>
        <v>0</v>
      </c>
    </row>
    <row r="1807" spans="15:16" hidden="1" x14ac:dyDescent="0.25">
      <c r="O1807" s="16" t="e">
        <f t="shared" si="30"/>
        <v>#VALUE!</v>
      </c>
      <c r="P1807" s="16">
        <f t="shared" si="31"/>
        <v>0</v>
      </c>
    </row>
    <row r="1808" spans="15:16" hidden="1" x14ac:dyDescent="0.25">
      <c r="O1808" s="16" t="e">
        <f t="shared" si="30"/>
        <v>#VALUE!</v>
      </c>
      <c r="P1808" s="16">
        <f t="shared" si="31"/>
        <v>0</v>
      </c>
    </row>
    <row r="1809" spans="15:16" hidden="1" x14ac:dyDescent="0.25">
      <c r="O1809" s="16" t="e">
        <f t="shared" si="30"/>
        <v>#VALUE!</v>
      </c>
      <c r="P1809" s="16">
        <f t="shared" si="31"/>
        <v>0</v>
      </c>
    </row>
    <row r="1810" spans="15:16" hidden="1" x14ac:dyDescent="0.25">
      <c r="O1810" s="16" t="e">
        <f t="shared" si="30"/>
        <v>#VALUE!</v>
      </c>
      <c r="P1810" s="16">
        <f t="shared" si="31"/>
        <v>0</v>
      </c>
    </row>
    <row r="1811" spans="15:16" hidden="1" x14ac:dyDescent="0.25">
      <c r="O1811" s="16" t="e">
        <f t="shared" si="30"/>
        <v>#VALUE!</v>
      </c>
      <c r="P1811" s="16">
        <f t="shared" si="31"/>
        <v>0</v>
      </c>
    </row>
    <row r="1812" spans="15:16" hidden="1" x14ac:dyDescent="0.25">
      <c r="O1812" s="16" t="e">
        <f t="shared" si="30"/>
        <v>#VALUE!</v>
      </c>
      <c r="P1812" s="16">
        <f t="shared" si="31"/>
        <v>0</v>
      </c>
    </row>
    <row r="1813" spans="15:16" hidden="1" x14ac:dyDescent="0.25">
      <c r="O1813" s="16" t="e">
        <f t="shared" si="30"/>
        <v>#VALUE!</v>
      </c>
      <c r="P1813" s="16">
        <f t="shared" si="31"/>
        <v>0</v>
      </c>
    </row>
    <row r="1814" spans="15:16" hidden="1" x14ac:dyDescent="0.25">
      <c r="O1814" s="16" t="e">
        <f t="shared" si="30"/>
        <v>#VALUE!</v>
      </c>
      <c r="P1814" s="16">
        <f t="shared" si="31"/>
        <v>0</v>
      </c>
    </row>
    <row r="1815" spans="15:16" hidden="1" x14ac:dyDescent="0.25">
      <c r="O1815" s="16" t="e">
        <f t="shared" si="30"/>
        <v>#VALUE!</v>
      </c>
      <c r="P1815" s="16">
        <f t="shared" si="31"/>
        <v>0</v>
      </c>
    </row>
    <row r="1816" spans="15:16" hidden="1" x14ac:dyDescent="0.25">
      <c r="O1816" s="16" t="e">
        <f t="shared" si="30"/>
        <v>#VALUE!</v>
      </c>
      <c r="P1816" s="16">
        <f t="shared" si="31"/>
        <v>0</v>
      </c>
    </row>
    <row r="1817" spans="15:16" hidden="1" x14ac:dyDescent="0.25">
      <c r="O1817" s="16" t="e">
        <f t="shared" si="30"/>
        <v>#VALUE!</v>
      </c>
      <c r="P1817" s="16">
        <f t="shared" si="31"/>
        <v>0</v>
      </c>
    </row>
    <row r="1818" spans="15:16" hidden="1" x14ac:dyDescent="0.25">
      <c r="O1818" s="16" t="e">
        <f t="shared" si="30"/>
        <v>#VALUE!</v>
      </c>
      <c r="P1818" s="16">
        <f t="shared" si="31"/>
        <v>0</v>
      </c>
    </row>
    <row r="1819" spans="15:16" hidden="1" x14ac:dyDescent="0.25">
      <c r="O1819" s="16" t="e">
        <f t="shared" si="30"/>
        <v>#VALUE!</v>
      </c>
      <c r="P1819" s="16">
        <f t="shared" si="31"/>
        <v>0</v>
      </c>
    </row>
    <row r="1820" spans="15:16" hidden="1" x14ac:dyDescent="0.25">
      <c r="O1820" s="16" t="e">
        <f t="shared" si="30"/>
        <v>#VALUE!</v>
      </c>
      <c r="P1820" s="16">
        <f t="shared" si="31"/>
        <v>0</v>
      </c>
    </row>
    <row r="1821" spans="15:16" hidden="1" x14ac:dyDescent="0.25">
      <c r="O1821" s="16" t="e">
        <f t="shared" si="30"/>
        <v>#VALUE!</v>
      </c>
      <c r="P1821" s="16">
        <f t="shared" si="31"/>
        <v>0</v>
      </c>
    </row>
    <row r="1822" spans="15:16" hidden="1" x14ac:dyDescent="0.25">
      <c r="O1822" s="16" t="e">
        <f t="shared" si="30"/>
        <v>#VALUE!</v>
      </c>
      <c r="P1822" s="16">
        <f t="shared" si="31"/>
        <v>0</v>
      </c>
    </row>
    <row r="1823" spans="15:16" hidden="1" x14ac:dyDescent="0.25">
      <c r="O1823" s="16" t="e">
        <f t="shared" si="30"/>
        <v>#VALUE!</v>
      </c>
      <c r="P1823" s="16">
        <f t="shared" si="31"/>
        <v>0</v>
      </c>
    </row>
    <row r="1824" spans="15:16" hidden="1" x14ac:dyDescent="0.25">
      <c r="O1824" s="16" t="e">
        <f t="shared" si="30"/>
        <v>#VALUE!</v>
      </c>
      <c r="P1824" s="16">
        <f t="shared" si="31"/>
        <v>0</v>
      </c>
    </row>
    <row r="1825" spans="15:16" hidden="1" x14ac:dyDescent="0.25">
      <c r="O1825" s="16" t="e">
        <f t="shared" si="30"/>
        <v>#VALUE!</v>
      </c>
      <c r="P1825" s="16">
        <f t="shared" si="31"/>
        <v>0</v>
      </c>
    </row>
    <row r="1826" spans="15:16" hidden="1" x14ac:dyDescent="0.25">
      <c r="O1826" s="16" t="e">
        <f t="shared" si="30"/>
        <v>#VALUE!</v>
      </c>
      <c r="P1826" s="16">
        <f t="shared" si="31"/>
        <v>0</v>
      </c>
    </row>
    <row r="1827" spans="15:16" hidden="1" x14ac:dyDescent="0.25">
      <c r="O1827" s="16" t="e">
        <f t="shared" si="30"/>
        <v>#VALUE!</v>
      </c>
      <c r="P1827" s="16">
        <f t="shared" si="31"/>
        <v>0</v>
      </c>
    </row>
    <row r="1828" spans="15:16" hidden="1" x14ac:dyDescent="0.25">
      <c r="O1828" s="16" t="e">
        <f t="shared" si="30"/>
        <v>#VALUE!</v>
      </c>
      <c r="P1828" s="16">
        <f t="shared" si="31"/>
        <v>0</v>
      </c>
    </row>
    <row r="1829" spans="15:16" hidden="1" x14ac:dyDescent="0.25">
      <c r="O1829" s="16" t="e">
        <f t="shared" si="30"/>
        <v>#VALUE!</v>
      </c>
      <c r="P1829" s="16">
        <f t="shared" si="31"/>
        <v>0</v>
      </c>
    </row>
    <row r="1830" spans="15:16" hidden="1" x14ac:dyDescent="0.25">
      <c r="O1830" s="16" t="e">
        <f t="shared" si="30"/>
        <v>#VALUE!</v>
      </c>
      <c r="P1830" s="16">
        <f t="shared" si="31"/>
        <v>0</v>
      </c>
    </row>
    <row r="1831" spans="15:16" hidden="1" x14ac:dyDescent="0.25">
      <c r="O1831" s="16" t="e">
        <f t="shared" si="30"/>
        <v>#VALUE!</v>
      </c>
      <c r="P1831" s="16">
        <f t="shared" si="31"/>
        <v>0</v>
      </c>
    </row>
    <row r="1832" spans="15:16" hidden="1" x14ac:dyDescent="0.25">
      <c r="O1832" s="16" t="e">
        <f t="shared" si="30"/>
        <v>#VALUE!</v>
      </c>
      <c r="P1832" s="16">
        <f t="shared" si="31"/>
        <v>0</v>
      </c>
    </row>
    <row r="1833" spans="15:16" hidden="1" x14ac:dyDescent="0.25">
      <c r="O1833" s="16" t="e">
        <f t="shared" si="30"/>
        <v>#VALUE!</v>
      </c>
      <c r="P1833" s="16">
        <f t="shared" si="31"/>
        <v>0</v>
      </c>
    </row>
    <row r="1834" spans="15:16" hidden="1" x14ac:dyDescent="0.25">
      <c r="O1834" s="16" t="e">
        <f t="shared" si="30"/>
        <v>#VALUE!</v>
      </c>
      <c r="P1834" s="16">
        <f t="shared" si="31"/>
        <v>0</v>
      </c>
    </row>
    <row r="1835" spans="15:16" hidden="1" x14ac:dyDescent="0.25">
      <c r="O1835" s="16" t="e">
        <f t="shared" si="30"/>
        <v>#VALUE!</v>
      </c>
      <c r="P1835" s="16">
        <f t="shared" si="31"/>
        <v>0</v>
      </c>
    </row>
    <row r="1836" spans="15:16" hidden="1" x14ac:dyDescent="0.25">
      <c r="O1836" s="16" t="e">
        <f t="shared" si="30"/>
        <v>#VALUE!</v>
      </c>
      <c r="P1836" s="16">
        <f t="shared" si="31"/>
        <v>0</v>
      </c>
    </row>
    <row r="1837" spans="15:16" hidden="1" x14ac:dyDescent="0.25">
      <c r="O1837" s="16" t="e">
        <f t="shared" si="30"/>
        <v>#VALUE!</v>
      </c>
      <c r="P1837" s="16">
        <f t="shared" si="31"/>
        <v>0</v>
      </c>
    </row>
    <row r="1838" spans="15:16" hidden="1" x14ac:dyDescent="0.25">
      <c r="O1838" s="16" t="e">
        <f t="shared" si="30"/>
        <v>#VALUE!</v>
      </c>
      <c r="P1838" s="16">
        <f t="shared" si="31"/>
        <v>0</v>
      </c>
    </row>
    <row r="1839" spans="15:16" hidden="1" x14ac:dyDescent="0.25">
      <c r="O1839" s="16" t="e">
        <f t="shared" si="30"/>
        <v>#VALUE!</v>
      </c>
      <c r="P1839" s="16">
        <f t="shared" si="31"/>
        <v>0</v>
      </c>
    </row>
    <row r="1840" spans="15:16" hidden="1" x14ac:dyDescent="0.25">
      <c r="O1840" s="16" t="e">
        <f t="shared" si="30"/>
        <v>#VALUE!</v>
      </c>
      <c r="P1840" s="16">
        <f t="shared" si="31"/>
        <v>0</v>
      </c>
    </row>
    <row r="1841" spans="15:16" hidden="1" x14ac:dyDescent="0.25">
      <c r="O1841" s="16" t="e">
        <f t="shared" si="30"/>
        <v>#VALUE!</v>
      </c>
      <c r="P1841" s="16">
        <f t="shared" si="31"/>
        <v>0</v>
      </c>
    </row>
    <row r="1842" spans="15:16" hidden="1" x14ac:dyDescent="0.25">
      <c r="O1842" s="16" t="e">
        <f t="shared" si="30"/>
        <v>#VALUE!</v>
      </c>
      <c r="P1842" s="16">
        <f t="shared" si="31"/>
        <v>0</v>
      </c>
    </row>
    <row r="1843" spans="15:16" hidden="1" x14ac:dyDescent="0.25">
      <c r="O1843" s="16" t="e">
        <f t="shared" si="30"/>
        <v>#VALUE!</v>
      </c>
      <c r="P1843" s="16">
        <f t="shared" si="31"/>
        <v>0</v>
      </c>
    </row>
    <row r="1844" spans="15:16" hidden="1" x14ac:dyDescent="0.25">
      <c r="O1844" s="16" t="e">
        <f t="shared" si="30"/>
        <v>#VALUE!</v>
      </c>
      <c r="P1844" s="16">
        <f t="shared" si="31"/>
        <v>0</v>
      </c>
    </row>
    <row r="1845" spans="15:16" hidden="1" x14ac:dyDescent="0.25">
      <c r="O1845" s="16" t="e">
        <f t="shared" si="30"/>
        <v>#VALUE!</v>
      </c>
      <c r="P1845" s="16">
        <f t="shared" si="31"/>
        <v>0</v>
      </c>
    </row>
    <row r="1846" spans="15:16" hidden="1" x14ac:dyDescent="0.25">
      <c r="O1846" s="16" t="e">
        <f t="shared" si="30"/>
        <v>#VALUE!</v>
      </c>
      <c r="P1846" s="16">
        <f t="shared" si="31"/>
        <v>0</v>
      </c>
    </row>
    <row r="1847" spans="15:16" hidden="1" x14ac:dyDescent="0.25">
      <c r="O1847" s="16" t="e">
        <f t="shared" si="30"/>
        <v>#VALUE!</v>
      </c>
      <c r="P1847" s="16">
        <f t="shared" si="31"/>
        <v>0</v>
      </c>
    </row>
    <row r="1848" spans="15:16" hidden="1" x14ac:dyDescent="0.25">
      <c r="O1848" s="16" t="e">
        <f t="shared" si="30"/>
        <v>#VALUE!</v>
      </c>
      <c r="P1848" s="16">
        <f t="shared" si="31"/>
        <v>0</v>
      </c>
    </row>
    <row r="1849" spans="15:16" hidden="1" x14ac:dyDescent="0.25">
      <c r="O1849" s="16" t="e">
        <f t="shared" si="30"/>
        <v>#VALUE!</v>
      </c>
      <c r="P1849" s="16">
        <f t="shared" si="31"/>
        <v>0</v>
      </c>
    </row>
    <row r="1850" spans="15:16" hidden="1" x14ac:dyDescent="0.25">
      <c r="O1850" s="16" t="e">
        <f t="shared" si="30"/>
        <v>#VALUE!</v>
      </c>
      <c r="P1850" s="16">
        <f t="shared" si="31"/>
        <v>0</v>
      </c>
    </row>
    <row r="1851" spans="15:16" hidden="1" x14ac:dyDescent="0.25">
      <c r="O1851" s="16" t="e">
        <f t="shared" si="30"/>
        <v>#VALUE!</v>
      </c>
      <c r="P1851" s="16">
        <f t="shared" si="31"/>
        <v>0</v>
      </c>
    </row>
    <row r="1852" spans="15:16" hidden="1" x14ac:dyDescent="0.25">
      <c r="O1852" s="16" t="e">
        <f t="shared" si="30"/>
        <v>#VALUE!</v>
      </c>
      <c r="P1852" s="16">
        <f t="shared" si="31"/>
        <v>0</v>
      </c>
    </row>
    <row r="1853" spans="15:16" hidden="1" x14ac:dyDescent="0.25">
      <c r="O1853" s="16" t="e">
        <f t="shared" si="30"/>
        <v>#VALUE!</v>
      </c>
      <c r="P1853" s="16">
        <f t="shared" si="31"/>
        <v>0</v>
      </c>
    </row>
    <row r="1854" spans="15:16" hidden="1" x14ac:dyDescent="0.25">
      <c r="O1854" s="16" t="e">
        <f t="shared" si="30"/>
        <v>#VALUE!</v>
      </c>
      <c r="P1854" s="16">
        <f t="shared" si="31"/>
        <v>0</v>
      </c>
    </row>
    <row r="1855" spans="15:16" hidden="1" x14ac:dyDescent="0.25">
      <c r="O1855" s="16" t="e">
        <f t="shared" si="30"/>
        <v>#VALUE!</v>
      </c>
      <c r="P1855" s="16">
        <f t="shared" si="31"/>
        <v>0</v>
      </c>
    </row>
    <row r="1856" spans="15:16" hidden="1" x14ac:dyDescent="0.25">
      <c r="O1856" s="16" t="e">
        <f t="shared" si="30"/>
        <v>#VALUE!</v>
      </c>
      <c r="P1856" s="16">
        <f t="shared" si="31"/>
        <v>0</v>
      </c>
    </row>
    <row r="1857" spans="15:16" hidden="1" x14ac:dyDescent="0.25">
      <c r="O1857" s="16" t="e">
        <f t="shared" si="30"/>
        <v>#VALUE!</v>
      </c>
      <c r="P1857" s="16">
        <f t="shared" si="31"/>
        <v>0</v>
      </c>
    </row>
    <row r="1858" spans="15:16" hidden="1" x14ac:dyDescent="0.25">
      <c r="O1858" s="16" t="e">
        <f t="shared" si="30"/>
        <v>#VALUE!</v>
      </c>
      <c r="P1858" s="16">
        <f t="shared" si="31"/>
        <v>0</v>
      </c>
    </row>
    <row r="1859" spans="15:16" hidden="1" x14ac:dyDescent="0.25">
      <c r="O1859" s="16" t="e">
        <f t="shared" ref="O1859:O1922" si="32">TEXT(DATEVALUE(LEFT(F1859,10)),"mm-yyyy")</f>
        <v>#VALUE!</v>
      </c>
      <c r="P1859" s="16">
        <f t="shared" ref="P1859:P1922" si="33">H1859*I1859</f>
        <v>0</v>
      </c>
    </row>
    <row r="1860" spans="15:16" hidden="1" x14ac:dyDescent="0.25">
      <c r="O1860" s="16" t="e">
        <f t="shared" si="32"/>
        <v>#VALUE!</v>
      </c>
      <c r="P1860" s="16">
        <f t="shared" si="33"/>
        <v>0</v>
      </c>
    </row>
    <row r="1861" spans="15:16" hidden="1" x14ac:dyDescent="0.25">
      <c r="O1861" s="16" t="e">
        <f t="shared" si="32"/>
        <v>#VALUE!</v>
      </c>
      <c r="P1861" s="16">
        <f t="shared" si="33"/>
        <v>0</v>
      </c>
    </row>
    <row r="1862" spans="15:16" hidden="1" x14ac:dyDescent="0.25">
      <c r="O1862" s="16" t="e">
        <f t="shared" si="32"/>
        <v>#VALUE!</v>
      </c>
      <c r="P1862" s="16">
        <f t="shared" si="33"/>
        <v>0</v>
      </c>
    </row>
    <row r="1863" spans="15:16" hidden="1" x14ac:dyDescent="0.25">
      <c r="O1863" s="16" t="e">
        <f t="shared" si="32"/>
        <v>#VALUE!</v>
      </c>
      <c r="P1863" s="16">
        <f t="shared" si="33"/>
        <v>0</v>
      </c>
    </row>
    <row r="1864" spans="15:16" hidden="1" x14ac:dyDescent="0.25">
      <c r="O1864" s="16" t="e">
        <f t="shared" si="32"/>
        <v>#VALUE!</v>
      </c>
      <c r="P1864" s="16">
        <f t="shared" si="33"/>
        <v>0</v>
      </c>
    </row>
    <row r="1865" spans="15:16" hidden="1" x14ac:dyDescent="0.25">
      <c r="O1865" s="16" t="e">
        <f t="shared" si="32"/>
        <v>#VALUE!</v>
      </c>
      <c r="P1865" s="16">
        <f t="shared" si="33"/>
        <v>0</v>
      </c>
    </row>
    <row r="1866" spans="15:16" hidden="1" x14ac:dyDescent="0.25">
      <c r="O1866" s="16" t="e">
        <f t="shared" si="32"/>
        <v>#VALUE!</v>
      </c>
      <c r="P1866" s="16">
        <f t="shared" si="33"/>
        <v>0</v>
      </c>
    </row>
    <row r="1867" spans="15:16" hidden="1" x14ac:dyDescent="0.25">
      <c r="O1867" s="16" t="e">
        <f t="shared" si="32"/>
        <v>#VALUE!</v>
      </c>
      <c r="P1867" s="16">
        <f t="shared" si="33"/>
        <v>0</v>
      </c>
    </row>
    <row r="1868" spans="15:16" hidden="1" x14ac:dyDescent="0.25">
      <c r="O1868" s="16" t="e">
        <f t="shared" si="32"/>
        <v>#VALUE!</v>
      </c>
      <c r="P1868" s="16">
        <f t="shared" si="33"/>
        <v>0</v>
      </c>
    </row>
    <row r="1869" spans="15:16" hidden="1" x14ac:dyDescent="0.25">
      <c r="O1869" s="16" t="e">
        <f t="shared" si="32"/>
        <v>#VALUE!</v>
      </c>
      <c r="P1869" s="16">
        <f t="shared" si="33"/>
        <v>0</v>
      </c>
    </row>
    <row r="1870" spans="15:16" hidden="1" x14ac:dyDescent="0.25">
      <c r="O1870" s="16" t="e">
        <f t="shared" si="32"/>
        <v>#VALUE!</v>
      </c>
      <c r="P1870" s="16">
        <f t="shared" si="33"/>
        <v>0</v>
      </c>
    </row>
    <row r="1871" spans="15:16" hidden="1" x14ac:dyDescent="0.25">
      <c r="O1871" s="16" t="e">
        <f t="shared" si="32"/>
        <v>#VALUE!</v>
      </c>
      <c r="P1871" s="16">
        <f t="shared" si="33"/>
        <v>0</v>
      </c>
    </row>
    <row r="1872" spans="15:16" hidden="1" x14ac:dyDescent="0.25">
      <c r="O1872" s="16" t="e">
        <f t="shared" si="32"/>
        <v>#VALUE!</v>
      </c>
      <c r="P1872" s="16">
        <f t="shared" si="33"/>
        <v>0</v>
      </c>
    </row>
    <row r="1873" spans="15:16" hidden="1" x14ac:dyDescent="0.25">
      <c r="O1873" s="16" t="e">
        <f t="shared" si="32"/>
        <v>#VALUE!</v>
      </c>
      <c r="P1873" s="16">
        <f t="shared" si="33"/>
        <v>0</v>
      </c>
    </row>
    <row r="1874" spans="15:16" hidden="1" x14ac:dyDescent="0.25">
      <c r="O1874" s="16" t="e">
        <f t="shared" si="32"/>
        <v>#VALUE!</v>
      </c>
      <c r="P1874" s="16">
        <f t="shared" si="33"/>
        <v>0</v>
      </c>
    </row>
    <row r="1875" spans="15:16" hidden="1" x14ac:dyDescent="0.25">
      <c r="O1875" s="16" t="e">
        <f t="shared" si="32"/>
        <v>#VALUE!</v>
      </c>
      <c r="P1875" s="16">
        <f t="shared" si="33"/>
        <v>0</v>
      </c>
    </row>
    <row r="1876" spans="15:16" hidden="1" x14ac:dyDescent="0.25">
      <c r="O1876" s="16" t="e">
        <f t="shared" si="32"/>
        <v>#VALUE!</v>
      </c>
      <c r="P1876" s="16">
        <f t="shared" si="33"/>
        <v>0</v>
      </c>
    </row>
    <row r="1877" spans="15:16" hidden="1" x14ac:dyDescent="0.25">
      <c r="O1877" s="16" t="e">
        <f t="shared" si="32"/>
        <v>#VALUE!</v>
      </c>
      <c r="P1877" s="16">
        <f t="shared" si="33"/>
        <v>0</v>
      </c>
    </row>
    <row r="1878" spans="15:16" hidden="1" x14ac:dyDescent="0.25">
      <c r="O1878" s="16" t="e">
        <f t="shared" si="32"/>
        <v>#VALUE!</v>
      </c>
      <c r="P1878" s="16">
        <f t="shared" si="33"/>
        <v>0</v>
      </c>
    </row>
    <row r="1879" spans="15:16" hidden="1" x14ac:dyDescent="0.25">
      <c r="O1879" s="16" t="e">
        <f t="shared" si="32"/>
        <v>#VALUE!</v>
      </c>
      <c r="P1879" s="16">
        <f t="shared" si="33"/>
        <v>0</v>
      </c>
    </row>
    <row r="1880" spans="15:16" hidden="1" x14ac:dyDescent="0.25">
      <c r="O1880" s="16" t="e">
        <f t="shared" si="32"/>
        <v>#VALUE!</v>
      </c>
      <c r="P1880" s="16">
        <f t="shared" si="33"/>
        <v>0</v>
      </c>
    </row>
    <row r="1881" spans="15:16" hidden="1" x14ac:dyDescent="0.25">
      <c r="O1881" s="16" t="e">
        <f t="shared" si="32"/>
        <v>#VALUE!</v>
      </c>
      <c r="P1881" s="16">
        <f t="shared" si="33"/>
        <v>0</v>
      </c>
    </row>
    <row r="1882" spans="15:16" hidden="1" x14ac:dyDescent="0.25">
      <c r="O1882" s="16" t="e">
        <f t="shared" si="32"/>
        <v>#VALUE!</v>
      </c>
      <c r="P1882" s="16">
        <f t="shared" si="33"/>
        <v>0</v>
      </c>
    </row>
    <row r="1883" spans="15:16" hidden="1" x14ac:dyDescent="0.25">
      <c r="O1883" s="16" t="e">
        <f t="shared" si="32"/>
        <v>#VALUE!</v>
      </c>
      <c r="P1883" s="16">
        <f t="shared" si="33"/>
        <v>0</v>
      </c>
    </row>
    <row r="1884" spans="15:16" hidden="1" x14ac:dyDescent="0.25">
      <c r="O1884" s="16" t="e">
        <f t="shared" si="32"/>
        <v>#VALUE!</v>
      </c>
      <c r="P1884" s="16">
        <f t="shared" si="33"/>
        <v>0</v>
      </c>
    </row>
    <row r="1885" spans="15:16" hidden="1" x14ac:dyDescent="0.25">
      <c r="O1885" s="16" t="e">
        <f t="shared" si="32"/>
        <v>#VALUE!</v>
      </c>
      <c r="P1885" s="16">
        <f t="shared" si="33"/>
        <v>0</v>
      </c>
    </row>
    <row r="1886" spans="15:16" hidden="1" x14ac:dyDescent="0.25">
      <c r="O1886" s="16" t="e">
        <f t="shared" si="32"/>
        <v>#VALUE!</v>
      </c>
      <c r="P1886" s="16">
        <f t="shared" si="33"/>
        <v>0</v>
      </c>
    </row>
    <row r="1887" spans="15:16" hidden="1" x14ac:dyDescent="0.25">
      <c r="O1887" s="16" t="e">
        <f t="shared" si="32"/>
        <v>#VALUE!</v>
      </c>
      <c r="P1887" s="16">
        <f t="shared" si="33"/>
        <v>0</v>
      </c>
    </row>
    <row r="1888" spans="15:16" hidden="1" x14ac:dyDescent="0.25">
      <c r="O1888" s="16" t="e">
        <f t="shared" si="32"/>
        <v>#VALUE!</v>
      </c>
      <c r="P1888" s="16">
        <f t="shared" si="33"/>
        <v>0</v>
      </c>
    </row>
    <row r="1889" spans="15:16" hidden="1" x14ac:dyDescent="0.25">
      <c r="O1889" s="16" t="e">
        <f t="shared" si="32"/>
        <v>#VALUE!</v>
      </c>
      <c r="P1889" s="16">
        <f t="shared" si="33"/>
        <v>0</v>
      </c>
    </row>
    <row r="1890" spans="15:16" hidden="1" x14ac:dyDescent="0.25">
      <c r="O1890" s="16" t="e">
        <f t="shared" si="32"/>
        <v>#VALUE!</v>
      </c>
      <c r="P1890" s="16">
        <f t="shared" si="33"/>
        <v>0</v>
      </c>
    </row>
    <row r="1891" spans="15:16" hidden="1" x14ac:dyDescent="0.25">
      <c r="O1891" s="16" t="e">
        <f t="shared" si="32"/>
        <v>#VALUE!</v>
      </c>
      <c r="P1891" s="16">
        <f t="shared" si="33"/>
        <v>0</v>
      </c>
    </row>
    <row r="1892" spans="15:16" hidden="1" x14ac:dyDescent="0.25">
      <c r="O1892" s="16" t="e">
        <f t="shared" si="32"/>
        <v>#VALUE!</v>
      </c>
      <c r="P1892" s="16">
        <f t="shared" si="33"/>
        <v>0</v>
      </c>
    </row>
    <row r="1893" spans="15:16" hidden="1" x14ac:dyDescent="0.25">
      <c r="O1893" s="16" t="e">
        <f t="shared" si="32"/>
        <v>#VALUE!</v>
      </c>
      <c r="P1893" s="16">
        <f t="shared" si="33"/>
        <v>0</v>
      </c>
    </row>
    <row r="1894" spans="15:16" hidden="1" x14ac:dyDescent="0.25">
      <c r="O1894" s="16" t="e">
        <f t="shared" si="32"/>
        <v>#VALUE!</v>
      </c>
      <c r="P1894" s="16">
        <f t="shared" si="33"/>
        <v>0</v>
      </c>
    </row>
    <row r="1895" spans="15:16" hidden="1" x14ac:dyDescent="0.25">
      <c r="O1895" s="16" t="e">
        <f t="shared" si="32"/>
        <v>#VALUE!</v>
      </c>
      <c r="P1895" s="16">
        <f t="shared" si="33"/>
        <v>0</v>
      </c>
    </row>
    <row r="1896" spans="15:16" hidden="1" x14ac:dyDescent="0.25">
      <c r="O1896" s="16" t="e">
        <f t="shared" si="32"/>
        <v>#VALUE!</v>
      </c>
      <c r="P1896" s="16">
        <f t="shared" si="33"/>
        <v>0</v>
      </c>
    </row>
    <row r="1897" spans="15:16" hidden="1" x14ac:dyDescent="0.25">
      <c r="O1897" s="16" t="e">
        <f t="shared" si="32"/>
        <v>#VALUE!</v>
      </c>
      <c r="P1897" s="16">
        <f t="shared" si="33"/>
        <v>0</v>
      </c>
    </row>
    <row r="1898" spans="15:16" hidden="1" x14ac:dyDescent="0.25">
      <c r="O1898" s="16" t="e">
        <f t="shared" si="32"/>
        <v>#VALUE!</v>
      </c>
      <c r="P1898" s="16">
        <f t="shared" si="33"/>
        <v>0</v>
      </c>
    </row>
    <row r="1899" spans="15:16" hidden="1" x14ac:dyDescent="0.25">
      <c r="O1899" s="16" t="e">
        <f t="shared" si="32"/>
        <v>#VALUE!</v>
      </c>
      <c r="P1899" s="16">
        <f t="shared" si="33"/>
        <v>0</v>
      </c>
    </row>
    <row r="1900" spans="15:16" hidden="1" x14ac:dyDescent="0.25">
      <c r="O1900" s="16" t="e">
        <f t="shared" si="32"/>
        <v>#VALUE!</v>
      </c>
      <c r="P1900" s="16">
        <f t="shared" si="33"/>
        <v>0</v>
      </c>
    </row>
    <row r="1901" spans="15:16" hidden="1" x14ac:dyDescent="0.25">
      <c r="O1901" s="16" t="e">
        <f t="shared" si="32"/>
        <v>#VALUE!</v>
      </c>
      <c r="P1901" s="16">
        <f t="shared" si="33"/>
        <v>0</v>
      </c>
    </row>
    <row r="1902" spans="15:16" hidden="1" x14ac:dyDescent="0.25">
      <c r="O1902" s="16" t="e">
        <f t="shared" si="32"/>
        <v>#VALUE!</v>
      </c>
      <c r="P1902" s="16">
        <f t="shared" si="33"/>
        <v>0</v>
      </c>
    </row>
    <row r="1903" spans="15:16" hidden="1" x14ac:dyDescent="0.25">
      <c r="O1903" s="16" t="e">
        <f t="shared" si="32"/>
        <v>#VALUE!</v>
      </c>
      <c r="P1903" s="16">
        <f t="shared" si="33"/>
        <v>0</v>
      </c>
    </row>
    <row r="1904" spans="15:16" hidden="1" x14ac:dyDescent="0.25">
      <c r="O1904" s="16" t="e">
        <f t="shared" si="32"/>
        <v>#VALUE!</v>
      </c>
      <c r="P1904" s="16">
        <f t="shared" si="33"/>
        <v>0</v>
      </c>
    </row>
    <row r="1905" spans="15:16" hidden="1" x14ac:dyDescent="0.25">
      <c r="O1905" s="16" t="e">
        <f t="shared" si="32"/>
        <v>#VALUE!</v>
      </c>
      <c r="P1905" s="16">
        <f t="shared" si="33"/>
        <v>0</v>
      </c>
    </row>
    <row r="1906" spans="15:16" hidden="1" x14ac:dyDescent="0.25">
      <c r="O1906" s="16" t="e">
        <f t="shared" si="32"/>
        <v>#VALUE!</v>
      </c>
      <c r="P1906" s="16">
        <f t="shared" si="33"/>
        <v>0</v>
      </c>
    </row>
    <row r="1907" spans="15:16" hidden="1" x14ac:dyDescent="0.25">
      <c r="O1907" s="16" t="e">
        <f t="shared" si="32"/>
        <v>#VALUE!</v>
      </c>
      <c r="P1907" s="16">
        <f t="shared" si="33"/>
        <v>0</v>
      </c>
    </row>
    <row r="1908" spans="15:16" hidden="1" x14ac:dyDescent="0.25">
      <c r="O1908" s="16" t="e">
        <f t="shared" si="32"/>
        <v>#VALUE!</v>
      </c>
      <c r="P1908" s="16">
        <f t="shared" si="33"/>
        <v>0</v>
      </c>
    </row>
    <row r="1909" spans="15:16" hidden="1" x14ac:dyDescent="0.25">
      <c r="O1909" s="16" t="e">
        <f t="shared" si="32"/>
        <v>#VALUE!</v>
      </c>
      <c r="P1909" s="16">
        <f t="shared" si="33"/>
        <v>0</v>
      </c>
    </row>
    <row r="1910" spans="15:16" hidden="1" x14ac:dyDescent="0.25">
      <c r="O1910" s="16" t="e">
        <f t="shared" si="32"/>
        <v>#VALUE!</v>
      </c>
      <c r="P1910" s="16">
        <f t="shared" si="33"/>
        <v>0</v>
      </c>
    </row>
    <row r="1911" spans="15:16" hidden="1" x14ac:dyDescent="0.25">
      <c r="O1911" s="16" t="e">
        <f t="shared" si="32"/>
        <v>#VALUE!</v>
      </c>
      <c r="P1911" s="16">
        <f t="shared" si="33"/>
        <v>0</v>
      </c>
    </row>
    <row r="1912" spans="15:16" hidden="1" x14ac:dyDescent="0.25">
      <c r="O1912" s="16" t="e">
        <f t="shared" si="32"/>
        <v>#VALUE!</v>
      </c>
      <c r="P1912" s="16">
        <f t="shared" si="33"/>
        <v>0</v>
      </c>
    </row>
    <row r="1913" spans="15:16" hidden="1" x14ac:dyDescent="0.25">
      <c r="O1913" s="16" t="e">
        <f t="shared" si="32"/>
        <v>#VALUE!</v>
      </c>
      <c r="P1913" s="16">
        <f t="shared" si="33"/>
        <v>0</v>
      </c>
    </row>
    <row r="1914" spans="15:16" hidden="1" x14ac:dyDescent="0.25">
      <c r="O1914" s="16" t="e">
        <f t="shared" si="32"/>
        <v>#VALUE!</v>
      </c>
      <c r="P1914" s="16">
        <f t="shared" si="33"/>
        <v>0</v>
      </c>
    </row>
    <row r="1915" spans="15:16" hidden="1" x14ac:dyDescent="0.25">
      <c r="O1915" s="16" t="e">
        <f t="shared" si="32"/>
        <v>#VALUE!</v>
      </c>
      <c r="P1915" s="16">
        <f t="shared" si="33"/>
        <v>0</v>
      </c>
    </row>
    <row r="1916" spans="15:16" hidden="1" x14ac:dyDescent="0.25">
      <c r="O1916" s="16" t="e">
        <f t="shared" si="32"/>
        <v>#VALUE!</v>
      </c>
      <c r="P1916" s="16">
        <f t="shared" si="33"/>
        <v>0</v>
      </c>
    </row>
    <row r="1917" spans="15:16" hidden="1" x14ac:dyDescent="0.25">
      <c r="O1917" s="16" t="e">
        <f t="shared" si="32"/>
        <v>#VALUE!</v>
      </c>
      <c r="P1917" s="16">
        <f t="shared" si="33"/>
        <v>0</v>
      </c>
    </row>
    <row r="1918" spans="15:16" hidden="1" x14ac:dyDescent="0.25">
      <c r="O1918" s="16" t="e">
        <f t="shared" si="32"/>
        <v>#VALUE!</v>
      </c>
      <c r="P1918" s="16">
        <f t="shared" si="33"/>
        <v>0</v>
      </c>
    </row>
    <row r="1919" spans="15:16" hidden="1" x14ac:dyDescent="0.25">
      <c r="O1919" s="16" t="e">
        <f t="shared" si="32"/>
        <v>#VALUE!</v>
      </c>
      <c r="P1919" s="16">
        <f t="shared" si="33"/>
        <v>0</v>
      </c>
    </row>
    <row r="1920" spans="15:16" hidden="1" x14ac:dyDescent="0.25">
      <c r="O1920" s="16" t="e">
        <f t="shared" si="32"/>
        <v>#VALUE!</v>
      </c>
      <c r="P1920" s="16">
        <f t="shared" si="33"/>
        <v>0</v>
      </c>
    </row>
    <row r="1921" spans="15:16" hidden="1" x14ac:dyDescent="0.25">
      <c r="O1921" s="16" t="e">
        <f t="shared" si="32"/>
        <v>#VALUE!</v>
      </c>
      <c r="P1921" s="16">
        <f t="shared" si="33"/>
        <v>0</v>
      </c>
    </row>
    <row r="1922" spans="15:16" hidden="1" x14ac:dyDescent="0.25">
      <c r="O1922" s="16" t="e">
        <f t="shared" si="32"/>
        <v>#VALUE!</v>
      </c>
      <c r="P1922" s="16">
        <f t="shared" si="33"/>
        <v>0</v>
      </c>
    </row>
    <row r="1923" spans="15:16" hidden="1" x14ac:dyDescent="0.25">
      <c r="O1923" s="16" t="e">
        <f t="shared" ref="O1923:O1986" si="34">TEXT(DATEVALUE(LEFT(F1923,10)),"mm-yyyy")</f>
        <v>#VALUE!</v>
      </c>
      <c r="P1923" s="16">
        <f t="shared" ref="P1923:P1986" si="35">H1923*I1923</f>
        <v>0</v>
      </c>
    </row>
    <row r="1924" spans="15:16" hidden="1" x14ac:dyDescent="0.25">
      <c r="O1924" s="16" t="e">
        <f t="shared" si="34"/>
        <v>#VALUE!</v>
      </c>
      <c r="P1924" s="16">
        <f t="shared" si="35"/>
        <v>0</v>
      </c>
    </row>
    <row r="1925" spans="15:16" hidden="1" x14ac:dyDescent="0.25">
      <c r="O1925" s="16" t="e">
        <f t="shared" si="34"/>
        <v>#VALUE!</v>
      </c>
      <c r="P1925" s="16">
        <f t="shared" si="35"/>
        <v>0</v>
      </c>
    </row>
    <row r="1926" spans="15:16" hidden="1" x14ac:dyDescent="0.25">
      <c r="O1926" s="16" t="e">
        <f t="shared" si="34"/>
        <v>#VALUE!</v>
      </c>
      <c r="P1926" s="16">
        <f t="shared" si="35"/>
        <v>0</v>
      </c>
    </row>
    <row r="1927" spans="15:16" hidden="1" x14ac:dyDescent="0.25">
      <c r="O1927" s="16" t="e">
        <f t="shared" si="34"/>
        <v>#VALUE!</v>
      </c>
      <c r="P1927" s="16">
        <f t="shared" si="35"/>
        <v>0</v>
      </c>
    </row>
    <row r="1928" spans="15:16" hidden="1" x14ac:dyDescent="0.25">
      <c r="O1928" s="16" t="e">
        <f t="shared" si="34"/>
        <v>#VALUE!</v>
      </c>
      <c r="P1928" s="16">
        <f t="shared" si="35"/>
        <v>0</v>
      </c>
    </row>
    <row r="1929" spans="15:16" hidden="1" x14ac:dyDescent="0.25">
      <c r="O1929" s="16" t="e">
        <f t="shared" si="34"/>
        <v>#VALUE!</v>
      </c>
      <c r="P1929" s="16">
        <f t="shared" si="35"/>
        <v>0</v>
      </c>
    </row>
    <row r="1930" spans="15:16" hidden="1" x14ac:dyDescent="0.25">
      <c r="O1930" s="16" t="e">
        <f t="shared" si="34"/>
        <v>#VALUE!</v>
      </c>
      <c r="P1930" s="16">
        <f t="shared" si="35"/>
        <v>0</v>
      </c>
    </row>
    <row r="1931" spans="15:16" hidden="1" x14ac:dyDescent="0.25">
      <c r="O1931" s="16" t="e">
        <f t="shared" si="34"/>
        <v>#VALUE!</v>
      </c>
      <c r="P1931" s="16">
        <f t="shared" si="35"/>
        <v>0</v>
      </c>
    </row>
    <row r="1932" spans="15:16" hidden="1" x14ac:dyDescent="0.25">
      <c r="O1932" s="16" t="e">
        <f t="shared" si="34"/>
        <v>#VALUE!</v>
      </c>
      <c r="P1932" s="16">
        <f t="shared" si="35"/>
        <v>0</v>
      </c>
    </row>
    <row r="1933" spans="15:16" hidden="1" x14ac:dyDescent="0.25">
      <c r="O1933" s="16" t="e">
        <f t="shared" si="34"/>
        <v>#VALUE!</v>
      </c>
      <c r="P1933" s="16">
        <f t="shared" si="35"/>
        <v>0</v>
      </c>
    </row>
    <row r="1934" spans="15:16" hidden="1" x14ac:dyDescent="0.25">
      <c r="O1934" s="16" t="e">
        <f t="shared" si="34"/>
        <v>#VALUE!</v>
      </c>
      <c r="P1934" s="16">
        <f t="shared" si="35"/>
        <v>0</v>
      </c>
    </row>
    <row r="1935" spans="15:16" hidden="1" x14ac:dyDescent="0.25">
      <c r="O1935" s="16" t="e">
        <f t="shared" si="34"/>
        <v>#VALUE!</v>
      </c>
      <c r="P1935" s="16">
        <f t="shared" si="35"/>
        <v>0</v>
      </c>
    </row>
    <row r="1936" spans="15:16" hidden="1" x14ac:dyDescent="0.25">
      <c r="O1936" s="16" t="e">
        <f t="shared" si="34"/>
        <v>#VALUE!</v>
      </c>
      <c r="P1936" s="16">
        <f t="shared" si="35"/>
        <v>0</v>
      </c>
    </row>
    <row r="1937" spans="15:16" hidden="1" x14ac:dyDescent="0.25">
      <c r="O1937" s="16" t="e">
        <f t="shared" si="34"/>
        <v>#VALUE!</v>
      </c>
      <c r="P1937" s="16">
        <f t="shared" si="35"/>
        <v>0</v>
      </c>
    </row>
    <row r="1938" spans="15:16" hidden="1" x14ac:dyDescent="0.25">
      <c r="O1938" s="16" t="e">
        <f t="shared" si="34"/>
        <v>#VALUE!</v>
      </c>
      <c r="P1938" s="16">
        <f t="shared" si="35"/>
        <v>0</v>
      </c>
    </row>
    <row r="1939" spans="15:16" hidden="1" x14ac:dyDescent="0.25">
      <c r="O1939" s="16" t="e">
        <f t="shared" si="34"/>
        <v>#VALUE!</v>
      </c>
      <c r="P1939" s="16">
        <f t="shared" si="35"/>
        <v>0</v>
      </c>
    </row>
    <row r="1940" spans="15:16" hidden="1" x14ac:dyDescent="0.25">
      <c r="O1940" s="16" t="e">
        <f t="shared" si="34"/>
        <v>#VALUE!</v>
      </c>
      <c r="P1940" s="16">
        <f t="shared" si="35"/>
        <v>0</v>
      </c>
    </row>
    <row r="1941" spans="15:16" hidden="1" x14ac:dyDescent="0.25">
      <c r="O1941" s="16" t="e">
        <f t="shared" si="34"/>
        <v>#VALUE!</v>
      </c>
      <c r="P1941" s="16">
        <f t="shared" si="35"/>
        <v>0</v>
      </c>
    </row>
    <row r="1942" spans="15:16" hidden="1" x14ac:dyDescent="0.25">
      <c r="O1942" s="16" t="e">
        <f t="shared" si="34"/>
        <v>#VALUE!</v>
      </c>
      <c r="P1942" s="16">
        <f t="shared" si="35"/>
        <v>0</v>
      </c>
    </row>
    <row r="1943" spans="15:16" hidden="1" x14ac:dyDescent="0.25">
      <c r="O1943" s="16" t="e">
        <f t="shared" si="34"/>
        <v>#VALUE!</v>
      </c>
      <c r="P1943" s="16">
        <f t="shared" si="35"/>
        <v>0</v>
      </c>
    </row>
    <row r="1944" spans="15:16" hidden="1" x14ac:dyDescent="0.25">
      <c r="O1944" s="16" t="e">
        <f t="shared" si="34"/>
        <v>#VALUE!</v>
      </c>
      <c r="P1944" s="16">
        <f t="shared" si="35"/>
        <v>0</v>
      </c>
    </row>
    <row r="1945" spans="15:16" hidden="1" x14ac:dyDescent="0.25">
      <c r="O1945" s="16" t="e">
        <f t="shared" si="34"/>
        <v>#VALUE!</v>
      </c>
      <c r="P1945" s="16">
        <f t="shared" si="35"/>
        <v>0</v>
      </c>
    </row>
    <row r="1946" spans="15:16" hidden="1" x14ac:dyDescent="0.25">
      <c r="O1946" s="16" t="e">
        <f t="shared" si="34"/>
        <v>#VALUE!</v>
      </c>
      <c r="P1946" s="16">
        <f t="shared" si="35"/>
        <v>0</v>
      </c>
    </row>
    <row r="1947" spans="15:16" hidden="1" x14ac:dyDescent="0.25">
      <c r="O1947" s="16" t="e">
        <f t="shared" si="34"/>
        <v>#VALUE!</v>
      </c>
      <c r="P1947" s="16">
        <f t="shared" si="35"/>
        <v>0</v>
      </c>
    </row>
    <row r="1948" spans="15:16" hidden="1" x14ac:dyDescent="0.25">
      <c r="O1948" s="16" t="e">
        <f t="shared" si="34"/>
        <v>#VALUE!</v>
      </c>
      <c r="P1948" s="16">
        <f t="shared" si="35"/>
        <v>0</v>
      </c>
    </row>
    <row r="1949" spans="15:16" hidden="1" x14ac:dyDescent="0.25">
      <c r="O1949" s="16" t="e">
        <f t="shared" si="34"/>
        <v>#VALUE!</v>
      </c>
      <c r="P1949" s="16">
        <f t="shared" si="35"/>
        <v>0</v>
      </c>
    </row>
    <row r="1950" spans="15:16" hidden="1" x14ac:dyDescent="0.25">
      <c r="O1950" s="16" t="e">
        <f t="shared" si="34"/>
        <v>#VALUE!</v>
      </c>
      <c r="P1950" s="16">
        <f t="shared" si="35"/>
        <v>0</v>
      </c>
    </row>
    <row r="1951" spans="15:16" hidden="1" x14ac:dyDescent="0.25">
      <c r="O1951" s="16" t="e">
        <f t="shared" si="34"/>
        <v>#VALUE!</v>
      </c>
      <c r="P1951" s="16">
        <f t="shared" si="35"/>
        <v>0</v>
      </c>
    </row>
    <row r="1952" spans="15:16" hidden="1" x14ac:dyDescent="0.25">
      <c r="O1952" s="16" t="e">
        <f t="shared" si="34"/>
        <v>#VALUE!</v>
      </c>
      <c r="P1952" s="16">
        <f t="shared" si="35"/>
        <v>0</v>
      </c>
    </row>
    <row r="1953" spans="15:16" hidden="1" x14ac:dyDescent="0.25">
      <c r="O1953" s="16" t="e">
        <f t="shared" si="34"/>
        <v>#VALUE!</v>
      </c>
      <c r="P1953" s="16">
        <f t="shared" si="35"/>
        <v>0</v>
      </c>
    </row>
    <row r="1954" spans="15:16" hidden="1" x14ac:dyDescent="0.25">
      <c r="O1954" s="16" t="e">
        <f t="shared" si="34"/>
        <v>#VALUE!</v>
      </c>
      <c r="P1954" s="16">
        <f t="shared" si="35"/>
        <v>0</v>
      </c>
    </row>
    <row r="1955" spans="15:16" hidden="1" x14ac:dyDescent="0.25">
      <c r="O1955" s="16" t="e">
        <f t="shared" si="34"/>
        <v>#VALUE!</v>
      </c>
      <c r="P1955" s="16">
        <f t="shared" si="35"/>
        <v>0</v>
      </c>
    </row>
    <row r="1956" spans="15:16" hidden="1" x14ac:dyDescent="0.25">
      <c r="O1956" s="16" t="e">
        <f t="shared" si="34"/>
        <v>#VALUE!</v>
      </c>
      <c r="P1956" s="16">
        <f t="shared" si="35"/>
        <v>0</v>
      </c>
    </row>
    <row r="1957" spans="15:16" hidden="1" x14ac:dyDescent="0.25">
      <c r="O1957" s="16" t="e">
        <f t="shared" si="34"/>
        <v>#VALUE!</v>
      </c>
      <c r="P1957" s="16">
        <f t="shared" si="35"/>
        <v>0</v>
      </c>
    </row>
    <row r="1958" spans="15:16" hidden="1" x14ac:dyDescent="0.25">
      <c r="O1958" s="16" t="e">
        <f t="shared" si="34"/>
        <v>#VALUE!</v>
      </c>
      <c r="P1958" s="16">
        <f t="shared" si="35"/>
        <v>0</v>
      </c>
    </row>
    <row r="1959" spans="15:16" hidden="1" x14ac:dyDescent="0.25">
      <c r="O1959" s="16" t="e">
        <f t="shared" si="34"/>
        <v>#VALUE!</v>
      </c>
      <c r="P1959" s="16">
        <f t="shared" si="35"/>
        <v>0</v>
      </c>
    </row>
    <row r="1960" spans="15:16" hidden="1" x14ac:dyDescent="0.25">
      <c r="O1960" s="16" t="e">
        <f t="shared" si="34"/>
        <v>#VALUE!</v>
      </c>
      <c r="P1960" s="16">
        <f t="shared" si="35"/>
        <v>0</v>
      </c>
    </row>
    <row r="1961" spans="15:16" hidden="1" x14ac:dyDescent="0.25">
      <c r="O1961" s="16" t="e">
        <f t="shared" si="34"/>
        <v>#VALUE!</v>
      </c>
      <c r="P1961" s="16">
        <f t="shared" si="35"/>
        <v>0</v>
      </c>
    </row>
    <row r="1962" spans="15:16" hidden="1" x14ac:dyDescent="0.25">
      <c r="O1962" s="16" t="e">
        <f t="shared" si="34"/>
        <v>#VALUE!</v>
      </c>
      <c r="P1962" s="16">
        <f t="shared" si="35"/>
        <v>0</v>
      </c>
    </row>
    <row r="1963" spans="15:16" hidden="1" x14ac:dyDescent="0.25">
      <c r="O1963" s="16" t="e">
        <f t="shared" si="34"/>
        <v>#VALUE!</v>
      </c>
      <c r="P1963" s="16">
        <f t="shared" si="35"/>
        <v>0</v>
      </c>
    </row>
    <row r="1964" spans="15:16" hidden="1" x14ac:dyDescent="0.25">
      <c r="O1964" s="16" t="e">
        <f t="shared" si="34"/>
        <v>#VALUE!</v>
      </c>
      <c r="P1964" s="16">
        <f t="shared" si="35"/>
        <v>0</v>
      </c>
    </row>
    <row r="1965" spans="15:16" hidden="1" x14ac:dyDescent="0.25">
      <c r="O1965" s="16" t="e">
        <f t="shared" si="34"/>
        <v>#VALUE!</v>
      </c>
      <c r="P1965" s="16">
        <f t="shared" si="35"/>
        <v>0</v>
      </c>
    </row>
    <row r="1966" spans="15:16" hidden="1" x14ac:dyDescent="0.25">
      <c r="O1966" s="16" t="e">
        <f t="shared" si="34"/>
        <v>#VALUE!</v>
      </c>
      <c r="P1966" s="16">
        <f t="shared" si="35"/>
        <v>0</v>
      </c>
    </row>
    <row r="1967" spans="15:16" hidden="1" x14ac:dyDescent="0.25">
      <c r="O1967" s="16" t="e">
        <f t="shared" si="34"/>
        <v>#VALUE!</v>
      </c>
      <c r="P1967" s="16">
        <f t="shared" si="35"/>
        <v>0</v>
      </c>
    </row>
    <row r="1968" spans="15:16" hidden="1" x14ac:dyDescent="0.25">
      <c r="O1968" s="16" t="e">
        <f t="shared" si="34"/>
        <v>#VALUE!</v>
      </c>
      <c r="P1968" s="16">
        <f t="shared" si="35"/>
        <v>0</v>
      </c>
    </row>
    <row r="1969" spans="15:16" hidden="1" x14ac:dyDescent="0.25">
      <c r="O1969" s="16" t="e">
        <f t="shared" si="34"/>
        <v>#VALUE!</v>
      </c>
      <c r="P1969" s="16">
        <f t="shared" si="35"/>
        <v>0</v>
      </c>
    </row>
    <row r="1970" spans="15:16" hidden="1" x14ac:dyDescent="0.25">
      <c r="O1970" s="16" t="e">
        <f t="shared" si="34"/>
        <v>#VALUE!</v>
      </c>
      <c r="P1970" s="16">
        <f t="shared" si="35"/>
        <v>0</v>
      </c>
    </row>
    <row r="1971" spans="15:16" hidden="1" x14ac:dyDescent="0.25">
      <c r="O1971" s="16" t="e">
        <f t="shared" si="34"/>
        <v>#VALUE!</v>
      </c>
      <c r="P1971" s="16">
        <f t="shared" si="35"/>
        <v>0</v>
      </c>
    </row>
    <row r="1972" spans="15:16" hidden="1" x14ac:dyDescent="0.25">
      <c r="O1972" s="16" t="e">
        <f t="shared" si="34"/>
        <v>#VALUE!</v>
      </c>
      <c r="P1972" s="16">
        <f t="shared" si="35"/>
        <v>0</v>
      </c>
    </row>
    <row r="1973" spans="15:16" hidden="1" x14ac:dyDescent="0.25">
      <c r="O1973" s="16" t="e">
        <f t="shared" si="34"/>
        <v>#VALUE!</v>
      </c>
      <c r="P1973" s="16">
        <f t="shared" si="35"/>
        <v>0</v>
      </c>
    </row>
    <row r="1974" spans="15:16" hidden="1" x14ac:dyDescent="0.25">
      <c r="O1974" s="16" t="e">
        <f t="shared" si="34"/>
        <v>#VALUE!</v>
      </c>
      <c r="P1974" s="16">
        <f t="shared" si="35"/>
        <v>0</v>
      </c>
    </row>
    <row r="1975" spans="15:16" hidden="1" x14ac:dyDescent="0.25">
      <c r="O1975" s="16" t="e">
        <f t="shared" si="34"/>
        <v>#VALUE!</v>
      </c>
      <c r="P1975" s="16">
        <f t="shared" si="35"/>
        <v>0</v>
      </c>
    </row>
    <row r="1976" spans="15:16" hidden="1" x14ac:dyDescent="0.25">
      <c r="O1976" s="16" t="e">
        <f t="shared" si="34"/>
        <v>#VALUE!</v>
      </c>
      <c r="P1976" s="16">
        <f t="shared" si="35"/>
        <v>0</v>
      </c>
    </row>
    <row r="1977" spans="15:16" hidden="1" x14ac:dyDescent="0.25">
      <c r="O1977" s="16" t="e">
        <f t="shared" si="34"/>
        <v>#VALUE!</v>
      </c>
      <c r="P1977" s="16">
        <f t="shared" si="35"/>
        <v>0</v>
      </c>
    </row>
    <row r="1978" spans="15:16" hidden="1" x14ac:dyDescent="0.25">
      <c r="O1978" s="16" t="e">
        <f t="shared" si="34"/>
        <v>#VALUE!</v>
      </c>
      <c r="P1978" s="16">
        <f t="shared" si="35"/>
        <v>0</v>
      </c>
    </row>
    <row r="1979" spans="15:16" hidden="1" x14ac:dyDescent="0.25">
      <c r="O1979" s="16" t="e">
        <f t="shared" si="34"/>
        <v>#VALUE!</v>
      </c>
      <c r="P1979" s="16">
        <f t="shared" si="35"/>
        <v>0</v>
      </c>
    </row>
    <row r="1980" spans="15:16" hidden="1" x14ac:dyDescent="0.25">
      <c r="O1980" s="16" t="e">
        <f t="shared" si="34"/>
        <v>#VALUE!</v>
      </c>
      <c r="P1980" s="16">
        <f t="shared" si="35"/>
        <v>0</v>
      </c>
    </row>
    <row r="1981" spans="15:16" hidden="1" x14ac:dyDescent="0.25">
      <c r="O1981" s="16" t="e">
        <f t="shared" si="34"/>
        <v>#VALUE!</v>
      </c>
      <c r="P1981" s="16">
        <f t="shared" si="35"/>
        <v>0</v>
      </c>
    </row>
    <row r="1982" spans="15:16" hidden="1" x14ac:dyDescent="0.25">
      <c r="O1982" s="16" t="e">
        <f t="shared" si="34"/>
        <v>#VALUE!</v>
      </c>
      <c r="P1982" s="16">
        <f t="shared" si="35"/>
        <v>0</v>
      </c>
    </row>
    <row r="1983" spans="15:16" hidden="1" x14ac:dyDescent="0.25">
      <c r="O1983" s="16" t="e">
        <f t="shared" si="34"/>
        <v>#VALUE!</v>
      </c>
      <c r="P1983" s="16">
        <f t="shared" si="35"/>
        <v>0</v>
      </c>
    </row>
    <row r="1984" spans="15:16" hidden="1" x14ac:dyDescent="0.25">
      <c r="O1984" s="16" t="e">
        <f t="shared" si="34"/>
        <v>#VALUE!</v>
      </c>
      <c r="P1984" s="16">
        <f t="shared" si="35"/>
        <v>0</v>
      </c>
    </row>
    <row r="1985" spans="15:16" hidden="1" x14ac:dyDescent="0.25">
      <c r="O1985" s="16" t="e">
        <f t="shared" si="34"/>
        <v>#VALUE!</v>
      </c>
      <c r="P1985" s="16">
        <f t="shared" si="35"/>
        <v>0</v>
      </c>
    </row>
    <row r="1986" spans="15:16" hidden="1" x14ac:dyDescent="0.25">
      <c r="O1986" s="16" t="e">
        <f t="shared" si="34"/>
        <v>#VALUE!</v>
      </c>
      <c r="P1986" s="16">
        <f t="shared" si="35"/>
        <v>0</v>
      </c>
    </row>
    <row r="1987" spans="15:16" hidden="1" x14ac:dyDescent="0.25">
      <c r="O1987" s="16" t="e">
        <f t="shared" ref="O1987:O2050" si="36">TEXT(DATEVALUE(LEFT(F1987,10)),"mm-yyyy")</f>
        <v>#VALUE!</v>
      </c>
      <c r="P1987" s="16">
        <f t="shared" ref="P1987:P2050" si="37">H1987*I1987</f>
        <v>0</v>
      </c>
    </row>
    <row r="1988" spans="15:16" hidden="1" x14ac:dyDescent="0.25">
      <c r="O1988" s="16" t="e">
        <f t="shared" si="36"/>
        <v>#VALUE!</v>
      </c>
      <c r="P1988" s="16">
        <f t="shared" si="37"/>
        <v>0</v>
      </c>
    </row>
    <row r="1989" spans="15:16" hidden="1" x14ac:dyDescent="0.25">
      <c r="O1989" s="16" t="e">
        <f t="shared" si="36"/>
        <v>#VALUE!</v>
      </c>
      <c r="P1989" s="16">
        <f t="shared" si="37"/>
        <v>0</v>
      </c>
    </row>
    <row r="1990" spans="15:16" hidden="1" x14ac:dyDescent="0.25">
      <c r="O1990" s="16" t="e">
        <f t="shared" si="36"/>
        <v>#VALUE!</v>
      </c>
      <c r="P1990" s="16">
        <f t="shared" si="37"/>
        <v>0</v>
      </c>
    </row>
    <row r="1991" spans="15:16" hidden="1" x14ac:dyDescent="0.25">
      <c r="O1991" s="16" t="e">
        <f t="shared" si="36"/>
        <v>#VALUE!</v>
      </c>
      <c r="P1991" s="16">
        <f t="shared" si="37"/>
        <v>0</v>
      </c>
    </row>
    <row r="1992" spans="15:16" hidden="1" x14ac:dyDescent="0.25">
      <c r="O1992" s="16" t="e">
        <f t="shared" si="36"/>
        <v>#VALUE!</v>
      </c>
      <c r="P1992" s="16">
        <f t="shared" si="37"/>
        <v>0</v>
      </c>
    </row>
    <row r="1993" spans="15:16" hidden="1" x14ac:dyDescent="0.25">
      <c r="O1993" s="16" t="e">
        <f t="shared" si="36"/>
        <v>#VALUE!</v>
      </c>
      <c r="P1993" s="16">
        <f t="shared" si="37"/>
        <v>0</v>
      </c>
    </row>
    <row r="1994" spans="15:16" hidden="1" x14ac:dyDescent="0.25">
      <c r="O1994" s="16" t="e">
        <f t="shared" si="36"/>
        <v>#VALUE!</v>
      </c>
      <c r="P1994" s="16">
        <f t="shared" si="37"/>
        <v>0</v>
      </c>
    </row>
    <row r="1995" spans="15:16" hidden="1" x14ac:dyDescent="0.25">
      <c r="O1995" s="16" t="e">
        <f t="shared" si="36"/>
        <v>#VALUE!</v>
      </c>
      <c r="P1995" s="16">
        <f t="shared" si="37"/>
        <v>0</v>
      </c>
    </row>
    <row r="1996" spans="15:16" hidden="1" x14ac:dyDescent="0.25">
      <c r="O1996" s="16" t="e">
        <f t="shared" si="36"/>
        <v>#VALUE!</v>
      </c>
      <c r="P1996" s="16">
        <f t="shared" si="37"/>
        <v>0</v>
      </c>
    </row>
    <row r="1997" spans="15:16" hidden="1" x14ac:dyDescent="0.25">
      <c r="O1997" s="16" t="e">
        <f t="shared" si="36"/>
        <v>#VALUE!</v>
      </c>
      <c r="P1997" s="16">
        <f t="shared" si="37"/>
        <v>0</v>
      </c>
    </row>
    <row r="1998" spans="15:16" hidden="1" x14ac:dyDescent="0.25">
      <c r="O1998" s="16" t="e">
        <f t="shared" si="36"/>
        <v>#VALUE!</v>
      </c>
      <c r="P1998" s="16">
        <f t="shared" si="37"/>
        <v>0</v>
      </c>
    </row>
    <row r="1999" spans="15:16" hidden="1" x14ac:dyDescent="0.25">
      <c r="O1999" s="16" t="e">
        <f t="shared" si="36"/>
        <v>#VALUE!</v>
      </c>
      <c r="P1999" s="16">
        <f t="shared" si="37"/>
        <v>0</v>
      </c>
    </row>
    <row r="2000" spans="15:16" hidden="1" x14ac:dyDescent="0.25">
      <c r="O2000" s="16" t="e">
        <f t="shared" si="36"/>
        <v>#VALUE!</v>
      </c>
      <c r="P2000" s="16">
        <f t="shared" si="37"/>
        <v>0</v>
      </c>
    </row>
    <row r="2001" spans="15:16" hidden="1" x14ac:dyDescent="0.25">
      <c r="O2001" s="16" t="e">
        <f t="shared" si="36"/>
        <v>#VALUE!</v>
      </c>
      <c r="P2001" s="16">
        <f t="shared" si="37"/>
        <v>0</v>
      </c>
    </row>
    <row r="2002" spans="15:16" hidden="1" x14ac:dyDescent="0.25">
      <c r="O2002" s="16" t="e">
        <f t="shared" si="36"/>
        <v>#VALUE!</v>
      </c>
      <c r="P2002" s="16">
        <f t="shared" si="37"/>
        <v>0</v>
      </c>
    </row>
    <row r="2003" spans="15:16" hidden="1" x14ac:dyDescent="0.25">
      <c r="O2003" s="16" t="e">
        <f t="shared" si="36"/>
        <v>#VALUE!</v>
      </c>
      <c r="P2003" s="16">
        <f t="shared" si="37"/>
        <v>0</v>
      </c>
    </row>
    <row r="2004" spans="15:16" hidden="1" x14ac:dyDescent="0.25">
      <c r="O2004" s="16" t="e">
        <f t="shared" si="36"/>
        <v>#VALUE!</v>
      </c>
      <c r="P2004" s="16">
        <f t="shared" si="37"/>
        <v>0</v>
      </c>
    </row>
    <row r="2005" spans="15:16" hidden="1" x14ac:dyDescent="0.25">
      <c r="O2005" s="16" t="e">
        <f t="shared" si="36"/>
        <v>#VALUE!</v>
      </c>
      <c r="P2005" s="16">
        <f t="shared" si="37"/>
        <v>0</v>
      </c>
    </row>
    <row r="2006" spans="15:16" hidden="1" x14ac:dyDescent="0.25">
      <c r="O2006" s="16" t="e">
        <f t="shared" si="36"/>
        <v>#VALUE!</v>
      </c>
      <c r="P2006" s="16">
        <f t="shared" si="37"/>
        <v>0</v>
      </c>
    </row>
    <row r="2007" spans="15:16" hidden="1" x14ac:dyDescent="0.25">
      <c r="O2007" s="16" t="e">
        <f t="shared" si="36"/>
        <v>#VALUE!</v>
      </c>
      <c r="P2007" s="16">
        <f t="shared" si="37"/>
        <v>0</v>
      </c>
    </row>
    <row r="2008" spans="15:16" hidden="1" x14ac:dyDescent="0.25">
      <c r="O2008" s="16" t="e">
        <f t="shared" si="36"/>
        <v>#VALUE!</v>
      </c>
      <c r="P2008" s="16">
        <f t="shared" si="37"/>
        <v>0</v>
      </c>
    </row>
    <row r="2009" spans="15:16" hidden="1" x14ac:dyDescent="0.25">
      <c r="O2009" s="16" t="e">
        <f t="shared" si="36"/>
        <v>#VALUE!</v>
      </c>
      <c r="P2009" s="16">
        <f t="shared" si="37"/>
        <v>0</v>
      </c>
    </row>
    <row r="2010" spans="15:16" hidden="1" x14ac:dyDescent="0.25">
      <c r="O2010" s="16" t="e">
        <f t="shared" si="36"/>
        <v>#VALUE!</v>
      </c>
      <c r="P2010" s="16">
        <f t="shared" si="37"/>
        <v>0</v>
      </c>
    </row>
    <row r="2011" spans="15:16" hidden="1" x14ac:dyDescent="0.25">
      <c r="O2011" s="16" t="e">
        <f t="shared" si="36"/>
        <v>#VALUE!</v>
      </c>
      <c r="P2011" s="16">
        <f t="shared" si="37"/>
        <v>0</v>
      </c>
    </row>
    <row r="2012" spans="15:16" hidden="1" x14ac:dyDescent="0.25">
      <c r="O2012" s="16" t="e">
        <f t="shared" si="36"/>
        <v>#VALUE!</v>
      </c>
      <c r="P2012" s="16">
        <f t="shared" si="37"/>
        <v>0</v>
      </c>
    </row>
    <row r="2013" spans="15:16" hidden="1" x14ac:dyDescent="0.25">
      <c r="O2013" s="16" t="e">
        <f t="shared" si="36"/>
        <v>#VALUE!</v>
      </c>
      <c r="P2013" s="16">
        <f t="shared" si="37"/>
        <v>0</v>
      </c>
    </row>
    <row r="2014" spans="15:16" hidden="1" x14ac:dyDescent="0.25">
      <c r="O2014" s="16" t="e">
        <f t="shared" si="36"/>
        <v>#VALUE!</v>
      </c>
      <c r="P2014" s="16">
        <f t="shared" si="37"/>
        <v>0</v>
      </c>
    </row>
    <row r="2015" spans="15:16" hidden="1" x14ac:dyDescent="0.25">
      <c r="O2015" s="16" t="e">
        <f t="shared" si="36"/>
        <v>#VALUE!</v>
      </c>
      <c r="P2015" s="16">
        <f t="shared" si="37"/>
        <v>0</v>
      </c>
    </row>
    <row r="2016" spans="15:16" hidden="1" x14ac:dyDescent="0.25">
      <c r="O2016" s="16" t="e">
        <f t="shared" si="36"/>
        <v>#VALUE!</v>
      </c>
      <c r="P2016" s="16">
        <f t="shared" si="37"/>
        <v>0</v>
      </c>
    </row>
    <row r="2017" spans="15:16" hidden="1" x14ac:dyDescent="0.25">
      <c r="O2017" s="16" t="e">
        <f t="shared" si="36"/>
        <v>#VALUE!</v>
      </c>
      <c r="P2017" s="16">
        <f t="shared" si="37"/>
        <v>0</v>
      </c>
    </row>
    <row r="2018" spans="15:16" hidden="1" x14ac:dyDescent="0.25">
      <c r="O2018" s="16" t="e">
        <f t="shared" si="36"/>
        <v>#VALUE!</v>
      </c>
      <c r="P2018" s="16">
        <f t="shared" si="37"/>
        <v>0</v>
      </c>
    </row>
    <row r="2019" spans="15:16" hidden="1" x14ac:dyDescent="0.25">
      <c r="O2019" s="16" t="e">
        <f t="shared" si="36"/>
        <v>#VALUE!</v>
      </c>
      <c r="P2019" s="16">
        <f t="shared" si="37"/>
        <v>0</v>
      </c>
    </row>
    <row r="2020" spans="15:16" hidden="1" x14ac:dyDescent="0.25">
      <c r="O2020" s="16" t="e">
        <f t="shared" si="36"/>
        <v>#VALUE!</v>
      </c>
      <c r="P2020" s="16">
        <f t="shared" si="37"/>
        <v>0</v>
      </c>
    </row>
    <row r="2021" spans="15:16" hidden="1" x14ac:dyDescent="0.25">
      <c r="O2021" s="16" t="e">
        <f t="shared" si="36"/>
        <v>#VALUE!</v>
      </c>
      <c r="P2021" s="16">
        <f t="shared" si="37"/>
        <v>0</v>
      </c>
    </row>
    <row r="2022" spans="15:16" hidden="1" x14ac:dyDescent="0.25">
      <c r="O2022" s="16" t="e">
        <f t="shared" si="36"/>
        <v>#VALUE!</v>
      </c>
      <c r="P2022" s="16">
        <f t="shared" si="37"/>
        <v>0</v>
      </c>
    </row>
    <row r="2023" spans="15:16" hidden="1" x14ac:dyDescent="0.25">
      <c r="O2023" s="16" t="e">
        <f t="shared" si="36"/>
        <v>#VALUE!</v>
      </c>
      <c r="P2023" s="16">
        <f t="shared" si="37"/>
        <v>0</v>
      </c>
    </row>
    <row r="2024" spans="15:16" hidden="1" x14ac:dyDescent="0.25">
      <c r="O2024" s="16" t="e">
        <f t="shared" si="36"/>
        <v>#VALUE!</v>
      </c>
      <c r="P2024" s="16">
        <f t="shared" si="37"/>
        <v>0</v>
      </c>
    </row>
    <row r="2025" spans="15:16" hidden="1" x14ac:dyDescent="0.25">
      <c r="O2025" s="16" t="e">
        <f t="shared" si="36"/>
        <v>#VALUE!</v>
      </c>
      <c r="P2025" s="16">
        <f t="shared" si="37"/>
        <v>0</v>
      </c>
    </row>
    <row r="2026" spans="15:16" hidden="1" x14ac:dyDescent="0.25">
      <c r="O2026" s="16" t="e">
        <f t="shared" si="36"/>
        <v>#VALUE!</v>
      </c>
      <c r="P2026" s="16">
        <f t="shared" si="37"/>
        <v>0</v>
      </c>
    </row>
    <row r="2027" spans="15:16" hidden="1" x14ac:dyDescent="0.25">
      <c r="O2027" s="16" t="e">
        <f t="shared" si="36"/>
        <v>#VALUE!</v>
      </c>
      <c r="P2027" s="16">
        <f t="shared" si="37"/>
        <v>0</v>
      </c>
    </row>
    <row r="2028" spans="15:16" hidden="1" x14ac:dyDescent="0.25">
      <c r="O2028" s="16" t="e">
        <f t="shared" si="36"/>
        <v>#VALUE!</v>
      </c>
      <c r="P2028" s="16">
        <f t="shared" si="37"/>
        <v>0</v>
      </c>
    </row>
    <row r="2029" spans="15:16" hidden="1" x14ac:dyDescent="0.25">
      <c r="O2029" s="16" t="e">
        <f t="shared" si="36"/>
        <v>#VALUE!</v>
      </c>
      <c r="P2029" s="16">
        <f t="shared" si="37"/>
        <v>0</v>
      </c>
    </row>
    <row r="2030" spans="15:16" hidden="1" x14ac:dyDescent="0.25">
      <c r="O2030" s="16" t="e">
        <f t="shared" si="36"/>
        <v>#VALUE!</v>
      </c>
      <c r="P2030" s="16">
        <f t="shared" si="37"/>
        <v>0</v>
      </c>
    </row>
    <row r="2031" spans="15:16" hidden="1" x14ac:dyDescent="0.25">
      <c r="O2031" s="16" t="e">
        <f t="shared" si="36"/>
        <v>#VALUE!</v>
      </c>
      <c r="P2031" s="16">
        <f t="shared" si="37"/>
        <v>0</v>
      </c>
    </row>
    <row r="2032" spans="15:16" hidden="1" x14ac:dyDescent="0.25">
      <c r="O2032" s="16" t="e">
        <f t="shared" si="36"/>
        <v>#VALUE!</v>
      </c>
      <c r="P2032" s="16">
        <f t="shared" si="37"/>
        <v>0</v>
      </c>
    </row>
    <row r="2033" spans="15:16" hidden="1" x14ac:dyDescent="0.25">
      <c r="O2033" s="16" t="e">
        <f t="shared" si="36"/>
        <v>#VALUE!</v>
      </c>
      <c r="P2033" s="16">
        <f t="shared" si="37"/>
        <v>0</v>
      </c>
    </row>
    <row r="2034" spans="15:16" hidden="1" x14ac:dyDescent="0.25">
      <c r="O2034" s="16" t="e">
        <f t="shared" si="36"/>
        <v>#VALUE!</v>
      </c>
      <c r="P2034" s="16">
        <f t="shared" si="37"/>
        <v>0</v>
      </c>
    </row>
    <row r="2035" spans="15:16" hidden="1" x14ac:dyDescent="0.25">
      <c r="O2035" s="16" t="e">
        <f t="shared" si="36"/>
        <v>#VALUE!</v>
      </c>
      <c r="P2035" s="16">
        <f t="shared" si="37"/>
        <v>0</v>
      </c>
    </row>
    <row r="2036" spans="15:16" hidden="1" x14ac:dyDescent="0.25">
      <c r="O2036" s="16" t="e">
        <f t="shared" si="36"/>
        <v>#VALUE!</v>
      </c>
      <c r="P2036" s="16">
        <f t="shared" si="37"/>
        <v>0</v>
      </c>
    </row>
    <row r="2037" spans="15:16" hidden="1" x14ac:dyDescent="0.25">
      <c r="O2037" s="16" t="e">
        <f t="shared" si="36"/>
        <v>#VALUE!</v>
      </c>
      <c r="P2037" s="16">
        <f t="shared" si="37"/>
        <v>0</v>
      </c>
    </row>
    <row r="2038" spans="15:16" hidden="1" x14ac:dyDescent="0.25">
      <c r="O2038" s="16" t="e">
        <f t="shared" si="36"/>
        <v>#VALUE!</v>
      </c>
      <c r="P2038" s="16">
        <f t="shared" si="37"/>
        <v>0</v>
      </c>
    </row>
    <row r="2039" spans="15:16" hidden="1" x14ac:dyDescent="0.25">
      <c r="O2039" s="16" t="e">
        <f t="shared" si="36"/>
        <v>#VALUE!</v>
      </c>
      <c r="P2039" s="16">
        <f t="shared" si="37"/>
        <v>0</v>
      </c>
    </row>
    <row r="2040" spans="15:16" hidden="1" x14ac:dyDescent="0.25">
      <c r="O2040" s="16" t="e">
        <f t="shared" si="36"/>
        <v>#VALUE!</v>
      </c>
      <c r="P2040" s="16">
        <f t="shared" si="37"/>
        <v>0</v>
      </c>
    </row>
    <row r="2041" spans="15:16" hidden="1" x14ac:dyDescent="0.25">
      <c r="O2041" s="16" t="e">
        <f t="shared" si="36"/>
        <v>#VALUE!</v>
      </c>
      <c r="P2041" s="16">
        <f t="shared" si="37"/>
        <v>0</v>
      </c>
    </row>
    <row r="2042" spans="15:16" hidden="1" x14ac:dyDescent="0.25">
      <c r="O2042" s="16" t="e">
        <f t="shared" si="36"/>
        <v>#VALUE!</v>
      </c>
      <c r="P2042" s="16">
        <f t="shared" si="37"/>
        <v>0</v>
      </c>
    </row>
    <row r="2043" spans="15:16" hidden="1" x14ac:dyDescent="0.25">
      <c r="O2043" s="16" t="e">
        <f t="shared" si="36"/>
        <v>#VALUE!</v>
      </c>
      <c r="P2043" s="16">
        <f t="shared" si="37"/>
        <v>0</v>
      </c>
    </row>
    <row r="2044" spans="15:16" hidden="1" x14ac:dyDescent="0.25">
      <c r="O2044" s="16" t="e">
        <f t="shared" si="36"/>
        <v>#VALUE!</v>
      </c>
      <c r="P2044" s="16">
        <f t="shared" si="37"/>
        <v>0</v>
      </c>
    </row>
    <row r="2045" spans="15:16" hidden="1" x14ac:dyDescent="0.25">
      <c r="O2045" s="16" t="e">
        <f t="shared" si="36"/>
        <v>#VALUE!</v>
      </c>
      <c r="P2045" s="16">
        <f t="shared" si="37"/>
        <v>0</v>
      </c>
    </row>
    <row r="2046" spans="15:16" hidden="1" x14ac:dyDescent="0.25">
      <c r="O2046" s="16" t="e">
        <f t="shared" si="36"/>
        <v>#VALUE!</v>
      </c>
      <c r="P2046" s="16">
        <f t="shared" si="37"/>
        <v>0</v>
      </c>
    </row>
    <row r="2047" spans="15:16" hidden="1" x14ac:dyDescent="0.25">
      <c r="O2047" s="16" t="e">
        <f t="shared" si="36"/>
        <v>#VALUE!</v>
      </c>
      <c r="P2047" s="16">
        <f t="shared" si="37"/>
        <v>0</v>
      </c>
    </row>
    <row r="2048" spans="15:16" hidden="1" x14ac:dyDescent="0.25">
      <c r="O2048" s="16" t="e">
        <f t="shared" si="36"/>
        <v>#VALUE!</v>
      </c>
      <c r="P2048" s="16">
        <f t="shared" si="37"/>
        <v>0</v>
      </c>
    </row>
    <row r="2049" spans="15:16" hidden="1" x14ac:dyDescent="0.25">
      <c r="O2049" s="16" t="e">
        <f t="shared" si="36"/>
        <v>#VALUE!</v>
      </c>
      <c r="P2049" s="16">
        <f t="shared" si="37"/>
        <v>0</v>
      </c>
    </row>
    <row r="2050" spans="15:16" hidden="1" x14ac:dyDescent="0.25">
      <c r="O2050" s="16" t="e">
        <f t="shared" si="36"/>
        <v>#VALUE!</v>
      </c>
      <c r="P2050" s="16">
        <f t="shared" si="37"/>
        <v>0</v>
      </c>
    </row>
    <row r="2051" spans="15:16" hidden="1" x14ac:dyDescent="0.25">
      <c r="O2051" s="16" t="e">
        <f t="shared" ref="O2051:O2114" si="38">TEXT(DATEVALUE(LEFT(F2051,10)),"mm-yyyy")</f>
        <v>#VALUE!</v>
      </c>
      <c r="P2051" s="16">
        <f t="shared" ref="P2051:P2114" si="39">H2051*I2051</f>
        <v>0</v>
      </c>
    </row>
    <row r="2052" spans="15:16" hidden="1" x14ac:dyDescent="0.25">
      <c r="O2052" s="16" t="e">
        <f t="shared" si="38"/>
        <v>#VALUE!</v>
      </c>
      <c r="P2052" s="16">
        <f t="shared" si="39"/>
        <v>0</v>
      </c>
    </row>
    <row r="2053" spans="15:16" hidden="1" x14ac:dyDescent="0.25">
      <c r="O2053" s="16" t="e">
        <f t="shared" si="38"/>
        <v>#VALUE!</v>
      </c>
      <c r="P2053" s="16">
        <f t="shared" si="39"/>
        <v>0</v>
      </c>
    </row>
    <row r="2054" spans="15:16" hidden="1" x14ac:dyDescent="0.25">
      <c r="O2054" s="16" t="e">
        <f t="shared" si="38"/>
        <v>#VALUE!</v>
      </c>
      <c r="P2054" s="16">
        <f t="shared" si="39"/>
        <v>0</v>
      </c>
    </row>
    <row r="2055" spans="15:16" hidden="1" x14ac:dyDescent="0.25">
      <c r="O2055" s="16" t="e">
        <f t="shared" si="38"/>
        <v>#VALUE!</v>
      </c>
      <c r="P2055" s="16">
        <f t="shared" si="39"/>
        <v>0</v>
      </c>
    </row>
    <row r="2056" spans="15:16" hidden="1" x14ac:dyDescent="0.25">
      <c r="O2056" s="16" t="e">
        <f t="shared" si="38"/>
        <v>#VALUE!</v>
      </c>
      <c r="P2056" s="16">
        <f t="shared" si="39"/>
        <v>0</v>
      </c>
    </row>
    <row r="2057" spans="15:16" hidden="1" x14ac:dyDescent="0.25">
      <c r="O2057" s="16" t="e">
        <f t="shared" si="38"/>
        <v>#VALUE!</v>
      </c>
      <c r="P2057" s="16">
        <f t="shared" si="39"/>
        <v>0</v>
      </c>
    </row>
    <row r="2058" spans="15:16" hidden="1" x14ac:dyDescent="0.25">
      <c r="O2058" s="16" t="e">
        <f t="shared" si="38"/>
        <v>#VALUE!</v>
      </c>
      <c r="P2058" s="16">
        <f t="shared" si="39"/>
        <v>0</v>
      </c>
    </row>
    <row r="2059" spans="15:16" hidden="1" x14ac:dyDescent="0.25">
      <c r="O2059" s="16" t="e">
        <f t="shared" si="38"/>
        <v>#VALUE!</v>
      </c>
      <c r="P2059" s="16">
        <f t="shared" si="39"/>
        <v>0</v>
      </c>
    </row>
    <row r="2060" spans="15:16" hidden="1" x14ac:dyDescent="0.25">
      <c r="O2060" s="16" t="e">
        <f t="shared" si="38"/>
        <v>#VALUE!</v>
      </c>
      <c r="P2060" s="16">
        <f t="shared" si="39"/>
        <v>0</v>
      </c>
    </row>
    <row r="2061" spans="15:16" hidden="1" x14ac:dyDescent="0.25">
      <c r="O2061" s="16" t="e">
        <f t="shared" si="38"/>
        <v>#VALUE!</v>
      </c>
      <c r="P2061" s="16">
        <f t="shared" si="39"/>
        <v>0</v>
      </c>
    </row>
    <row r="2062" spans="15:16" hidden="1" x14ac:dyDescent="0.25">
      <c r="O2062" s="16" t="e">
        <f t="shared" si="38"/>
        <v>#VALUE!</v>
      </c>
      <c r="P2062" s="16">
        <f t="shared" si="39"/>
        <v>0</v>
      </c>
    </row>
    <row r="2063" spans="15:16" hidden="1" x14ac:dyDescent="0.25">
      <c r="O2063" s="16" t="e">
        <f t="shared" si="38"/>
        <v>#VALUE!</v>
      </c>
      <c r="P2063" s="16">
        <f t="shared" si="39"/>
        <v>0</v>
      </c>
    </row>
    <row r="2064" spans="15:16" hidden="1" x14ac:dyDescent="0.25">
      <c r="O2064" s="16" t="e">
        <f t="shared" si="38"/>
        <v>#VALUE!</v>
      </c>
      <c r="P2064" s="16">
        <f t="shared" si="39"/>
        <v>0</v>
      </c>
    </row>
    <row r="2065" spans="15:16" hidden="1" x14ac:dyDescent="0.25">
      <c r="O2065" s="16" t="e">
        <f t="shared" si="38"/>
        <v>#VALUE!</v>
      </c>
      <c r="P2065" s="16">
        <f t="shared" si="39"/>
        <v>0</v>
      </c>
    </row>
    <row r="2066" spans="15:16" hidden="1" x14ac:dyDescent="0.25">
      <c r="O2066" s="16" t="e">
        <f t="shared" si="38"/>
        <v>#VALUE!</v>
      </c>
      <c r="P2066" s="16">
        <f t="shared" si="39"/>
        <v>0</v>
      </c>
    </row>
    <row r="2067" spans="15:16" hidden="1" x14ac:dyDescent="0.25">
      <c r="O2067" s="16" t="e">
        <f t="shared" si="38"/>
        <v>#VALUE!</v>
      </c>
      <c r="P2067" s="16">
        <f t="shared" si="39"/>
        <v>0</v>
      </c>
    </row>
    <row r="2068" spans="15:16" hidden="1" x14ac:dyDescent="0.25">
      <c r="O2068" s="16" t="e">
        <f t="shared" si="38"/>
        <v>#VALUE!</v>
      </c>
      <c r="P2068" s="16">
        <f t="shared" si="39"/>
        <v>0</v>
      </c>
    </row>
    <row r="2069" spans="15:16" hidden="1" x14ac:dyDescent="0.25">
      <c r="O2069" s="16" t="e">
        <f t="shared" si="38"/>
        <v>#VALUE!</v>
      </c>
      <c r="P2069" s="16">
        <f t="shared" si="39"/>
        <v>0</v>
      </c>
    </row>
    <row r="2070" spans="15:16" hidden="1" x14ac:dyDescent="0.25">
      <c r="O2070" s="16" t="e">
        <f t="shared" si="38"/>
        <v>#VALUE!</v>
      </c>
      <c r="P2070" s="16">
        <f t="shared" si="39"/>
        <v>0</v>
      </c>
    </row>
    <row r="2071" spans="15:16" hidden="1" x14ac:dyDescent="0.25">
      <c r="O2071" s="16" t="e">
        <f t="shared" si="38"/>
        <v>#VALUE!</v>
      </c>
      <c r="P2071" s="16">
        <f t="shared" si="39"/>
        <v>0</v>
      </c>
    </row>
    <row r="2072" spans="15:16" hidden="1" x14ac:dyDescent="0.25">
      <c r="O2072" s="16" t="e">
        <f t="shared" si="38"/>
        <v>#VALUE!</v>
      </c>
      <c r="P2072" s="16">
        <f t="shared" si="39"/>
        <v>0</v>
      </c>
    </row>
    <row r="2073" spans="15:16" hidden="1" x14ac:dyDescent="0.25">
      <c r="O2073" s="16" t="e">
        <f t="shared" si="38"/>
        <v>#VALUE!</v>
      </c>
      <c r="P2073" s="16">
        <f t="shared" si="39"/>
        <v>0</v>
      </c>
    </row>
    <row r="2074" spans="15:16" hidden="1" x14ac:dyDescent="0.25">
      <c r="O2074" s="16" t="e">
        <f t="shared" si="38"/>
        <v>#VALUE!</v>
      </c>
      <c r="P2074" s="16">
        <f t="shared" si="39"/>
        <v>0</v>
      </c>
    </row>
    <row r="2075" spans="15:16" hidden="1" x14ac:dyDescent="0.25">
      <c r="O2075" s="16" t="e">
        <f t="shared" si="38"/>
        <v>#VALUE!</v>
      </c>
      <c r="P2075" s="16">
        <f t="shared" si="39"/>
        <v>0</v>
      </c>
    </row>
    <row r="2076" spans="15:16" hidden="1" x14ac:dyDescent="0.25">
      <c r="O2076" s="16" t="e">
        <f t="shared" si="38"/>
        <v>#VALUE!</v>
      </c>
      <c r="P2076" s="16">
        <f t="shared" si="39"/>
        <v>0</v>
      </c>
    </row>
    <row r="2077" spans="15:16" hidden="1" x14ac:dyDescent="0.25">
      <c r="O2077" s="16" t="e">
        <f t="shared" si="38"/>
        <v>#VALUE!</v>
      </c>
      <c r="P2077" s="16">
        <f t="shared" si="39"/>
        <v>0</v>
      </c>
    </row>
    <row r="2078" spans="15:16" hidden="1" x14ac:dyDescent="0.25">
      <c r="O2078" s="16" t="e">
        <f t="shared" si="38"/>
        <v>#VALUE!</v>
      </c>
      <c r="P2078" s="16">
        <f t="shared" si="39"/>
        <v>0</v>
      </c>
    </row>
    <row r="2079" spans="15:16" hidden="1" x14ac:dyDescent="0.25">
      <c r="O2079" s="16" t="e">
        <f t="shared" si="38"/>
        <v>#VALUE!</v>
      </c>
      <c r="P2079" s="16">
        <f t="shared" si="39"/>
        <v>0</v>
      </c>
    </row>
    <row r="2080" spans="15:16" hidden="1" x14ac:dyDescent="0.25">
      <c r="O2080" s="16" t="e">
        <f t="shared" si="38"/>
        <v>#VALUE!</v>
      </c>
      <c r="P2080" s="16">
        <f t="shared" si="39"/>
        <v>0</v>
      </c>
    </row>
    <row r="2081" spans="15:16" hidden="1" x14ac:dyDescent="0.25">
      <c r="O2081" s="16" t="e">
        <f t="shared" si="38"/>
        <v>#VALUE!</v>
      </c>
      <c r="P2081" s="16">
        <f t="shared" si="39"/>
        <v>0</v>
      </c>
    </row>
    <row r="2082" spans="15:16" hidden="1" x14ac:dyDescent="0.25">
      <c r="O2082" s="16" t="e">
        <f t="shared" si="38"/>
        <v>#VALUE!</v>
      </c>
      <c r="P2082" s="16">
        <f t="shared" si="39"/>
        <v>0</v>
      </c>
    </row>
    <row r="2083" spans="15:16" hidden="1" x14ac:dyDescent="0.25">
      <c r="O2083" s="16" t="e">
        <f t="shared" si="38"/>
        <v>#VALUE!</v>
      </c>
      <c r="P2083" s="16">
        <f t="shared" si="39"/>
        <v>0</v>
      </c>
    </row>
    <row r="2084" spans="15:16" hidden="1" x14ac:dyDescent="0.25">
      <c r="O2084" s="16" t="e">
        <f t="shared" si="38"/>
        <v>#VALUE!</v>
      </c>
      <c r="P2084" s="16">
        <f t="shared" si="39"/>
        <v>0</v>
      </c>
    </row>
    <row r="2085" spans="15:16" hidden="1" x14ac:dyDescent="0.25">
      <c r="O2085" s="16" t="e">
        <f t="shared" si="38"/>
        <v>#VALUE!</v>
      </c>
      <c r="P2085" s="16">
        <f t="shared" si="39"/>
        <v>0</v>
      </c>
    </row>
    <row r="2086" spans="15:16" hidden="1" x14ac:dyDescent="0.25">
      <c r="O2086" s="16" t="e">
        <f t="shared" si="38"/>
        <v>#VALUE!</v>
      </c>
      <c r="P2086" s="16">
        <f t="shared" si="39"/>
        <v>0</v>
      </c>
    </row>
    <row r="2087" spans="15:16" hidden="1" x14ac:dyDescent="0.25">
      <c r="O2087" s="16" t="e">
        <f t="shared" si="38"/>
        <v>#VALUE!</v>
      </c>
      <c r="P2087" s="16">
        <f t="shared" si="39"/>
        <v>0</v>
      </c>
    </row>
    <row r="2088" spans="15:16" hidden="1" x14ac:dyDescent="0.25">
      <c r="O2088" s="16" t="e">
        <f t="shared" si="38"/>
        <v>#VALUE!</v>
      </c>
      <c r="P2088" s="16">
        <f t="shared" si="39"/>
        <v>0</v>
      </c>
    </row>
    <row r="2089" spans="15:16" hidden="1" x14ac:dyDescent="0.25">
      <c r="O2089" s="16" t="e">
        <f t="shared" si="38"/>
        <v>#VALUE!</v>
      </c>
      <c r="P2089" s="16">
        <f t="shared" si="39"/>
        <v>0</v>
      </c>
    </row>
    <row r="2090" spans="15:16" hidden="1" x14ac:dyDescent="0.25">
      <c r="O2090" s="16" t="e">
        <f t="shared" si="38"/>
        <v>#VALUE!</v>
      </c>
      <c r="P2090" s="16">
        <f t="shared" si="39"/>
        <v>0</v>
      </c>
    </row>
    <row r="2091" spans="15:16" hidden="1" x14ac:dyDescent="0.25">
      <c r="O2091" s="16" t="e">
        <f t="shared" si="38"/>
        <v>#VALUE!</v>
      </c>
      <c r="P2091" s="16">
        <f t="shared" si="39"/>
        <v>0</v>
      </c>
    </row>
    <row r="2092" spans="15:16" hidden="1" x14ac:dyDescent="0.25">
      <c r="O2092" s="16" t="e">
        <f t="shared" si="38"/>
        <v>#VALUE!</v>
      </c>
      <c r="P2092" s="16">
        <f t="shared" si="39"/>
        <v>0</v>
      </c>
    </row>
    <row r="2093" spans="15:16" hidden="1" x14ac:dyDescent="0.25">
      <c r="O2093" s="16" t="e">
        <f t="shared" si="38"/>
        <v>#VALUE!</v>
      </c>
      <c r="P2093" s="16">
        <f t="shared" si="39"/>
        <v>0</v>
      </c>
    </row>
    <row r="2094" spans="15:16" hidden="1" x14ac:dyDescent="0.25">
      <c r="O2094" s="16" t="e">
        <f t="shared" si="38"/>
        <v>#VALUE!</v>
      </c>
      <c r="P2094" s="16">
        <f t="shared" si="39"/>
        <v>0</v>
      </c>
    </row>
    <row r="2095" spans="15:16" hidden="1" x14ac:dyDescent="0.25">
      <c r="O2095" s="16" t="e">
        <f t="shared" si="38"/>
        <v>#VALUE!</v>
      </c>
      <c r="P2095" s="16">
        <f t="shared" si="39"/>
        <v>0</v>
      </c>
    </row>
    <row r="2096" spans="15:16" hidden="1" x14ac:dyDescent="0.25">
      <c r="O2096" s="16" t="e">
        <f t="shared" si="38"/>
        <v>#VALUE!</v>
      </c>
      <c r="P2096" s="16">
        <f t="shared" si="39"/>
        <v>0</v>
      </c>
    </row>
    <row r="2097" spans="15:16" hidden="1" x14ac:dyDescent="0.25">
      <c r="O2097" s="16" t="e">
        <f t="shared" si="38"/>
        <v>#VALUE!</v>
      </c>
      <c r="P2097" s="16">
        <f t="shared" si="39"/>
        <v>0</v>
      </c>
    </row>
    <row r="2098" spans="15:16" hidden="1" x14ac:dyDescent="0.25">
      <c r="O2098" s="16" t="e">
        <f t="shared" si="38"/>
        <v>#VALUE!</v>
      </c>
      <c r="P2098" s="16">
        <f t="shared" si="39"/>
        <v>0</v>
      </c>
    </row>
    <row r="2099" spans="15:16" hidden="1" x14ac:dyDescent="0.25">
      <c r="O2099" s="16" t="e">
        <f t="shared" si="38"/>
        <v>#VALUE!</v>
      </c>
      <c r="P2099" s="16">
        <f t="shared" si="39"/>
        <v>0</v>
      </c>
    </row>
    <row r="2100" spans="15:16" hidden="1" x14ac:dyDescent="0.25">
      <c r="O2100" s="16" t="e">
        <f t="shared" si="38"/>
        <v>#VALUE!</v>
      </c>
      <c r="P2100" s="16">
        <f t="shared" si="39"/>
        <v>0</v>
      </c>
    </row>
    <row r="2101" spans="15:16" hidden="1" x14ac:dyDescent="0.25">
      <c r="O2101" s="16" t="e">
        <f t="shared" si="38"/>
        <v>#VALUE!</v>
      </c>
      <c r="P2101" s="16">
        <f t="shared" si="39"/>
        <v>0</v>
      </c>
    </row>
    <row r="2102" spans="15:16" hidden="1" x14ac:dyDescent="0.25">
      <c r="O2102" s="16" t="e">
        <f t="shared" si="38"/>
        <v>#VALUE!</v>
      </c>
      <c r="P2102" s="16">
        <f t="shared" si="39"/>
        <v>0</v>
      </c>
    </row>
    <row r="2103" spans="15:16" hidden="1" x14ac:dyDescent="0.25">
      <c r="O2103" s="16" t="e">
        <f t="shared" si="38"/>
        <v>#VALUE!</v>
      </c>
      <c r="P2103" s="16">
        <f t="shared" si="39"/>
        <v>0</v>
      </c>
    </row>
    <row r="2104" spans="15:16" hidden="1" x14ac:dyDescent="0.25">
      <c r="O2104" s="16" t="e">
        <f t="shared" si="38"/>
        <v>#VALUE!</v>
      </c>
      <c r="P2104" s="16">
        <f t="shared" si="39"/>
        <v>0</v>
      </c>
    </row>
    <row r="2105" spans="15:16" hidden="1" x14ac:dyDescent="0.25">
      <c r="O2105" s="16" t="e">
        <f t="shared" si="38"/>
        <v>#VALUE!</v>
      </c>
      <c r="P2105" s="16">
        <f t="shared" si="39"/>
        <v>0</v>
      </c>
    </row>
    <row r="2106" spans="15:16" hidden="1" x14ac:dyDescent="0.25">
      <c r="O2106" s="16" t="e">
        <f t="shared" si="38"/>
        <v>#VALUE!</v>
      </c>
      <c r="P2106" s="16">
        <f t="shared" si="39"/>
        <v>0</v>
      </c>
    </row>
    <row r="2107" spans="15:16" hidden="1" x14ac:dyDescent="0.25">
      <c r="O2107" s="16" t="e">
        <f t="shared" si="38"/>
        <v>#VALUE!</v>
      </c>
      <c r="P2107" s="16">
        <f t="shared" si="39"/>
        <v>0</v>
      </c>
    </row>
    <row r="2108" spans="15:16" hidden="1" x14ac:dyDescent="0.25">
      <c r="O2108" s="16" t="e">
        <f t="shared" si="38"/>
        <v>#VALUE!</v>
      </c>
      <c r="P2108" s="16">
        <f t="shared" si="39"/>
        <v>0</v>
      </c>
    </row>
    <row r="2109" spans="15:16" hidden="1" x14ac:dyDescent="0.25">
      <c r="O2109" s="16" t="e">
        <f t="shared" si="38"/>
        <v>#VALUE!</v>
      </c>
      <c r="P2109" s="16">
        <f t="shared" si="39"/>
        <v>0</v>
      </c>
    </row>
    <row r="2110" spans="15:16" hidden="1" x14ac:dyDescent="0.25">
      <c r="O2110" s="16" t="e">
        <f t="shared" si="38"/>
        <v>#VALUE!</v>
      </c>
      <c r="P2110" s="16">
        <f t="shared" si="39"/>
        <v>0</v>
      </c>
    </row>
    <row r="2111" spans="15:16" hidden="1" x14ac:dyDescent="0.25">
      <c r="O2111" s="16" t="e">
        <f t="shared" si="38"/>
        <v>#VALUE!</v>
      </c>
      <c r="P2111" s="16">
        <f t="shared" si="39"/>
        <v>0</v>
      </c>
    </row>
    <row r="2112" spans="15:16" hidden="1" x14ac:dyDescent="0.25">
      <c r="O2112" s="16" t="e">
        <f t="shared" si="38"/>
        <v>#VALUE!</v>
      </c>
      <c r="P2112" s="16">
        <f t="shared" si="39"/>
        <v>0</v>
      </c>
    </row>
    <row r="2113" spans="15:16" hidden="1" x14ac:dyDescent="0.25">
      <c r="O2113" s="16" t="e">
        <f t="shared" si="38"/>
        <v>#VALUE!</v>
      </c>
      <c r="P2113" s="16">
        <f t="shared" si="39"/>
        <v>0</v>
      </c>
    </row>
    <row r="2114" spans="15:16" hidden="1" x14ac:dyDescent="0.25">
      <c r="O2114" s="16" t="e">
        <f t="shared" si="38"/>
        <v>#VALUE!</v>
      </c>
      <c r="P2114" s="16">
        <f t="shared" si="39"/>
        <v>0</v>
      </c>
    </row>
    <row r="2115" spans="15:16" hidden="1" x14ac:dyDescent="0.25">
      <c r="O2115" s="16" t="e">
        <f t="shared" ref="O2115:O2178" si="40">TEXT(DATEVALUE(LEFT(F2115,10)),"mm-yyyy")</f>
        <v>#VALUE!</v>
      </c>
      <c r="P2115" s="16">
        <f t="shared" ref="P2115:P2178" si="41">H2115*I2115</f>
        <v>0</v>
      </c>
    </row>
    <row r="2116" spans="15:16" hidden="1" x14ac:dyDescent="0.25">
      <c r="O2116" s="16" t="e">
        <f t="shared" si="40"/>
        <v>#VALUE!</v>
      </c>
      <c r="P2116" s="16">
        <f t="shared" si="41"/>
        <v>0</v>
      </c>
    </row>
    <row r="2117" spans="15:16" hidden="1" x14ac:dyDescent="0.25">
      <c r="O2117" s="16" t="e">
        <f t="shared" si="40"/>
        <v>#VALUE!</v>
      </c>
      <c r="P2117" s="16">
        <f t="shared" si="41"/>
        <v>0</v>
      </c>
    </row>
    <row r="2118" spans="15:16" hidden="1" x14ac:dyDescent="0.25">
      <c r="O2118" s="16" t="e">
        <f t="shared" si="40"/>
        <v>#VALUE!</v>
      </c>
      <c r="P2118" s="16">
        <f t="shared" si="41"/>
        <v>0</v>
      </c>
    </row>
    <row r="2119" spans="15:16" hidden="1" x14ac:dyDescent="0.25">
      <c r="O2119" s="16" t="e">
        <f t="shared" si="40"/>
        <v>#VALUE!</v>
      </c>
      <c r="P2119" s="16">
        <f t="shared" si="41"/>
        <v>0</v>
      </c>
    </row>
    <row r="2120" spans="15:16" hidden="1" x14ac:dyDescent="0.25">
      <c r="O2120" s="16" t="e">
        <f t="shared" si="40"/>
        <v>#VALUE!</v>
      </c>
      <c r="P2120" s="16">
        <f t="shared" si="41"/>
        <v>0</v>
      </c>
    </row>
    <row r="2121" spans="15:16" hidden="1" x14ac:dyDescent="0.25">
      <c r="O2121" s="16" t="e">
        <f t="shared" si="40"/>
        <v>#VALUE!</v>
      </c>
      <c r="P2121" s="16">
        <f t="shared" si="41"/>
        <v>0</v>
      </c>
    </row>
    <row r="2122" spans="15:16" hidden="1" x14ac:dyDescent="0.25">
      <c r="O2122" s="16" t="e">
        <f t="shared" si="40"/>
        <v>#VALUE!</v>
      </c>
      <c r="P2122" s="16">
        <f t="shared" si="41"/>
        <v>0</v>
      </c>
    </row>
    <row r="2123" spans="15:16" hidden="1" x14ac:dyDescent="0.25">
      <c r="O2123" s="16" t="e">
        <f t="shared" si="40"/>
        <v>#VALUE!</v>
      </c>
      <c r="P2123" s="16">
        <f t="shared" si="41"/>
        <v>0</v>
      </c>
    </row>
    <row r="2124" spans="15:16" hidden="1" x14ac:dyDescent="0.25">
      <c r="O2124" s="16" t="e">
        <f t="shared" si="40"/>
        <v>#VALUE!</v>
      </c>
      <c r="P2124" s="16">
        <f t="shared" si="41"/>
        <v>0</v>
      </c>
    </row>
    <row r="2125" spans="15:16" hidden="1" x14ac:dyDescent="0.25">
      <c r="O2125" s="16" t="e">
        <f t="shared" si="40"/>
        <v>#VALUE!</v>
      </c>
      <c r="P2125" s="16">
        <f t="shared" si="41"/>
        <v>0</v>
      </c>
    </row>
    <row r="2126" spans="15:16" hidden="1" x14ac:dyDescent="0.25">
      <c r="O2126" s="16" t="e">
        <f t="shared" si="40"/>
        <v>#VALUE!</v>
      </c>
      <c r="P2126" s="16">
        <f t="shared" si="41"/>
        <v>0</v>
      </c>
    </row>
    <row r="2127" spans="15:16" hidden="1" x14ac:dyDescent="0.25">
      <c r="O2127" s="16" t="e">
        <f t="shared" si="40"/>
        <v>#VALUE!</v>
      </c>
      <c r="P2127" s="16">
        <f t="shared" si="41"/>
        <v>0</v>
      </c>
    </row>
    <row r="2128" spans="15:16" hidden="1" x14ac:dyDescent="0.25">
      <c r="O2128" s="16" t="e">
        <f t="shared" si="40"/>
        <v>#VALUE!</v>
      </c>
      <c r="P2128" s="16">
        <f t="shared" si="41"/>
        <v>0</v>
      </c>
    </row>
    <row r="2129" spans="15:16" hidden="1" x14ac:dyDescent="0.25">
      <c r="O2129" s="16" t="e">
        <f t="shared" si="40"/>
        <v>#VALUE!</v>
      </c>
      <c r="P2129" s="16">
        <f t="shared" si="41"/>
        <v>0</v>
      </c>
    </row>
    <row r="2130" spans="15:16" hidden="1" x14ac:dyDescent="0.25">
      <c r="O2130" s="16" t="e">
        <f t="shared" si="40"/>
        <v>#VALUE!</v>
      </c>
      <c r="P2130" s="16">
        <f t="shared" si="41"/>
        <v>0</v>
      </c>
    </row>
    <row r="2131" spans="15:16" hidden="1" x14ac:dyDescent="0.25">
      <c r="O2131" s="16" t="e">
        <f t="shared" si="40"/>
        <v>#VALUE!</v>
      </c>
      <c r="P2131" s="16">
        <f t="shared" si="41"/>
        <v>0</v>
      </c>
    </row>
    <row r="2132" spans="15:16" hidden="1" x14ac:dyDescent="0.25">
      <c r="O2132" s="16" t="e">
        <f t="shared" si="40"/>
        <v>#VALUE!</v>
      </c>
      <c r="P2132" s="16">
        <f t="shared" si="41"/>
        <v>0</v>
      </c>
    </row>
    <row r="2133" spans="15:16" hidden="1" x14ac:dyDescent="0.25">
      <c r="O2133" s="16" t="e">
        <f t="shared" si="40"/>
        <v>#VALUE!</v>
      </c>
      <c r="P2133" s="16">
        <f t="shared" si="41"/>
        <v>0</v>
      </c>
    </row>
    <row r="2134" spans="15:16" hidden="1" x14ac:dyDescent="0.25">
      <c r="O2134" s="16" t="e">
        <f t="shared" si="40"/>
        <v>#VALUE!</v>
      </c>
      <c r="P2134" s="16">
        <f t="shared" si="41"/>
        <v>0</v>
      </c>
    </row>
    <row r="2135" spans="15:16" hidden="1" x14ac:dyDescent="0.25">
      <c r="O2135" s="16" t="e">
        <f t="shared" si="40"/>
        <v>#VALUE!</v>
      </c>
      <c r="P2135" s="16">
        <f t="shared" si="41"/>
        <v>0</v>
      </c>
    </row>
    <row r="2136" spans="15:16" hidden="1" x14ac:dyDescent="0.25">
      <c r="O2136" s="16" t="e">
        <f t="shared" si="40"/>
        <v>#VALUE!</v>
      </c>
      <c r="P2136" s="16">
        <f t="shared" si="41"/>
        <v>0</v>
      </c>
    </row>
    <row r="2137" spans="15:16" hidden="1" x14ac:dyDescent="0.25">
      <c r="O2137" s="16" t="e">
        <f t="shared" si="40"/>
        <v>#VALUE!</v>
      </c>
      <c r="P2137" s="16">
        <f t="shared" si="41"/>
        <v>0</v>
      </c>
    </row>
    <row r="2138" spans="15:16" hidden="1" x14ac:dyDescent="0.25">
      <c r="O2138" s="16" t="e">
        <f t="shared" si="40"/>
        <v>#VALUE!</v>
      </c>
      <c r="P2138" s="16">
        <f t="shared" si="41"/>
        <v>0</v>
      </c>
    </row>
    <row r="2139" spans="15:16" hidden="1" x14ac:dyDescent="0.25">
      <c r="O2139" s="16" t="e">
        <f t="shared" si="40"/>
        <v>#VALUE!</v>
      </c>
      <c r="P2139" s="16">
        <f t="shared" si="41"/>
        <v>0</v>
      </c>
    </row>
    <row r="2140" spans="15:16" hidden="1" x14ac:dyDescent="0.25">
      <c r="O2140" s="16" t="e">
        <f t="shared" si="40"/>
        <v>#VALUE!</v>
      </c>
      <c r="P2140" s="16">
        <f t="shared" si="41"/>
        <v>0</v>
      </c>
    </row>
    <row r="2141" spans="15:16" hidden="1" x14ac:dyDescent="0.25">
      <c r="O2141" s="16" t="e">
        <f t="shared" si="40"/>
        <v>#VALUE!</v>
      </c>
      <c r="P2141" s="16">
        <f t="shared" si="41"/>
        <v>0</v>
      </c>
    </row>
    <row r="2142" spans="15:16" hidden="1" x14ac:dyDescent="0.25">
      <c r="O2142" s="16" t="e">
        <f t="shared" si="40"/>
        <v>#VALUE!</v>
      </c>
      <c r="P2142" s="16">
        <f t="shared" si="41"/>
        <v>0</v>
      </c>
    </row>
    <row r="2143" spans="15:16" hidden="1" x14ac:dyDescent="0.25">
      <c r="O2143" s="16" t="e">
        <f t="shared" si="40"/>
        <v>#VALUE!</v>
      </c>
      <c r="P2143" s="16">
        <f t="shared" si="41"/>
        <v>0</v>
      </c>
    </row>
    <row r="2144" spans="15:16" hidden="1" x14ac:dyDescent="0.25">
      <c r="O2144" s="16" t="e">
        <f t="shared" si="40"/>
        <v>#VALUE!</v>
      </c>
      <c r="P2144" s="16">
        <f t="shared" si="41"/>
        <v>0</v>
      </c>
    </row>
    <row r="2145" spans="15:16" hidden="1" x14ac:dyDescent="0.25">
      <c r="O2145" s="16" t="e">
        <f t="shared" si="40"/>
        <v>#VALUE!</v>
      </c>
      <c r="P2145" s="16">
        <f t="shared" si="41"/>
        <v>0</v>
      </c>
    </row>
    <row r="2146" spans="15:16" hidden="1" x14ac:dyDescent="0.25">
      <c r="O2146" s="16" t="e">
        <f t="shared" si="40"/>
        <v>#VALUE!</v>
      </c>
      <c r="P2146" s="16">
        <f t="shared" si="41"/>
        <v>0</v>
      </c>
    </row>
    <row r="2147" spans="15:16" hidden="1" x14ac:dyDescent="0.25">
      <c r="O2147" s="16" t="e">
        <f t="shared" si="40"/>
        <v>#VALUE!</v>
      </c>
      <c r="P2147" s="16">
        <f t="shared" si="41"/>
        <v>0</v>
      </c>
    </row>
    <row r="2148" spans="15:16" hidden="1" x14ac:dyDescent="0.25">
      <c r="O2148" s="16" t="e">
        <f t="shared" si="40"/>
        <v>#VALUE!</v>
      </c>
      <c r="P2148" s="16">
        <f t="shared" si="41"/>
        <v>0</v>
      </c>
    </row>
    <row r="2149" spans="15:16" hidden="1" x14ac:dyDescent="0.25">
      <c r="O2149" s="16" t="e">
        <f t="shared" si="40"/>
        <v>#VALUE!</v>
      </c>
      <c r="P2149" s="16">
        <f t="shared" si="41"/>
        <v>0</v>
      </c>
    </row>
    <row r="2150" spans="15:16" hidden="1" x14ac:dyDescent="0.25">
      <c r="O2150" s="16" t="e">
        <f t="shared" si="40"/>
        <v>#VALUE!</v>
      </c>
      <c r="P2150" s="16">
        <f t="shared" si="41"/>
        <v>0</v>
      </c>
    </row>
    <row r="2151" spans="15:16" hidden="1" x14ac:dyDescent="0.25">
      <c r="O2151" s="16" t="e">
        <f t="shared" si="40"/>
        <v>#VALUE!</v>
      </c>
      <c r="P2151" s="16">
        <f t="shared" si="41"/>
        <v>0</v>
      </c>
    </row>
    <row r="2152" spans="15:16" hidden="1" x14ac:dyDescent="0.25">
      <c r="O2152" s="16" t="e">
        <f t="shared" si="40"/>
        <v>#VALUE!</v>
      </c>
      <c r="P2152" s="16">
        <f t="shared" si="41"/>
        <v>0</v>
      </c>
    </row>
    <row r="2153" spans="15:16" hidden="1" x14ac:dyDescent="0.25">
      <c r="O2153" s="16" t="e">
        <f t="shared" si="40"/>
        <v>#VALUE!</v>
      </c>
      <c r="P2153" s="16">
        <f t="shared" si="41"/>
        <v>0</v>
      </c>
    </row>
    <row r="2154" spans="15:16" hidden="1" x14ac:dyDescent="0.25">
      <c r="O2154" s="16" t="e">
        <f t="shared" si="40"/>
        <v>#VALUE!</v>
      </c>
      <c r="P2154" s="16">
        <f t="shared" si="41"/>
        <v>0</v>
      </c>
    </row>
    <row r="2155" spans="15:16" hidden="1" x14ac:dyDescent="0.25">
      <c r="O2155" s="16" t="e">
        <f t="shared" si="40"/>
        <v>#VALUE!</v>
      </c>
      <c r="P2155" s="16">
        <f t="shared" si="41"/>
        <v>0</v>
      </c>
    </row>
    <row r="2156" spans="15:16" hidden="1" x14ac:dyDescent="0.25">
      <c r="O2156" s="16" t="e">
        <f t="shared" si="40"/>
        <v>#VALUE!</v>
      </c>
      <c r="P2156" s="16">
        <f t="shared" si="41"/>
        <v>0</v>
      </c>
    </row>
    <row r="2157" spans="15:16" hidden="1" x14ac:dyDescent="0.25">
      <c r="O2157" s="16" t="e">
        <f t="shared" si="40"/>
        <v>#VALUE!</v>
      </c>
      <c r="P2157" s="16">
        <f t="shared" si="41"/>
        <v>0</v>
      </c>
    </row>
    <row r="2158" spans="15:16" hidden="1" x14ac:dyDescent="0.25">
      <c r="O2158" s="16" t="e">
        <f t="shared" si="40"/>
        <v>#VALUE!</v>
      </c>
      <c r="P2158" s="16">
        <f t="shared" si="41"/>
        <v>0</v>
      </c>
    </row>
    <row r="2159" spans="15:16" hidden="1" x14ac:dyDescent="0.25">
      <c r="O2159" s="16" t="e">
        <f t="shared" si="40"/>
        <v>#VALUE!</v>
      </c>
      <c r="P2159" s="16">
        <f t="shared" si="41"/>
        <v>0</v>
      </c>
    </row>
    <row r="2160" spans="15:16" hidden="1" x14ac:dyDescent="0.25">
      <c r="O2160" s="16" t="e">
        <f t="shared" si="40"/>
        <v>#VALUE!</v>
      </c>
      <c r="P2160" s="16">
        <f t="shared" si="41"/>
        <v>0</v>
      </c>
    </row>
    <row r="2161" spans="15:16" hidden="1" x14ac:dyDescent="0.25">
      <c r="O2161" s="16" t="e">
        <f t="shared" si="40"/>
        <v>#VALUE!</v>
      </c>
      <c r="P2161" s="16">
        <f t="shared" si="41"/>
        <v>0</v>
      </c>
    </row>
    <row r="2162" spans="15:16" hidden="1" x14ac:dyDescent="0.25">
      <c r="O2162" s="16" t="e">
        <f t="shared" si="40"/>
        <v>#VALUE!</v>
      </c>
      <c r="P2162" s="16">
        <f t="shared" si="41"/>
        <v>0</v>
      </c>
    </row>
    <row r="2163" spans="15:16" hidden="1" x14ac:dyDescent="0.25">
      <c r="O2163" s="16" t="e">
        <f t="shared" si="40"/>
        <v>#VALUE!</v>
      </c>
      <c r="P2163" s="16">
        <f t="shared" si="41"/>
        <v>0</v>
      </c>
    </row>
    <row r="2164" spans="15:16" hidden="1" x14ac:dyDescent="0.25">
      <c r="O2164" s="16" t="e">
        <f t="shared" si="40"/>
        <v>#VALUE!</v>
      </c>
      <c r="P2164" s="16">
        <f t="shared" si="41"/>
        <v>0</v>
      </c>
    </row>
    <row r="2165" spans="15:16" hidden="1" x14ac:dyDescent="0.25">
      <c r="O2165" s="16" t="e">
        <f t="shared" si="40"/>
        <v>#VALUE!</v>
      </c>
      <c r="P2165" s="16">
        <f t="shared" si="41"/>
        <v>0</v>
      </c>
    </row>
    <row r="2166" spans="15:16" hidden="1" x14ac:dyDescent="0.25">
      <c r="O2166" s="16" t="e">
        <f t="shared" si="40"/>
        <v>#VALUE!</v>
      </c>
      <c r="P2166" s="16">
        <f t="shared" si="41"/>
        <v>0</v>
      </c>
    </row>
    <row r="2167" spans="15:16" hidden="1" x14ac:dyDescent="0.25">
      <c r="O2167" s="16" t="e">
        <f t="shared" si="40"/>
        <v>#VALUE!</v>
      </c>
      <c r="P2167" s="16">
        <f t="shared" si="41"/>
        <v>0</v>
      </c>
    </row>
    <row r="2168" spans="15:16" hidden="1" x14ac:dyDescent="0.25">
      <c r="O2168" s="16" t="e">
        <f t="shared" si="40"/>
        <v>#VALUE!</v>
      </c>
      <c r="P2168" s="16">
        <f t="shared" si="41"/>
        <v>0</v>
      </c>
    </row>
    <row r="2169" spans="15:16" hidden="1" x14ac:dyDescent="0.25">
      <c r="O2169" s="16" t="e">
        <f t="shared" si="40"/>
        <v>#VALUE!</v>
      </c>
      <c r="P2169" s="16">
        <f t="shared" si="41"/>
        <v>0</v>
      </c>
    </row>
    <row r="2170" spans="15:16" hidden="1" x14ac:dyDescent="0.25">
      <c r="O2170" s="16" t="e">
        <f t="shared" si="40"/>
        <v>#VALUE!</v>
      </c>
      <c r="P2170" s="16">
        <f t="shared" si="41"/>
        <v>0</v>
      </c>
    </row>
    <row r="2171" spans="15:16" hidden="1" x14ac:dyDescent="0.25">
      <c r="O2171" s="16" t="e">
        <f t="shared" si="40"/>
        <v>#VALUE!</v>
      </c>
      <c r="P2171" s="16">
        <f t="shared" si="41"/>
        <v>0</v>
      </c>
    </row>
    <row r="2172" spans="15:16" hidden="1" x14ac:dyDescent="0.25">
      <c r="O2172" s="16" t="e">
        <f t="shared" si="40"/>
        <v>#VALUE!</v>
      </c>
      <c r="P2172" s="16">
        <f t="shared" si="41"/>
        <v>0</v>
      </c>
    </row>
    <row r="2173" spans="15:16" hidden="1" x14ac:dyDescent="0.25">
      <c r="O2173" s="16" t="e">
        <f t="shared" si="40"/>
        <v>#VALUE!</v>
      </c>
      <c r="P2173" s="16">
        <f t="shared" si="41"/>
        <v>0</v>
      </c>
    </row>
    <row r="2174" spans="15:16" hidden="1" x14ac:dyDescent="0.25">
      <c r="O2174" s="16" t="e">
        <f t="shared" si="40"/>
        <v>#VALUE!</v>
      </c>
      <c r="P2174" s="16">
        <f t="shared" si="41"/>
        <v>0</v>
      </c>
    </row>
    <row r="2175" spans="15:16" hidden="1" x14ac:dyDescent="0.25">
      <c r="O2175" s="16" t="e">
        <f t="shared" si="40"/>
        <v>#VALUE!</v>
      </c>
      <c r="P2175" s="16">
        <f t="shared" si="41"/>
        <v>0</v>
      </c>
    </row>
    <row r="2176" spans="15:16" hidden="1" x14ac:dyDescent="0.25">
      <c r="O2176" s="16" t="e">
        <f t="shared" si="40"/>
        <v>#VALUE!</v>
      </c>
      <c r="P2176" s="16">
        <f t="shared" si="41"/>
        <v>0</v>
      </c>
    </row>
    <row r="2177" spans="15:16" hidden="1" x14ac:dyDescent="0.25">
      <c r="O2177" s="16" t="e">
        <f t="shared" si="40"/>
        <v>#VALUE!</v>
      </c>
      <c r="P2177" s="16">
        <f t="shared" si="41"/>
        <v>0</v>
      </c>
    </row>
    <row r="2178" spans="15:16" hidden="1" x14ac:dyDescent="0.25">
      <c r="O2178" s="16" t="e">
        <f t="shared" si="40"/>
        <v>#VALUE!</v>
      </c>
      <c r="P2178" s="16">
        <f t="shared" si="41"/>
        <v>0</v>
      </c>
    </row>
    <row r="2179" spans="15:16" hidden="1" x14ac:dyDescent="0.25">
      <c r="O2179" s="16" t="e">
        <f t="shared" ref="O2179:O2242" si="42">TEXT(DATEVALUE(LEFT(F2179,10)),"mm-yyyy")</f>
        <v>#VALUE!</v>
      </c>
      <c r="P2179" s="16">
        <f t="shared" ref="P2179:P2242" si="43">H2179*I2179</f>
        <v>0</v>
      </c>
    </row>
    <row r="2180" spans="15:16" hidden="1" x14ac:dyDescent="0.25">
      <c r="O2180" s="16" t="e">
        <f t="shared" si="42"/>
        <v>#VALUE!</v>
      </c>
      <c r="P2180" s="16">
        <f t="shared" si="43"/>
        <v>0</v>
      </c>
    </row>
    <row r="2181" spans="15:16" hidden="1" x14ac:dyDescent="0.25">
      <c r="O2181" s="16" t="e">
        <f t="shared" si="42"/>
        <v>#VALUE!</v>
      </c>
      <c r="P2181" s="16">
        <f t="shared" si="43"/>
        <v>0</v>
      </c>
    </row>
    <row r="2182" spans="15:16" hidden="1" x14ac:dyDescent="0.25">
      <c r="O2182" s="16" t="e">
        <f t="shared" si="42"/>
        <v>#VALUE!</v>
      </c>
      <c r="P2182" s="16">
        <f t="shared" si="43"/>
        <v>0</v>
      </c>
    </row>
    <row r="2183" spans="15:16" hidden="1" x14ac:dyDescent="0.25">
      <c r="O2183" s="16" t="e">
        <f t="shared" si="42"/>
        <v>#VALUE!</v>
      </c>
      <c r="P2183" s="16">
        <f t="shared" si="43"/>
        <v>0</v>
      </c>
    </row>
    <row r="2184" spans="15:16" hidden="1" x14ac:dyDescent="0.25">
      <c r="O2184" s="16" t="e">
        <f t="shared" si="42"/>
        <v>#VALUE!</v>
      </c>
      <c r="P2184" s="16">
        <f t="shared" si="43"/>
        <v>0</v>
      </c>
    </row>
    <row r="2185" spans="15:16" hidden="1" x14ac:dyDescent="0.25">
      <c r="O2185" s="16" t="e">
        <f t="shared" si="42"/>
        <v>#VALUE!</v>
      </c>
      <c r="P2185" s="16">
        <f t="shared" si="43"/>
        <v>0</v>
      </c>
    </row>
    <row r="2186" spans="15:16" hidden="1" x14ac:dyDescent="0.25">
      <c r="O2186" s="16" t="e">
        <f t="shared" si="42"/>
        <v>#VALUE!</v>
      </c>
      <c r="P2186" s="16">
        <f t="shared" si="43"/>
        <v>0</v>
      </c>
    </row>
    <row r="2187" spans="15:16" hidden="1" x14ac:dyDescent="0.25">
      <c r="O2187" s="16" t="e">
        <f t="shared" si="42"/>
        <v>#VALUE!</v>
      </c>
      <c r="P2187" s="16">
        <f t="shared" si="43"/>
        <v>0</v>
      </c>
    </row>
    <row r="2188" spans="15:16" hidden="1" x14ac:dyDescent="0.25">
      <c r="O2188" s="16" t="e">
        <f t="shared" si="42"/>
        <v>#VALUE!</v>
      </c>
      <c r="P2188" s="16">
        <f t="shared" si="43"/>
        <v>0</v>
      </c>
    </row>
    <row r="2189" spans="15:16" hidden="1" x14ac:dyDescent="0.25">
      <c r="O2189" s="16" t="e">
        <f t="shared" si="42"/>
        <v>#VALUE!</v>
      </c>
      <c r="P2189" s="16">
        <f t="shared" si="43"/>
        <v>0</v>
      </c>
    </row>
    <row r="2190" spans="15:16" hidden="1" x14ac:dyDescent="0.25">
      <c r="O2190" s="16" t="e">
        <f t="shared" si="42"/>
        <v>#VALUE!</v>
      </c>
      <c r="P2190" s="16">
        <f t="shared" si="43"/>
        <v>0</v>
      </c>
    </row>
    <row r="2191" spans="15:16" hidden="1" x14ac:dyDescent="0.25">
      <c r="O2191" s="16" t="e">
        <f t="shared" si="42"/>
        <v>#VALUE!</v>
      </c>
      <c r="P2191" s="16">
        <f t="shared" si="43"/>
        <v>0</v>
      </c>
    </row>
    <row r="2192" spans="15:16" hidden="1" x14ac:dyDescent="0.25">
      <c r="O2192" s="16" t="e">
        <f t="shared" si="42"/>
        <v>#VALUE!</v>
      </c>
      <c r="P2192" s="16">
        <f t="shared" si="43"/>
        <v>0</v>
      </c>
    </row>
    <row r="2193" spans="15:16" hidden="1" x14ac:dyDescent="0.25">
      <c r="O2193" s="16" t="e">
        <f t="shared" si="42"/>
        <v>#VALUE!</v>
      </c>
      <c r="P2193" s="16">
        <f t="shared" si="43"/>
        <v>0</v>
      </c>
    </row>
    <row r="2194" spans="15:16" hidden="1" x14ac:dyDescent="0.25">
      <c r="O2194" s="16" t="e">
        <f t="shared" si="42"/>
        <v>#VALUE!</v>
      </c>
      <c r="P2194" s="16">
        <f t="shared" si="43"/>
        <v>0</v>
      </c>
    </row>
    <row r="2195" spans="15:16" hidden="1" x14ac:dyDescent="0.25">
      <c r="O2195" s="16" t="e">
        <f t="shared" si="42"/>
        <v>#VALUE!</v>
      </c>
      <c r="P2195" s="16">
        <f t="shared" si="43"/>
        <v>0</v>
      </c>
    </row>
    <row r="2196" spans="15:16" hidden="1" x14ac:dyDescent="0.25">
      <c r="O2196" s="16" t="e">
        <f t="shared" si="42"/>
        <v>#VALUE!</v>
      </c>
      <c r="P2196" s="16">
        <f t="shared" si="43"/>
        <v>0</v>
      </c>
    </row>
    <row r="2197" spans="15:16" hidden="1" x14ac:dyDescent="0.25">
      <c r="O2197" s="16" t="e">
        <f t="shared" si="42"/>
        <v>#VALUE!</v>
      </c>
      <c r="P2197" s="16">
        <f t="shared" si="43"/>
        <v>0</v>
      </c>
    </row>
    <row r="2198" spans="15:16" hidden="1" x14ac:dyDescent="0.25">
      <c r="O2198" s="16" t="e">
        <f t="shared" si="42"/>
        <v>#VALUE!</v>
      </c>
      <c r="P2198" s="16">
        <f t="shared" si="43"/>
        <v>0</v>
      </c>
    </row>
    <row r="2199" spans="15:16" hidden="1" x14ac:dyDescent="0.25">
      <c r="O2199" s="16" t="e">
        <f t="shared" si="42"/>
        <v>#VALUE!</v>
      </c>
      <c r="P2199" s="16">
        <f t="shared" si="43"/>
        <v>0</v>
      </c>
    </row>
    <row r="2200" spans="15:16" hidden="1" x14ac:dyDescent="0.25">
      <c r="O2200" s="16" t="e">
        <f t="shared" si="42"/>
        <v>#VALUE!</v>
      </c>
      <c r="P2200" s="16">
        <f t="shared" si="43"/>
        <v>0</v>
      </c>
    </row>
    <row r="2201" spans="15:16" hidden="1" x14ac:dyDescent="0.25">
      <c r="O2201" s="16" t="e">
        <f t="shared" si="42"/>
        <v>#VALUE!</v>
      </c>
      <c r="P2201" s="16">
        <f t="shared" si="43"/>
        <v>0</v>
      </c>
    </row>
    <row r="2202" spans="15:16" hidden="1" x14ac:dyDescent="0.25">
      <c r="O2202" s="16" t="e">
        <f t="shared" si="42"/>
        <v>#VALUE!</v>
      </c>
      <c r="P2202" s="16">
        <f t="shared" si="43"/>
        <v>0</v>
      </c>
    </row>
    <row r="2203" spans="15:16" hidden="1" x14ac:dyDescent="0.25">
      <c r="O2203" s="16" t="e">
        <f t="shared" si="42"/>
        <v>#VALUE!</v>
      </c>
      <c r="P2203" s="16">
        <f t="shared" si="43"/>
        <v>0</v>
      </c>
    </row>
    <row r="2204" spans="15:16" hidden="1" x14ac:dyDescent="0.25">
      <c r="O2204" s="16" t="e">
        <f t="shared" si="42"/>
        <v>#VALUE!</v>
      </c>
      <c r="P2204" s="16">
        <f t="shared" si="43"/>
        <v>0</v>
      </c>
    </row>
    <row r="2205" spans="15:16" hidden="1" x14ac:dyDescent="0.25">
      <c r="O2205" s="16" t="e">
        <f t="shared" si="42"/>
        <v>#VALUE!</v>
      </c>
      <c r="P2205" s="16">
        <f t="shared" si="43"/>
        <v>0</v>
      </c>
    </row>
    <row r="2206" spans="15:16" hidden="1" x14ac:dyDescent="0.25">
      <c r="O2206" s="16" t="e">
        <f t="shared" si="42"/>
        <v>#VALUE!</v>
      </c>
      <c r="P2206" s="16">
        <f t="shared" si="43"/>
        <v>0</v>
      </c>
    </row>
    <row r="2207" spans="15:16" hidden="1" x14ac:dyDescent="0.25">
      <c r="O2207" s="16" t="e">
        <f t="shared" si="42"/>
        <v>#VALUE!</v>
      </c>
      <c r="P2207" s="16">
        <f t="shared" si="43"/>
        <v>0</v>
      </c>
    </row>
    <row r="2208" spans="15:16" hidden="1" x14ac:dyDescent="0.25">
      <c r="O2208" s="16" t="e">
        <f t="shared" si="42"/>
        <v>#VALUE!</v>
      </c>
      <c r="P2208" s="16">
        <f t="shared" si="43"/>
        <v>0</v>
      </c>
    </row>
    <row r="2209" spans="15:16" hidden="1" x14ac:dyDescent="0.25">
      <c r="O2209" s="16" t="e">
        <f t="shared" si="42"/>
        <v>#VALUE!</v>
      </c>
      <c r="P2209" s="16">
        <f t="shared" si="43"/>
        <v>0</v>
      </c>
    </row>
    <row r="2210" spans="15:16" hidden="1" x14ac:dyDescent="0.25">
      <c r="O2210" s="16" t="e">
        <f t="shared" si="42"/>
        <v>#VALUE!</v>
      </c>
      <c r="P2210" s="16">
        <f t="shared" si="43"/>
        <v>0</v>
      </c>
    </row>
    <row r="2211" spans="15:16" hidden="1" x14ac:dyDescent="0.25">
      <c r="O2211" s="16" t="e">
        <f t="shared" si="42"/>
        <v>#VALUE!</v>
      </c>
      <c r="P2211" s="16">
        <f t="shared" si="43"/>
        <v>0</v>
      </c>
    </row>
    <row r="2212" spans="15:16" hidden="1" x14ac:dyDescent="0.25">
      <c r="O2212" s="16" t="e">
        <f t="shared" si="42"/>
        <v>#VALUE!</v>
      </c>
      <c r="P2212" s="16">
        <f t="shared" si="43"/>
        <v>0</v>
      </c>
    </row>
    <row r="2213" spans="15:16" hidden="1" x14ac:dyDescent="0.25">
      <c r="O2213" s="16" t="e">
        <f t="shared" si="42"/>
        <v>#VALUE!</v>
      </c>
      <c r="P2213" s="16">
        <f t="shared" si="43"/>
        <v>0</v>
      </c>
    </row>
    <row r="2214" spans="15:16" hidden="1" x14ac:dyDescent="0.25">
      <c r="O2214" s="16" t="e">
        <f t="shared" si="42"/>
        <v>#VALUE!</v>
      </c>
      <c r="P2214" s="16">
        <f t="shared" si="43"/>
        <v>0</v>
      </c>
    </row>
    <row r="2215" spans="15:16" hidden="1" x14ac:dyDescent="0.25">
      <c r="O2215" s="16" t="e">
        <f t="shared" si="42"/>
        <v>#VALUE!</v>
      </c>
      <c r="P2215" s="16">
        <f t="shared" si="43"/>
        <v>0</v>
      </c>
    </row>
    <row r="2216" spans="15:16" hidden="1" x14ac:dyDescent="0.25">
      <c r="O2216" s="16" t="e">
        <f t="shared" si="42"/>
        <v>#VALUE!</v>
      </c>
      <c r="P2216" s="16">
        <f t="shared" si="43"/>
        <v>0</v>
      </c>
    </row>
    <row r="2217" spans="15:16" hidden="1" x14ac:dyDescent="0.25">
      <c r="O2217" s="16" t="e">
        <f t="shared" si="42"/>
        <v>#VALUE!</v>
      </c>
      <c r="P2217" s="16">
        <f t="shared" si="43"/>
        <v>0</v>
      </c>
    </row>
    <row r="2218" spans="15:16" hidden="1" x14ac:dyDescent="0.25">
      <c r="O2218" s="16" t="e">
        <f t="shared" si="42"/>
        <v>#VALUE!</v>
      </c>
      <c r="P2218" s="16">
        <f t="shared" si="43"/>
        <v>0</v>
      </c>
    </row>
    <row r="2219" spans="15:16" hidden="1" x14ac:dyDescent="0.25">
      <c r="O2219" s="16" t="e">
        <f t="shared" si="42"/>
        <v>#VALUE!</v>
      </c>
      <c r="P2219" s="16">
        <f t="shared" si="43"/>
        <v>0</v>
      </c>
    </row>
    <row r="2220" spans="15:16" hidden="1" x14ac:dyDescent="0.25">
      <c r="O2220" s="16" t="e">
        <f t="shared" si="42"/>
        <v>#VALUE!</v>
      </c>
      <c r="P2220" s="16">
        <f t="shared" si="43"/>
        <v>0</v>
      </c>
    </row>
    <row r="2221" spans="15:16" hidden="1" x14ac:dyDescent="0.25">
      <c r="O2221" s="16" t="e">
        <f t="shared" si="42"/>
        <v>#VALUE!</v>
      </c>
      <c r="P2221" s="16">
        <f t="shared" si="43"/>
        <v>0</v>
      </c>
    </row>
    <row r="2222" spans="15:16" hidden="1" x14ac:dyDescent="0.25">
      <c r="O2222" s="16" t="e">
        <f t="shared" si="42"/>
        <v>#VALUE!</v>
      </c>
      <c r="P2222" s="16">
        <f t="shared" si="43"/>
        <v>0</v>
      </c>
    </row>
    <row r="2223" spans="15:16" hidden="1" x14ac:dyDescent="0.25">
      <c r="O2223" s="16" t="e">
        <f t="shared" si="42"/>
        <v>#VALUE!</v>
      </c>
      <c r="P2223" s="16">
        <f t="shared" si="43"/>
        <v>0</v>
      </c>
    </row>
    <row r="2224" spans="15:16" hidden="1" x14ac:dyDescent="0.25">
      <c r="O2224" s="16" t="e">
        <f t="shared" si="42"/>
        <v>#VALUE!</v>
      </c>
      <c r="P2224" s="16">
        <f t="shared" si="43"/>
        <v>0</v>
      </c>
    </row>
    <row r="2225" spans="15:16" hidden="1" x14ac:dyDescent="0.25">
      <c r="O2225" s="16" t="e">
        <f t="shared" si="42"/>
        <v>#VALUE!</v>
      </c>
      <c r="P2225" s="16">
        <f t="shared" si="43"/>
        <v>0</v>
      </c>
    </row>
    <row r="2226" spans="15:16" hidden="1" x14ac:dyDescent="0.25">
      <c r="O2226" s="16" t="e">
        <f t="shared" si="42"/>
        <v>#VALUE!</v>
      </c>
      <c r="P2226" s="16">
        <f t="shared" si="43"/>
        <v>0</v>
      </c>
    </row>
    <row r="2227" spans="15:16" hidden="1" x14ac:dyDescent="0.25">
      <c r="O2227" s="16" t="e">
        <f t="shared" si="42"/>
        <v>#VALUE!</v>
      </c>
      <c r="P2227" s="16">
        <f t="shared" si="43"/>
        <v>0</v>
      </c>
    </row>
    <row r="2228" spans="15:16" hidden="1" x14ac:dyDescent="0.25">
      <c r="O2228" s="16" t="e">
        <f t="shared" si="42"/>
        <v>#VALUE!</v>
      </c>
      <c r="P2228" s="16">
        <f t="shared" si="43"/>
        <v>0</v>
      </c>
    </row>
    <row r="2229" spans="15:16" hidden="1" x14ac:dyDescent="0.25">
      <c r="O2229" s="16" t="e">
        <f t="shared" si="42"/>
        <v>#VALUE!</v>
      </c>
      <c r="P2229" s="16">
        <f t="shared" si="43"/>
        <v>0</v>
      </c>
    </row>
    <row r="2230" spans="15:16" hidden="1" x14ac:dyDescent="0.25">
      <c r="O2230" s="16" t="e">
        <f t="shared" si="42"/>
        <v>#VALUE!</v>
      </c>
      <c r="P2230" s="16">
        <f t="shared" si="43"/>
        <v>0</v>
      </c>
    </row>
    <row r="2231" spans="15:16" hidden="1" x14ac:dyDescent="0.25">
      <c r="O2231" s="16" t="e">
        <f t="shared" si="42"/>
        <v>#VALUE!</v>
      </c>
      <c r="P2231" s="16">
        <f t="shared" si="43"/>
        <v>0</v>
      </c>
    </row>
    <row r="2232" spans="15:16" hidden="1" x14ac:dyDescent="0.25">
      <c r="O2232" s="16" t="e">
        <f t="shared" si="42"/>
        <v>#VALUE!</v>
      </c>
      <c r="P2232" s="16">
        <f t="shared" si="43"/>
        <v>0</v>
      </c>
    </row>
    <row r="2233" spans="15:16" hidden="1" x14ac:dyDescent="0.25">
      <c r="O2233" s="16" t="e">
        <f t="shared" si="42"/>
        <v>#VALUE!</v>
      </c>
      <c r="P2233" s="16">
        <f t="shared" si="43"/>
        <v>0</v>
      </c>
    </row>
    <row r="2234" spans="15:16" hidden="1" x14ac:dyDescent="0.25">
      <c r="O2234" s="16" t="e">
        <f t="shared" si="42"/>
        <v>#VALUE!</v>
      </c>
      <c r="P2234" s="16">
        <f t="shared" si="43"/>
        <v>0</v>
      </c>
    </row>
    <row r="2235" spans="15:16" hidden="1" x14ac:dyDescent="0.25">
      <c r="O2235" s="16" t="e">
        <f t="shared" si="42"/>
        <v>#VALUE!</v>
      </c>
      <c r="P2235" s="16">
        <f t="shared" si="43"/>
        <v>0</v>
      </c>
    </row>
    <row r="2236" spans="15:16" hidden="1" x14ac:dyDescent="0.25">
      <c r="O2236" s="16" t="e">
        <f t="shared" si="42"/>
        <v>#VALUE!</v>
      </c>
      <c r="P2236" s="16">
        <f t="shared" si="43"/>
        <v>0</v>
      </c>
    </row>
    <row r="2237" spans="15:16" hidden="1" x14ac:dyDescent="0.25">
      <c r="O2237" s="16" t="e">
        <f t="shared" si="42"/>
        <v>#VALUE!</v>
      </c>
      <c r="P2237" s="16">
        <f t="shared" si="43"/>
        <v>0</v>
      </c>
    </row>
    <row r="2238" spans="15:16" hidden="1" x14ac:dyDescent="0.25">
      <c r="O2238" s="16" t="e">
        <f t="shared" si="42"/>
        <v>#VALUE!</v>
      </c>
      <c r="P2238" s="16">
        <f t="shared" si="43"/>
        <v>0</v>
      </c>
    </row>
    <row r="2239" spans="15:16" hidden="1" x14ac:dyDescent="0.25">
      <c r="O2239" s="16" t="e">
        <f t="shared" si="42"/>
        <v>#VALUE!</v>
      </c>
      <c r="P2239" s="16">
        <f t="shared" si="43"/>
        <v>0</v>
      </c>
    </row>
    <row r="2240" spans="15:16" hidden="1" x14ac:dyDescent="0.25">
      <c r="O2240" s="16" t="e">
        <f t="shared" si="42"/>
        <v>#VALUE!</v>
      </c>
      <c r="P2240" s="16">
        <f t="shared" si="43"/>
        <v>0</v>
      </c>
    </row>
    <row r="2241" spans="15:16" hidden="1" x14ac:dyDescent="0.25">
      <c r="O2241" s="16" t="e">
        <f t="shared" si="42"/>
        <v>#VALUE!</v>
      </c>
      <c r="P2241" s="16">
        <f t="shared" si="43"/>
        <v>0</v>
      </c>
    </row>
    <row r="2242" spans="15:16" hidden="1" x14ac:dyDescent="0.25">
      <c r="O2242" s="16" t="e">
        <f t="shared" si="42"/>
        <v>#VALUE!</v>
      </c>
      <c r="P2242" s="16">
        <f t="shared" si="43"/>
        <v>0</v>
      </c>
    </row>
    <row r="2243" spans="15:16" hidden="1" x14ac:dyDescent="0.25">
      <c r="O2243" s="16" t="e">
        <f t="shared" ref="O2243:O2306" si="44">TEXT(DATEVALUE(LEFT(F2243,10)),"mm-yyyy")</f>
        <v>#VALUE!</v>
      </c>
      <c r="P2243" s="16">
        <f t="shared" ref="P2243:P2306" si="45">H2243*I2243</f>
        <v>0</v>
      </c>
    </row>
    <row r="2244" spans="15:16" hidden="1" x14ac:dyDescent="0.25">
      <c r="O2244" s="16" t="e">
        <f t="shared" si="44"/>
        <v>#VALUE!</v>
      </c>
      <c r="P2244" s="16">
        <f t="shared" si="45"/>
        <v>0</v>
      </c>
    </row>
    <row r="2245" spans="15:16" hidden="1" x14ac:dyDescent="0.25">
      <c r="O2245" s="16" t="e">
        <f t="shared" si="44"/>
        <v>#VALUE!</v>
      </c>
      <c r="P2245" s="16">
        <f t="shared" si="45"/>
        <v>0</v>
      </c>
    </row>
    <row r="2246" spans="15:16" hidden="1" x14ac:dyDescent="0.25">
      <c r="O2246" s="16" t="e">
        <f t="shared" si="44"/>
        <v>#VALUE!</v>
      </c>
      <c r="P2246" s="16">
        <f t="shared" si="45"/>
        <v>0</v>
      </c>
    </row>
    <row r="2247" spans="15:16" hidden="1" x14ac:dyDescent="0.25">
      <c r="O2247" s="16" t="e">
        <f t="shared" si="44"/>
        <v>#VALUE!</v>
      </c>
      <c r="P2247" s="16">
        <f t="shared" si="45"/>
        <v>0</v>
      </c>
    </row>
    <row r="2248" spans="15:16" hidden="1" x14ac:dyDescent="0.25">
      <c r="O2248" s="16" t="e">
        <f t="shared" si="44"/>
        <v>#VALUE!</v>
      </c>
      <c r="P2248" s="16">
        <f t="shared" si="45"/>
        <v>0</v>
      </c>
    </row>
    <row r="2249" spans="15:16" hidden="1" x14ac:dyDescent="0.25">
      <c r="O2249" s="16" t="e">
        <f t="shared" si="44"/>
        <v>#VALUE!</v>
      </c>
      <c r="P2249" s="16">
        <f t="shared" si="45"/>
        <v>0</v>
      </c>
    </row>
    <row r="2250" spans="15:16" hidden="1" x14ac:dyDescent="0.25">
      <c r="O2250" s="16" t="e">
        <f t="shared" si="44"/>
        <v>#VALUE!</v>
      </c>
      <c r="P2250" s="16">
        <f t="shared" si="45"/>
        <v>0</v>
      </c>
    </row>
    <row r="2251" spans="15:16" hidden="1" x14ac:dyDescent="0.25">
      <c r="O2251" s="16" t="e">
        <f t="shared" si="44"/>
        <v>#VALUE!</v>
      </c>
      <c r="P2251" s="16">
        <f t="shared" si="45"/>
        <v>0</v>
      </c>
    </row>
    <row r="2252" spans="15:16" hidden="1" x14ac:dyDescent="0.25">
      <c r="O2252" s="16" t="e">
        <f t="shared" si="44"/>
        <v>#VALUE!</v>
      </c>
      <c r="P2252" s="16">
        <f t="shared" si="45"/>
        <v>0</v>
      </c>
    </row>
    <row r="2253" spans="15:16" hidden="1" x14ac:dyDescent="0.25">
      <c r="O2253" s="16" t="e">
        <f t="shared" si="44"/>
        <v>#VALUE!</v>
      </c>
      <c r="P2253" s="16">
        <f t="shared" si="45"/>
        <v>0</v>
      </c>
    </row>
    <row r="2254" spans="15:16" hidden="1" x14ac:dyDescent="0.25">
      <c r="O2254" s="16" t="e">
        <f t="shared" si="44"/>
        <v>#VALUE!</v>
      </c>
      <c r="P2254" s="16">
        <f t="shared" si="45"/>
        <v>0</v>
      </c>
    </row>
    <row r="2255" spans="15:16" hidden="1" x14ac:dyDescent="0.25">
      <c r="O2255" s="16" t="e">
        <f t="shared" si="44"/>
        <v>#VALUE!</v>
      </c>
      <c r="P2255" s="16">
        <f t="shared" si="45"/>
        <v>0</v>
      </c>
    </row>
    <row r="2256" spans="15:16" hidden="1" x14ac:dyDescent="0.25">
      <c r="O2256" s="16" t="e">
        <f t="shared" si="44"/>
        <v>#VALUE!</v>
      </c>
      <c r="P2256" s="16">
        <f t="shared" si="45"/>
        <v>0</v>
      </c>
    </row>
    <row r="2257" spans="15:16" hidden="1" x14ac:dyDescent="0.25">
      <c r="O2257" s="16" t="e">
        <f t="shared" si="44"/>
        <v>#VALUE!</v>
      </c>
      <c r="P2257" s="16">
        <f t="shared" si="45"/>
        <v>0</v>
      </c>
    </row>
    <row r="2258" spans="15:16" hidden="1" x14ac:dyDescent="0.25">
      <c r="O2258" s="16" t="e">
        <f t="shared" si="44"/>
        <v>#VALUE!</v>
      </c>
      <c r="P2258" s="16">
        <f t="shared" si="45"/>
        <v>0</v>
      </c>
    </row>
    <row r="2259" spans="15:16" hidden="1" x14ac:dyDescent="0.25">
      <c r="O2259" s="16" t="e">
        <f t="shared" si="44"/>
        <v>#VALUE!</v>
      </c>
      <c r="P2259" s="16">
        <f t="shared" si="45"/>
        <v>0</v>
      </c>
    </row>
    <row r="2260" spans="15:16" hidden="1" x14ac:dyDescent="0.25">
      <c r="O2260" s="16" t="e">
        <f t="shared" si="44"/>
        <v>#VALUE!</v>
      </c>
      <c r="P2260" s="16">
        <f t="shared" si="45"/>
        <v>0</v>
      </c>
    </row>
    <row r="2261" spans="15:16" hidden="1" x14ac:dyDescent="0.25">
      <c r="O2261" s="16" t="e">
        <f t="shared" si="44"/>
        <v>#VALUE!</v>
      </c>
      <c r="P2261" s="16">
        <f t="shared" si="45"/>
        <v>0</v>
      </c>
    </row>
    <row r="2262" spans="15:16" hidden="1" x14ac:dyDescent="0.25">
      <c r="O2262" s="16" t="e">
        <f t="shared" si="44"/>
        <v>#VALUE!</v>
      </c>
      <c r="P2262" s="16">
        <f t="shared" si="45"/>
        <v>0</v>
      </c>
    </row>
    <row r="2263" spans="15:16" hidden="1" x14ac:dyDescent="0.25">
      <c r="O2263" s="16" t="e">
        <f t="shared" si="44"/>
        <v>#VALUE!</v>
      </c>
      <c r="P2263" s="16">
        <f t="shared" si="45"/>
        <v>0</v>
      </c>
    </row>
    <row r="2264" spans="15:16" hidden="1" x14ac:dyDescent="0.25">
      <c r="O2264" s="16" t="e">
        <f t="shared" si="44"/>
        <v>#VALUE!</v>
      </c>
      <c r="P2264" s="16">
        <f t="shared" si="45"/>
        <v>0</v>
      </c>
    </row>
    <row r="2265" spans="15:16" hidden="1" x14ac:dyDescent="0.25">
      <c r="O2265" s="16" t="e">
        <f t="shared" si="44"/>
        <v>#VALUE!</v>
      </c>
      <c r="P2265" s="16">
        <f t="shared" si="45"/>
        <v>0</v>
      </c>
    </row>
    <row r="2266" spans="15:16" hidden="1" x14ac:dyDescent="0.25">
      <c r="O2266" s="16" t="e">
        <f t="shared" si="44"/>
        <v>#VALUE!</v>
      </c>
      <c r="P2266" s="16">
        <f t="shared" si="45"/>
        <v>0</v>
      </c>
    </row>
    <row r="2267" spans="15:16" hidden="1" x14ac:dyDescent="0.25">
      <c r="O2267" s="16" t="e">
        <f t="shared" si="44"/>
        <v>#VALUE!</v>
      </c>
      <c r="P2267" s="16">
        <f t="shared" si="45"/>
        <v>0</v>
      </c>
    </row>
    <row r="2268" spans="15:16" hidden="1" x14ac:dyDescent="0.25">
      <c r="O2268" s="16" t="e">
        <f t="shared" si="44"/>
        <v>#VALUE!</v>
      </c>
      <c r="P2268" s="16">
        <f t="shared" si="45"/>
        <v>0</v>
      </c>
    </row>
    <row r="2269" spans="15:16" hidden="1" x14ac:dyDescent="0.25">
      <c r="O2269" s="16" t="e">
        <f t="shared" si="44"/>
        <v>#VALUE!</v>
      </c>
      <c r="P2269" s="16">
        <f t="shared" si="45"/>
        <v>0</v>
      </c>
    </row>
    <row r="2270" spans="15:16" hidden="1" x14ac:dyDescent="0.25">
      <c r="O2270" s="16" t="e">
        <f t="shared" si="44"/>
        <v>#VALUE!</v>
      </c>
      <c r="P2270" s="16">
        <f t="shared" si="45"/>
        <v>0</v>
      </c>
    </row>
    <row r="2271" spans="15:16" hidden="1" x14ac:dyDescent="0.25">
      <c r="O2271" s="16" t="e">
        <f t="shared" si="44"/>
        <v>#VALUE!</v>
      </c>
      <c r="P2271" s="16">
        <f t="shared" si="45"/>
        <v>0</v>
      </c>
    </row>
    <row r="2272" spans="15:16" hidden="1" x14ac:dyDescent="0.25">
      <c r="O2272" s="16" t="e">
        <f t="shared" si="44"/>
        <v>#VALUE!</v>
      </c>
      <c r="P2272" s="16">
        <f t="shared" si="45"/>
        <v>0</v>
      </c>
    </row>
    <row r="2273" spans="15:16" hidden="1" x14ac:dyDescent="0.25">
      <c r="O2273" s="16" t="e">
        <f t="shared" si="44"/>
        <v>#VALUE!</v>
      </c>
      <c r="P2273" s="16">
        <f t="shared" si="45"/>
        <v>0</v>
      </c>
    </row>
    <row r="2274" spans="15:16" hidden="1" x14ac:dyDescent="0.25">
      <c r="O2274" s="16" t="e">
        <f t="shared" si="44"/>
        <v>#VALUE!</v>
      </c>
      <c r="P2274" s="16">
        <f t="shared" si="45"/>
        <v>0</v>
      </c>
    </row>
    <row r="2275" spans="15:16" hidden="1" x14ac:dyDescent="0.25">
      <c r="O2275" s="16" t="e">
        <f t="shared" si="44"/>
        <v>#VALUE!</v>
      </c>
      <c r="P2275" s="16">
        <f t="shared" si="45"/>
        <v>0</v>
      </c>
    </row>
    <row r="2276" spans="15:16" hidden="1" x14ac:dyDescent="0.25">
      <c r="O2276" s="16" t="e">
        <f t="shared" si="44"/>
        <v>#VALUE!</v>
      </c>
      <c r="P2276" s="16">
        <f t="shared" si="45"/>
        <v>0</v>
      </c>
    </row>
    <row r="2277" spans="15:16" hidden="1" x14ac:dyDescent="0.25">
      <c r="O2277" s="16" t="e">
        <f t="shared" si="44"/>
        <v>#VALUE!</v>
      </c>
      <c r="P2277" s="16">
        <f t="shared" si="45"/>
        <v>0</v>
      </c>
    </row>
    <row r="2278" spans="15:16" hidden="1" x14ac:dyDescent="0.25">
      <c r="O2278" s="16" t="e">
        <f t="shared" si="44"/>
        <v>#VALUE!</v>
      </c>
      <c r="P2278" s="16">
        <f t="shared" si="45"/>
        <v>0</v>
      </c>
    </row>
    <row r="2279" spans="15:16" hidden="1" x14ac:dyDescent="0.25">
      <c r="O2279" s="16" t="e">
        <f t="shared" si="44"/>
        <v>#VALUE!</v>
      </c>
      <c r="P2279" s="16">
        <f t="shared" si="45"/>
        <v>0</v>
      </c>
    </row>
    <row r="2280" spans="15:16" hidden="1" x14ac:dyDescent="0.25">
      <c r="O2280" s="16" t="e">
        <f t="shared" si="44"/>
        <v>#VALUE!</v>
      </c>
      <c r="P2280" s="16">
        <f t="shared" si="45"/>
        <v>0</v>
      </c>
    </row>
    <row r="2281" spans="15:16" hidden="1" x14ac:dyDescent="0.25">
      <c r="O2281" s="16" t="e">
        <f t="shared" si="44"/>
        <v>#VALUE!</v>
      </c>
      <c r="P2281" s="16">
        <f t="shared" si="45"/>
        <v>0</v>
      </c>
    </row>
    <row r="2282" spans="15:16" hidden="1" x14ac:dyDescent="0.25">
      <c r="O2282" s="16" t="e">
        <f t="shared" si="44"/>
        <v>#VALUE!</v>
      </c>
      <c r="P2282" s="16">
        <f t="shared" si="45"/>
        <v>0</v>
      </c>
    </row>
    <row r="2283" spans="15:16" hidden="1" x14ac:dyDescent="0.25">
      <c r="O2283" s="16" t="e">
        <f t="shared" si="44"/>
        <v>#VALUE!</v>
      </c>
      <c r="P2283" s="16">
        <f t="shared" si="45"/>
        <v>0</v>
      </c>
    </row>
    <row r="2284" spans="15:16" hidden="1" x14ac:dyDescent="0.25">
      <c r="O2284" s="16" t="e">
        <f t="shared" si="44"/>
        <v>#VALUE!</v>
      </c>
      <c r="P2284" s="16">
        <f t="shared" si="45"/>
        <v>0</v>
      </c>
    </row>
    <row r="2285" spans="15:16" hidden="1" x14ac:dyDescent="0.25">
      <c r="O2285" s="16" t="e">
        <f t="shared" si="44"/>
        <v>#VALUE!</v>
      </c>
      <c r="P2285" s="16">
        <f t="shared" si="45"/>
        <v>0</v>
      </c>
    </row>
    <row r="2286" spans="15:16" hidden="1" x14ac:dyDescent="0.25">
      <c r="O2286" s="16" t="e">
        <f t="shared" si="44"/>
        <v>#VALUE!</v>
      </c>
      <c r="P2286" s="16">
        <f t="shared" si="45"/>
        <v>0</v>
      </c>
    </row>
    <row r="2287" spans="15:16" hidden="1" x14ac:dyDescent="0.25">
      <c r="O2287" s="16" t="e">
        <f t="shared" si="44"/>
        <v>#VALUE!</v>
      </c>
      <c r="P2287" s="16">
        <f t="shared" si="45"/>
        <v>0</v>
      </c>
    </row>
    <row r="2288" spans="15:16" hidden="1" x14ac:dyDescent="0.25">
      <c r="O2288" s="16" t="e">
        <f t="shared" si="44"/>
        <v>#VALUE!</v>
      </c>
      <c r="P2288" s="16">
        <f t="shared" si="45"/>
        <v>0</v>
      </c>
    </row>
    <row r="2289" spans="15:16" hidden="1" x14ac:dyDescent="0.25">
      <c r="O2289" s="16" t="e">
        <f t="shared" si="44"/>
        <v>#VALUE!</v>
      </c>
      <c r="P2289" s="16">
        <f t="shared" si="45"/>
        <v>0</v>
      </c>
    </row>
    <row r="2290" spans="15:16" hidden="1" x14ac:dyDescent="0.25">
      <c r="O2290" s="16" t="e">
        <f t="shared" si="44"/>
        <v>#VALUE!</v>
      </c>
      <c r="P2290" s="16">
        <f t="shared" si="45"/>
        <v>0</v>
      </c>
    </row>
    <row r="2291" spans="15:16" hidden="1" x14ac:dyDescent="0.25">
      <c r="O2291" s="16" t="e">
        <f t="shared" si="44"/>
        <v>#VALUE!</v>
      </c>
      <c r="P2291" s="16">
        <f t="shared" si="45"/>
        <v>0</v>
      </c>
    </row>
    <row r="2292" spans="15:16" hidden="1" x14ac:dyDescent="0.25">
      <c r="O2292" s="16" t="e">
        <f t="shared" si="44"/>
        <v>#VALUE!</v>
      </c>
      <c r="P2292" s="16">
        <f t="shared" si="45"/>
        <v>0</v>
      </c>
    </row>
    <row r="2293" spans="15:16" hidden="1" x14ac:dyDescent="0.25">
      <c r="O2293" s="16" t="e">
        <f t="shared" si="44"/>
        <v>#VALUE!</v>
      </c>
      <c r="P2293" s="16">
        <f t="shared" si="45"/>
        <v>0</v>
      </c>
    </row>
    <row r="2294" spans="15:16" hidden="1" x14ac:dyDescent="0.25">
      <c r="O2294" s="16" t="e">
        <f t="shared" si="44"/>
        <v>#VALUE!</v>
      </c>
      <c r="P2294" s="16">
        <f t="shared" si="45"/>
        <v>0</v>
      </c>
    </row>
    <row r="2295" spans="15:16" hidden="1" x14ac:dyDescent="0.25">
      <c r="O2295" s="16" t="e">
        <f t="shared" si="44"/>
        <v>#VALUE!</v>
      </c>
      <c r="P2295" s="16">
        <f t="shared" si="45"/>
        <v>0</v>
      </c>
    </row>
    <row r="2296" spans="15:16" hidden="1" x14ac:dyDescent="0.25">
      <c r="O2296" s="16" t="e">
        <f t="shared" si="44"/>
        <v>#VALUE!</v>
      </c>
      <c r="P2296" s="16">
        <f t="shared" si="45"/>
        <v>0</v>
      </c>
    </row>
    <row r="2297" spans="15:16" hidden="1" x14ac:dyDescent="0.25">
      <c r="O2297" s="16" t="e">
        <f t="shared" si="44"/>
        <v>#VALUE!</v>
      </c>
      <c r="P2297" s="16">
        <f t="shared" si="45"/>
        <v>0</v>
      </c>
    </row>
    <row r="2298" spans="15:16" hidden="1" x14ac:dyDescent="0.25">
      <c r="O2298" s="16" t="e">
        <f t="shared" si="44"/>
        <v>#VALUE!</v>
      </c>
      <c r="P2298" s="16">
        <f t="shared" si="45"/>
        <v>0</v>
      </c>
    </row>
    <row r="2299" spans="15:16" hidden="1" x14ac:dyDescent="0.25">
      <c r="O2299" s="16" t="e">
        <f t="shared" si="44"/>
        <v>#VALUE!</v>
      </c>
      <c r="P2299" s="16">
        <f t="shared" si="45"/>
        <v>0</v>
      </c>
    </row>
    <row r="2300" spans="15:16" hidden="1" x14ac:dyDescent="0.25">
      <c r="O2300" s="16" t="e">
        <f t="shared" si="44"/>
        <v>#VALUE!</v>
      </c>
      <c r="P2300" s="16">
        <f t="shared" si="45"/>
        <v>0</v>
      </c>
    </row>
    <row r="2301" spans="15:16" hidden="1" x14ac:dyDescent="0.25">
      <c r="O2301" s="16" t="e">
        <f t="shared" si="44"/>
        <v>#VALUE!</v>
      </c>
      <c r="P2301" s="16">
        <f t="shared" si="45"/>
        <v>0</v>
      </c>
    </row>
    <row r="2302" spans="15:16" hidden="1" x14ac:dyDescent="0.25">
      <c r="O2302" s="16" t="e">
        <f t="shared" si="44"/>
        <v>#VALUE!</v>
      </c>
      <c r="P2302" s="16">
        <f t="shared" si="45"/>
        <v>0</v>
      </c>
    </row>
    <row r="2303" spans="15:16" hidden="1" x14ac:dyDescent="0.25">
      <c r="O2303" s="16" t="e">
        <f t="shared" si="44"/>
        <v>#VALUE!</v>
      </c>
      <c r="P2303" s="16">
        <f t="shared" si="45"/>
        <v>0</v>
      </c>
    </row>
    <row r="2304" spans="15:16" hidden="1" x14ac:dyDescent="0.25">
      <c r="O2304" s="16" t="e">
        <f t="shared" si="44"/>
        <v>#VALUE!</v>
      </c>
      <c r="P2304" s="16">
        <f t="shared" si="45"/>
        <v>0</v>
      </c>
    </row>
    <row r="2305" spans="15:16" hidden="1" x14ac:dyDescent="0.25">
      <c r="O2305" s="16" t="e">
        <f t="shared" si="44"/>
        <v>#VALUE!</v>
      </c>
      <c r="P2305" s="16">
        <f t="shared" si="45"/>
        <v>0</v>
      </c>
    </row>
    <row r="2306" spans="15:16" hidden="1" x14ac:dyDescent="0.25">
      <c r="O2306" s="16" t="e">
        <f t="shared" si="44"/>
        <v>#VALUE!</v>
      </c>
      <c r="P2306" s="16">
        <f t="shared" si="45"/>
        <v>0</v>
      </c>
    </row>
    <row r="2307" spans="15:16" hidden="1" x14ac:dyDescent="0.25">
      <c r="O2307" s="16" t="e">
        <f t="shared" ref="O2307:O2370" si="46">TEXT(DATEVALUE(LEFT(F2307,10)),"mm-yyyy")</f>
        <v>#VALUE!</v>
      </c>
      <c r="P2307" s="16">
        <f t="shared" ref="P2307:P2370" si="47">H2307*I2307</f>
        <v>0</v>
      </c>
    </row>
    <row r="2308" spans="15:16" hidden="1" x14ac:dyDescent="0.25">
      <c r="O2308" s="16" t="e">
        <f t="shared" si="46"/>
        <v>#VALUE!</v>
      </c>
      <c r="P2308" s="16">
        <f t="shared" si="47"/>
        <v>0</v>
      </c>
    </row>
    <row r="2309" spans="15:16" hidden="1" x14ac:dyDescent="0.25">
      <c r="O2309" s="16" t="e">
        <f t="shared" si="46"/>
        <v>#VALUE!</v>
      </c>
      <c r="P2309" s="16">
        <f t="shared" si="47"/>
        <v>0</v>
      </c>
    </row>
    <row r="2310" spans="15:16" hidden="1" x14ac:dyDescent="0.25">
      <c r="O2310" s="16" t="e">
        <f t="shared" si="46"/>
        <v>#VALUE!</v>
      </c>
      <c r="P2310" s="16">
        <f t="shared" si="47"/>
        <v>0</v>
      </c>
    </row>
    <row r="2311" spans="15:16" hidden="1" x14ac:dyDescent="0.25">
      <c r="O2311" s="16" t="e">
        <f t="shared" si="46"/>
        <v>#VALUE!</v>
      </c>
      <c r="P2311" s="16">
        <f t="shared" si="47"/>
        <v>0</v>
      </c>
    </row>
    <row r="2312" spans="15:16" hidden="1" x14ac:dyDescent="0.25">
      <c r="O2312" s="16" t="e">
        <f t="shared" si="46"/>
        <v>#VALUE!</v>
      </c>
      <c r="P2312" s="16">
        <f t="shared" si="47"/>
        <v>0</v>
      </c>
    </row>
    <row r="2313" spans="15:16" hidden="1" x14ac:dyDescent="0.25">
      <c r="O2313" s="16" t="e">
        <f t="shared" si="46"/>
        <v>#VALUE!</v>
      </c>
      <c r="P2313" s="16">
        <f t="shared" si="47"/>
        <v>0</v>
      </c>
    </row>
    <row r="2314" spans="15:16" hidden="1" x14ac:dyDescent="0.25">
      <c r="O2314" s="16" t="e">
        <f t="shared" si="46"/>
        <v>#VALUE!</v>
      </c>
      <c r="P2314" s="16">
        <f t="shared" si="47"/>
        <v>0</v>
      </c>
    </row>
    <row r="2315" spans="15:16" hidden="1" x14ac:dyDescent="0.25">
      <c r="O2315" s="16" t="e">
        <f t="shared" si="46"/>
        <v>#VALUE!</v>
      </c>
      <c r="P2315" s="16">
        <f t="shared" si="47"/>
        <v>0</v>
      </c>
    </row>
    <row r="2316" spans="15:16" hidden="1" x14ac:dyDescent="0.25">
      <c r="O2316" s="16" t="e">
        <f t="shared" si="46"/>
        <v>#VALUE!</v>
      </c>
      <c r="P2316" s="16">
        <f t="shared" si="47"/>
        <v>0</v>
      </c>
    </row>
    <row r="2317" spans="15:16" hidden="1" x14ac:dyDescent="0.25">
      <c r="O2317" s="16" t="e">
        <f t="shared" si="46"/>
        <v>#VALUE!</v>
      </c>
      <c r="P2317" s="16">
        <f t="shared" si="47"/>
        <v>0</v>
      </c>
    </row>
    <row r="2318" spans="15:16" hidden="1" x14ac:dyDescent="0.25">
      <c r="O2318" s="16" t="e">
        <f t="shared" si="46"/>
        <v>#VALUE!</v>
      </c>
      <c r="P2318" s="16">
        <f t="shared" si="47"/>
        <v>0</v>
      </c>
    </row>
    <row r="2319" spans="15:16" hidden="1" x14ac:dyDescent="0.25">
      <c r="O2319" s="16" t="e">
        <f t="shared" si="46"/>
        <v>#VALUE!</v>
      </c>
      <c r="P2319" s="16">
        <f t="shared" si="47"/>
        <v>0</v>
      </c>
    </row>
    <row r="2320" spans="15:16" hidden="1" x14ac:dyDescent="0.25">
      <c r="O2320" s="16" t="e">
        <f t="shared" si="46"/>
        <v>#VALUE!</v>
      </c>
      <c r="P2320" s="16">
        <f t="shared" si="47"/>
        <v>0</v>
      </c>
    </row>
    <row r="2321" spans="15:16" hidden="1" x14ac:dyDescent="0.25">
      <c r="O2321" s="16" t="e">
        <f t="shared" si="46"/>
        <v>#VALUE!</v>
      </c>
      <c r="P2321" s="16">
        <f t="shared" si="47"/>
        <v>0</v>
      </c>
    </row>
    <row r="2322" spans="15:16" hidden="1" x14ac:dyDescent="0.25">
      <c r="O2322" s="16" t="e">
        <f t="shared" si="46"/>
        <v>#VALUE!</v>
      </c>
      <c r="P2322" s="16">
        <f t="shared" si="47"/>
        <v>0</v>
      </c>
    </row>
    <row r="2323" spans="15:16" hidden="1" x14ac:dyDescent="0.25">
      <c r="O2323" s="16" t="e">
        <f t="shared" si="46"/>
        <v>#VALUE!</v>
      </c>
      <c r="P2323" s="16">
        <f t="shared" si="47"/>
        <v>0</v>
      </c>
    </row>
    <row r="2324" spans="15:16" hidden="1" x14ac:dyDescent="0.25">
      <c r="O2324" s="16" t="e">
        <f t="shared" si="46"/>
        <v>#VALUE!</v>
      </c>
      <c r="P2324" s="16">
        <f t="shared" si="47"/>
        <v>0</v>
      </c>
    </row>
    <row r="2325" spans="15:16" hidden="1" x14ac:dyDescent="0.25">
      <c r="O2325" s="16" t="e">
        <f t="shared" si="46"/>
        <v>#VALUE!</v>
      </c>
      <c r="P2325" s="16">
        <f t="shared" si="47"/>
        <v>0</v>
      </c>
    </row>
    <row r="2326" spans="15:16" hidden="1" x14ac:dyDescent="0.25">
      <c r="O2326" s="16" t="e">
        <f t="shared" si="46"/>
        <v>#VALUE!</v>
      </c>
      <c r="P2326" s="16">
        <f t="shared" si="47"/>
        <v>0</v>
      </c>
    </row>
    <row r="2327" spans="15:16" hidden="1" x14ac:dyDescent="0.25">
      <c r="O2327" s="16" t="e">
        <f t="shared" si="46"/>
        <v>#VALUE!</v>
      </c>
      <c r="P2327" s="16">
        <f t="shared" si="47"/>
        <v>0</v>
      </c>
    </row>
    <row r="2328" spans="15:16" hidden="1" x14ac:dyDescent="0.25">
      <c r="O2328" s="16" t="e">
        <f t="shared" si="46"/>
        <v>#VALUE!</v>
      </c>
      <c r="P2328" s="16">
        <f t="shared" si="47"/>
        <v>0</v>
      </c>
    </row>
    <row r="2329" spans="15:16" hidden="1" x14ac:dyDescent="0.25">
      <c r="O2329" s="16" t="e">
        <f t="shared" si="46"/>
        <v>#VALUE!</v>
      </c>
      <c r="P2329" s="16">
        <f t="shared" si="47"/>
        <v>0</v>
      </c>
    </row>
    <row r="2330" spans="15:16" hidden="1" x14ac:dyDescent="0.25">
      <c r="O2330" s="16" t="e">
        <f t="shared" si="46"/>
        <v>#VALUE!</v>
      </c>
      <c r="P2330" s="16">
        <f t="shared" si="47"/>
        <v>0</v>
      </c>
    </row>
    <row r="2331" spans="15:16" hidden="1" x14ac:dyDescent="0.25">
      <c r="O2331" s="16" t="e">
        <f t="shared" si="46"/>
        <v>#VALUE!</v>
      </c>
      <c r="P2331" s="16">
        <f t="shared" si="47"/>
        <v>0</v>
      </c>
    </row>
    <row r="2332" spans="15:16" hidden="1" x14ac:dyDescent="0.25">
      <c r="O2332" s="16" t="e">
        <f t="shared" si="46"/>
        <v>#VALUE!</v>
      </c>
      <c r="P2332" s="16">
        <f t="shared" si="47"/>
        <v>0</v>
      </c>
    </row>
    <row r="2333" spans="15:16" hidden="1" x14ac:dyDescent="0.25">
      <c r="O2333" s="16" t="e">
        <f t="shared" si="46"/>
        <v>#VALUE!</v>
      </c>
      <c r="P2333" s="16">
        <f t="shared" si="47"/>
        <v>0</v>
      </c>
    </row>
    <row r="2334" spans="15:16" hidden="1" x14ac:dyDescent="0.25">
      <c r="O2334" s="16" t="e">
        <f t="shared" si="46"/>
        <v>#VALUE!</v>
      </c>
      <c r="P2334" s="16">
        <f t="shared" si="47"/>
        <v>0</v>
      </c>
    </row>
    <row r="2335" spans="15:16" hidden="1" x14ac:dyDescent="0.25">
      <c r="O2335" s="16" t="e">
        <f t="shared" si="46"/>
        <v>#VALUE!</v>
      </c>
      <c r="P2335" s="16">
        <f t="shared" si="47"/>
        <v>0</v>
      </c>
    </row>
    <row r="2336" spans="15:16" hidden="1" x14ac:dyDescent="0.25">
      <c r="O2336" s="16" t="e">
        <f t="shared" si="46"/>
        <v>#VALUE!</v>
      </c>
      <c r="P2336" s="16">
        <f t="shared" si="47"/>
        <v>0</v>
      </c>
    </row>
    <row r="2337" spans="15:16" hidden="1" x14ac:dyDescent="0.25">
      <c r="O2337" s="16" t="e">
        <f t="shared" si="46"/>
        <v>#VALUE!</v>
      </c>
      <c r="P2337" s="16">
        <f t="shared" si="47"/>
        <v>0</v>
      </c>
    </row>
    <row r="2338" spans="15:16" hidden="1" x14ac:dyDescent="0.25">
      <c r="O2338" s="16" t="e">
        <f t="shared" si="46"/>
        <v>#VALUE!</v>
      </c>
      <c r="P2338" s="16">
        <f t="shared" si="47"/>
        <v>0</v>
      </c>
    </row>
    <row r="2339" spans="15:16" hidden="1" x14ac:dyDescent="0.25">
      <c r="O2339" s="16" t="e">
        <f t="shared" si="46"/>
        <v>#VALUE!</v>
      </c>
      <c r="P2339" s="16">
        <f t="shared" si="47"/>
        <v>0</v>
      </c>
    </row>
    <row r="2340" spans="15:16" hidden="1" x14ac:dyDescent="0.25">
      <c r="O2340" s="16" t="e">
        <f t="shared" si="46"/>
        <v>#VALUE!</v>
      </c>
      <c r="P2340" s="16">
        <f t="shared" si="47"/>
        <v>0</v>
      </c>
    </row>
    <row r="2341" spans="15:16" hidden="1" x14ac:dyDescent="0.25">
      <c r="O2341" s="16" t="e">
        <f t="shared" si="46"/>
        <v>#VALUE!</v>
      </c>
      <c r="P2341" s="16">
        <f t="shared" si="47"/>
        <v>0</v>
      </c>
    </row>
    <row r="2342" spans="15:16" hidden="1" x14ac:dyDescent="0.25">
      <c r="O2342" s="16" t="e">
        <f t="shared" si="46"/>
        <v>#VALUE!</v>
      </c>
      <c r="P2342" s="16">
        <f t="shared" si="47"/>
        <v>0</v>
      </c>
    </row>
    <row r="2343" spans="15:16" hidden="1" x14ac:dyDescent="0.25">
      <c r="O2343" s="16" t="e">
        <f t="shared" si="46"/>
        <v>#VALUE!</v>
      </c>
      <c r="P2343" s="16">
        <f t="shared" si="47"/>
        <v>0</v>
      </c>
    </row>
    <row r="2344" spans="15:16" hidden="1" x14ac:dyDescent="0.25">
      <c r="O2344" s="16" t="e">
        <f t="shared" si="46"/>
        <v>#VALUE!</v>
      </c>
      <c r="P2344" s="16">
        <f t="shared" si="47"/>
        <v>0</v>
      </c>
    </row>
    <row r="2345" spans="15:16" hidden="1" x14ac:dyDescent="0.25">
      <c r="O2345" s="16" t="e">
        <f t="shared" si="46"/>
        <v>#VALUE!</v>
      </c>
      <c r="P2345" s="16">
        <f t="shared" si="47"/>
        <v>0</v>
      </c>
    </row>
    <row r="2346" spans="15:16" hidden="1" x14ac:dyDescent="0.25">
      <c r="O2346" s="16" t="e">
        <f t="shared" si="46"/>
        <v>#VALUE!</v>
      </c>
      <c r="P2346" s="16">
        <f t="shared" si="47"/>
        <v>0</v>
      </c>
    </row>
    <row r="2347" spans="15:16" hidden="1" x14ac:dyDescent="0.25">
      <c r="O2347" s="16" t="e">
        <f t="shared" si="46"/>
        <v>#VALUE!</v>
      </c>
      <c r="P2347" s="16">
        <f t="shared" si="47"/>
        <v>0</v>
      </c>
    </row>
    <row r="2348" spans="15:16" hidden="1" x14ac:dyDescent="0.25">
      <c r="O2348" s="16" t="e">
        <f t="shared" si="46"/>
        <v>#VALUE!</v>
      </c>
      <c r="P2348" s="16">
        <f t="shared" si="47"/>
        <v>0</v>
      </c>
    </row>
    <row r="2349" spans="15:16" hidden="1" x14ac:dyDescent="0.25">
      <c r="O2349" s="16" t="e">
        <f t="shared" si="46"/>
        <v>#VALUE!</v>
      </c>
      <c r="P2349" s="16">
        <f t="shared" si="47"/>
        <v>0</v>
      </c>
    </row>
    <row r="2350" spans="15:16" hidden="1" x14ac:dyDescent="0.25">
      <c r="O2350" s="16" t="e">
        <f t="shared" si="46"/>
        <v>#VALUE!</v>
      </c>
      <c r="P2350" s="16">
        <f t="shared" si="47"/>
        <v>0</v>
      </c>
    </row>
    <row r="2351" spans="15:16" hidden="1" x14ac:dyDescent="0.25">
      <c r="O2351" s="16" t="e">
        <f t="shared" si="46"/>
        <v>#VALUE!</v>
      </c>
      <c r="P2351" s="16">
        <f t="shared" si="47"/>
        <v>0</v>
      </c>
    </row>
    <row r="2352" spans="15:16" hidden="1" x14ac:dyDescent="0.25">
      <c r="O2352" s="16" t="e">
        <f t="shared" si="46"/>
        <v>#VALUE!</v>
      </c>
      <c r="P2352" s="16">
        <f t="shared" si="47"/>
        <v>0</v>
      </c>
    </row>
    <row r="2353" spans="15:16" hidden="1" x14ac:dyDescent="0.25">
      <c r="O2353" s="16" t="e">
        <f t="shared" si="46"/>
        <v>#VALUE!</v>
      </c>
      <c r="P2353" s="16">
        <f t="shared" si="47"/>
        <v>0</v>
      </c>
    </row>
    <row r="2354" spans="15:16" hidden="1" x14ac:dyDescent="0.25">
      <c r="O2354" s="16" t="e">
        <f t="shared" si="46"/>
        <v>#VALUE!</v>
      </c>
      <c r="P2354" s="16">
        <f t="shared" si="47"/>
        <v>0</v>
      </c>
    </row>
    <row r="2355" spans="15:16" hidden="1" x14ac:dyDescent="0.25">
      <c r="O2355" s="16" t="e">
        <f t="shared" si="46"/>
        <v>#VALUE!</v>
      </c>
      <c r="P2355" s="16">
        <f t="shared" si="47"/>
        <v>0</v>
      </c>
    </row>
    <row r="2356" spans="15:16" hidden="1" x14ac:dyDescent="0.25">
      <c r="O2356" s="16" t="e">
        <f t="shared" si="46"/>
        <v>#VALUE!</v>
      </c>
      <c r="P2356" s="16">
        <f t="shared" si="47"/>
        <v>0</v>
      </c>
    </row>
    <row r="2357" spans="15:16" hidden="1" x14ac:dyDescent="0.25">
      <c r="O2357" s="16" t="e">
        <f t="shared" si="46"/>
        <v>#VALUE!</v>
      </c>
      <c r="P2357" s="16">
        <f t="shared" si="47"/>
        <v>0</v>
      </c>
    </row>
    <row r="2358" spans="15:16" hidden="1" x14ac:dyDescent="0.25">
      <c r="O2358" s="16" t="e">
        <f t="shared" si="46"/>
        <v>#VALUE!</v>
      </c>
      <c r="P2358" s="16">
        <f t="shared" si="47"/>
        <v>0</v>
      </c>
    </row>
    <row r="2359" spans="15:16" hidden="1" x14ac:dyDescent="0.25">
      <c r="O2359" s="16" t="e">
        <f t="shared" si="46"/>
        <v>#VALUE!</v>
      </c>
      <c r="P2359" s="16">
        <f t="shared" si="47"/>
        <v>0</v>
      </c>
    </row>
    <row r="2360" spans="15:16" hidden="1" x14ac:dyDescent="0.25">
      <c r="O2360" s="16" t="e">
        <f t="shared" si="46"/>
        <v>#VALUE!</v>
      </c>
      <c r="P2360" s="16">
        <f t="shared" si="47"/>
        <v>0</v>
      </c>
    </row>
    <row r="2361" spans="15:16" hidden="1" x14ac:dyDescent="0.25">
      <c r="O2361" s="16" t="e">
        <f t="shared" si="46"/>
        <v>#VALUE!</v>
      </c>
      <c r="P2361" s="16">
        <f t="shared" si="47"/>
        <v>0</v>
      </c>
    </row>
    <row r="2362" spans="15:16" hidden="1" x14ac:dyDescent="0.25">
      <c r="O2362" s="16" t="e">
        <f t="shared" si="46"/>
        <v>#VALUE!</v>
      </c>
      <c r="P2362" s="16">
        <f t="shared" si="47"/>
        <v>0</v>
      </c>
    </row>
    <row r="2363" spans="15:16" hidden="1" x14ac:dyDescent="0.25">
      <c r="O2363" s="16" t="e">
        <f t="shared" si="46"/>
        <v>#VALUE!</v>
      </c>
      <c r="P2363" s="16">
        <f t="shared" si="47"/>
        <v>0</v>
      </c>
    </row>
    <row r="2364" spans="15:16" hidden="1" x14ac:dyDescent="0.25">
      <c r="O2364" s="16" t="e">
        <f t="shared" si="46"/>
        <v>#VALUE!</v>
      </c>
      <c r="P2364" s="16">
        <f t="shared" si="47"/>
        <v>0</v>
      </c>
    </row>
    <row r="2365" spans="15:16" hidden="1" x14ac:dyDescent="0.25">
      <c r="O2365" s="16" t="e">
        <f t="shared" si="46"/>
        <v>#VALUE!</v>
      </c>
      <c r="P2365" s="16">
        <f t="shared" si="47"/>
        <v>0</v>
      </c>
    </row>
    <row r="2366" spans="15:16" hidden="1" x14ac:dyDescent="0.25">
      <c r="O2366" s="16" t="e">
        <f t="shared" si="46"/>
        <v>#VALUE!</v>
      </c>
      <c r="P2366" s="16">
        <f t="shared" si="47"/>
        <v>0</v>
      </c>
    </row>
    <row r="2367" spans="15:16" hidden="1" x14ac:dyDescent="0.25">
      <c r="O2367" s="16" t="e">
        <f t="shared" si="46"/>
        <v>#VALUE!</v>
      </c>
      <c r="P2367" s="16">
        <f t="shared" si="47"/>
        <v>0</v>
      </c>
    </row>
    <row r="2368" spans="15:16" hidden="1" x14ac:dyDescent="0.25">
      <c r="O2368" s="16" t="e">
        <f t="shared" si="46"/>
        <v>#VALUE!</v>
      </c>
      <c r="P2368" s="16">
        <f t="shared" si="47"/>
        <v>0</v>
      </c>
    </row>
    <row r="2369" spans="15:16" hidden="1" x14ac:dyDescent="0.25">
      <c r="O2369" s="16" t="e">
        <f t="shared" si="46"/>
        <v>#VALUE!</v>
      </c>
      <c r="P2369" s="16">
        <f t="shared" si="47"/>
        <v>0</v>
      </c>
    </row>
    <row r="2370" spans="15:16" hidden="1" x14ac:dyDescent="0.25">
      <c r="O2370" s="16" t="e">
        <f t="shared" si="46"/>
        <v>#VALUE!</v>
      </c>
      <c r="P2370" s="16">
        <f t="shared" si="47"/>
        <v>0</v>
      </c>
    </row>
    <row r="2371" spans="15:16" hidden="1" x14ac:dyDescent="0.25">
      <c r="O2371" s="16" t="e">
        <f t="shared" ref="O2371:O2434" si="48">TEXT(DATEVALUE(LEFT(F2371,10)),"mm-yyyy")</f>
        <v>#VALUE!</v>
      </c>
      <c r="P2371" s="16">
        <f t="shared" ref="P2371:P2434" si="49">H2371*I2371</f>
        <v>0</v>
      </c>
    </row>
    <row r="2372" spans="15:16" hidden="1" x14ac:dyDescent="0.25">
      <c r="O2372" s="16" t="e">
        <f t="shared" si="48"/>
        <v>#VALUE!</v>
      </c>
      <c r="P2372" s="16">
        <f t="shared" si="49"/>
        <v>0</v>
      </c>
    </row>
    <row r="2373" spans="15:16" hidden="1" x14ac:dyDescent="0.25">
      <c r="O2373" s="16" t="e">
        <f t="shared" si="48"/>
        <v>#VALUE!</v>
      </c>
      <c r="P2373" s="16">
        <f t="shared" si="49"/>
        <v>0</v>
      </c>
    </row>
    <row r="2374" spans="15:16" hidden="1" x14ac:dyDescent="0.25">
      <c r="O2374" s="16" t="e">
        <f t="shared" si="48"/>
        <v>#VALUE!</v>
      </c>
      <c r="P2374" s="16">
        <f t="shared" si="49"/>
        <v>0</v>
      </c>
    </row>
    <row r="2375" spans="15:16" hidden="1" x14ac:dyDescent="0.25">
      <c r="O2375" s="16" t="e">
        <f t="shared" si="48"/>
        <v>#VALUE!</v>
      </c>
      <c r="P2375" s="16">
        <f t="shared" si="49"/>
        <v>0</v>
      </c>
    </row>
    <row r="2376" spans="15:16" hidden="1" x14ac:dyDescent="0.25">
      <c r="O2376" s="16" t="e">
        <f t="shared" si="48"/>
        <v>#VALUE!</v>
      </c>
      <c r="P2376" s="16">
        <f t="shared" si="49"/>
        <v>0</v>
      </c>
    </row>
    <row r="2377" spans="15:16" hidden="1" x14ac:dyDescent="0.25">
      <c r="O2377" s="16" t="e">
        <f t="shared" si="48"/>
        <v>#VALUE!</v>
      </c>
      <c r="P2377" s="16">
        <f t="shared" si="49"/>
        <v>0</v>
      </c>
    </row>
    <row r="2378" spans="15:16" hidden="1" x14ac:dyDescent="0.25">
      <c r="O2378" s="16" t="e">
        <f t="shared" si="48"/>
        <v>#VALUE!</v>
      </c>
      <c r="P2378" s="16">
        <f t="shared" si="49"/>
        <v>0</v>
      </c>
    </row>
    <row r="2379" spans="15:16" hidden="1" x14ac:dyDescent="0.25">
      <c r="O2379" s="16" t="e">
        <f t="shared" si="48"/>
        <v>#VALUE!</v>
      </c>
      <c r="P2379" s="16">
        <f t="shared" si="49"/>
        <v>0</v>
      </c>
    </row>
    <row r="2380" spans="15:16" hidden="1" x14ac:dyDescent="0.25">
      <c r="O2380" s="16" t="e">
        <f t="shared" si="48"/>
        <v>#VALUE!</v>
      </c>
      <c r="P2380" s="16">
        <f t="shared" si="49"/>
        <v>0</v>
      </c>
    </row>
    <row r="2381" spans="15:16" hidden="1" x14ac:dyDescent="0.25">
      <c r="O2381" s="16" t="e">
        <f t="shared" si="48"/>
        <v>#VALUE!</v>
      </c>
      <c r="P2381" s="16">
        <f t="shared" si="49"/>
        <v>0</v>
      </c>
    </row>
    <row r="2382" spans="15:16" hidden="1" x14ac:dyDescent="0.25">
      <c r="O2382" s="16" t="e">
        <f t="shared" si="48"/>
        <v>#VALUE!</v>
      </c>
      <c r="P2382" s="16">
        <f t="shared" si="49"/>
        <v>0</v>
      </c>
    </row>
    <row r="2383" spans="15:16" hidden="1" x14ac:dyDescent="0.25">
      <c r="O2383" s="16" t="e">
        <f t="shared" si="48"/>
        <v>#VALUE!</v>
      </c>
      <c r="P2383" s="16">
        <f t="shared" si="49"/>
        <v>0</v>
      </c>
    </row>
    <row r="2384" spans="15:16" hidden="1" x14ac:dyDescent="0.25">
      <c r="O2384" s="16" t="e">
        <f t="shared" si="48"/>
        <v>#VALUE!</v>
      </c>
      <c r="P2384" s="16">
        <f t="shared" si="49"/>
        <v>0</v>
      </c>
    </row>
    <row r="2385" spans="15:16" hidden="1" x14ac:dyDescent="0.25">
      <c r="O2385" s="16" t="e">
        <f t="shared" si="48"/>
        <v>#VALUE!</v>
      </c>
      <c r="P2385" s="16">
        <f t="shared" si="49"/>
        <v>0</v>
      </c>
    </row>
    <row r="2386" spans="15:16" hidden="1" x14ac:dyDescent="0.25">
      <c r="O2386" s="16" t="e">
        <f t="shared" si="48"/>
        <v>#VALUE!</v>
      </c>
      <c r="P2386" s="16">
        <f t="shared" si="49"/>
        <v>0</v>
      </c>
    </row>
    <row r="2387" spans="15:16" hidden="1" x14ac:dyDescent="0.25">
      <c r="O2387" s="16" t="e">
        <f t="shared" si="48"/>
        <v>#VALUE!</v>
      </c>
      <c r="P2387" s="16">
        <f t="shared" si="49"/>
        <v>0</v>
      </c>
    </row>
    <row r="2388" spans="15:16" hidden="1" x14ac:dyDescent="0.25">
      <c r="O2388" s="16" t="e">
        <f t="shared" si="48"/>
        <v>#VALUE!</v>
      </c>
      <c r="P2388" s="16">
        <f t="shared" si="49"/>
        <v>0</v>
      </c>
    </row>
    <row r="2389" spans="15:16" hidden="1" x14ac:dyDescent="0.25">
      <c r="O2389" s="16" t="e">
        <f t="shared" si="48"/>
        <v>#VALUE!</v>
      </c>
      <c r="P2389" s="16">
        <f t="shared" si="49"/>
        <v>0</v>
      </c>
    </row>
    <row r="2390" spans="15:16" hidden="1" x14ac:dyDescent="0.25">
      <c r="O2390" s="16" t="e">
        <f t="shared" si="48"/>
        <v>#VALUE!</v>
      </c>
      <c r="P2390" s="16">
        <f t="shared" si="49"/>
        <v>0</v>
      </c>
    </row>
    <row r="2391" spans="15:16" hidden="1" x14ac:dyDescent="0.25">
      <c r="O2391" s="16" t="e">
        <f t="shared" si="48"/>
        <v>#VALUE!</v>
      </c>
      <c r="P2391" s="16">
        <f t="shared" si="49"/>
        <v>0</v>
      </c>
    </row>
    <row r="2392" spans="15:16" hidden="1" x14ac:dyDescent="0.25">
      <c r="O2392" s="16" t="e">
        <f t="shared" si="48"/>
        <v>#VALUE!</v>
      </c>
      <c r="P2392" s="16">
        <f t="shared" si="49"/>
        <v>0</v>
      </c>
    </row>
    <row r="2393" spans="15:16" hidden="1" x14ac:dyDescent="0.25">
      <c r="O2393" s="16" t="e">
        <f t="shared" si="48"/>
        <v>#VALUE!</v>
      </c>
      <c r="P2393" s="16">
        <f t="shared" si="49"/>
        <v>0</v>
      </c>
    </row>
    <row r="2394" spans="15:16" hidden="1" x14ac:dyDescent="0.25">
      <c r="O2394" s="16" t="e">
        <f t="shared" si="48"/>
        <v>#VALUE!</v>
      </c>
      <c r="P2394" s="16">
        <f t="shared" si="49"/>
        <v>0</v>
      </c>
    </row>
    <row r="2395" spans="15:16" hidden="1" x14ac:dyDescent="0.25">
      <c r="O2395" s="16" t="e">
        <f t="shared" si="48"/>
        <v>#VALUE!</v>
      </c>
      <c r="P2395" s="16">
        <f t="shared" si="49"/>
        <v>0</v>
      </c>
    </row>
    <row r="2396" spans="15:16" hidden="1" x14ac:dyDescent="0.25">
      <c r="O2396" s="16" t="e">
        <f t="shared" si="48"/>
        <v>#VALUE!</v>
      </c>
      <c r="P2396" s="16">
        <f t="shared" si="49"/>
        <v>0</v>
      </c>
    </row>
    <row r="2397" spans="15:16" hidden="1" x14ac:dyDescent="0.25">
      <c r="O2397" s="16" t="e">
        <f t="shared" si="48"/>
        <v>#VALUE!</v>
      </c>
      <c r="P2397" s="16">
        <f t="shared" si="49"/>
        <v>0</v>
      </c>
    </row>
    <row r="2398" spans="15:16" hidden="1" x14ac:dyDescent="0.25">
      <c r="O2398" s="16" t="e">
        <f t="shared" si="48"/>
        <v>#VALUE!</v>
      </c>
      <c r="P2398" s="16">
        <f t="shared" si="49"/>
        <v>0</v>
      </c>
    </row>
    <row r="2399" spans="15:16" hidden="1" x14ac:dyDescent="0.25">
      <c r="O2399" s="16" t="e">
        <f t="shared" si="48"/>
        <v>#VALUE!</v>
      </c>
      <c r="P2399" s="16">
        <f t="shared" si="49"/>
        <v>0</v>
      </c>
    </row>
    <row r="2400" spans="15:16" hidden="1" x14ac:dyDescent="0.25">
      <c r="O2400" s="16" t="e">
        <f t="shared" si="48"/>
        <v>#VALUE!</v>
      </c>
      <c r="P2400" s="16">
        <f t="shared" si="49"/>
        <v>0</v>
      </c>
    </row>
    <row r="2401" spans="15:16" hidden="1" x14ac:dyDescent="0.25">
      <c r="O2401" s="16" t="e">
        <f t="shared" si="48"/>
        <v>#VALUE!</v>
      </c>
      <c r="P2401" s="16">
        <f t="shared" si="49"/>
        <v>0</v>
      </c>
    </row>
    <row r="2402" spans="15:16" hidden="1" x14ac:dyDescent="0.25">
      <c r="O2402" s="16" t="e">
        <f t="shared" si="48"/>
        <v>#VALUE!</v>
      </c>
      <c r="P2402" s="16">
        <f t="shared" si="49"/>
        <v>0</v>
      </c>
    </row>
    <row r="2403" spans="15:16" hidden="1" x14ac:dyDescent="0.25">
      <c r="O2403" s="16" t="e">
        <f t="shared" si="48"/>
        <v>#VALUE!</v>
      </c>
      <c r="P2403" s="16">
        <f t="shared" si="49"/>
        <v>0</v>
      </c>
    </row>
    <row r="2404" spans="15:16" hidden="1" x14ac:dyDescent="0.25">
      <c r="O2404" s="16" t="e">
        <f t="shared" si="48"/>
        <v>#VALUE!</v>
      </c>
      <c r="P2404" s="16">
        <f t="shared" si="49"/>
        <v>0</v>
      </c>
    </row>
    <row r="2405" spans="15:16" hidden="1" x14ac:dyDescent="0.25">
      <c r="O2405" s="16" t="e">
        <f t="shared" si="48"/>
        <v>#VALUE!</v>
      </c>
      <c r="P2405" s="16">
        <f t="shared" si="49"/>
        <v>0</v>
      </c>
    </row>
    <row r="2406" spans="15:16" hidden="1" x14ac:dyDescent="0.25">
      <c r="O2406" s="16" t="e">
        <f t="shared" si="48"/>
        <v>#VALUE!</v>
      </c>
      <c r="P2406" s="16">
        <f t="shared" si="49"/>
        <v>0</v>
      </c>
    </row>
    <row r="2407" spans="15:16" hidden="1" x14ac:dyDescent="0.25">
      <c r="O2407" s="16" t="e">
        <f t="shared" si="48"/>
        <v>#VALUE!</v>
      </c>
      <c r="P2407" s="16">
        <f t="shared" si="49"/>
        <v>0</v>
      </c>
    </row>
    <row r="2408" spans="15:16" hidden="1" x14ac:dyDescent="0.25">
      <c r="O2408" s="16" t="e">
        <f t="shared" si="48"/>
        <v>#VALUE!</v>
      </c>
      <c r="P2408" s="16">
        <f t="shared" si="49"/>
        <v>0</v>
      </c>
    </row>
    <row r="2409" spans="15:16" hidden="1" x14ac:dyDescent="0.25">
      <c r="O2409" s="16" t="e">
        <f t="shared" si="48"/>
        <v>#VALUE!</v>
      </c>
      <c r="P2409" s="16">
        <f t="shared" si="49"/>
        <v>0</v>
      </c>
    </row>
    <row r="2410" spans="15:16" hidden="1" x14ac:dyDescent="0.25">
      <c r="O2410" s="16" t="e">
        <f t="shared" si="48"/>
        <v>#VALUE!</v>
      </c>
      <c r="P2410" s="16">
        <f t="shared" si="49"/>
        <v>0</v>
      </c>
    </row>
    <row r="2411" spans="15:16" hidden="1" x14ac:dyDescent="0.25">
      <c r="O2411" s="16" t="e">
        <f t="shared" si="48"/>
        <v>#VALUE!</v>
      </c>
      <c r="P2411" s="16">
        <f t="shared" si="49"/>
        <v>0</v>
      </c>
    </row>
    <row r="2412" spans="15:16" hidden="1" x14ac:dyDescent="0.25">
      <c r="O2412" s="16" t="e">
        <f t="shared" si="48"/>
        <v>#VALUE!</v>
      </c>
      <c r="P2412" s="16">
        <f t="shared" si="49"/>
        <v>0</v>
      </c>
    </row>
    <row r="2413" spans="15:16" hidden="1" x14ac:dyDescent="0.25">
      <c r="O2413" s="16" t="e">
        <f t="shared" si="48"/>
        <v>#VALUE!</v>
      </c>
      <c r="P2413" s="16">
        <f t="shared" si="49"/>
        <v>0</v>
      </c>
    </row>
    <row r="2414" spans="15:16" hidden="1" x14ac:dyDescent="0.25">
      <c r="O2414" s="16" t="e">
        <f t="shared" si="48"/>
        <v>#VALUE!</v>
      </c>
      <c r="P2414" s="16">
        <f t="shared" si="49"/>
        <v>0</v>
      </c>
    </row>
    <row r="2415" spans="15:16" hidden="1" x14ac:dyDescent="0.25">
      <c r="O2415" s="16" t="e">
        <f t="shared" si="48"/>
        <v>#VALUE!</v>
      </c>
      <c r="P2415" s="16">
        <f t="shared" si="49"/>
        <v>0</v>
      </c>
    </row>
    <row r="2416" spans="15:16" hidden="1" x14ac:dyDescent="0.25">
      <c r="O2416" s="16" t="e">
        <f t="shared" si="48"/>
        <v>#VALUE!</v>
      </c>
      <c r="P2416" s="16">
        <f t="shared" si="49"/>
        <v>0</v>
      </c>
    </row>
    <row r="2417" spans="15:16" hidden="1" x14ac:dyDescent="0.25">
      <c r="O2417" s="16" t="e">
        <f t="shared" si="48"/>
        <v>#VALUE!</v>
      </c>
      <c r="P2417" s="16">
        <f t="shared" si="49"/>
        <v>0</v>
      </c>
    </row>
    <row r="2418" spans="15:16" hidden="1" x14ac:dyDescent="0.25">
      <c r="O2418" s="16" t="e">
        <f t="shared" si="48"/>
        <v>#VALUE!</v>
      </c>
      <c r="P2418" s="16">
        <f t="shared" si="49"/>
        <v>0</v>
      </c>
    </row>
    <row r="2419" spans="15:16" hidden="1" x14ac:dyDescent="0.25">
      <c r="O2419" s="16" t="e">
        <f t="shared" si="48"/>
        <v>#VALUE!</v>
      </c>
      <c r="P2419" s="16">
        <f t="shared" si="49"/>
        <v>0</v>
      </c>
    </row>
    <row r="2420" spans="15:16" hidden="1" x14ac:dyDescent="0.25">
      <c r="O2420" s="16" t="e">
        <f t="shared" si="48"/>
        <v>#VALUE!</v>
      </c>
      <c r="P2420" s="16">
        <f t="shared" si="49"/>
        <v>0</v>
      </c>
    </row>
    <row r="2421" spans="15:16" hidden="1" x14ac:dyDescent="0.25">
      <c r="O2421" s="16" t="e">
        <f t="shared" si="48"/>
        <v>#VALUE!</v>
      </c>
      <c r="P2421" s="16">
        <f t="shared" si="49"/>
        <v>0</v>
      </c>
    </row>
    <row r="2422" spans="15:16" hidden="1" x14ac:dyDescent="0.25">
      <c r="O2422" s="16" t="e">
        <f t="shared" si="48"/>
        <v>#VALUE!</v>
      </c>
      <c r="P2422" s="16">
        <f t="shared" si="49"/>
        <v>0</v>
      </c>
    </row>
    <row r="2423" spans="15:16" hidden="1" x14ac:dyDescent="0.25">
      <c r="O2423" s="16" t="e">
        <f t="shared" si="48"/>
        <v>#VALUE!</v>
      </c>
      <c r="P2423" s="16">
        <f t="shared" si="49"/>
        <v>0</v>
      </c>
    </row>
    <row r="2424" spans="15:16" hidden="1" x14ac:dyDescent="0.25">
      <c r="O2424" s="16" t="e">
        <f t="shared" si="48"/>
        <v>#VALUE!</v>
      </c>
      <c r="P2424" s="16">
        <f t="shared" si="49"/>
        <v>0</v>
      </c>
    </row>
    <row r="2425" spans="15:16" hidden="1" x14ac:dyDescent="0.25">
      <c r="O2425" s="16" t="e">
        <f t="shared" si="48"/>
        <v>#VALUE!</v>
      </c>
      <c r="P2425" s="16">
        <f t="shared" si="49"/>
        <v>0</v>
      </c>
    </row>
    <row r="2426" spans="15:16" hidden="1" x14ac:dyDescent="0.25">
      <c r="O2426" s="16" t="e">
        <f t="shared" si="48"/>
        <v>#VALUE!</v>
      </c>
      <c r="P2426" s="16">
        <f t="shared" si="49"/>
        <v>0</v>
      </c>
    </row>
    <row r="2427" spans="15:16" hidden="1" x14ac:dyDescent="0.25">
      <c r="O2427" s="16" t="e">
        <f t="shared" si="48"/>
        <v>#VALUE!</v>
      </c>
      <c r="P2427" s="16">
        <f t="shared" si="49"/>
        <v>0</v>
      </c>
    </row>
    <row r="2428" spans="15:16" hidden="1" x14ac:dyDescent="0.25">
      <c r="O2428" s="16" t="e">
        <f t="shared" si="48"/>
        <v>#VALUE!</v>
      </c>
      <c r="P2428" s="16">
        <f t="shared" si="49"/>
        <v>0</v>
      </c>
    </row>
    <row r="2429" spans="15:16" hidden="1" x14ac:dyDescent="0.25">
      <c r="O2429" s="16" t="e">
        <f t="shared" si="48"/>
        <v>#VALUE!</v>
      </c>
      <c r="P2429" s="16">
        <f t="shared" si="49"/>
        <v>0</v>
      </c>
    </row>
    <row r="2430" spans="15:16" hidden="1" x14ac:dyDescent="0.25">
      <c r="O2430" s="16" t="e">
        <f t="shared" si="48"/>
        <v>#VALUE!</v>
      </c>
      <c r="P2430" s="16">
        <f t="shared" si="49"/>
        <v>0</v>
      </c>
    </row>
    <row r="2431" spans="15:16" hidden="1" x14ac:dyDescent="0.25">
      <c r="O2431" s="16" t="e">
        <f t="shared" si="48"/>
        <v>#VALUE!</v>
      </c>
      <c r="P2431" s="16">
        <f t="shared" si="49"/>
        <v>0</v>
      </c>
    </row>
    <row r="2432" spans="15:16" hidden="1" x14ac:dyDescent="0.25">
      <c r="O2432" s="16" t="e">
        <f t="shared" si="48"/>
        <v>#VALUE!</v>
      </c>
      <c r="P2432" s="16">
        <f t="shared" si="49"/>
        <v>0</v>
      </c>
    </row>
    <row r="2433" spans="15:16" hidden="1" x14ac:dyDescent="0.25">
      <c r="O2433" s="16" t="e">
        <f t="shared" si="48"/>
        <v>#VALUE!</v>
      </c>
      <c r="P2433" s="16">
        <f t="shared" si="49"/>
        <v>0</v>
      </c>
    </row>
    <row r="2434" spans="15:16" hidden="1" x14ac:dyDescent="0.25">
      <c r="O2434" s="16" t="e">
        <f t="shared" si="48"/>
        <v>#VALUE!</v>
      </c>
      <c r="P2434" s="16">
        <f t="shared" si="49"/>
        <v>0</v>
      </c>
    </row>
    <row r="2435" spans="15:16" hidden="1" x14ac:dyDescent="0.25">
      <c r="O2435" s="16" t="e">
        <f t="shared" ref="O2435:O2498" si="50">TEXT(DATEVALUE(LEFT(F2435,10)),"mm-yyyy")</f>
        <v>#VALUE!</v>
      </c>
      <c r="P2435" s="16">
        <f t="shared" ref="P2435:P2498" si="51">H2435*I2435</f>
        <v>0</v>
      </c>
    </row>
    <row r="2436" spans="15:16" hidden="1" x14ac:dyDescent="0.25">
      <c r="O2436" s="16" t="e">
        <f t="shared" si="50"/>
        <v>#VALUE!</v>
      </c>
      <c r="P2436" s="16">
        <f t="shared" si="51"/>
        <v>0</v>
      </c>
    </row>
    <row r="2437" spans="15:16" hidden="1" x14ac:dyDescent="0.25">
      <c r="O2437" s="16" t="e">
        <f t="shared" si="50"/>
        <v>#VALUE!</v>
      </c>
      <c r="P2437" s="16">
        <f t="shared" si="51"/>
        <v>0</v>
      </c>
    </row>
    <row r="2438" spans="15:16" hidden="1" x14ac:dyDescent="0.25">
      <c r="O2438" s="16" t="e">
        <f t="shared" si="50"/>
        <v>#VALUE!</v>
      </c>
      <c r="P2438" s="16">
        <f t="shared" si="51"/>
        <v>0</v>
      </c>
    </row>
    <row r="2439" spans="15:16" hidden="1" x14ac:dyDescent="0.25">
      <c r="O2439" s="16" t="e">
        <f t="shared" si="50"/>
        <v>#VALUE!</v>
      </c>
      <c r="P2439" s="16">
        <f t="shared" si="51"/>
        <v>0</v>
      </c>
    </row>
    <row r="2440" spans="15:16" hidden="1" x14ac:dyDescent="0.25">
      <c r="O2440" s="16" t="e">
        <f t="shared" si="50"/>
        <v>#VALUE!</v>
      </c>
      <c r="P2440" s="16">
        <f t="shared" si="51"/>
        <v>0</v>
      </c>
    </row>
    <row r="2441" spans="15:16" hidden="1" x14ac:dyDescent="0.25">
      <c r="O2441" s="16" t="e">
        <f t="shared" si="50"/>
        <v>#VALUE!</v>
      </c>
      <c r="P2441" s="16">
        <f t="shared" si="51"/>
        <v>0</v>
      </c>
    </row>
    <row r="2442" spans="15:16" hidden="1" x14ac:dyDescent="0.25">
      <c r="O2442" s="16" t="e">
        <f t="shared" si="50"/>
        <v>#VALUE!</v>
      </c>
      <c r="P2442" s="16">
        <f t="shared" si="51"/>
        <v>0</v>
      </c>
    </row>
    <row r="2443" spans="15:16" hidden="1" x14ac:dyDescent="0.25">
      <c r="O2443" s="16" t="e">
        <f t="shared" si="50"/>
        <v>#VALUE!</v>
      </c>
      <c r="P2443" s="16">
        <f t="shared" si="51"/>
        <v>0</v>
      </c>
    </row>
    <row r="2444" spans="15:16" hidden="1" x14ac:dyDescent="0.25">
      <c r="O2444" s="16" t="e">
        <f t="shared" si="50"/>
        <v>#VALUE!</v>
      </c>
      <c r="P2444" s="16">
        <f t="shared" si="51"/>
        <v>0</v>
      </c>
    </row>
    <row r="2445" spans="15:16" hidden="1" x14ac:dyDescent="0.25">
      <c r="O2445" s="16" t="e">
        <f t="shared" si="50"/>
        <v>#VALUE!</v>
      </c>
      <c r="P2445" s="16">
        <f t="shared" si="51"/>
        <v>0</v>
      </c>
    </row>
    <row r="2446" spans="15:16" hidden="1" x14ac:dyDescent="0.25">
      <c r="O2446" s="16" t="e">
        <f t="shared" si="50"/>
        <v>#VALUE!</v>
      </c>
      <c r="P2446" s="16">
        <f t="shared" si="51"/>
        <v>0</v>
      </c>
    </row>
    <row r="2447" spans="15:16" hidden="1" x14ac:dyDescent="0.25">
      <c r="O2447" s="16" t="e">
        <f t="shared" si="50"/>
        <v>#VALUE!</v>
      </c>
      <c r="P2447" s="16">
        <f t="shared" si="51"/>
        <v>0</v>
      </c>
    </row>
    <row r="2448" spans="15:16" hidden="1" x14ac:dyDescent="0.25">
      <c r="O2448" s="16" t="e">
        <f t="shared" si="50"/>
        <v>#VALUE!</v>
      </c>
      <c r="P2448" s="16">
        <f t="shared" si="51"/>
        <v>0</v>
      </c>
    </row>
    <row r="2449" spans="15:16" hidden="1" x14ac:dyDescent="0.25">
      <c r="O2449" s="16" t="e">
        <f t="shared" si="50"/>
        <v>#VALUE!</v>
      </c>
      <c r="P2449" s="16">
        <f t="shared" si="51"/>
        <v>0</v>
      </c>
    </row>
    <row r="2450" spans="15:16" hidden="1" x14ac:dyDescent="0.25">
      <c r="O2450" s="16" t="e">
        <f t="shared" si="50"/>
        <v>#VALUE!</v>
      </c>
      <c r="P2450" s="16">
        <f t="shared" si="51"/>
        <v>0</v>
      </c>
    </row>
    <row r="2451" spans="15:16" hidden="1" x14ac:dyDescent="0.25">
      <c r="O2451" s="16" t="e">
        <f t="shared" si="50"/>
        <v>#VALUE!</v>
      </c>
      <c r="P2451" s="16">
        <f t="shared" si="51"/>
        <v>0</v>
      </c>
    </row>
    <row r="2452" spans="15:16" hidden="1" x14ac:dyDescent="0.25">
      <c r="O2452" s="16" t="e">
        <f t="shared" si="50"/>
        <v>#VALUE!</v>
      </c>
      <c r="P2452" s="16">
        <f t="shared" si="51"/>
        <v>0</v>
      </c>
    </row>
    <row r="2453" spans="15:16" hidden="1" x14ac:dyDescent="0.25">
      <c r="O2453" s="16" t="e">
        <f t="shared" si="50"/>
        <v>#VALUE!</v>
      </c>
      <c r="P2453" s="16">
        <f t="shared" si="51"/>
        <v>0</v>
      </c>
    </row>
    <row r="2454" spans="15:16" hidden="1" x14ac:dyDescent="0.25">
      <c r="O2454" s="16" t="e">
        <f t="shared" si="50"/>
        <v>#VALUE!</v>
      </c>
      <c r="P2454" s="16">
        <f t="shared" si="51"/>
        <v>0</v>
      </c>
    </row>
    <row r="2455" spans="15:16" hidden="1" x14ac:dyDescent="0.25">
      <c r="O2455" s="16" t="e">
        <f t="shared" si="50"/>
        <v>#VALUE!</v>
      </c>
      <c r="P2455" s="16">
        <f t="shared" si="51"/>
        <v>0</v>
      </c>
    </row>
    <row r="2456" spans="15:16" hidden="1" x14ac:dyDescent="0.25">
      <c r="O2456" s="16" t="e">
        <f t="shared" si="50"/>
        <v>#VALUE!</v>
      </c>
      <c r="P2456" s="16">
        <f t="shared" si="51"/>
        <v>0</v>
      </c>
    </row>
    <row r="2457" spans="15:16" hidden="1" x14ac:dyDescent="0.25">
      <c r="O2457" s="16" t="e">
        <f t="shared" si="50"/>
        <v>#VALUE!</v>
      </c>
      <c r="P2457" s="16">
        <f t="shared" si="51"/>
        <v>0</v>
      </c>
    </row>
    <row r="2458" spans="15:16" hidden="1" x14ac:dyDescent="0.25">
      <c r="O2458" s="16" t="e">
        <f t="shared" si="50"/>
        <v>#VALUE!</v>
      </c>
      <c r="P2458" s="16">
        <f t="shared" si="51"/>
        <v>0</v>
      </c>
    </row>
    <row r="2459" spans="15:16" hidden="1" x14ac:dyDescent="0.25">
      <c r="O2459" s="16" t="e">
        <f t="shared" si="50"/>
        <v>#VALUE!</v>
      </c>
      <c r="P2459" s="16">
        <f t="shared" si="51"/>
        <v>0</v>
      </c>
    </row>
    <row r="2460" spans="15:16" hidden="1" x14ac:dyDescent="0.25">
      <c r="O2460" s="16" t="e">
        <f t="shared" si="50"/>
        <v>#VALUE!</v>
      </c>
      <c r="P2460" s="16">
        <f t="shared" si="51"/>
        <v>0</v>
      </c>
    </row>
    <row r="2461" spans="15:16" hidden="1" x14ac:dyDescent="0.25">
      <c r="O2461" s="16" t="e">
        <f t="shared" si="50"/>
        <v>#VALUE!</v>
      </c>
      <c r="P2461" s="16">
        <f t="shared" si="51"/>
        <v>0</v>
      </c>
    </row>
    <row r="2462" spans="15:16" hidden="1" x14ac:dyDescent="0.25">
      <c r="O2462" s="16" t="e">
        <f t="shared" si="50"/>
        <v>#VALUE!</v>
      </c>
      <c r="P2462" s="16">
        <f t="shared" si="51"/>
        <v>0</v>
      </c>
    </row>
    <row r="2463" spans="15:16" hidden="1" x14ac:dyDescent="0.25">
      <c r="O2463" s="16" t="e">
        <f t="shared" si="50"/>
        <v>#VALUE!</v>
      </c>
      <c r="P2463" s="16">
        <f t="shared" si="51"/>
        <v>0</v>
      </c>
    </row>
    <row r="2464" spans="15:16" hidden="1" x14ac:dyDescent="0.25">
      <c r="O2464" s="16" t="e">
        <f t="shared" si="50"/>
        <v>#VALUE!</v>
      </c>
      <c r="P2464" s="16">
        <f t="shared" si="51"/>
        <v>0</v>
      </c>
    </row>
    <row r="2465" spans="15:16" hidden="1" x14ac:dyDescent="0.25">
      <c r="O2465" s="16" t="e">
        <f t="shared" si="50"/>
        <v>#VALUE!</v>
      </c>
      <c r="P2465" s="16">
        <f t="shared" si="51"/>
        <v>0</v>
      </c>
    </row>
    <row r="2466" spans="15:16" hidden="1" x14ac:dyDescent="0.25">
      <c r="O2466" s="16" t="e">
        <f t="shared" si="50"/>
        <v>#VALUE!</v>
      </c>
      <c r="P2466" s="16">
        <f t="shared" si="51"/>
        <v>0</v>
      </c>
    </row>
    <row r="2467" spans="15:16" hidden="1" x14ac:dyDescent="0.25">
      <c r="O2467" s="16" t="e">
        <f t="shared" si="50"/>
        <v>#VALUE!</v>
      </c>
      <c r="P2467" s="16">
        <f t="shared" si="51"/>
        <v>0</v>
      </c>
    </row>
    <row r="2468" spans="15:16" hidden="1" x14ac:dyDescent="0.25">
      <c r="O2468" s="16" t="e">
        <f t="shared" si="50"/>
        <v>#VALUE!</v>
      </c>
      <c r="P2468" s="16">
        <f t="shared" si="51"/>
        <v>0</v>
      </c>
    </row>
    <row r="2469" spans="15:16" hidden="1" x14ac:dyDescent="0.25">
      <c r="O2469" s="16" t="e">
        <f t="shared" si="50"/>
        <v>#VALUE!</v>
      </c>
      <c r="P2469" s="16">
        <f t="shared" si="51"/>
        <v>0</v>
      </c>
    </row>
    <row r="2470" spans="15:16" hidden="1" x14ac:dyDescent="0.25">
      <c r="O2470" s="16" t="e">
        <f t="shared" si="50"/>
        <v>#VALUE!</v>
      </c>
      <c r="P2470" s="16">
        <f t="shared" si="51"/>
        <v>0</v>
      </c>
    </row>
    <row r="2471" spans="15:16" hidden="1" x14ac:dyDescent="0.25">
      <c r="O2471" s="16" t="e">
        <f t="shared" si="50"/>
        <v>#VALUE!</v>
      </c>
      <c r="P2471" s="16">
        <f t="shared" si="51"/>
        <v>0</v>
      </c>
    </row>
    <row r="2472" spans="15:16" hidden="1" x14ac:dyDescent="0.25">
      <c r="O2472" s="16" t="e">
        <f t="shared" si="50"/>
        <v>#VALUE!</v>
      </c>
      <c r="P2472" s="16">
        <f t="shared" si="51"/>
        <v>0</v>
      </c>
    </row>
    <row r="2473" spans="15:16" hidden="1" x14ac:dyDescent="0.25">
      <c r="O2473" s="16" t="e">
        <f t="shared" si="50"/>
        <v>#VALUE!</v>
      </c>
      <c r="P2473" s="16">
        <f t="shared" si="51"/>
        <v>0</v>
      </c>
    </row>
    <row r="2474" spans="15:16" hidden="1" x14ac:dyDescent="0.25">
      <c r="O2474" s="16" t="e">
        <f t="shared" si="50"/>
        <v>#VALUE!</v>
      </c>
      <c r="P2474" s="16">
        <f t="shared" si="51"/>
        <v>0</v>
      </c>
    </row>
    <row r="2475" spans="15:16" hidden="1" x14ac:dyDescent="0.25">
      <c r="O2475" s="16" t="e">
        <f t="shared" si="50"/>
        <v>#VALUE!</v>
      </c>
      <c r="P2475" s="16">
        <f t="shared" si="51"/>
        <v>0</v>
      </c>
    </row>
    <row r="2476" spans="15:16" hidden="1" x14ac:dyDescent="0.25">
      <c r="O2476" s="16" t="e">
        <f t="shared" si="50"/>
        <v>#VALUE!</v>
      </c>
      <c r="P2476" s="16">
        <f t="shared" si="51"/>
        <v>0</v>
      </c>
    </row>
    <row r="2477" spans="15:16" hidden="1" x14ac:dyDescent="0.25">
      <c r="O2477" s="16" t="e">
        <f t="shared" si="50"/>
        <v>#VALUE!</v>
      </c>
      <c r="P2477" s="16">
        <f t="shared" si="51"/>
        <v>0</v>
      </c>
    </row>
    <row r="2478" spans="15:16" hidden="1" x14ac:dyDescent="0.25">
      <c r="O2478" s="16" t="e">
        <f t="shared" si="50"/>
        <v>#VALUE!</v>
      </c>
      <c r="P2478" s="16">
        <f t="shared" si="51"/>
        <v>0</v>
      </c>
    </row>
    <row r="2479" spans="15:16" hidden="1" x14ac:dyDescent="0.25">
      <c r="O2479" s="16" t="e">
        <f t="shared" si="50"/>
        <v>#VALUE!</v>
      </c>
      <c r="P2479" s="16">
        <f t="shared" si="51"/>
        <v>0</v>
      </c>
    </row>
    <row r="2480" spans="15:16" hidden="1" x14ac:dyDescent="0.25">
      <c r="O2480" s="16" t="e">
        <f t="shared" si="50"/>
        <v>#VALUE!</v>
      </c>
      <c r="P2480" s="16">
        <f t="shared" si="51"/>
        <v>0</v>
      </c>
    </row>
    <row r="2481" spans="15:16" hidden="1" x14ac:dyDescent="0.25">
      <c r="O2481" s="16" t="e">
        <f t="shared" si="50"/>
        <v>#VALUE!</v>
      </c>
      <c r="P2481" s="16">
        <f t="shared" si="51"/>
        <v>0</v>
      </c>
    </row>
    <row r="2482" spans="15:16" hidden="1" x14ac:dyDescent="0.25">
      <c r="O2482" s="16" t="e">
        <f t="shared" si="50"/>
        <v>#VALUE!</v>
      </c>
      <c r="P2482" s="16">
        <f t="shared" si="51"/>
        <v>0</v>
      </c>
    </row>
    <row r="2483" spans="15:16" hidden="1" x14ac:dyDescent="0.25">
      <c r="O2483" s="16" t="e">
        <f t="shared" si="50"/>
        <v>#VALUE!</v>
      </c>
      <c r="P2483" s="16">
        <f t="shared" si="51"/>
        <v>0</v>
      </c>
    </row>
    <row r="2484" spans="15:16" hidden="1" x14ac:dyDescent="0.25">
      <c r="O2484" s="16" t="e">
        <f t="shared" si="50"/>
        <v>#VALUE!</v>
      </c>
      <c r="P2484" s="16">
        <f t="shared" si="51"/>
        <v>0</v>
      </c>
    </row>
    <row r="2485" spans="15:16" hidden="1" x14ac:dyDescent="0.25">
      <c r="O2485" s="16" t="e">
        <f t="shared" si="50"/>
        <v>#VALUE!</v>
      </c>
      <c r="P2485" s="16">
        <f t="shared" si="51"/>
        <v>0</v>
      </c>
    </row>
    <row r="2486" spans="15:16" hidden="1" x14ac:dyDescent="0.25">
      <c r="O2486" s="16" t="e">
        <f t="shared" si="50"/>
        <v>#VALUE!</v>
      </c>
      <c r="P2486" s="16">
        <f t="shared" si="51"/>
        <v>0</v>
      </c>
    </row>
    <row r="2487" spans="15:16" hidden="1" x14ac:dyDescent="0.25">
      <c r="O2487" s="16" t="e">
        <f t="shared" si="50"/>
        <v>#VALUE!</v>
      </c>
      <c r="P2487" s="16">
        <f t="shared" si="51"/>
        <v>0</v>
      </c>
    </row>
    <row r="2488" spans="15:16" hidden="1" x14ac:dyDescent="0.25">
      <c r="O2488" s="16" t="e">
        <f t="shared" si="50"/>
        <v>#VALUE!</v>
      </c>
      <c r="P2488" s="16">
        <f t="shared" si="51"/>
        <v>0</v>
      </c>
    </row>
    <row r="2489" spans="15:16" hidden="1" x14ac:dyDescent="0.25">
      <c r="O2489" s="16" t="e">
        <f t="shared" si="50"/>
        <v>#VALUE!</v>
      </c>
      <c r="P2489" s="16">
        <f t="shared" si="51"/>
        <v>0</v>
      </c>
    </row>
    <row r="2490" spans="15:16" hidden="1" x14ac:dyDescent="0.25">
      <c r="O2490" s="16" t="e">
        <f t="shared" si="50"/>
        <v>#VALUE!</v>
      </c>
      <c r="P2490" s="16">
        <f t="shared" si="51"/>
        <v>0</v>
      </c>
    </row>
    <row r="2491" spans="15:16" hidden="1" x14ac:dyDescent="0.25">
      <c r="O2491" s="16" t="e">
        <f t="shared" si="50"/>
        <v>#VALUE!</v>
      </c>
      <c r="P2491" s="16">
        <f t="shared" si="51"/>
        <v>0</v>
      </c>
    </row>
    <row r="2492" spans="15:16" hidden="1" x14ac:dyDescent="0.25">
      <c r="O2492" s="16" t="e">
        <f t="shared" si="50"/>
        <v>#VALUE!</v>
      </c>
      <c r="P2492" s="16">
        <f t="shared" si="51"/>
        <v>0</v>
      </c>
    </row>
    <row r="2493" spans="15:16" hidden="1" x14ac:dyDescent="0.25">
      <c r="O2493" s="16" t="e">
        <f t="shared" si="50"/>
        <v>#VALUE!</v>
      </c>
      <c r="P2493" s="16">
        <f t="shared" si="51"/>
        <v>0</v>
      </c>
    </row>
    <row r="2494" spans="15:16" hidden="1" x14ac:dyDescent="0.25">
      <c r="O2494" s="16" t="e">
        <f t="shared" si="50"/>
        <v>#VALUE!</v>
      </c>
      <c r="P2494" s="16">
        <f t="shared" si="51"/>
        <v>0</v>
      </c>
    </row>
    <row r="2495" spans="15:16" hidden="1" x14ac:dyDescent="0.25">
      <c r="O2495" s="16" t="e">
        <f t="shared" si="50"/>
        <v>#VALUE!</v>
      </c>
      <c r="P2495" s="16">
        <f t="shared" si="51"/>
        <v>0</v>
      </c>
    </row>
    <row r="2496" spans="15:16" hidden="1" x14ac:dyDescent="0.25">
      <c r="O2496" s="16" t="e">
        <f t="shared" si="50"/>
        <v>#VALUE!</v>
      </c>
      <c r="P2496" s="16">
        <f t="shared" si="51"/>
        <v>0</v>
      </c>
    </row>
    <row r="2497" spans="15:16" hidden="1" x14ac:dyDescent="0.25">
      <c r="O2497" s="16" t="e">
        <f t="shared" si="50"/>
        <v>#VALUE!</v>
      </c>
      <c r="P2497" s="16">
        <f t="shared" si="51"/>
        <v>0</v>
      </c>
    </row>
    <row r="2498" spans="15:16" hidden="1" x14ac:dyDescent="0.25">
      <c r="O2498" s="16" t="e">
        <f t="shared" si="50"/>
        <v>#VALUE!</v>
      </c>
      <c r="P2498" s="16">
        <f t="shared" si="51"/>
        <v>0</v>
      </c>
    </row>
    <row r="2499" spans="15:16" hidden="1" x14ac:dyDescent="0.25">
      <c r="O2499" s="16" t="e">
        <f t="shared" ref="O2499:O2562" si="52">TEXT(DATEVALUE(LEFT(F2499,10)),"mm-yyyy")</f>
        <v>#VALUE!</v>
      </c>
      <c r="P2499" s="16">
        <f t="shared" ref="P2499:P2562" si="53">H2499*I2499</f>
        <v>0</v>
      </c>
    </row>
    <row r="2500" spans="15:16" hidden="1" x14ac:dyDescent="0.25">
      <c r="O2500" s="16" t="e">
        <f t="shared" si="52"/>
        <v>#VALUE!</v>
      </c>
      <c r="P2500" s="16">
        <f t="shared" si="53"/>
        <v>0</v>
      </c>
    </row>
    <row r="2501" spans="15:16" hidden="1" x14ac:dyDescent="0.25">
      <c r="O2501" s="16" t="e">
        <f t="shared" si="52"/>
        <v>#VALUE!</v>
      </c>
      <c r="P2501" s="16">
        <f t="shared" si="53"/>
        <v>0</v>
      </c>
    </row>
    <row r="2502" spans="15:16" hidden="1" x14ac:dyDescent="0.25">
      <c r="O2502" s="16" t="e">
        <f t="shared" si="52"/>
        <v>#VALUE!</v>
      </c>
      <c r="P2502" s="16">
        <f t="shared" si="53"/>
        <v>0</v>
      </c>
    </row>
    <row r="2503" spans="15:16" hidden="1" x14ac:dyDescent="0.25">
      <c r="O2503" s="16" t="e">
        <f t="shared" si="52"/>
        <v>#VALUE!</v>
      </c>
      <c r="P2503" s="16">
        <f t="shared" si="53"/>
        <v>0</v>
      </c>
    </row>
    <row r="2504" spans="15:16" hidden="1" x14ac:dyDescent="0.25">
      <c r="O2504" s="16" t="e">
        <f t="shared" si="52"/>
        <v>#VALUE!</v>
      </c>
      <c r="P2504" s="16">
        <f t="shared" si="53"/>
        <v>0</v>
      </c>
    </row>
    <row r="2505" spans="15:16" hidden="1" x14ac:dyDescent="0.25">
      <c r="O2505" s="16" t="e">
        <f t="shared" si="52"/>
        <v>#VALUE!</v>
      </c>
      <c r="P2505" s="16">
        <f t="shared" si="53"/>
        <v>0</v>
      </c>
    </row>
    <row r="2506" spans="15:16" hidden="1" x14ac:dyDescent="0.25">
      <c r="O2506" s="16" t="e">
        <f t="shared" si="52"/>
        <v>#VALUE!</v>
      </c>
      <c r="P2506" s="16">
        <f t="shared" si="53"/>
        <v>0</v>
      </c>
    </row>
    <row r="2507" spans="15:16" hidden="1" x14ac:dyDescent="0.25">
      <c r="O2507" s="16" t="e">
        <f t="shared" si="52"/>
        <v>#VALUE!</v>
      </c>
      <c r="P2507" s="16">
        <f t="shared" si="53"/>
        <v>0</v>
      </c>
    </row>
    <row r="2508" spans="15:16" hidden="1" x14ac:dyDescent="0.25">
      <c r="O2508" s="16" t="e">
        <f t="shared" si="52"/>
        <v>#VALUE!</v>
      </c>
      <c r="P2508" s="16">
        <f t="shared" si="53"/>
        <v>0</v>
      </c>
    </row>
    <row r="2509" spans="15:16" hidden="1" x14ac:dyDescent="0.25">
      <c r="O2509" s="16" t="e">
        <f t="shared" si="52"/>
        <v>#VALUE!</v>
      </c>
      <c r="P2509" s="16">
        <f t="shared" si="53"/>
        <v>0</v>
      </c>
    </row>
    <row r="2510" spans="15:16" hidden="1" x14ac:dyDescent="0.25">
      <c r="O2510" s="16" t="e">
        <f t="shared" si="52"/>
        <v>#VALUE!</v>
      </c>
      <c r="P2510" s="16">
        <f t="shared" si="53"/>
        <v>0</v>
      </c>
    </row>
    <row r="2511" spans="15:16" hidden="1" x14ac:dyDescent="0.25">
      <c r="O2511" s="16" t="e">
        <f t="shared" si="52"/>
        <v>#VALUE!</v>
      </c>
      <c r="P2511" s="16">
        <f t="shared" si="53"/>
        <v>0</v>
      </c>
    </row>
    <row r="2512" spans="15:16" hidden="1" x14ac:dyDescent="0.25">
      <c r="O2512" s="16" t="e">
        <f t="shared" si="52"/>
        <v>#VALUE!</v>
      </c>
      <c r="P2512" s="16">
        <f t="shared" si="53"/>
        <v>0</v>
      </c>
    </row>
    <row r="2513" spans="15:16" hidden="1" x14ac:dyDescent="0.25">
      <c r="O2513" s="16" t="e">
        <f t="shared" si="52"/>
        <v>#VALUE!</v>
      </c>
      <c r="P2513" s="16">
        <f t="shared" si="53"/>
        <v>0</v>
      </c>
    </row>
    <row r="2514" spans="15:16" hidden="1" x14ac:dyDescent="0.25">
      <c r="O2514" s="16" t="e">
        <f t="shared" si="52"/>
        <v>#VALUE!</v>
      </c>
      <c r="P2514" s="16">
        <f t="shared" si="53"/>
        <v>0</v>
      </c>
    </row>
    <row r="2515" spans="15:16" hidden="1" x14ac:dyDescent="0.25">
      <c r="O2515" s="16" t="e">
        <f t="shared" si="52"/>
        <v>#VALUE!</v>
      </c>
      <c r="P2515" s="16">
        <f t="shared" si="53"/>
        <v>0</v>
      </c>
    </row>
    <row r="2516" spans="15:16" hidden="1" x14ac:dyDescent="0.25">
      <c r="O2516" s="16" t="e">
        <f t="shared" si="52"/>
        <v>#VALUE!</v>
      </c>
      <c r="P2516" s="16">
        <f t="shared" si="53"/>
        <v>0</v>
      </c>
    </row>
    <row r="2517" spans="15:16" hidden="1" x14ac:dyDescent="0.25">
      <c r="O2517" s="16" t="e">
        <f t="shared" si="52"/>
        <v>#VALUE!</v>
      </c>
      <c r="P2517" s="16">
        <f t="shared" si="53"/>
        <v>0</v>
      </c>
    </row>
    <row r="2518" spans="15:16" hidden="1" x14ac:dyDescent="0.25">
      <c r="O2518" s="16" t="e">
        <f t="shared" si="52"/>
        <v>#VALUE!</v>
      </c>
      <c r="P2518" s="16">
        <f t="shared" si="53"/>
        <v>0</v>
      </c>
    </row>
    <row r="2519" spans="15:16" hidden="1" x14ac:dyDescent="0.25">
      <c r="O2519" s="16" t="e">
        <f t="shared" si="52"/>
        <v>#VALUE!</v>
      </c>
      <c r="P2519" s="16">
        <f t="shared" si="53"/>
        <v>0</v>
      </c>
    </row>
    <row r="2520" spans="15:16" hidden="1" x14ac:dyDescent="0.25">
      <c r="O2520" s="16" t="e">
        <f t="shared" si="52"/>
        <v>#VALUE!</v>
      </c>
      <c r="P2520" s="16">
        <f t="shared" si="53"/>
        <v>0</v>
      </c>
    </row>
    <row r="2521" spans="15:16" hidden="1" x14ac:dyDescent="0.25">
      <c r="O2521" s="16" t="e">
        <f t="shared" si="52"/>
        <v>#VALUE!</v>
      </c>
      <c r="P2521" s="16">
        <f t="shared" si="53"/>
        <v>0</v>
      </c>
    </row>
    <row r="2522" spans="15:16" hidden="1" x14ac:dyDescent="0.25">
      <c r="O2522" s="16" t="e">
        <f t="shared" si="52"/>
        <v>#VALUE!</v>
      </c>
      <c r="P2522" s="16">
        <f t="shared" si="53"/>
        <v>0</v>
      </c>
    </row>
    <row r="2523" spans="15:16" hidden="1" x14ac:dyDescent="0.25">
      <c r="O2523" s="16" t="e">
        <f t="shared" si="52"/>
        <v>#VALUE!</v>
      </c>
      <c r="P2523" s="16">
        <f t="shared" si="53"/>
        <v>0</v>
      </c>
    </row>
    <row r="2524" spans="15:16" hidden="1" x14ac:dyDescent="0.25">
      <c r="O2524" s="16" t="e">
        <f t="shared" si="52"/>
        <v>#VALUE!</v>
      </c>
      <c r="P2524" s="16">
        <f t="shared" si="53"/>
        <v>0</v>
      </c>
    </row>
    <row r="2525" spans="15:16" hidden="1" x14ac:dyDescent="0.25">
      <c r="O2525" s="16" t="e">
        <f t="shared" si="52"/>
        <v>#VALUE!</v>
      </c>
      <c r="P2525" s="16">
        <f t="shared" si="53"/>
        <v>0</v>
      </c>
    </row>
    <row r="2526" spans="15:16" hidden="1" x14ac:dyDescent="0.25">
      <c r="O2526" s="16" t="e">
        <f t="shared" si="52"/>
        <v>#VALUE!</v>
      </c>
      <c r="P2526" s="16">
        <f t="shared" si="53"/>
        <v>0</v>
      </c>
    </row>
    <row r="2527" spans="15:16" hidden="1" x14ac:dyDescent="0.25">
      <c r="O2527" s="16" t="e">
        <f t="shared" si="52"/>
        <v>#VALUE!</v>
      </c>
      <c r="P2527" s="16">
        <f t="shared" si="53"/>
        <v>0</v>
      </c>
    </row>
    <row r="2528" spans="15:16" hidden="1" x14ac:dyDescent="0.25">
      <c r="O2528" s="16" t="e">
        <f t="shared" si="52"/>
        <v>#VALUE!</v>
      </c>
      <c r="P2528" s="16">
        <f t="shared" si="53"/>
        <v>0</v>
      </c>
    </row>
    <row r="2529" spans="15:16" hidden="1" x14ac:dyDescent="0.25">
      <c r="O2529" s="16" t="e">
        <f t="shared" si="52"/>
        <v>#VALUE!</v>
      </c>
      <c r="P2529" s="16">
        <f t="shared" si="53"/>
        <v>0</v>
      </c>
    </row>
    <row r="2530" spans="15:16" hidden="1" x14ac:dyDescent="0.25">
      <c r="O2530" s="16" t="e">
        <f t="shared" si="52"/>
        <v>#VALUE!</v>
      </c>
      <c r="P2530" s="16">
        <f t="shared" si="53"/>
        <v>0</v>
      </c>
    </row>
    <row r="2531" spans="15:16" hidden="1" x14ac:dyDescent="0.25">
      <c r="O2531" s="16" t="e">
        <f t="shared" si="52"/>
        <v>#VALUE!</v>
      </c>
      <c r="P2531" s="16">
        <f t="shared" si="53"/>
        <v>0</v>
      </c>
    </row>
    <row r="2532" spans="15:16" hidden="1" x14ac:dyDescent="0.25">
      <c r="O2532" s="16" t="e">
        <f t="shared" si="52"/>
        <v>#VALUE!</v>
      </c>
      <c r="P2532" s="16">
        <f t="shared" si="53"/>
        <v>0</v>
      </c>
    </row>
    <row r="2533" spans="15:16" hidden="1" x14ac:dyDescent="0.25">
      <c r="O2533" s="16" t="e">
        <f t="shared" si="52"/>
        <v>#VALUE!</v>
      </c>
      <c r="P2533" s="16">
        <f t="shared" si="53"/>
        <v>0</v>
      </c>
    </row>
    <row r="2534" spans="15:16" hidden="1" x14ac:dyDescent="0.25">
      <c r="O2534" s="16" t="e">
        <f t="shared" si="52"/>
        <v>#VALUE!</v>
      </c>
      <c r="P2534" s="16">
        <f t="shared" si="53"/>
        <v>0</v>
      </c>
    </row>
    <row r="2535" spans="15:16" hidden="1" x14ac:dyDescent="0.25">
      <c r="O2535" s="16" t="e">
        <f t="shared" si="52"/>
        <v>#VALUE!</v>
      </c>
      <c r="P2535" s="16">
        <f t="shared" si="53"/>
        <v>0</v>
      </c>
    </row>
    <row r="2536" spans="15:16" hidden="1" x14ac:dyDescent="0.25">
      <c r="O2536" s="16" t="e">
        <f t="shared" si="52"/>
        <v>#VALUE!</v>
      </c>
      <c r="P2536" s="16">
        <f t="shared" si="53"/>
        <v>0</v>
      </c>
    </row>
    <row r="2537" spans="15:16" hidden="1" x14ac:dyDescent="0.25">
      <c r="O2537" s="16" t="e">
        <f t="shared" si="52"/>
        <v>#VALUE!</v>
      </c>
      <c r="P2537" s="16">
        <f t="shared" si="53"/>
        <v>0</v>
      </c>
    </row>
    <row r="2538" spans="15:16" hidden="1" x14ac:dyDescent="0.25">
      <c r="O2538" s="16" t="e">
        <f t="shared" si="52"/>
        <v>#VALUE!</v>
      </c>
      <c r="P2538" s="16">
        <f t="shared" si="53"/>
        <v>0</v>
      </c>
    </row>
    <row r="2539" spans="15:16" hidden="1" x14ac:dyDescent="0.25">
      <c r="O2539" s="16" t="e">
        <f t="shared" si="52"/>
        <v>#VALUE!</v>
      </c>
      <c r="P2539" s="16">
        <f t="shared" si="53"/>
        <v>0</v>
      </c>
    </row>
    <row r="2540" spans="15:16" hidden="1" x14ac:dyDescent="0.25">
      <c r="O2540" s="16" t="e">
        <f t="shared" si="52"/>
        <v>#VALUE!</v>
      </c>
      <c r="P2540" s="16">
        <f t="shared" si="53"/>
        <v>0</v>
      </c>
    </row>
    <row r="2541" spans="15:16" hidden="1" x14ac:dyDescent="0.25">
      <c r="O2541" s="16" t="e">
        <f t="shared" si="52"/>
        <v>#VALUE!</v>
      </c>
      <c r="P2541" s="16">
        <f t="shared" si="53"/>
        <v>0</v>
      </c>
    </row>
    <row r="2542" spans="15:16" hidden="1" x14ac:dyDescent="0.25">
      <c r="O2542" s="16" t="e">
        <f t="shared" si="52"/>
        <v>#VALUE!</v>
      </c>
      <c r="P2542" s="16">
        <f t="shared" si="53"/>
        <v>0</v>
      </c>
    </row>
    <row r="2543" spans="15:16" hidden="1" x14ac:dyDescent="0.25">
      <c r="O2543" s="16" t="e">
        <f t="shared" si="52"/>
        <v>#VALUE!</v>
      </c>
      <c r="P2543" s="16">
        <f t="shared" si="53"/>
        <v>0</v>
      </c>
    </row>
    <row r="2544" spans="15:16" hidden="1" x14ac:dyDescent="0.25">
      <c r="O2544" s="16" t="e">
        <f t="shared" si="52"/>
        <v>#VALUE!</v>
      </c>
      <c r="P2544" s="16">
        <f t="shared" si="53"/>
        <v>0</v>
      </c>
    </row>
    <row r="2545" spans="15:16" hidden="1" x14ac:dyDescent="0.25">
      <c r="O2545" s="16" t="e">
        <f t="shared" si="52"/>
        <v>#VALUE!</v>
      </c>
      <c r="P2545" s="16">
        <f t="shared" si="53"/>
        <v>0</v>
      </c>
    </row>
    <row r="2546" spans="15:16" hidden="1" x14ac:dyDescent="0.25">
      <c r="O2546" s="16" t="e">
        <f t="shared" si="52"/>
        <v>#VALUE!</v>
      </c>
      <c r="P2546" s="16">
        <f t="shared" si="53"/>
        <v>0</v>
      </c>
    </row>
    <row r="2547" spans="15:16" hidden="1" x14ac:dyDescent="0.25">
      <c r="O2547" s="16" t="e">
        <f t="shared" si="52"/>
        <v>#VALUE!</v>
      </c>
      <c r="P2547" s="16">
        <f t="shared" si="53"/>
        <v>0</v>
      </c>
    </row>
    <row r="2548" spans="15:16" hidden="1" x14ac:dyDescent="0.25">
      <c r="O2548" s="16" t="e">
        <f t="shared" si="52"/>
        <v>#VALUE!</v>
      </c>
      <c r="P2548" s="16">
        <f t="shared" si="53"/>
        <v>0</v>
      </c>
    </row>
    <row r="2549" spans="15:16" hidden="1" x14ac:dyDescent="0.25">
      <c r="O2549" s="16" t="e">
        <f t="shared" si="52"/>
        <v>#VALUE!</v>
      </c>
      <c r="P2549" s="16">
        <f t="shared" si="53"/>
        <v>0</v>
      </c>
    </row>
    <row r="2550" spans="15:16" hidden="1" x14ac:dyDescent="0.25">
      <c r="O2550" s="16" t="e">
        <f t="shared" si="52"/>
        <v>#VALUE!</v>
      </c>
      <c r="P2550" s="16">
        <f t="shared" si="53"/>
        <v>0</v>
      </c>
    </row>
    <row r="2551" spans="15:16" hidden="1" x14ac:dyDescent="0.25">
      <c r="O2551" s="16" t="e">
        <f t="shared" si="52"/>
        <v>#VALUE!</v>
      </c>
      <c r="P2551" s="16">
        <f t="shared" si="53"/>
        <v>0</v>
      </c>
    </row>
    <row r="2552" spans="15:16" hidden="1" x14ac:dyDescent="0.25">
      <c r="O2552" s="16" t="e">
        <f t="shared" si="52"/>
        <v>#VALUE!</v>
      </c>
      <c r="P2552" s="16">
        <f t="shared" si="53"/>
        <v>0</v>
      </c>
    </row>
    <row r="2553" spans="15:16" hidden="1" x14ac:dyDescent="0.25">
      <c r="O2553" s="16" t="e">
        <f t="shared" si="52"/>
        <v>#VALUE!</v>
      </c>
      <c r="P2553" s="16">
        <f t="shared" si="53"/>
        <v>0</v>
      </c>
    </row>
    <row r="2554" spans="15:16" hidden="1" x14ac:dyDescent="0.25">
      <c r="O2554" s="16" t="e">
        <f t="shared" si="52"/>
        <v>#VALUE!</v>
      </c>
      <c r="P2554" s="16">
        <f t="shared" si="53"/>
        <v>0</v>
      </c>
    </row>
    <row r="2555" spans="15:16" hidden="1" x14ac:dyDescent="0.25">
      <c r="O2555" s="16" t="e">
        <f t="shared" si="52"/>
        <v>#VALUE!</v>
      </c>
      <c r="P2555" s="16">
        <f t="shared" si="53"/>
        <v>0</v>
      </c>
    </row>
    <row r="2556" spans="15:16" hidden="1" x14ac:dyDescent="0.25">
      <c r="O2556" s="16" t="e">
        <f t="shared" si="52"/>
        <v>#VALUE!</v>
      </c>
      <c r="P2556" s="16">
        <f t="shared" si="53"/>
        <v>0</v>
      </c>
    </row>
    <row r="2557" spans="15:16" hidden="1" x14ac:dyDescent="0.25">
      <c r="O2557" s="16" t="e">
        <f t="shared" si="52"/>
        <v>#VALUE!</v>
      </c>
      <c r="P2557" s="16">
        <f t="shared" si="53"/>
        <v>0</v>
      </c>
    </row>
    <row r="2558" spans="15:16" hidden="1" x14ac:dyDescent="0.25">
      <c r="O2558" s="16" t="e">
        <f t="shared" si="52"/>
        <v>#VALUE!</v>
      </c>
      <c r="P2558" s="16">
        <f t="shared" si="53"/>
        <v>0</v>
      </c>
    </row>
    <row r="2559" spans="15:16" hidden="1" x14ac:dyDescent="0.25">
      <c r="O2559" s="16" t="e">
        <f t="shared" si="52"/>
        <v>#VALUE!</v>
      </c>
      <c r="P2559" s="16">
        <f t="shared" si="53"/>
        <v>0</v>
      </c>
    </row>
    <row r="2560" spans="15:16" hidden="1" x14ac:dyDescent="0.25">
      <c r="O2560" s="16" t="e">
        <f t="shared" si="52"/>
        <v>#VALUE!</v>
      </c>
      <c r="P2560" s="16">
        <f t="shared" si="53"/>
        <v>0</v>
      </c>
    </row>
    <row r="2561" spans="15:16" hidden="1" x14ac:dyDescent="0.25">
      <c r="O2561" s="16" t="e">
        <f t="shared" si="52"/>
        <v>#VALUE!</v>
      </c>
      <c r="P2561" s="16">
        <f t="shared" si="53"/>
        <v>0</v>
      </c>
    </row>
    <row r="2562" spans="15:16" hidden="1" x14ac:dyDescent="0.25">
      <c r="O2562" s="16" t="e">
        <f t="shared" si="52"/>
        <v>#VALUE!</v>
      </c>
      <c r="P2562" s="16">
        <f t="shared" si="53"/>
        <v>0</v>
      </c>
    </row>
    <row r="2563" spans="15:16" hidden="1" x14ac:dyDescent="0.25">
      <c r="O2563" s="16" t="e">
        <f t="shared" ref="O2563:O2626" si="54">TEXT(DATEVALUE(LEFT(F2563,10)),"mm-yyyy")</f>
        <v>#VALUE!</v>
      </c>
      <c r="P2563" s="16">
        <f t="shared" ref="P2563:P2626" si="55">H2563*I2563</f>
        <v>0</v>
      </c>
    </row>
    <row r="2564" spans="15:16" hidden="1" x14ac:dyDescent="0.25">
      <c r="O2564" s="16" t="e">
        <f t="shared" si="54"/>
        <v>#VALUE!</v>
      </c>
      <c r="P2564" s="16">
        <f t="shared" si="55"/>
        <v>0</v>
      </c>
    </row>
    <row r="2565" spans="15:16" hidden="1" x14ac:dyDescent="0.25">
      <c r="O2565" s="16" t="e">
        <f t="shared" si="54"/>
        <v>#VALUE!</v>
      </c>
      <c r="P2565" s="16">
        <f t="shared" si="55"/>
        <v>0</v>
      </c>
    </row>
    <row r="2566" spans="15:16" hidden="1" x14ac:dyDescent="0.25">
      <c r="O2566" s="16" t="e">
        <f t="shared" si="54"/>
        <v>#VALUE!</v>
      </c>
      <c r="P2566" s="16">
        <f t="shared" si="55"/>
        <v>0</v>
      </c>
    </row>
    <row r="2567" spans="15:16" hidden="1" x14ac:dyDescent="0.25">
      <c r="O2567" s="16" t="e">
        <f t="shared" si="54"/>
        <v>#VALUE!</v>
      </c>
      <c r="P2567" s="16">
        <f t="shared" si="55"/>
        <v>0</v>
      </c>
    </row>
    <row r="2568" spans="15:16" hidden="1" x14ac:dyDescent="0.25">
      <c r="O2568" s="16" t="e">
        <f t="shared" si="54"/>
        <v>#VALUE!</v>
      </c>
      <c r="P2568" s="16">
        <f t="shared" si="55"/>
        <v>0</v>
      </c>
    </row>
    <row r="2569" spans="15:16" hidden="1" x14ac:dyDescent="0.25">
      <c r="O2569" s="16" t="e">
        <f t="shared" si="54"/>
        <v>#VALUE!</v>
      </c>
      <c r="P2569" s="16">
        <f t="shared" si="55"/>
        <v>0</v>
      </c>
    </row>
    <row r="2570" spans="15:16" hidden="1" x14ac:dyDescent="0.25">
      <c r="O2570" s="16" t="e">
        <f t="shared" si="54"/>
        <v>#VALUE!</v>
      </c>
      <c r="P2570" s="16">
        <f t="shared" si="55"/>
        <v>0</v>
      </c>
    </row>
    <row r="2571" spans="15:16" hidden="1" x14ac:dyDescent="0.25">
      <c r="O2571" s="16" t="e">
        <f t="shared" si="54"/>
        <v>#VALUE!</v>
      </c>
      <c r="P2571" s="16">
        <f t="shared" si="55"/>
        <v>0</v>
      </c>
    </row>
    <row r="2572" spans="15:16" hidden="1" x14ac:dyDescent="0.25">
      <c r="O2572" s="16" t="e">
        <f t="shared" si="54"/>
        <v>#VALUE!</v>
      </c>
      <c r="P2572" s="16">
        <f t="shared" si="55"/>
        <v>0</v>
      </c>
    </row>
    <row r="2573" spans="15:16" hidden="1" x14ac:dyDescent="0.25">
      <c r="O2573" s="16" t="e">
        <f t="shared" si="54"/>
        <v>#VALUE!</v>
      </c>
      <c r="P2573" s="16">
        <f t="shared" si="55"/>
        <v>0</v>
      </c>
    </row>
    <row r="2574" spans="15:16" hidden="1" x14ac:dyDescent="0.25">
      <c r="O2574" s="16" t="e">
        <f t="shared" si="54"/>
        <v>#VALUE!</v>
      </c>
      <c r="P2574" s="16">
        <f t="shared" si="55"/>
        <v>0</v>
      </c>
    </row>
    <row r="2575" spans="15:16" hidden="1" x14ac:dyDescent="0.25">
      <c r="O2575" s="16" t="e">
        <f t="shared" si="54"/>
        <v>#VALUE!</v>
      </c>
      <c r="P2575" s="16">
        <f t="shared" si="55"/>
        <v>0</v>
      </c>
    </row>
    <row r="2576" spans="15:16" hidden="1" x14ac:dyDescent="0.25">
      <c r="O2576" s="16" t="e">
        <f t="shared" si="54"/>
        <v>#VALUE!</v>
      </c>
      <c r="P2576" s="16">
        <f t="shared" si="55"/>
        <v>0</v>
      </c>
    </row>
    <row r="2577" spans="15:16" hidden="1" x14ac:dyDescent="0.25">
      <c r="O2577" s="16" t="e">
        <f t="shared" si="54"/>
        <v>#VALUE!</v>
      </c>
      <c r="P2577" s="16">
        <f t="shared" si="55"/>
        <v>0</v>
      </c>
    </row>
    <row r="2578" spans="15:16" hidden="1" x14ac:dyDescent="0.25">
      <c r="O2578" s="16" t="e">
        <f t="shared" si="54"/>
        <v>#VALUE!</v>
      </c>
      <c r="P2578" s="16">
        <f t="shared" si="55"/>
        <v>0</v>
      </c>
    </row>
    <row r="2579" spans="15:16" hidden="1" x14ac:dyDescent="0.25">
      <c r="O2579" s="16" t="e">
        <f t="shared" si="54"/>
        <v>#VALUE!</v>
      </c>
      <c r="P2579" s="16">
        <f t="shared" si="55"/>
        <v>0</v>
      </c>
    </row>
    <row r="2580" spans="15:16" hidden="1" x14ac:dyDescent="0.25">
      <c r="O2580" s="16" t="e">
        <f t="shared" si="54"/>
        <v>#VALUE!</v>
      </c>
      <c r="P2580" s="16">
        <f t="shared" si="55"/>
        <v>0</v>
      </c>
    </row>
    <row r="2581" spans="15:16" hidden="1" x14ac:dyDescent="0.25">
      <c r="O2581" s="16" t="e">
        <f t="shared" si="54"/>
        <v>#VALUE!</v>
      </c>
      <c r="P2581" s="16">
        <f t="shared" si="55"/>
        <v>0</v>
      </c>
    </row>
    <row r="2582" spans="15:16" hidden="1" x14ac:dyDescent="0.25">
      <c r="O2582" s="16" t="e">
        <f t="shared" si="54"/>
        <v>#VALUE!</v>
      </c>
      <c r="P2582" s="16">
        <f t="shared" si="55"/>
        <v>0</v>
      </c>
    </row>
    <row r="2583" spans="15:16" hidden="1" x14ac:dyDescent="0.25">
      <c r="O2583" s="16" t="e">
        <f t="shared" si="54"/>
        <v>#VALUE!</v>
      </c>
      <c r="P2583" s="16">
        <f t="shared" si="55"/>
        <v>0</v>
      </c>
    </row>
    <row r="2584" spans="15:16" hidden="1" x14ac:dyDescent="0.25">
      <c r="O2584" s="16" t="e">
        <f t="shared" si="54"/>
        <v>#VALUE!</v>
      </c>
      <c r="P2584" s="16">
        <f t="shared" si="55"/>
        <v>0</v>
      </c>
    </row>
    <row r="2585" spans="15:16" hidden="1" x14ac:dyDescent="0.25">
      <c r="O2585" s="16" t="e">
        <f t="shared" si="54"/>
        <v>#VALUE!</v>
      </c>
      <c r="P2585" s="16">
        <f t="shared" si="55"/>
        <v>0</v>
      </c>
    </row>
    <row r="2586" spans="15:16" hidden="1" x14ac:dyDescent="0.25">
      <c r="O2586" s="16" t="e">
        <f t="shared" si="54"/>
        <v>#VALUE!</v>
      </c>
      <c r="P2586" s="16">
        <f t="shared" si="55"/>
        <v>0</v>
      </c>
    </row>
    <row r="2587" spans="15:16" hidden="1" x14ac:dyDescent="0.25">
      <c r="O2587" s="16" t="e">
        <f t="shared" si="54"/>
        <v>#VALUE!</v>
      </c>
      <c r="P2587" s="16">
        <f t="shared" si="55"/>
        <v>0</v>
      </c>
    </row>
    <row r="2588" spans="15:16" hidden="1" x14ac:dyDescent="0.25">
      <c r="O2588" s="16" t="e">
        <f t="shared" si="54"/>
        <v>#VALUE!</v>
      </c>
      <c r="P2588" s="16">
        <f t="shared" si="55"/>
        <v>0</v>
      </c>
    </row>
    <row r="2589" spans="15:16" hidden="1" x14ac:dyDescent="0.25">
      <c r="O2589" s="16" t="e">
        <f t="shared" si="54"/>
        <v>#VALUE!</v>
      </c>
      <c r="P2589" s="16">
        <f t="shared" si="55"/>
        <v>0</v>
      </c>
    </row>
    <row r="2590" spans="15:16" hidden="1" x14ac:dyDescent="0.25">
      <c r="O2590" s="16" t="e">
        <f t="shared" si="54"/>
        <v>#VALUE!</v>
      </c>
      <c r="P2590" s="16">
        <f t="shared" si="55"/>
        <v>0</v>
      </c>
    </row>
    <row r="2591" spans="15:16" hidden="1" x14ac:dyDescent="0.25">
      <c r="O2591" s="16" t="e">
        <f t="shared" si="54"/>
        <v>#VALUE!</v>
      </c>
      <c r="P2591" s="16">
        <f t="shared" si="55"/>
        <v>0</v>
      </c>
    </row>
    <row r="2592" spans="15:16" hidden="1" x14ac:dyDescent="0.25">
      <c r="O2592" s="16" t="e">
        <f t="shared" si="54"/>
        <v>#VALUE!</v>
      </c>
      <c r="P2592" s="16">
        <f t="shared" si="55"/>
        <v>0</v>
      </c>
    </row>
    <row r="2593" spans="15:16" hidden="1" x14ac:dyDescent="0.25">
      <c r="O2593" s="16" t="e">
        <f t="shared" si="54"/>
        <v>#VALUE!</v>
      </c>
      <c r="P2593" s="16">
        <f t="shared" si="55"/>
        <v>0</v>
      </c>
    </row>
    <row r="2594" spans="15:16" hidden="1" x14ac:dyDescent="0.25">
      <c r="O2594" s="16" t="e">
        <f t="shared" si="54"/>
        <v>#VALUE!</v>
      </c>
      <c r="P2594" s="16">
        <f t="shared" si="55"/>
        <v>0</v>
      </c>
    </row>
    <row r="2595" spans="15:16" hidden="1" x14ac:dyDescent="0.25">
      <c r="O2595" s="16" t="e">
        <f t="shared" si="54"/>
        <v>#VALUE!</v>
      </c>
      <c r="P2595" s="16">
        <f t="shared" si="55"/>
        <v>0</v>
      </c>
    </row>
    <row r="2596" spans="15:16" hidden="1" x14ac:dyDescent="0.25">
      <c r="O2596" s="16" t="e">
        <f t="shared" si="54"/>
        <v>#VALUE!</v>
      </c>
      <c r="P2596" s="16">
        <f t="shared" si="55"/>
        <v>0</v>
      </c>
    </row>
    <row r="2597" spans="15:16" hidden="1" x14ac:dyDescent="0.25">
      <c r="O2597" s="16" t="e">
        <f t="shared" si="54"/>
        <v>#VALUE!</v>
      </c>
      <c r="P2597" s="16">
        <f t="shared" si="55"/>
        <v>0</v>
      </c>
    </row>
    <row r="2598" spans="15:16" hidden="1" x14ac:dyDescent="0.25">
      <c r="O2598" s="16" t="e">
        <f t="shared" si="54"/>
        <v>#VALUE!</v>
      </c>
      <c r="P2598" s="16">
        <f t="shared" si="55"/>
        <v>0</v>
      </c>
    </row>
    <row r="2599" spans="15:16" hidden="1" x14ac:dyDescent="0.25">
      <c r="O2599" s="16" t="e">
        <f t="shared" si="54"/>
        <v>#VALUE!</v>
      </c>
      <c r="P2599" s="16">
        <f t="shared" si="55"/>
        <v>0</v>
      </c>
    </row>
    <row r="2600" spans="15:16" hidden="1" x14ac:dyDescent="0.25">
      <c r="O2600" s="16" t="e">
        <f t="shared" si="54"/>
        <v>#VALUE!</v>
      </c>
      <c r="P2600" s="16">
        <f t="shared" si="55"/>
        <v>0</v>
      </c>
    </row>
    <row r="2601" spans="15:16" hidden="1" x14ac:dyDescent="0.25">
      <c r="O2601" s="16" t="e">
        <f t="shared" si="54"/>
        <v>#VALUE!</v>
      </c>
      <c r="P2601" s="16">
        <f t="shared" si="55"/>
        <v>0</v>
      </c>
    </row>
    <row r="2602" spans="15:16" hidden="1" x14ac:dyDescent="0.25">
      <c r="O2602" s="16" t="e">
        <f t="shared" si="54"/>
        <v>#VALUE!</v>
      </c>
      <c r="P2602" s="16">
        <f t="shared" si="55"/>
        <v>0</v>
      </c>
    </row>
    <row r="2603" spans="15:16" hidden="1" x14ac:dyDescent="0.25">
      <c r="O2603" s="16" t="e">
        <f t="shared" si="54"/>
        <v>#VALUE!</v>
      </c>
      <c r="P2603" s="16">
        <f t="shared" si="55"/>
        <v>0</v>
      </c>
    </row>
    <row r="2604" spans="15:16" hidden="1" x14ac:dyDescent="0.25">
      <c r="O2604" s="16" t="e">
        <f t="shared" si="54"/>
        <v>#VALUE!</v>
      </c>
      <c r="P2604" s="16">
        <f t="shared" si="55"/>
        <v>0</v>
      </c>
    </row>
    <row r="2605" spans="15:16" hidden="1" x14ac:dyDescent="0.25">
      <c r="O2605" s="16" t="e">
        <f t="shared" si="54"/>
        <v>#VALUE!</v>
      </c>
      <c r="P2605" s="16">
        <f t="shared" si="55"/>
        <v>0</v>
      </c>
    </row>
    <row r="2606" spans="15:16" hidden="1" x14ac:dyDescent="0.25">
      <c r="O2606" s="16" t="e">
        <f t="shared" si="54"/>
        <v>#VALUE!</v>
      </c>
      <c r="P2606" s="16">
        <f t="shared" si="55"/>
        <v>0</v>
      </c>
    </row>
    <row r="2607" spans="15:16" hidden="1" x14ac:dyDescent="0.25">
      <c r="O2607" s="16" t="e">
        <f t="shared" si="54"/>
        <v>#VALUE!</v>
      </c>
      <c r="P2607" s="16">
        <f t="shared" si="55"/>
        <v>0</v>
      </c>
    </row>
    <row r="2608" spans="15:16" hidden="1" x14ac:dyDescent="0.25">
      <c r="O2608" s="16" t="e">
        <f t="shared" si="54"/>
        <v>#VALUE!</v>
      </c>
      <c r="P2608" s="16">
        <f t="shared" si="55"/>
        <v>0</v>
      </c>
    </row>
    <row r="2609" spans="15:16" hidden="1" x14ac:dyDescent="0.25">
      <c r="O2609" s="16" t="e">
        <f t="shared" si="54"/>
        <v>#VALUE!</v>
      </c>
      <c r="P2609" s="16">
        <f t="shared" si="55"/>
        <v>0</v>
      </c>
    </row>
    <row r="2610" spans="15:16" hidden="1" x14ac:dyDescent="0.25">
      <c r="O2610" s="16" t="e">
        <f t="shared" si="54"/>
        <v>#VALUE!</v>
      </c>
      <c r="P2610" s="16">
        <f t="shared" si="55"/>
        <v>0</v>
      </c>
    </row>
    <row r="2611" spans="15:16" hidden="1" x14ac:dyDescent="0.25">
      <c r="O2611" s="16" t="e">
        <f t="shared" si="54"/>
        <v>#VALUE!</v>
      </c>
      <c r="P2611" s="16">
        <f t="shared" si="55"/>
        <v>0</v>
      </c>
    </row>
    <row r="2612" spans="15:16" hidden="1" x14ac:dyDescent="0.25">
      <c r="O2612" s="16" t="e">
        <f t="shared" si="54"/>
        <v>#VALUE!</v>
      </c>
      <c r="P2612" s="16">
        <f t="shared" si="55"/>
        <v>0</v>
      </c>
    </row>
    <row r="2613" spans="15:16" hidden="1" x14ac:dyDescent="0.25">
      <c r="O2613" s="16" t="e">
        <f t="shared" si="54"/>
        <v>#VALUE!</v>
      </c>
      <c r="P2613" s="16">
        <f t="shared" si="55"/>
        <v>0</v>
      </c>
    </row>
    <row r="2614" spans="15:16" hidden="1" x14ac:dyDescent="0.25">
      <c r="O2614" s="16" t="e">
        <f t="shared" si="54"/>
        <v>#VALUE!</v>
      </c>
      <c r="P2614" s="16">
        <f t="shared" si="55"/>
        <v>0</v>
      </c>
    </row>
    <row r="2615" spans="15:16" hidden="1" x14ac:dyDescent="0.25">
      <c r="O2615" s="16" t="e">
        <f t="shared" si="54"/>
        <v>#VALUE!</v>
      </c>
      <c r="P2615" s="16">
        <f t="shared" si="55"/>
        <v>0</v>
      </c>
    </row>
    <row r="2616" spans="15:16" hidden="1" x14ac:dyDescent="0.25">
      <c r="O2616" s="16" t="e">
        <f t="shared" si="54"/>
        <v>#VALUE!</v>
      </c>
      <c r="P2616" s="16">
        <f t="shared" si="55"/>
        <v>0</v>
      </c>
    </row>
    <row r="2617" spans="15:16" hidden="1" x14ac:dyDescent="0.25">
      <c r="O2617" s="16" t="e">
        <f t="shared" si="54"/>
        <v>#VALUE!</v>
      </c>
      <c r="P2617" s="16">
        <f t="shared" si="55"/>
        <v>0</v>
      </c>
    </row>
    <row r="2618" spans="15:16" hidden="1" x14ac:dyDescent="0.25">
      <c r="O2618" s="16" t="e">
        <f t="shared" si="54"/>
        <v>#VALUE!</v>
      </c>
      <c r="P2618" s="16">
        <f t="shared" si="55"/>
        <v>0</v>
      </c>
    </row>
    <row r="2619" spans="15:16" hidden="1" x14ac:dyDescent="0.25">
      <c r="O2619" s="16" t="e">
        <f t="shared" si="54"/>
        <v>#VALUE!</v>
      </c>
      <c r="P2619" s="16">
        <f t="shared" si="55"/>
        <v>0</v>
      </c>
    </row>
    <row r="2620" spans="15:16" hidden="1" x14ac:dyDescent="0.25">
      <c r="O2620" s="16" t="e">
        <f t="shared" si="54"/>
        <v>#VALUE!</v>
      </c>
      <c r="P2620" s="16">
        <f t="shared" si="55"/>
        <v>0</v>
      </c>
    </row>
    <row r="2621" spans="15:16" hidden="1" x14ac:dyDescent="0.25">
      <c r="O2621" s="16" t="e">
        <f t="shared" si="54"/>
        <v>#VALUE!</v>
      </c>
      <c r="P2621" s="16">
        <f t="shared" si="55"/>
        <v>0</v>
      </c>
    </row>
    <row r="2622" spans="15:16" hidden="1" x14ac:dyDescent="0.25">
      <c r="O2622" s="16" t="e">
        <f t="shared" si="54"/>
        <v>#VALUE!</v>
      </c>
      <c r="P2622" s="16">
        <f t="shared" si="55"/>
        <v>0</v>
      </c>
    </row>
    <row r="2623" spans="15:16" hidden="1" x14ac:dyDescent="0.25">
      <c r="O2623" s="16" t="e">
        <f t="shared" si="54"/>
        <v>#VALUE!</v>
      </c>
      <c r="P2623" s="16">
        <f t="shared" si="55"/>
        <v>0</v>
      </c>
    </row>
    <row r="2624" spans="15:16" hidden="1" x14ac:dyDescent="0.25">
      <c r="O2624" s="16" t="e">
        <f t="shared" si="54"/>
        <v>#VALUE!</v>
      </c>
      <c r="P2624" s="16">
        <f t="shared" si="55"/>
        <v>0</v>
      </c>
    </row>
    <row r="2625" spans="15:16" hidden="1" x14ac:dyDescent="0.25">
      <c r="O2625" s="16" t="e">
        <f t="shared" si="54"/>
        <v>#VALUE!</v>
      </c>
      <c r="P2625" s="16">
        <f t="shared" si="55"/>
        <v>0</v>
      </c>
    </row>
    <row r="2626" spans="15:16" hidden="1" x14ac:dyDescent="0.25">
      <c r="O2626" s="16" t="e">
        <f t="shared" si="54"/>
        <v>#VALUE!</v>
      </c>
      <c r="P2626" s="16">
        <f t="shared" si="55"/>
        <v>0</v>
      </c>
    </row>
    <row r="2627" spans="15:16" hidden="1" x14ac:dyDescent="0.25">
      <c r="O2627" s="16" t="e">
        <f t="shared" ref="O2627:O2690" si="56">TEXT(DATEVALUE(LEFT(F2627,10)),"mm-yyyy")</f>
        <v>#VALUE!</v>
      </c>
      <c r="P2627" s="16">
        <f t="shared" ref="P2627:P2690" si="57">H2627*I2627</f>
        <v>0</v>
      </c>
    </row>
    <row r="2628" spans="15:16" hidden="1" x14ac:dyDescent="0.25">
      <c r="O2628" s="16" t="e">
        <f t="shared" si="56"/>
        <v>#VALUE!</v>
      </c>
      <c r="P2628" s="16">
        <f t="shared" si="57"/>
        <v>0</v>
      </c>
    </row>
    <row r="2629" spans="15:16" hidden="1" x14ac:dyDescent="0.25">
      <c r="O2629" s="16" t="e">
        <f t="shared" si="56"/>
        <v>#VALUE!</v>
      </c>
      <c r="P2629" s="16">
        <f t="shared" si="57"/>
        <v>0</v>
      </c>
    </row>
    <row r="2630" spans="15:16" hidden="1" x14ac:dyDescent="0.25">
      <c r="O2630" s="16" t="e">
        <f t="shared" si="56"/>
        <v>#VALUE!</v>
      </c>
      <c r="P2630" s="16">
        <f t="shared" si="57"/>
        <v>0</v>
      </c>
    </row>
    <row r="2631" spans="15:16" hidden="1" x14ac:dyDescent="0.25">
      <c r="O2631" s="16" t="e">
        <f t="shared" si="56"/>
        <v>#VALUE!</v>
      </c>
      <c r="P2631" s="16">
        <f t="shared" si="57"/>
        <v>0</v>
      </c>
    </row>
    <row r="2632" spans="15:16" hidden="1" x14ac:dyDescent="0.25">
      <c r="O2632" s="16" t="e">
        <f t="shared" si="56"/>
        <v>#VALUE!</v>
      </c>
      <c r="P2632" s="16">
        <f t="shared" si="57"/>
        <v>0</v>
      </c>
    </row>
    <row r="2633" spans="15:16" hidden="1" x14ac:dyDescent="0.25">
      <c r="O2633" s="16" t="e">
        <f t="shared" si="56"/>
        <v>#VALUE!</v>
      </c>
      <c r="P2633" s="16">
        <f t="shared" si="57"/>
        <v>0</v>
      </c>
    </row>
    <row r="2634" spans="15:16" hidden="1" x14ac:dyDescent="0.25">
      <c r="O2634" s="16" t="e">
        <f t="shared" si="56"/>
        <v>#VALUE!</v>
      </c>
      <c r="P2634" s="16">
        <f t="shared" si="57"/>
        <v>0</v>
      </c>
    </row>
    <row r="2635" spans="15:16" hidden="1" x14ac:dyDescent="0.25">
      <c r="O2635" s="16" t="e">
        <f t="shared" si="56"/>
        <v>#VALUE!</v>
      </c>
      <c r="P2635" s="16">
        <f t="shared" si="57"/>
        <v>0</v>
      </c>
    </row>
    <row r="2636" spans="15:16" hidden="1" x14ac:dyDescent="0.25">
      <c r="O2636" s="16" t="e">
        <f t="shared" si="56"/>
        <v>#VALUE!</v>
      </c>
      <c r="P2636" s="16">
        <f t="shared" si="57"/>
        <v>0</v>
      </c>
    </row>
    <row r="2637" spans="15:16" hidden="1" x14ac:dyDescent="0.25">
      <c r="O2637" s="16" t="e">
        <f t="shared" si="56"/>
        <v>#VALUE!</v>
      </c>
      <c r="P2637" s="16">
        <f t="shared" si="57"/>
        <v>0</v>
      </c>
    </row>
    <row r="2638" spans="15:16" hidden="1" x14ac:dyDescent="0.25">
      <c r="O2638" s="16" t="e">
        <f t="shared" si="56"/>
        <v>#VALUE!</v>
      </c>
      <c r="P2638" s="16">
        <f t="shared" si="57"/>
        <v>0</v>
      </c>
    </row>
    <row r="2639" spans="15:16" hidden="1" x14ac:dyDescent="0.25">
      <c r="O2639" s="16" t="e">
        <f t="shared" si="56"/>
        <v>#VALUE!</v>
      </c>
      <c r="P2639" s="16">
        <f t="shared" si="57"/>
        <v>0</v>
      </c>
    </row>
    <row r="2640" spans="15:16" hidden="1" x14ac:dyDescent="0.25">
      <c r="O2640" s="16" t="e">
        <f t="shared" si="56"/>
        <v>#VALUE!</v>
      </c>
      <c r="P2640" s="16">
        <f t="shared" si="57"/>
        <v>0</v>
      </c>
    </row>
    <row r="2641" spans="15:16" hidden="1" x14ac:dyDescent="0.25">
      <c r="O2641" s="16" t="e">
        <f t="shared" si="56"/>
        <v>#VALUE!</v>
      </c>
      <c r="P2641" s="16">
        <f t="shared" si="57"/>
        <v>0</v>
      </c>
    </row>
    <row r="2642" spans="15:16" hidden="1" x14ac:dyDescent="0.25">
      <c r="O2642" s="16" t="e">
        <f t="shared" si="56"/>
        <v>#VALUE!</v>
      </c>
      <c r="P2642" s="16">
        <f t="shared" si="57"/>
        <v>0</v>
      </c>
    </row>
    <row r="2643" spans="15:16" hidden="1" x14ac:dyDescent="0.25">
      <c r="O2643" s="16" t="e">
        <f t="shared" si="56"/>
        <v>#VALUE!</v>
      </c>
      <c r="P2643" s="16">
        <f t="shared" si="57"/>
        <v>0</v>
      </c>
    </row>
    <row r="2644" spans="15:16" hidden="1" x14ac:dyDescent="0.25">
      <c r="O2644" s="16" t="e">
        <f t="shared" si="56"/>
        <v>#VALUE!</v>
      </c>
      <c r="P2644" s="16">
        <f t="shared" si="57"/>
        <v>0</v>
      </c>
    </row>
    <row r="2645" spans="15:16" hidden="1" x14ac:dyDescent="0.25">
      <c r="O2645" s="16" t="e">
        <f t="shared" si="56"/>
        <v>#VALUE!</v>
      </c>
      <c r="P2645" s="16">
        <f t="shared" si="57"/>
        <v>0</v>
      </c>
    </row>
    <row r="2646" spans="15:16" hidden="1" x14ac:dyDescent="0.25">
      <c r="O2646" s="16" t="e">
        <f t="shared" si="56"/>
        <v>#VALUE!</v>
      </c>
      <c r="P2646" s="16">
        <f t="shared" si="57"/>
        <v>0</v>
      </c>
    </row>
    <row r="2647" spans="15:16" hidden="1" x14ac:dyDescent="0.25">
      <c r="O2647" s="16" t="e">
        <f t="shared" si="56"/>
        <v>#VALUE!</v>
      </c>
      <c r="P2647" s="16">
        <f t="shared" si="57"/>
        <v>0</v>
      </c>
    </row>
    <row r="2648" spans="15:16" hidden="1" x14ac:dyDescent="0.25">
      <c r="O2648" s="16" t="e">
        <f t="shared" si="56"/>
        <v>#VALUE!</v>
      </c>
      <c r="P2648" s="16">
        <f t="shared" si="57"/>
        <v>0</v>
      </c>
    </row>
    <row r="2649" spans="15:16" hidden="1" x14ac:dyDescent="0.25">
      <c r="O2649" s="16" t="e">
        <f t="shared" si="56"/>
        <v>#VALUE!</v>
      </c>
      <c r="P2649" s="16">
        <f t="shared" si="57"/>
        <v>0</v>
      </c>
    </row>
    <row r="2650" spans="15:16" hidden="1" x14ac:dyDescent="0.25">
      <c r="O2650" s="16" t="e">
        <f t="shared" si="56"/>
        <v>#VALUE!</v>
      </c>
      <c r="P2650" s="16">
        <f t="shared" si="57"/>
        <v>0</v>
      </c>
    </row>
    <row r="2651" spans="15:16" hidden="1" x14ac:dyDescent="0.25">
      <c r="O2651" s="16" t="e">
        <f t="shared" si="56"/>
        <v>#VALUE!</v>
      </c>
      <c r="P2651" s="16">
        <f t="shared" si="57"/>
        <v>0</v>
      </c>
    </row>
    <row r="2652" spans="15:16" hidden="1" x14ac:dyDescent="0.25">
      <c r="O2652" s="16" t="e">
        <f t="shared" si="56"/>
        <v>#VALUE!</v>
      </c>
      <c r="P2652" s="16">
        <f t="shared" si="57"/>
        <v>0</v>
      </c>
    </row>
    <row r="2653" spans="15:16" hidden="1" x14ac:dyDescent="0.25">
      <c r="O2653" s="16" t="e">
        <f t="shared" si="56"/>
        <v>#VALUE!</v>
      </c>
      <c r="P2653" s="16">
        <f t="shared" si="57"/>
        <v>0</v>
      </c>
    </row>
    <row r="2654" spans="15:16" hidden="1" x14ac:dyDescent="0.25">
      <c r="O2654" s="16" t="e">
        <f t="shared" si="56"/>
        <v>#VALUE!</v>
      </c>
      <c r="P2654" s="16">
        <f t="shared" si="57"/>
        <v>0</v>
      </c>
    </row>
    <row r="2655" spans="15:16" hidden="1" x14ac:dyDescent="0.25">
      <c r="O2655" s="16" t="e">
        <f t="shared" si="56"/>
        <v>#VALUE!</v>
      </c>
      <c r="P2655" s="16">
        <f t="shared" si="57"/>
        <v>0</v>
      </c>
    </row>
    <row r="2656" spans="15:16" hidden="1" x14ac:dyDescent="0.25">
      <c r="O2656" s="16" t="e">
        <f t="shared" si="56"/>
        <v>#VALUE!</v>
      </c>
      <c r="P2656" s="16">
        <f t="shared" si="57"/>
        <v>0</v>
      </c>
    </row>
    <row r="2657" spans="15:16" hidden="1" x14ac:dyDescent="0.25">
      <c r="O2657" s="16" t="e">
        <f t="shared" si="56"/>
        <v>#VALUE!</v>
      </c>
      <c r="P2657" s="16">
        <f t="shared" si="57"/>
        <v>0</v>
      </c>
    </row>
    <row r="2658" spans="15:16" hidden="1" x14ac:dyDescent="0.25">
      <c r="O2658" s="16" t="e">
        <f t="shared" si="56"/>
        <v>#VALUE!</v>
      </c>
      <c r="P2658" s="16">
        <f t="shared" si="57"/>
        <v>0</v>
      </c>
    </row>
    <row r="2659" spans="15:16" hidden="1" x14ac:dyDescent="0.25">
      <c r="O2659" s="16" t="e">
        <f t="shared" si="56"/>
        <v>#VALUE!</v>
      </c>
      <c r="P2659" s="16">
        <f t="shared" si="57"/>
        <v>0</v>
      </c>
    </row>
    <row r="2660" spans="15:16" hidden="1" x14ac:dyDescent="0.25">
      <c r="O2660" s="16" t="e">
        <f t="shared" si="56"/>
        <v>#VALUE!</v>
      </c>
      <c r="P2660" s="16">
        <f t="shared" si="57"/>
        <v>0</v>
      </c>
    </row>
    <row r="2661" spans="15:16" hidden="1" x14ac:dyDescent="0.25">
      <c r="O2661" s="16" t="e">
        <f t="shared" si="56"/>
        <v>#VALUE!</v>
      </c>
      <c r="P2661" s="16">
        <f t="shared" si="57"/>
        <v>0</v>
      </c>
    </row>
    <row r="2662" spans="15:16" hidden="1" x14ac:dyDescent="0.25">
      <c r="O2662" s="16" t="e">
        <f t="shared" si="56"/>
        <v>#VALUE!</v>
      </c>
      <c r="P2662" s="16">
        <f t="shared" si="57"/>
        <v>0</v>
      </c>
    </row>
    <row r="2663" spans="15:16" hidden="1" x14ac:dyDescent="0.25">
      <c r="O2663" s="16" t="e">
        <f t="shared" si="56"/>
        <v>#VALUE!</v>
      </c>
      <c r="P2663" s="16">
        <f t="shared" si="57"/>
        <v>0</v>
      </c>
    </row>
    <row r="2664" spans="15:16" hidden="1" x14ac:dyDescent="0.25">
      <c r="O2664" s="16" t="e">
        <f t="shared" si="56"/>
        <v>#VALUE!</v>
      </c>
      <c r="P2664" s="16">
        <f t="shared" si="57"/>
        <v>0</v>
      </c>
    </row>
    <row r="2665" spans="15:16" hidden="1" x14ac:dyDescent="0.25">
      <c r="O2665" s="16" t="e">
        <f t="shared" si="56"/>
        <v>#VALUE!</v>
      </c>
      <c r="P2665" s="16">
        <f t="shared" si="57"/>
        <v>0</v>
      </c>
    </row>
    <row r="2666" spans="15:16" hidden="1" x14ac:dyDescent="0.25">
      <c r="O2666" s="16" t="e">
        <f t="shared" si="56"/>
        <v>#VALUE!</v>
      </c>
      <c r="P2666" s="16">
        <f t="shared" si="57"/>
        <v>0</v>
      </c>
    </row>
    <row r="2667" spans="15:16" hidden="1" x14ac:dyDescent="0.25">
      <c r="O2667" s="16" t="e">
        <f t="shared" si="56"/>
        <v>#VALUE!</v>
      </c>
      <c r="P2667" s="16">
        <f t="shared" si="57"/>
        <v>0</v>
      </c>
    </row>
    <row r="2668" spans="15:16" hidden="1" x14ac:dyDescent="0.25">
      <c r="O2668" s="16" t="e">
        <f t="shared" si="56"/>
        <v>#VALUE!</v>
      </c>
      <c r="P2668" s="16">
        <f t="shared" si="57"/>
        <v>0</v>
      </c>
    </row>
    <row r="2669" spans="15:16" hidden="1" x14ac:dyDescent="0.25">
      <c r="O2669" s="16" t="e">
        <f t="shared" si="56"/>
        <v>#VALUE!</v>
      </c>
      <c r="P2669" s="16">
        <f t="shared" si="57"/>
        <v>0</v>
      </c>
    </row>
    <row r="2670" spans="15:16" hidden="1" x14ac:dyDescent="0.25">
      <c r="O2670" s="16" t="e">
        <f t="shared" si="56"/>
        <v>#VALUE!</v>
      </c>
      <c r="P2670" s="16">
        <f t="shared" si="57"/>
        <v>0</v>
      </c>
    </row>
    <row r="2671" spans="15:16" hidden="1" x14ac:dyDescent="0.25">
      <c r="O2671" s="16" t="e">
        <f t="shared" si="56"/>
        <v>#VALUE!</v>
      </c>
      <c r="P2671" s="16">
        <f t="shared" si="57"/>
        <v>0</v>
      </c>
    </row>
    <row r="2672" spans="15:16" hidden="1" x14ac:dyDescent="0.25">
      <c r="O2672" s="16" t="e">
        <f t="shared" si="56"/>
        <v>#VALUE!</v>
      </c>
      <c r="P2672" s="16">
        <f t="shared" si="57"/>
        <v>0</v>
      </c>
    </row>
    <row r="2673" spans="15:16" hidden="1" x14ac:dyDescent="0.25">
      <c r="O2673" s="16" t="e">
        <f t="shared" si="56"/>
        <v>#VALUE!</v>
      </c>
      <c r="P2673" s="16">
        <f t="shared" si="57"/>
        <v>0</v>
      </c>
    </row>
    <row r="2674" spans="15:16" hidden="1" x14ac:dyDescent="0.25">
      <c r="O2674" s="16" t="e">
        <f t="shared" si="56"/>
        <v>#VALUE!</v>
      </c>
      <c r="P2674" s="16">
        <f t="shared" si="57"/>
        <v>0</v>
      </c>
    </row>
    <row r="2675" spans="15:16" hidden="1" x14ac:dyDescent="0.25">
      <c r="O2675" s="16" t="e">
        <f t="shared" si="56"/>
        <v>#VALUE!</v>
      </c>
      <c r="P2675" s="16">
        <f t="shared" si="57"/>
        <v>0</v>
      </c>
    </row>
    <row r="2676" spans="15:16" hidden="1" x14ac:dyDescent="0.25">
      <c r="O2676" s="16" t="e">
        <f t="shared" si="56"/>
        <v>#VALUE!</v>
      </c>
      <c r="P2676" s="16">
        <f t="shared" si="57"/>
        <v>0</v>
      </c>
    </row>
    <row r="2677" spans="15:16" hidden="1" x14ac:dyDescent="0.25">
      <c r="O2677" s="16" t="e">
        <f t="shared" si="56"/>
        <v>#VALUE!</v>
      </c>
      <c r="P2677" s="16">
        <f t="shared" si="57"/>
        <v>0</v>
      </c>
    </row>
    <row r="2678" spans="15:16" hidden="1" x14ac:dyDescent="0.25">
      <c r="O2678" s="16" t="e">
        <f t="shared" si="56"/>
        <v>#VALUE!</v>
      </c>
      <c r="P2678" s="16">
        <f t="shared" si="57"/>
        <v>0</v>
      </c>
    </row>
    <row r="2679" spans="15:16" hidden="1" x14ac:dyDescent="0.25">
      <c r="O2679" s="16" t="e">
        <f t="shared" si="56"/>
        <v>#VALUE!</v>
      </c>
      <c r="P2679" s="16">
        <f t="shared" si="57"/>
        <v>0</v>
      </c>
    </row>
    <row r="2680" spans="15:16" hidden="1" x14ac:dyDescent="0.25">
      <c r="O2680" s="16" t="e">
        <f t="shared" si="56"/>
        <v>#VALUE!</v>
      </c>
      <c r="P2680" s="16">
        <f t="shared" si="57"/>
        <v>0</v>
      </c>
    </row>
    <row r="2681" spans="15:16" hidden="1" x14ac:dyDescent="0.25">
      <c r="O2681" s="16" t="e">
        <f t="shared" si="56"/>
        <v>#VALUE!</v>
      </c>
      <c r="P2681" s="16">
        <f t="shared" si="57"/>
        <v>0</v>
      </c>
    </row>
    <row r="2682" spans="15:16" hidden="1" x14ac:dyDescent="0.25">
      <c r="O2682" s="16" t="e">
        <f t="shared" si="56"/>
        <v>#VALUE!</v>
      </c>
      <c r="P2682" s="16">
        <f t="shared" si="57"/>
        <v>0</v>
      </c>
    </row>
    <row r="2683" spans="15:16" hidden="1" x14ac:dyDescent="0.25">
      <c r="O2683" s="16" t="e">
        <f t="shared" si="56"/>
        <v>#VALUE!</v>
      </c>
      <c r="P2683" s="16">
        <f t="shared" si="57"/>
        <v>0</v>
      </c>
    </row>
    <row r="2684" spans="15:16" hidden="1" x14ac:dyDescent="0.25">
      <c r="O2684" s="16" t="e">
        <f t="shared" si="56"/>
        <v>#VALUE!</v>
      </c>
      <c r="P2684" s="16">
        <f t="shared" si="57"/>
        <v>0</v>
      </c>
    </row>
    <row r="2685" spans="15:16" hidden="1" x14ac:dyDescent="0.25">
      <c r="O2685" s="16" t="e">
        <f t="shared" si="56"/>
        <v>#VALUE!</v>
      </c>
      <c r="P2685" s="16">
        <f t="shared" si="57"/>
        <v>0</v>
      </c>
    </row>
    <row r="2686" spans="15:16" hidden="1" x14ac:dyDescent="0.25">
      <c r="O2686" s="16" t="e">
        <f t="shared" si="56"/>
        <v>#VALUE!</v>
      </c>
      <c r="P2686" s="16">
        <f t="shared" si="57"/>
        <v>0</v>
      </c>
    </row>
    <row r="2687" spans="15:16" hidden="1" x14ac:dyDescent="0.25">
      <c r="O2687" s="16" t="e">
        <f t="shared" si="56"/>
        <v>#VALUE!</v>
      </c>
      <c r="P2687" s="16">
        <f t="shared" si="57"/>
        <v>0</v>
      </c>
    </row>
    <row r="2688" spans="15:16" hidden="1" x14ac:dyDescent="0.25">
      <c r="O2688" s="16" t="e">
        <f t="shared" si="56"/>
        <v>#VALUE!</v>
      </c>
      <c r="P2688" s="16">
        <f t="shared" si="57"/>
        <v>0</v>
      </c>
    </row>
    <row r="2689" spans="15:16" hidden="1" x14ac:dyDescent="0.25">
      <c r="O2689" s="16" t="e">
        <f t="shared" si="56"/>
        <v>#VALUE!</v>
      </c>
      <c r="P2689" s="16">
        <f t="shared" si="57"/>
        <v>0</v>
      </c>
    </row>
    <row r="2690" spans="15:16" hidden="1" x14ac:dyDescent="0.25">
      <c r="O2690" s="16" t="e">
        <f t="shared" si="56"/>
        <v>#VALUE!</v>
      </c>
      <c r="P2690" s="16">
        <f t="shared" si="57"/>
        <v>0</v>
      </c>
    </row>
    <row r="2691" spans="15:16" hidden="1" x14ac:dyDescent="0.25">
      <c r="O2691" s="16" t="e">
        <f t="shared" ref="O2691:O2754" si="58">TEXT(DATEVALUE(LEFT(F2691,10)),"mm-yyyy")</f>
        <v>#VALUE!</v>
      </c>
      <c r="P2691" s="16">
        <f t="shared" ref="P2691:P2754" si="59">H2691*I2691</f>
        <v>0</v>
      </c>
    </row>
    <row r="2692" spans="15:16" hidden="1" x14ac:dyDescent="0.25">
      <c r="O2692" s="16" t="e">
        <f t="shared" si="58"/>
        <v>#VALUE!</v>
      </c>
      <c r="P2692" s="16">
        <f t="shared" si="59"/>
        <v>0</v>
      </c>
    </row>
    <row r="2693" spans="15:16" hidden="1" x14ac:dyDescent="0.25">
      <c r="O2693" s="16" t="e">
        <f t="shared" si="58"/>
        <v>#VALUE!</v>
      </c>
      <c r="P2693" s="16">
        <f t="shared" si="59"/>
        <v>0</v>
      </c>
    </row>
    <row r="2694" spans="15:16" hidden="1" x14ac:dyDescent="0.25">
      <c r="O2694" s="16" t="e">
        <f t="shared" si="58"/>
        <v>#VALUE!</v>
      </c>
      <c r="P2694" s="16">
        <f t="shared" si="59"/>
        <v>0</v>
      </c>
    </row>
    <row r="2695" spans="15:16" hidden="1" x14ac:dyDescent="0.25">
      <c r="O2695" s="16" t="e">
        <f t="shared" si="58"/>
        <v>#VALUE!</v>
      </c>
      <c r="P2695" s="16">
        <f t="shared" si="59"/>
        <v>0</v>
      </c>
    </row>
    <row r="2696" spans="15:16" hidden="1" x14ac:dyDescent="0.25">
      <c r="O2696" s="16" t="e">
        <f t="shared" si="58"/>
        <v>#VALUE!</v>
      </c>
      <c r="P2696" s="16">
        <f t="shared" si="59"/>
        <v>0</v>
      </c>
    </row>
    <row r="2697" spans="15:16" hidden="1" x14ac:dyDescent="0.25">
      <c r="O2697" s="16" t="e">
        <f t="shared" si="58"/>
        <v>#VALUE!</v>
      </c>
      <c r="P2697" s="16">
        <f t="shared" si="59"/>
        <v>0</v>
      </c>
    </row>
    <row r="2698" spans="15:16" hidden="1" x14ac:dyDescent="0.25">
      <c r="O2698" s="16" t="e">
        <f t="shared" si="58"/>
        <v>#VALUE!</v>
      </c>
      <c r="P2698" s="16">
        <f t="shared" si="59"/>
        <v>0</v>
      </c>
    </row>
    <row r="2699" spans="15:16" hidden="1" x14ac:dyDescent="0.25">
      <c r="O2699" s="16" t="e">
        <f t="shared" si="58"/>
        <v>#VALUE!</v>
      </c>
      <c r="P2699" s="16">
        <f t="shared" si="59"/>
        <v>0</v>
      </c>
    </row>
    <row r="2700" spans="15:16" hidden="1" x14ac:dyDescent="0.25">
      <c r="O2700" s="16" t="e">
        <f t="shared" si="58"/>
        <v>#VALUE!</v>
      </c>
      <c r="P2700" s="16">
        <f t="shared" si="59"/>
        <v>0</v>
      </c>
    </row>
    <row r="2701" spans="15:16" hidden="1" x14ac:dyDescent="0.25">
      <c r="O2701" s="16" t="e">
        <f t="shared" si="58"/>
        <v>#VALUE!</v>
      </c>
      <c r="P2701" s="16">
        <f t="shared" si="59"/>
        <v>0</v>
      </c>
    </row>
    <row r="2702" spans="15:16" hidden="1" x14ac:dyDescent="0.25">
      <c r="O2702" s="16" t="e">
        <f t="shared" si="58"/>
        <v>#VALUE!</v>
      </c>
      <c r="P2702" s="16">
        <f t="shared" si="59"/>
        <v>0</v>
      </c>
    </row>
    <row r="2703" spans="15:16" hidden="1" x14ac:dyDescent="0.25">
      <c r="O2703" s="16" t="e">
        <f t="shared" si="58"/>
        <v>#VALUE!</v>
      </c>
      <c r="P2703" s="16">
        <f t="shared" si="59"/>
        <v>0</v>
      </c>
    </row>
    <row r="2704" spans="15:16" hidden="1" x14ac:dyDescent="0.25">
      <c r="O2704" s="16" t="e">
        <f t="shared" si="58"/>
        <v>#VALUE!</v>
      </c>
      <c r="P2704" s="16">
        <f t="shared" si="59"/>
        <v>0</v>
      </c>
    </row>
    <row r="2705" spans="15:16" hidden="1" x14ac:dyDescent="0.25">
      <c r="O2705" s="16" t="e">
        <f t="shared" si="58"/>
        <v>#VALUE!</v>
      </c>
      <c r="P2705" s="16">
        <f t="shared" si="59"/>
        <v>0</v>
      </c>
    </row>
    <row r="2706" spans="15:16" hidden="1" x14ac:dyDescent="0.25">
      <c r="O2706" s="16" t="e">
        <f t="shared" si="58"/>
        <v>#VALUE!</v>
      </c>
      <c r="P2706" s="16">
        <f t="shared" si="59"/>
        <v>0</v>
      </c>
    </row>
    <row r="2707" spans="15:16" hidden="1" x14ac:dyDescent="0.25">
      <c r="O2707" s="16" t="e">
        <f t="shared" si="58"/>
        <v>#VALUE!</v>
      </c>
      <c r="P2707" s="16">
        <f t="shared" si="59"/>
        <v>0</v>
      </c>
    </row>
    <row r="2708" spans="15:16" hidden="1" x14ac:dyDescent="0.25">
      <c r="O2708" s="16" t="e">
        <f t="shared" si="58"/>
        <v>#VALUE!</v>
      </c>
      <c r="P2708" s="16">
        <f t="shared" si="59"/>
        <v>0</v>
      </c>
    </row>
    <row r="2709" spans="15:16" hidden="1" x14ac:dyDescent="0.25">
      <c r="O2709" s="16" t="e">
        <f t="shared" si="58"/>
        <v>#VALUE!</v>
      </c>
      <c r="P2709" s="16">
        <f t="shared" si="59"/>
        <v>0</v>
      </c>
    </row>
    <row r="2710" spans="15:16" hidden="1" x14ac:dyDescent="0.25">
      <c r="O2710" s="16" t="e">
        <f t="shared" si="58"/>
        <v>#VALUE!</v>
      </c>
      <c r="P2710" s="16">
        <f t="shared" si="59"/>
        <v>0</v>
      </c>
    </row>
    <row r="2711" spans="15:16" hidden="1" x14ac:dyDescent="0.25">
      <c r="O2711" s="16" t="e">
        <f t="shared" si="58"/>
        <v>#VALUE!</v>
      </c>
      <c r="P2711" s="16">
        <f t="shared" si="59"/>
        <v>0</v>
      </c>
    </row>
    <row r="2712" spans="15:16" hidden="1" x14ac:dyDescent="0.25">
      <c r="O2712" s="16" t="e">
        <f t="shared" si="58"/>
        <v>#VALUE!</v>
      </c>
      <c r="P2712" s="16">
        <f t="shared" si="59"/>
        <v>0</v>
      </c>
    </row>
    <row r="2713" spans="15:16" hidden="1" x14ac:dyDescent="0.25">
      <c r="O2713" s="16" t="e">
        <f t="shared" si="58"/>
        <v>#VALUE!</v>
      </c>
      <c r="P2713" s="16">
        <f t="shared" si="59"/>
        <v>0</v>
      </c>
    </row>
    <row r="2714" spans="15:16" hidden="1" x14ac:dyDescent="0.25">
      <c r="O2714" s="16" t="e">
        <f t="shared" si="58"/>
        <v>#VALUE!</v>
      </c>
      <c r="P2714" s="16">
        <f t="shared" si="59"/>
        <v>0</v>
      </c>
    </row>
    <row r="2715" spans="15:16" hidden="1" x14ac:dyDescent="0.25">
      <c r="O2715" s="16" t="e">
        <f t="shared" si="58"/>
        <v>#VALUE!</v>
      </c>
      <c r="P2715" s="16">
        <f t="shared" si="59"/>
        <v>0</v>
      </c>
    </row>
    <row r="2716" spans="15:16" hidden="1" x14ac:dyDescent="0.25">
      <c r="O2716" s="16" t="e">
        <f t="shared" si="58"/>
        <v>#VALUE!</v>
      </c>
      <c r="P2716" s="16">
        <f t="shared" si="59"/>
        <v>0</v>
      </c>
    </row>
    <row r="2717" spans="15:16" hidden="1" x14ac:dyDescent="0.25">
      <c r="O2717" s="16" t="e">
        <f t="shared" si="58"/>
        <v>#VALUE!</v>
      </c>
      <c r="P2717" s="16">
        <f t="shared" si="59"/>
        <v>0</v>
      </c>
    </row>
    <row r="2718" spans="15:16" hidden="1" x14ac:dyDescent="0.25">
      <c r="O2718" s="16" t="e">
        <f t="shared" si="58"/>
        <v>#VALUE!</v>
      </c>
      <c r="P2718" s="16">
        <f t="shared" si="59"/>
        <v>0</v>
      </c>
    </row>
    <row r="2719" spans="15:16" hidden="1" x14ac:dyDescent="0.25">
      <c r="O2719" s="16" t="e">
        <f t="shared" si="58"/>
        <v>#VALUE!</v>
      </c>
      <c r="P2719" s="16">
        <f t="shared" si="59"/>
        <v>0</v>
      </c>
    </row>
    <row r="2720" spans="15:16" hidden="1" x14ac:dyDescent="0.25">
      <c r="O2720" s="16" t="e">
        <f t="shared" si="58"/>
        <v>#VALUE!</v>
      </c>
      <c r="P2720" s="16">
        <f t="shared" si="59"/>
        <v>0</v>
      </c>
    </row>
    <row r="2721" spans="15:16" hidden="1" x14ac:dyDescent="0.25">
      <c r="O2721" s="16" t="e">
        <f t="shared" si="58"/>
        <v>#VALUE!</v>
      </c>
      <c r="P2721" s="16">
        <f t="shared" si="59"/>
        <v>0</v>
      </c>
    </row>
    <row r="2722" spans="15:16" hidden="1" x14ac:dyDescent="0.25">
      <c r="O2722" s="16" t="e">
        <f t="shared" si="58"/>
        <v>#VALUE!</v>
      </c>
      <c r="P2722" s="16">
        <f t="shared" si="59"/>
        <v>0</v>
      </c>
    </row>
    <row r="2723" spans="15:16" hidden="1" x14ac:dyDescent="0.25">
      <c r="O2723" s="16" t="e">
        <f t="shared" si="58"/>
        <v>#VALUE!</v>
      </c>
      <c r="P2723" s="16">
        <f t="shared" si="59"/>
        <v>0</v>
      </c>
    </row>
    <row r="2724" spans="15:16" hidden="1" x14ac:dyDescent="0.25">
      <c r="O2724" s="16" t="e">
        <f t="shared" si="58"/>
        <v>#VALUE!</v>
      </c>
      <c r="P2724" s="16">
        <f t="shared" si="59"/>
        <v>0</v>
      </c>
    </row>
    <row r="2725" spans="15:16" hidden="1" x14ac:dyDescent="0.25">
      <c r="O2725" s="16" t="e">
        <f t="shared" si="58"/>
        <v>#VALUE!</v>
      </c>
      <c r="P2725" s="16">
        <f t="shared" si="59"/>
        <v>0</v>
      </c>
    </row>
    <row r="2726" spans="15:16" hidden="1" x14ac:dyDescent="0.25">
      <c r="O2726" s="16" t="e">
        <f t="shared" si="58"/>
        <v>#VALUE!</v>
      </c>
      <c r="P2726" s="16">
        <f t="shared" si="59"/>
        <v>0</v>
      </c>
    </row>
    <row r="2727" spans="15:16" hidden="1" x14ac:dyDescent="0.25">
      <c r="O2727" s="16" t="e">
        <f t="shared" si="58"/>
        <v>#VALUE!</v>
      </c>
      <c r="P2727" s="16">
        <f t="shared" si="59"/>
        <v>0</v>
      </c>
    </row>
    <row r="2728" spans="15:16" hidden="1" x14ac:dyDescent="0.25">
      <c r="O2728" s="16" t="e">
        <f t="shared" si="58"/>
        <v>#VALUE!</v>
      </c>
      <c r="P2728" s="16">
        <f t="shared" si="59"/>
        <v>0</v>
      </c>
    </row>
    <row r="2729" spans="15:16" hidden="1" x14ac:dyDescent="0.25">
      <c r="O2729" s="16" t="e">
        <f t="shared" si="58"/>
        <v>#VALUE!</v>
      </c>
      <c r="P2729" s="16">
        <f t="shared" si="59"/>
        <v>0</v>
      </c>
    </row>
    <row r="2730" spans="15:16" hidden="1" x14ac:dyDescent="0.25">
      <c r="O2730" s="16" t="e">
        <f t="shared" si="58"/>
        <v>#VALUE!</v>
      </c>
      <c r="P2730" s="16">
        <f t="shared" si="59"/>
        <v>0</v>
      </c>
    </row>
    <row r="2731" spans="15:16" hidden="1" x14ac:dyDescent="0.25">
      <c r="O2731" s="16" t="e">
        <f t="shared" si="58"/>
        <v>#VALUE!</v>
      </c>
      <c r="P2731" s="16">
        <f t="shared" si="59"/>
        <v>0</v>
      </c>
    </row>
    <row r="2732" spans="15:16" hidden="1" x14ac:dyDescent="0.25">
      <c r="O2732" s="16" t="e">
        <f t="shared" si="58"/>
        <v>#VALUE!</v>
      </c>
      <c r="P2732" s="16">
        <f t="shared" si="59"/>
        <v>0</v>
      </c>
    </row>
    <row r="2733" spans="15:16" hidden="1" x14ac:dyDescent="0.25">
      <c r="O2733" s="16" t="e">
        <f t="shared" si="58"/>
        <v>#VALUE!</v>
      </c>
      <c r="P2733" s="16">
        <f t="shared" si="59"/>
        <v>0</v>
      </c>
    </row>
    <row r="2734" spans="15:16" hidden="1" x14ac:dyDescent="0.25">
      <c r="O2734" s="16" t="e">
        <f t="shared" si="58"/>
        <v>#VALUE!</v>
      </c>
      <c r="P2734" s="16">
        <f t="shared" si="59"/>
        <v>0</v>
      </c>
    </row>
    <row r="2735" spans="15:16" hidden="1" x14ac:dyDescent="0.25">
      <c r="O2735" s="16" t="e">
        <f t="shared" si="58"/>
        <v>#VALUE!</v>
      </c>
      <c r="P2735" s="16">
        <f t="shared" si="59"/>
        <v>0</v>
      </c>
    </row>
    <row r="2736" spans="15:16" hidden="1" x14ac:dyDescent="0.25">
      <c r="O2736" s="16" t="e">
        <f t="shared" si="58"/>
        <v>#VALUE!</v>
      </c>
      <c r="P2736" s="16">
        <f t="shared" si="59"/>
        <v>0</v>
      </c>
    </row>
    <row r="2737" spans="15:16" hidden="1" x14ac:dyDescent="0.25">
      <c r="O2737" s="16" t="e">
        <f t="shared" si="58"/>
        <v>#VALUE!</v>
      </c>
      <c r="P2737" s="16">
        <f t="shared" si="59"/>
        <v>0</v>
      </c>
    </row>
    <row r="2738" spans="15:16" hidden="1" x14ac:dyDescent="0.25">
      <c r="O2738" s="16" t="e">
        <f t="shared" si="58"/>
        <v>#VALUE!</v>
      </c>
      <c r="P2738" s="16">
        <f t="shared" si="59"/>
        <v>0</v>
      </c>
    </row>
    <row r="2739" spans="15:16" hidden="1" x14ac:dyDescent="0.25">
      <c r="O2739" s="16" t="e">
        <f t="shared" si="58"/>
        <v>#VALUE!</v>
      </c>
      <c r="P2739" s="16">
        <f t="shared" si="59"/>
        <v>0</v>
      </c>
    </row>
    <row r="2740" spans="15:16" hidden="1" x14ac:dyDescent="0.25">
      <c r="O2740" s="16" t="e">
        <f t="shared" si="58"/>
        <v>#VALUE!</v>
      </c>
      <c r="P2740" s="16">
        <f t="shared" si="59"/>
        <v>0</v>
      </c>
    </row>
    <row r="2741" spans="15:16" hidden="1" x14ac:dyDescent="0.25">
      <c r="O2741" s="16" t="e">
        <f t="shared" si="58"/>
        <v>#VALUE!</v>
      </c>
      <c r="P2741" s="16">
        <f t="shared" si="59"/>
        <v>0</v>
      </c>
    </row>
    <row r="2742" spans="15:16" hidden="1" x14ac:dyDescent="0.25">
      <c r="O2742" s="16" t="e">
        <f t="shared" si="58"/>
        <v>#VALUE!</v>
      </c>
      <c r="P2742" s="16">
        <f t="shared" si="59"/>
        <v>0</v>
      </c>
    </row>
    <row r="2743" spans="15:16" hidden="1" x14ac:dyDescent="0.25">
      <c r="O2743" s="16" t="e">
        <f t="shared" si="58"/>
        <v>#VALUE!</v>
      </c>
      <c r="P2743" s="16">
        <f t="shared" si="59"/>
        <v>0</v>
      </c>
    </row>
    <row r="2744" spans="15:16" hidden="1" x14ac:dyDescent="0.25">
      <c r="O2744" s="16" t="e">
        <f t="shared" si="58"/>
        <v>#VALUE!</v>
      </c>
      <c r="P2744" s="16">
        <f t="shared" si="59"/>
        <v>0</v>
      </c>
    </row>
    <row r="2745" spans="15:16" hidden="1" x14ac:dyDescent="0.25">
      <c r="O2745" s="16" t="e">
        <f t="shared" si="58"/>
        <v>#VALUE!</v>
      </c>
      <c r="P2745" s="16">
        <f t="shared" si="59"/>
        <v>0</v>
      </c>
    </row>
    <row r="2746" spans="15:16" hidden="1" x14ac:dyDescent="0.25">
      <c r="O2746" s="16" t="e">
        <f t="shared" si="58"/>
        <v>#VALUE!</v>
      </c>
      <c r="P2746" s="16">
        <f t="shared" si="59"/>
        <v>0</v>
      </c>
    </row>
    <row r="2747" spans="15:16" hidden="1" x14ac:dyDescent="0.25">
      <c r="O2747" s="16" t="e">
        <f t="shared" si="58"/>
        <v>#VALUE!</v>
      </c>
      <c r="P2747" s="16">
        <f t="shared" si="59"/>
        <v>0</v>
      </c>
    </row>
    <row r="2748" spans="15:16" hidden="1" x14ac:dyDescent="0.25">
      <c r="O2748" s="16" t="e">
        <f t="shared" si="58"/>
        <v>#VALUE!</v>
      </c>
      <c r="P2748" s="16">
        <f t="shared" si="59"/>
        <v>0</v>
      </c>
    </row>
    <row r="2749" spans="15:16" hidden="1" x14ac:dyDescent="0.25">
      <c r="O2749" s="16" t="e">
        <f t="shared" si="58"/>
        <v>#VALUE!</v>
      </c>
      <c r="P2749" s="16">
        <f t="shared" si="59"/>
        <v>0</v>
      </c>
    </row>
    <row r="2750" spans="15:16" hidden="1" x14ac:dyDescent="0.25">
      <c r="O2750" s="16" t="e">
        <f t="shared" si="58"/>
        <v>#VALUE!</v>
      </c>
      <c r="P2750" s="16">
        <f t="shared" si="59"/>
        <v>0</v>
      </c>
    </row>
    <row r="2751" spans="15:16" hidden="1" x14ac:dyDescent="0.25">
      <c r="O2751" s="16" t="e">
        <f t="shared" si="58"/>
        <v>#VALUE!</v>
      </c>
      <c r="P2751" s="16">
        <f t="shared" si="59"/>
        <v>0</v>
      </c>
    </row>
    <row r="2752" spans="15:16" hidden="1" x14ac:dyDescent="0.25">
      <c r="O2752" s="16" t="e">
        <f t="shared" si="58"/>
        <v>#VALUE!</v>
      </c>
      <c r="P2752" s="16">
        <f t="shared" si="59"/>
        <v>0</v>
      </c>
    </row>
    <row r="2753" spans="15:16" hidden="1" x14ac:dyDescent="0.25">
      <c r="O2753" s="16" t="e">
        <f t="shared" si="58"/>
        <v>#VALUE!</v>
      </c>
      <c r="P2753" s="16">
        <f t="shared" si="59"/>
        <v>0</v>
      </c>
    </row>
    <row r="2754" spans="15:16" hidden="1" x14ac:dyDescent="0.25">
      <c r="O2754" s="16" t="e">
        <f t="shared" si="58"/>
        <v>#VALUE!</v>
      </c>
      <c r="P2754" s="16">
        <f t="shared" si="59"/>
        <v>0</v>
      </c>
    </row>
    <row r="2755" spans="15:16" hidden="1" x14ac:dyDescent="0.25">
      <c r="O2755" s="16" t="e">
        <f t="shared" ref="O2755:O2818" si="60">TEXT(DATEVALUE(LEFT(F2755,10)),"mm-yyyy")</f>
        <v>#VALUE!</v>
      </c>
      <c r="P2755" s="16">
        <f t="shared" ref="P2755:P2818" si="61">H2755*I2755</f>
        <v>0</v>
      </c>
    </row>
    <row r="2756" spans="15:16" hidden="1" x14ac:dyDescent="0.25">
      <c r="O2756" s="16" t="e">
        <f t="shared" si="60"/>
        <v>#VALUE!</v>
      </c>
      <c r="P2756" s="16">
        <f t="shared" si="61"/>
        <v>0</v>
      </c>
    </row>
    <row r="2757" spans="15:16" hidden="1" x14ac:dyDescent="0.25">
      <c r="O2757" s="16" t="e">
        <f t="shared" si="60"/>
        <v>#VALUE!</v>
      </c>
      <c r="P2757" s="16">
        <f t="shared" si="61"/>
        <v>0</v>
      </c>
    </row>
    <row r="2758" spans="15:16" hidden="1" x14ac:dyDescent="0.25">
      <c r="O2758" s="16" t="e">
        <f t="shared" si="60"/>
        <v>#VALUE!</v>
      </c>
      <c r="P2758" s="16">
        <f t="shared" si="61"/>
        <v>0</v>
      </c>
    </row>
    <row r="2759" spans="15:16" hidden="1" x14ac:dyDescent="0.25">
      <c r="O2759" s="16" t="e">
        <f t="shared" si="60"/>
        <v>#VALUE!</v>
      </c>
      <c r="P2759" s="16">
        <f t="shared" si="61"/>
        <v>0</v>
      </c>
    </row>
    <row r="2760" spans="15:16" hidden="1" x14ac:dyDescent="0.25">
      <c r="O2760" s="16" t="e">
        <f t="shared" si="60"/>
        <v>#VALUE!</v>
      </c>
      <c r="P2760" s="16">
        <f t="shared" si="61"/>
        <v>0</v>
      </c>
    </row>
    <row r="2761" spans="15:16" hidden="1" x14ac:dyDescent="0.25">
      <c r="O2761" s="16" t="e">
        <f t="shared" si="60"/>
        <v>#VALUE!</v>
      </c>
      <c r="P2761" s="16">
        <f t="shared" si="61"/>
        <v>0</v>
      </c>
    </row>
    <row r="2762" spans="15:16" hidden="1" x14ac:dyDescent="0.25">
      <c r="O2762" s="16" t="e">
        <f t="shared" si="60"/>
        <v>#VALUE!</v>
      </c>
      <c r="P2762" s="16">
        <f t="shared" si="61"/>
        <v>0</v>
      </c>
    </row>
    <row r="2763" spans="15:16" hidden="1" x14ac:dyDescent="0.25">
      <c r="O2763" s="16" t="e">
        <f t="shared" si="60"/>
        <v>#VALUE!</v>
      </c>
      <c r="P2763" s="16">
        <f t="shared" si="61"/>
        <v>0</v>
      </c>
    </row>
    <row r="2764" spans="15:16" hidden="1" x14ac:dyDescent="0.25">
      <c r="O2764" s="16" t="e">
        <f t="shared" si="60"/>
        <v>#VALUE!</v>
      </c>
      <c r="P2764" s="16">
        <f t="shared" si="61"/>
        <v>0</v>
      </c>
    </row>
    <row r="2765" spans="15:16" hidden="1" x14ac:dyDescent="0.25">
      <c r="O2765" s="16" t="e">
        <f t="shared" si="60"/>
        <v>#VALUE!</v>
      </c>
      <c r="P2765" s="16">
        <f t="shared" si="61"/>
        <v>0</v>
      </c>
    </row>
    <row r="2766" spans="15:16" hidden="1" x14ac:dyDescent="0.25">
      <c r="O2766" s="16" t="e">
        <f t="shared" si="60"/>
        <v>#VALUE!</v>
      </c>
      <c r="P2766" s="16">
        <f t="shared" si="61"/>
        <v>0</v>
      </c>
    </row>
    <row r="2767" spans="15:16" hidden="1" x14ac:dyDescent="0.25">
      <c r="O2767" s="16" t="e">
        <f t="shared" si="60"/>
        <v>#VALUE!</v>
      </c>
      <c r="P2767" s="16">
        <f t="shared" si="61"/>
        <v>0</v>
      </c>
    </row>
    <row r="2768" spans="15:16" hidden="1" x14ac:dyDescent="0.25">
      <c r="O2768" s="16" t="e">
        <f t="shared" si="60"/>
        <v>#VALUE!</v>
      </c>
      <c r="P2768" s="16">
        <f t="shared" si="61"/>
        <v>0</v>
      </c>
    </row>
    <row r="2769" spans="15:16" hidden="1" x14ac:dyDescent="0.25">
      <c r="O2769" s="16" t="e">
        <f t="shared" si="60"/>
        <v>#VALUE!</v>
      </c>
      <c r="P2769" s="16">
        <f t="shared" si="61"/>
        <v>0</v>
      </c>
    </row>
    <row r="2770" spans="15:16" hidden="1" x14ac:dyDescent="0.25">
      <c r="O2770" s="16" t="e">
        <f t="shared" si="60"/>
        <v>#VALUE!</v>
      </c>
      <c r="P2770" s="16">
        <f t="shared" si="61"/>
        <v>0</v>
      </c>
    </row>
    <row r="2771" spans="15:16" hidden="1" x14ac:dyDescent="0.25">
      <c r="O2771" s="16" t="e">
        <f t="shared" si="60"/>
        <v>#VALUE!</v>
      </c>
      <c r="P2771" s="16">
        <f t="shared" si="61"/>
        <v>0</v>
      </c>
    </row>
    <row r="2772" spans="15:16" hidden="1" x14ac:dyDescent="0.25">
      <c r="O2772" s="16" t="e">
        <f t="shared" si="60"/>
        <v>#VALUE!</v>
      </c>
      <c r="P2772" s="16">
        <f t="shared" si="61"/>
        <v>0</v>
      </c>
    </row>
    <row r="2773" spans="15:16" hidden="1" x14ac:dyDescent="0.25">
      <c r="O2773" s="16" t="e">
        <f t="shared" si="60"/>
        <v>#VALUE!</v>
      </c>
      <c r="P2773" s="16">
        <f t="shared" si="61"/>
        <v>0</v>
      </c>
    </row>
    <row r="2774" spans="15:16" hidden="1" x14ac:dyDescent="0.25">
      <c r="O2774" s="16" t="e">
        <f t="shared" si="60"/>
        <v>#VALUE!</v>
      </c>
      <c r="P2774" s="16">
        <f t="shared" si="61"/>
        <v>0</v>
      </c>
    </row>
    <row r="2775" spans="15:16" hidden="1" x14ac:dyDescent="0.25">
      <c r="O2775" s="16" t="e">
        <f t="shared" si="60"/>
        <v>#VALUE!</v>
      </c>
      <c r="P2775" s="16">
        <f t="shared" si="61"/>
        <v>0</v>
      </c>
    </row>
    <row r="2776" spans="15:16" hidden="1" x14ac:dyDescent="0.25">
      <c r="O2776" s="16" t="e">
        <f t="shared" si="60"/>
        <v>#VALUE!</v>
      </c>
      <c r="P2776" s="16">
        <f t="shared" si="61"/>
        <v>0</v>
      </c>
    </row>
    <row r="2777" spans="15:16" hidden="1" x14ac:dyDescent="0.25">
      <c r="O2777" s="16" t="e">
        <f t="shared" si="60"/>
        <v>#VALUE!</v>
      </c>
      <c r="P2777" s="16">
        <f t="shared" si="61"/>
        <v>0</v>
      </c>
    </row>
    <row r="2778" spans="15:16" hidden="1" x14ac:dyDescent="0.25">
      <c r="O2778" s="16" t="e">
        <f t="shared" si="60"/>
        <v>#VALUE!</v>
      </c>
      <c r="P2778" s="16">
        <f t="shared" si="61"/>
        <v>0</v>
      </c>
    </row>
    <row r="2779" spans="15:16" hidden="1" x14ac:dyDescent="0.25">
      <c r="O2779" s="16" t="e">
        <f t="shared" si="60"/>
        <v>#VALUE!</v>
      </c>
      <c r="P2779" s="16">
        <f t="shared" si="61"/>
        <v>0</v>
      </c>
    </row>
    <row r="2780" spans="15:16" hidden="1" x14ac:dyDescent="0.25">
      <c r="O2780" s="16" t="e">
        <f t="shared" si="60"/>
        <v>#VALUE!</v>
      </c>
      <c r="P2780" s="16">
        <f t="shared" si="61"/>
        <v>0</v>
      </c>
    </row>
    <row r="2781" spans="15:16" hidden="1" x14ac:dyDescent="0.25">
      <c r="O2781" s="16" t="e">
        <f t="shared" si="60"/>
        <v>#VALUE!</v>
      </c>
      <c r="P2781" s="16">
        <f t="shared" si="61"/>
        <v>0</v>
      </c>
    </row>
    <row r="2782" spans="15:16" hidden="1" x14ac:dyDescent="0.25">
      <c r="O2782" s="16" t="e">
        <f t="shared" si="60"/>
        <v>#VALUE!</v>
      </c>
      <c r="P2782" s="16">
        <f t="shared" si="61"/>
        <v>0</v>
      </c>
    </row>
    <row r="2783" spans="15:16" hidden="1" x14ac:dyDescent="0.25">
      <c r="O2783" s="16" t="e">
        <f t="shared" si="60"/>
        <v>#VALUE!</v>
      </c>
      <c r="P2783" s="16">
        <f t="shared" si="61"/>
        <v>0</v>
      </c>
    </row>
    <row r="2784" spans="15:16" hidden="1" x14ac:dyDescent="0.25">
      <c r="O2784" s="16" t="e">
        <f t="shared" si="60"/>
        <v>#VALUE!</v>
      </c>
      <c r="P2784" s="16">
        <f t="shared" si="61"/>
        <v>0</v>
      </c>
    </row>
    <row r="2785" spans="15:16" hidden="1" x14ac:dyDescent="0.25">
      <c r="O2785" s="16" t="e">
        <f t="shared" si="60"/>
        <v>#VALUE!</v>
      </c>
      <c r="P2785" s="16">
        <f t="shared" si="61"/>
        <v>0</v>
      </c>
    </row>
    <row r="2786" spans="15:16" hidden="1" x14ac:dyDescent="0.25">
      <c r="O2786" s="16" t="e">
        <f t="shared" si="60"/>
        <v>#VALUE!</v>
      </c>
      <c r="P2786" s="16">
        <f t="shared" si="61"/>
        <v>0</v>
      </c>
    </row>
    <row r="2787" spans="15:16" hidden="1" x14ac:dyDescent="0.25">
      <c r="O2787" s="16" t="e">
        <f t="shared" si="60"/>
        <v>#VALUE!</v>
      </c>
      <c r="P2787" s="16">
        <f t="shared" si="61"/>
        <v>0</v>
      </c>
    </row>
    <row r="2788" spans="15:16" hidden="1" x14ac:dyDescent="0.25">
      <c r="O2788" s="16" t="e">
        <f t="shared" si="60"/>
        <v>#VALUE!</v>
      </c>
      <c r="P2788" s="16">
        <f t="shared" si="61"/>
        <v>0</v>
      </c>
    </row>
    <row r="2789" spans="15:16" hidden="1" x14ac:dyDescent="0.25">
      <c r="O2789" s="16" t="e">
        <f t="shared" si="60"/>
        <v>#VALUE!</v>
      </c>
      <c r="P2789" s="16">
        <f t="shared" si="61"/>
        <v>0</v>
      </c>
    </row>
    <row r="2790" spans="15:16" hidden="1" x14ac:dyDescent="0.25">
      <c r="O2790" s="16" t="e">
        <f t="shared" si="60"/>
        <v>#VALUE!</v>
      </c>
      <c r="P2790" s="16">
        <f t="shared" si="61"/>
        <v>0</v>
      </c>
    </row>
    <row r="2791" spans="15:16" hidden="1" x14ac:dyDescent="0.25">
      <c r="O2791" s="16" t="e">
        <f t="shared" si="60"/>
        <v>#VALUE!</v>
      </c>
      <c r="P2791" s="16">
        <f t="shared" si="61"/>
        <v>0</v>
      </c>
    </row>
    <row r="2792" spans="15:16" hidden="1" x14ac:dyDescent="0.25">
      <c r="O2792" s="16" t="e">
        <f t="shared" si="60"/>
        <v>#VALUE!</v>
      </c>
      <c r="P2792" s="16">
        <f t="shared" si="61"/>
        <v>0</v>
      </c>
    </row>
    <row r="2793" spans="15:16" hidden="1" x14ac:dyDescent="0.25">
      <c r="O2793" s="16" t="e">
        <f t="shared" si="60"/>
        <v>#VALUE!</v>
      </c>
      <c r="P2793" s="16">
        <f t="shared" si="61"/>
        <v>0</v>
      </c>
    </row>
    <row r="2794" spans="15:16" hidden="1" x14ac:dyDescent="0.25">
      <c r="O2794" s="16" t="e">
        <f t="shared" si="60"/>
        <v>#VALUE!</v>
      </c>
      <c r="P2794" s="16">
        <f t="shared" si="61"/>
        <v>0</v>
      </c>
    </row>
    <row r="2795" spans="15:16" hidden="1" x14ac:dyDescent="0.25">
      <c r="O2795" s="16" t="e">
        <f t="shared" si="60"/>
        <v>#VALUE!</v>
      </c>
      <c r="P2795" s="16">
        <f t="shared" si="61"/>
        <v>0</v>
      </c>
    </row>
    <row r="2796" spans="15:16" hidden="1" x14ac:dyDescent="0.25">
      <c r="O2796" s="16" t="e">
        <f t="shared" si="60"/>
        <v>#VALUE!</v>
      </c>
      <c r="P2796" s="16">
        <f t="shared" si="61"/>
        <v>0</v>
      </c>
    </row>
    <row r="2797" spans="15:16" hidden="1" x14ac:dyDescent="0.25">
      <c r="O2797" s="16" t="e">
        <f t="shared" si="60"/>
        <v>#VALUE!</v>
      </c>
      <c r="P2797" s="16">
        <f t="shared" si="61"/>
        <v>0</v>
      </c>
    </row>
    <row r="2798" spans="15:16" hidden="1" x14ac:dyDescent="0.25">
      <c r="O2798" s="16" t="e">
        <f t="shared" si="60"/>
        <v>#VALUE!</v>
      </c>
      <c r="P2798" s="16">
        <f t="shared" si="61"/>
        <v>0</v>
      </c>
    </row>
    <row r="2799" spans="15:16" hidden="1" x14ac:dyDescent="0.25">
      <c r="O2799" s="16" t="e">
        <f t="shared" si="60"/>
        <v>#VALUE!</v>
      </c>
      <c r="P2799" s="16">
        <f t="shared" si="61"/>
        <v>0</v>
      </c>
    </row>
    <row r="2800" spans="15:16" hidden="1" x14ac:dyDescent="0.25">
      <c r="O2800" s="16" t="e">
        <f t="shared" si="60"/>
        <v>#VALUE!</v>
      </c>
      <c r="P2800" s="16">
        <f t="shared" si="61"/>
        <v>0</v>
      </c>
    </row>
    <row r="2801" spans="15:16" hidden="1" x14ac:dyDescent="0.25">
      <c r="O2801" s="16" t="e">
        <f t="shared" si="60"/>
        <v>#VALUE!</v>
      </c>
      <c r="P2801" s="16">
        <f t="shared" si="61"/>
        <v>0</v>
      </c>
    </row>
    <row r="2802" spans="15:16" hidden="1" x14ac:dyDescent="0.25">
      <c r="O2802" s="16" t="e">
        <f t="shared" si="60"/>
        <v>#VALUE!</v>
      </c>
      <c r="P2802" s="16">
        <f t="shared" si="61"/>
        <v>0</v>
      </c>
    </row>
    <row r="2803" spans="15:16" hidden="1" x14ac:dyDescent="0.25">
      <c r="O2803" s="16" t="e">
        <f t="shared" si="60"/>
        <v>#VALUE!</v>
      </c>
      <c r="P2803" s="16">
        <f t="shared" si="61"/>
        <v>0</v>
      </c>
    </row>
    <row r="2804" spans="15:16" hidden="1" x14ac:dyDescent="0.25">
      <c r="O2804" s="16" t="e">
        <f t="shared" si="60"/>
        <v>#VALUE!</v>
      </c>
      <c r="P2804" s="16">
        <f t="shared" si="61"/>
        <v>0</v>
      </c>
    </row>
    <row r="2805" spans="15:16" hidden="1" x14ac:dyDescent="0.25">
      <c r="O2805" s="16" t="e">
        <f t="shared" si="60"/>
        <v>#VALUE!</v>
      </c>
      <c r="P2805" s="16">
        <f t="shared" si="61"/>
        <v>0</v>
      </c>
    </row>
    <row r="2806" spans="15:16" hidden="1" x14ac:dyDescent="0.25">
      <c r="O2806" s="16" t="e">
        <f t="shared" si="60"/>
        <v>#VALUE!</v>
      </c>
      <c r="P2806" s="16">
        <f t="shared" si="61"/>
        <v>0</v>
      </c>
    </row>
    <row r="2807" spans="15:16" hidden="1" x14ac:dyDescent="0.25">
      <c r="O2807" s="16" t="e">
        <f t="shared" si="60"/>
        <v>#VALUE!</v>
      </c>
      <c r="P2807" s="16">
        <f t="shared" si="61"/>
        <v>0</v>
      </c>
    </row>
    <row r="2808" spans="15:16" hidden="1" x14ac:dyDescent="0.25">
      <c r="O2808" s="16" t="e">
        <f t="shared" si="60"/>
        <v>#VALUE!</v>
      </c>
      <c r="P2808" s="16">
        <f t="shared" si="61"/>
        <v>0</v>
      </c>
    </row>
    <row r="2809" spans="15:16" hidden="1" x14ac:dyDescent="0.25">
      <c r="O2809" s="16" t="e">
        <f t="shared" si="60"/>
        <v>#VALUE!</v>
      </c>
      <c r="P2809" s="16">
        <f t="shared" si="61"/>
        <v>0</v>
      </c>
    </row>
    <row r="2810" spans="15:16" hidden="1" x14ac:dyDescent="0.25">
      <c r="O2810" s="16" t="e">
        <f t="shared" si="60"/>
        <v>#VALUE!</v>
      </c>
      <c r="P2810" s="16">
        <f t="shared" si="61"/>
        <v>0</v>
      </c>
    </row>
    <row r="2811" spans="15:16" hidden="1" x14ac:dyDescent="0.25">
      <c r="O2811" s="16" t="e">
        <f t="shared" si="60"/>
        <v>#VALUE!</v>
      </c>
      <c r="P2811" s="16">
        <f t="shared" si="61"/>
        <v>0</v>
      </c>
    </row>
    <row r="2812" spans="15:16" hidden="1" x14ac:dyDescent="0.25">
      <c r="O2812" s="16" t="e">
        <f t="shared" si="60"/>
        <v>#VALUE!</v>
      </c>
      <c r="P2812" s="16">
        <f t="shared" si="61"/>
        <v>0</v>
      </c>
    </row>
    <row r="2813" spans="15:16" hidden="1" x14ac:dyDescent="0.25">
      <c r="O2813" s="16" t="e">
        <f t="shared" si="60"/>
        <v>#VALUE!</v>
      </c>
      <c r="P2813" s="16">
        <f t="shared" si="61"/>
        <v>0</v>
      </c>
    </row>
    <row r="2814" spans="15:16" hidden="1" x14ac:dyDescent="0.25">
      <c r="O2814" s="16" t="e">
        <f t="shared" si="60"/>
        <v>#VALUE!</v>
      </c>
      <c r="P2814" s="16">
        <f t="shared" si="61"/>
        <v>0</v>
      </c>
    </row>
    <row r="2815" spans="15:16" hidden="1" x14ac:dyDescent="0.25">
      <c r="O2815" s="16" t="e">
        <f t="shared" si="60"/>
        <v>#VALUE!</v>
      </c>
      <c r="P2815" s="16">
        <f t="shared" si="61"/>
        <v>0</v>
      </c>
    </row>
    <row r="2816" spans="15:16" hidden="1" x14ac:dyDescent="0.25">
      <c r="O2816" s="16" t="e">
        <f t="shared" si="60"/>
        <v>#VALUE!</v>
      </c>
      <c r="P2816" s="16">
        <f t="shared" si="61"/>
        <v>0</v>
      </c>
    </row>
    <row r="2817" spans="15:16" hidden="1" x14ac:dyDescent="0.25">
      <c r="O2817" s="16" t="e">
        <f t="shared" si="60"/>
        <v>#VALUE!</v>
      </c>
      <c r="P2817" s="16">
        <f t="shared" si="61"/>
        <v>0</v>
      </c>
    </row>
    <row r="2818" spans="15:16" hidden="1" x14ac:dyDescent="0.25">
      <c r="O2818" s="16" t="e">
        <f t="shared" si="60"/>
        <v>#VALUE!</v>
      </c>
      <c r="P2818" s="16">
        <f t="shared" si="61"/>
        <v>0</v>
      </c>
    </row>
    <row r="2819" spans="15:16" hidden="1" x14ac:dyDescent="0.25">
      <c r="O2819" s="16" t="e">
        <f t="shared" ref="O2819:O2882" si="62">TEXT(DATEVALUE(LEFT(F2819,10)),"mm-yyyy")</f>
        <v>#VALUE!</v>
      </c>
      <c r="P2819" s="16">
        <f t="shared" ref="P2819:P2882" si="63">H2819*I2819</f>
        <v>0</v>
      </c>
    </row>
    <row r="2820" spans="15:16" hidden="1" x14ac:dyDescent="0.25">
      <c r="O2820" s="16" t="e">
        <f t="shared" si="62"/>
        <v>#VALUE!</v>
      </c>
      <c r="P2820" s="16">
        <f t="shared" si="63"/>
        <v>0</v>
      </c>
    </row>
    <row r="2821" spans="15:16" hidden="1" x14ac:dyDescent="0.25">
      <c r="O2821" s="16" t="e">
        <f t="shared" si="62"/>
        <v>#VALUE!</v>
      </c>
      <c r="P2821" s="16">
        <f t="shared" si="63"/>
        <v>0</v>
      </c>
    </row>
    <row r="2822" spans="15:16" hidden="1" x14ac:dyDescent="0.25">
      <c r="O2822" s="16" t="e">
        <f t="shared" si="62"/>
        <v>#VALUE!</v>
      </c>
      <c r="P2822" s="16">
        <f t="shared" si="63"/>
        <v>0</v>
      </c>
    </row>
    <row r="2823" spans="15:16" hidden="1" x14ac:dyDescent="0.25">
      <c r="O2823" s="16" t="e">
        <f t="shared" si="62"/>
        <v>#VALUE!</v>
      </c>
      <c r="P2823" s="16">
        <f t="shared" si="63"/>
        <v>0</v>
      </c>
    </row>
    <row r="2824" spans="15:16" hidden="1" x14ac:dyDescent="0.25">
      <c r="O2824" s="16" t="e">
        <f t="shared" si="62"/>
        <v>#VALUE!</v>
      </c>
      <c r="P2824" s="16">
        <f t="shared" si="63"/>
        <v>0</v>
      </c>
    </row>
    <row r="2825" spans="15:16" hidden="1" x14ac:dyDescent="0.25">
      <c r="O2825" s="16" t="e">
        <f t="shared" si="62"/>
        <v>#VALUE!</v>
      </c>
      <c r="P2825" s="16">
        <f t="shared" si="63"/>
        <v>0</v>
      </c>
    </row>
    <row r="2826" spans="15:16" hidden="1" x14ac:dyDescent="0.25">
      <c r="O2826" s="16" t="e">
        <f t="shared" si="62"/>
        <v>#VALUE!</v>
      </c>
      <c r="P2826" s="16">
        <f t="shared" si="63"/>
        <v>0</v>
      </c>
    </row>
    <row r="2827" spans="15:16" hidden="1" x14ac:dyDescent="0.25">
      <c r="O2827" s="16" t="e">
        <f t="shared" si="62"/>
        <v>#VALUE!</v>
      </c>
      <c r="P2827" s="16">
        <f t="shared" si="63"/>
        <v>0</v>
      </c>
    </row>
    <row r="2828" spans="15:16" hidden="1" x14ac:dyDescent="0.25">
      <c r="O2828" s="16" t="e">
        <f t="shared" si="62"/>
        <v>#VALUE!</v>
      </c>
      <c r="P2828" s="16">
        <f t="shared" si="63"/>
        <v>0</v>
      </c>
    </row>
    <row r="2829" spans="15:16" hidden="1" x14ac:dyDescent="0.25">
      <c r="O2829" s="16" t="e">
        <f t="shared" si="62"/>
        <v>#VALUE!</v>
      </c>
      <c r="P2829" s="16">
        <f t="shared" si="63"/>
        <v>0</v>
      </c>
    </row>
    <row r="2830" spans="15:16" hidden="1" x14ac:dyDescent="0.25">
      <c r="O2830" s="16" t="e">
        <f t="shared" si="62"/>
        <v>#VALUE!</v>
      </c>
      <c r="P2830" s="16">
        <f t="shared" si="63"/>
        <v>0</v>
      </c>
    </row>
    <row r="2831" spans="15:16" hidden="1" x14ac:dyDescent="0.25">
      <c r="O2831" s="16" t="e">
        <f t="shared" si="62"/>
        <v>#VALUE!</v>
      </c>
      <c r="P2831" s="16">
        <f t="shared" si="63"/>
        <v>0</v>
      </c>
    </row>
    <row r="2832" spans="15:16" hidden="1" x14ac:dyDescent="0.25">
      <c r="O2832" s="16" t="e">
        <f t="shared" si="62"/>
        <v>#VALUE!</v>
      </c>
      <c r="P2832" s="16">
        <f t="shared" si="63"/>
        <v>0</v>
      </c>
    </row>
    <row r="2833" spans="15:16" hidden="1" x14ac:dyDescent="0.25">
      <c r="O2833" s="16" t="e">
        <f t="shared" si="62"/>
        <v>#VALUE!</v>
      </c>
      <c r="P2833" s="16">
        <f t="shared" si="63"/>
        <v>0</v>
      </c>
    </row>
    <row r="2834" spans="15:16" hidden="1" x14ac:dyDescent="0.25">
      <c r="O2834" s="16" t="e">
        <f t="shared" si="62"/>
        <v>#VALUE!</v>
      </c>
      <c r="P2834" s="16">
        <f t="shared" si="63"/>
        <v>0</v>
      </c>
    </row>
    <row r="2835" spans="15:16" hidden="1" x14ac:dyDescent="0.25">
      <c r="O2835" s="16" t="e">
        <f t="shared" si="62"/>
        <v>#VALUE!</v>
      </c>
      <c r="P2835" s="16">
        <f t="shared" si="63"/>
        <v>0</v>
      </c>
    </row>
    <row r="2836" spans="15:16" hidden="1" x14ac:dyDescent="0.25">
      <c r="O2836" s="16" t="e">
        <f t="shared" si="62"/>
        <v>#VALUE!</v>
      </c>
      <c r="P2836" s="16">
        <f t="shared" si="63"/>
        <v>0</v>
      </c>
    </row>
    <row r="2837" spans="15:16" hidden="1" x14ac:dyDescent="0.25">
      <c r="O2837" s="16" t="e">
        <f t="shared" si="62"/>
        <v>#VALUE!</v>
      </c>
      <c r="P2837" s="16">
        <f t="shared" si="63"/>
        <v>0</v>
      </c>
    </row>
    <row r="2838" spans="15:16" hidden="1" x14ac:dyDescent="0.25">
      <c r="O2838" s="16" t="e">
        <f t="shared" si="62"/>
        <v>#VALUE!</v>
      </c>
      <c r="P2838" s="16">
        <f t="shared" si="63"/>
        <v>0</v>
      </c>
    </row>
    <row r="2839" spans="15:16" hidden="1" x14ac:dyDescent="0.25">
      <c r="O2839" s="16" t="e">
        <f t="shared" si="62"/>
        <v>#VALUE!</v>
      </c>
      <c r="P2839" s="16">
        <f t="shared" si="63"/>
        <v>0</v>
      </c>
    </row>
    <row r="2840" spans="15:16" hidden="1" x14ac:dyDescent="0.25">
      <c r="O2840" s="16" t="e">
        <f t="shared" si="62"/>
        <v>#VALUE!</v>
      </c>
      <c r="P2840" s="16">
        <f t="shared" si="63"/>
        <v>0</v>
      </c>
    </row>
    <row r="2841" spans="15:16" hidden="1" x14ac:dyDescent="0.25">
      <c r="O2841" s="16" t="e">
        <f t="shared" si="62"/>
        <v>#VALUE!</v>
      </c>
      <c r="P2841" s="16">
        <f t="shared" si="63"/>
        <v>0</v>
      </c>
    </row>
    <row r="2842" spans="15:16" hidden="1" x14ac:dyDescent="0.25">
      <c r="O2842" s="16" t="e">
        <f t="shared" si="62"/>
        <v>#VALUE!</v>
      </c>
      <c r="P2842" s="16">
        <f t="shared" si="63"/>
        <v>0</v>
      </c>
    </row>
    <row r="2843" spans="15:16" hidden="1" x14ac:dyDescent="0.25">
      <c r="O2843" s="16" t="e">
        <f t="shared" si="62"/>
        <v>#VALUE!</v>
      </c>
      <c r="P2843" s="16">
        <f t="shared" si="63"/>
        <v>0</v>
      </c>
    </row>
    <row r="2844" spans="15:16" hidden="1" x14ac:dyDescent="0.25">
      <c r="O2844" s="16" t="e">
        <f t="shared" si="62"/>
        <v>#VALUE!</v>
      </c>
      <c r="P2844" s="16">
        <f t="shared" si="63"/>
        <v>0</v>
      </c>
    </row>
    <row r="2845" spans="15:16" hidden="1" x14ac:dyDescent="0.25">
      <c r="O2845" s="16" t="e">
        <f t="shared" si="62"/>
        <v>#VALUE!</v>
      </c>
      <c r="P2845" s="16">
        <f t="shared" si="63"/>
        <v>0</v>
      </c>
    </row>
    <row r="2846" spans="15:16" hidden="1" x14ac:dyDescent="0.25">
      <c r="O2846" s="16" t="e">
        <f t="shared" si="62"/>
        <v>#VALUE!</v>
      </c>
      <c r="P2846" s="16">
        <f t="shared" si="63"/>
        <v>0</v>
      </c>
    </row>
    <row r="2847" spans="15:16" hidden="1" x14ac:dyDescent="0.25">
      <c r="O2847" s="16" t="e">
        <f t="shared" si="62"/>
        <v>#VALUE!</v>
      </c>
      <c r="P2847" s="16">
        <f t="shared" si="63"/>
        <v>0</v>
      </c>
    </row>
    <row r="2848" spans="15:16" hidden="1" x14ac:dyDescent="0.25">
      <c r="O2848" s="16" t="e">
        <f t="shared" si="62"/>
        <v>#VALUE!</v>
      </c>
      <c r="P2848" s="16">
        <f t="shared" si="63"/>
        <v>0</v>
      </c>
    </row>
    <row r="2849" spans="15:16" hidden="1" x14ac:dyDescent="0.25">
      <c r="O2849" s="16" t="e">
        <f t="shared" si="62"/>
        <v>#VALUE!</v>
      </c>
      <c r="P2849" s="16">
        <f t="shared" si="63"/>
        <v>0</v>
      </c>
    </row>
    <row r="2850" spans="15:16" hidden="1" x14ac:dyDescent="0.25">
      <c r="O2850" s="16" t="e">
        <f t="shared" si="62"/>
        <v>#VALUE!</v>
      </c>
      <c r="P2850" s="16">
        <f t="shared" si="63"/>
        <v>0</v>
      </c>
    </row>
    <row r="2851" spans="15:16" hidden="1" x14ac:dyDescent="0.25">
      <c r="O2851" s="16" t="e">
        <f t="shared" si="62"/>
        <v>#VALUE!</v>
      </c>
      <c r="P2851" s="16">
        <f t="shared" si="63"/>
        <v>0</v>
      </c>
    </row>
    <row r="2852" spans="15:16" hidden="1" x14ac:dyDescent="0.25">
      <c r="O2852" s="16" t="e">
        <f t="shared" si="62"/>
        <v>#VALUE!</v>
      </c>
      <c r="P2852" s="16">
        <f t="shared" si="63"/>
        <v>0</v>
      </c>
    </row>
    <row r="2853" spans="15:16" hidden="1" x14ac:dyDescent="0.25">
      <c r="O2853" s="16" t="e">
        <f t="shared" si="62"/>
        <v>#VALUE!</v>
      </c>
      <c r="P2853" s="16">
        <f t="shared" si="63"/>
        <v>0</v>
      </c>
    </row>
    <row r="2854" spans="15:16" hidden="1" x14ac:dyDescent="0.25">
      <c r="O2854" s="16" t="e">
        <f t="shared" si="62"/>
        <v>#VALUE!</v>
      </c>
      <c r="P2854" s="16">
        <f t="shared" si="63"/>
        <v>0</v>
      </c>
    </row>
    <row r="2855" spans="15:16" hidden="1" x14ac:dyDescent="0.25">
      <c r="O2855" s="16" t="e">
        <f t="shared" si="62"/>
        <v>#VALUE!</v>
      </c>
      <c r="P2855" s="16">
        <f t="shared" si="63"/>
        <v>0</v>
      </c>
    </row>
    <row r="2856" spans="15:16" hidden="1" x14ac:dyDescent="0.25">
      <c r="O2856" s="16" t="e">
        <f t="shared" si="62"/>
        <v>#VALUE!</v>
      </c>
      <c r="P2856" s="16">
        <f t="shared" si="63"/>
        <v>0</v>
      </c>
    </row>
    <row r="2857" spans="15:16" hidden="1" x14ac:dyDescent="0.25">
      <c r="O2857" s="16" t="e">
        <f t="shared" si="62"/>
        <v>#VALUE!</v>
      </c>
      <c r="P2857" s="16">
        <f t="shared" si="63"/>
        <v>0</v>
      </c>
    </row>
    <row r="2858" spans="15:16" hidden="1" x14ac:dyDescent="0.25">
      <c r="O2858" s="16" t="e">
        <f t="shared" si="62"/>
        <v>#VALUE!</v>
      </c>
      <c r="P2858" s="16">
        <f t="shared" si="63"/>
        <v>0</v>
      </c>
    </row>
    <row r="2859" spans="15:16" hidden="1" x14ac:dyDescent="0.25">
      <c r="O2859" s="16" t="e">
        <f t="shared" si="62"/>
        <v>#VALUE!</v>
      </c>
      <c r="P2859" s="16">
        <f t="shared" si="63"/>
        <v>0</v>
      </c>
    </row>
    <row r="2860" spans="15:16" hidden="1" x14ac:dyDescent="0.25">
      <c r="O2860" s="16" t="e">
        <f t="shared" si="62"/>
        <v>#VALUE!</v>
      </c>
      <c r="P2860" s="16">
        <f t="shared" si="63"/>
        <v>0</v>
      </c>
    </row>
    <row r="2861" spans="15:16" hidden="1" x14ac:dyDescent="0.25">
      <c r="O2861" s="16" t="e">
        <f t="shared" si="62"/>
        <v>#VALUE!</v>
      </c>
      <c r="P2861" s="16">
        <f t="shared" si="63"/>
        <v>0</v>
      </c>
    </row>
    <row r="2862" spans="15:16" hidden="1" x14ac:dyDescent="0.25">
      <c r="O2862" s="16" t="e">
        <f t="shared" si="62"/>
        <v>#VALUE!</v>
      </c>
      <c r="P2862" s="16">
        <f t="shared" si="63"/>
        <v>0</v>
      </c>
    </row>
    <row r="2863" spans="15:16" hidden="1" x14ac:dyDescent="0.25">
      <c r="O2863" s="16" t="e">
        <f t="shared" si="62"/>
        <v>#VALUE!</v>
      </c>
      <c r="P2863" s="16">
        <f t="shared" si="63"/>
        <v>0</v>
      </c>
    </row>
    <row r="2864" spans="15:16" hidden="1" x14ac:dyDescent="0.25">
      <c r="O2864" s="16" t="e">
        <f t="shared" si="62"/>
        <v>#VALUE!</v>
      </c>
      <c r="P2864" s="16">
        <f t="shared" si="63"/>
        <v>0</v>
      </c>
    </row>
    <row r="2865" spans="15:16" hidden="1" x14ac:dyDescent="0.25">
      <c r="O2865" s="16" t="e">
        <f t="shared" si="62"/>
        <v>#VALUE!</v>
      </c>
      <c r="P2865" s="16">
        <f t="shared" si="63"/>
        <v>0</v>
      </c>
    </row>
    <row r="2866" spans="15:16" hidden="1" x14ac:dyDescent="0.25">
      <c r="O2866" s="16" t="e">
        <f t="shared" si="62"/>
        <v>#VALUE!</v>
      </c>
      <c r="P2866" s="16">
        <f t="shared" si="63"/>
        <v>0</v>
      </c>
    </row>
    <row r="2867" spans="15:16" hidden="1" x14ac:dyDescent="0.25">
      <c r="O2867" s="16" t="e">
        <f t="shared" si="62"/>
        <v>#VALUE!</v>
      </c>
      <c r="P2867" s="16">
        <f t="shared" si="63"/>
        <v>0</v>
      </c>
    </row>
    <row r="2868" spans="15:16" hidden="1" x14ac:dyDescent="0.25">
      <c r="O2868" s="16" t="e">
        <f t="shared" si="62"/>
        <v>#VALUE!</v>
      </c>
      <c r="P2868" s="16">
        <f t="shared" si="63"/>
        <v>0</v>
      </c>
    </row>
    <row r="2869" spans="15:16" hidden="1" x14ac:dyDescent="0.25">
      <c r="O2869" s="16" t="e">
        <f t="shared" si="62"/>
        <v>#VALUE!</v>
      </c>
      <c r="P2869" s="16">
        <f t="shared" si="63"/>
        <v>0</v>
      </c>
    </row>
    <row r="2870" spans="15:16" hidden="1" x14ac:dyDescent="0.25">
      <c r="O2870" s="16" t="e">
        <f t="shared" si="62"/>
        <v>#VALUE!</v>
      </c>
      <c r="P2870" s="16">
        <f t="shared" si="63"/>
        <v>0</v>
      </c>
    </row>
    <row r="2871" spans="15:16" hidden="1" x14ac:dyDescent="0.25">
      <c r="O2871" s="16" t="e">
        <f t="shared" si="62"/>
        <v>#VALUE!</v>
      </c>
      <c r="P2871" s="16">
        <f t="shared" si="63"/>
        <v>0</v>
      </c>
    </row>
    <row r="2872" spans="15:16" hidden="1" x14ac:dyDescent="0.25">
      <c r="O2872" s="16" t="e">
        <f t="shared" si="62"/>
        <v>#VALUE!</v>
      </c>
      <c r="P2872" s="16">
        <f t="shared" si="63"/>
        <v>0</v>
      </c>
    </row>
    <row r="2873" spans="15:16" hidden="1" x14ac:dyDescent="0.25">
      <c r="O2873" s="16" t="e">
        <f t="shared" si="62"/>
        <v>#VALUE!</v>
      </c>
      <c r="P2873" s="16">
        <f t="shared" si="63"/>
        <v>0</v>
      </c>
    </row>
    <row r="2874" spans="15:16" hidden="1" x14ac:dyDescent="0.25">
      <c r="O2874" s="16" t="e">
        <f t="shared" si="62"/>
        <v>#VALUE!</v>
      </c>
      <c r="P2874" s="16">
        <f t="shared" si="63"/>
        <v>0</v>
      </c>
    </row>
    <row r="2875" spans="15:16" hidden="1" x14ac:dyDescent="0.25">
      <c r="O2875" s="16" t="e">
        <f t="shared" si="62"/>
        <v>#VALUE!</v>
      </c>
      <c r="P2875" s="16">
        <f t="shared" si="63"/>
        <v>0</v>
      </c>
    </row>
    <row r="2876" spans="15:16" hidden="1" x14ac:dyDescent="0.25">
      <c r="O2876" s="16" t="e">
        <f t="shared" si="62"/>
        <v>#VALUE!</v>
      </c>
      <c r="P2876" s="16">
        <f t="shared" si="63"/>
        <v>0</v>
      </c>
    </row>
    <row r="2877" spans="15:16" hidden="1" x14ac:dyDescent="0.25">
      <c r="O2877" s="16" t="e">
        <f t="shared" si="62"/>
        <v>#VALUE!</v>
      </c>
      <c r="P2877" s="16">
        <f t="shared" si="63"/>
        <v>0</v>
      </c>
    </row>
    <row r="2878" spans="15:16" hidden="1" x14ac:dyDescent="0.25">
      <c r="O2878" s="16" t="e">
        <f t="shared" si="62"/>
        <v>#VALUE!</v>
      </c>
      <c r="P2878" s="16">
        <f t="shared" si="63"/>
        <v>0</v>
      </c>
    </row>
    <row r="2879" spans="15:16" hidden="1" x14ac:dyDescent="0.25">
      <c r="O2879" s="16" t="e">
        <f t="shared" si="62"/>
        <v>#VALUE!</v>
      </c>
      <c r="P2879" s="16">
        <f t="shared" si="63"/>
        <v>0</v>
      </c>
    </row>
    <row r="2880" spans="15:16" hidden="1" x14ac:dyDescent="0.25">
      <c r="O2880" s="16" t="e">
        <f t="shared" si="62"/>
        <v>#VALUE!</v>
      </c>
      <c r="P2880" s="16">
        <f t="shared" si="63"/>
        <v>0</v>
      </c>
    </row>
    <row r="2881" spans="15:16" hidden="1" x14ac:dyDescent="0.25">
      <c r="O2881" s="16" t="e">
        <f t="shared" si="62"/>
        <v>#VALUE!</v>
      </c>
      <c r="P2881" s="16">
        <f t="shared" si="63"/>
        <v>0</v>
      </c>
    </row>
    <row r="2882" spans="15:16" hidden="1" x14ac:dyDescent="0.25">
      <c r="O2882" s="16" t="e">
        <f t="shared" si="62"/>
        <v>#VALUE!</v>
      </c>
      <c r="P2882" s="16">
        <f t="shared" si="63"/>
        <v>0</v>
      </c>
    </row>
    <row r="2883" spans="15:16" hidden="1" x14ac:dyDescent="0.25">
      <c r="O2883" s="16" t="e">
        <f t="shared" ref="O2883:O2906" si="64">TEXT(DATEVALUE(LEFT(F2883,10)),"mm-yyyy")</f>
        <v>#VALUE!</v>
      </c>
      <c r="P2883" s="16">
        <f t="shared" ref="P2883:P2906" si="65">H2883*I2883</f>
        <v>0</v>
      </c>
    </row>
    <row r="2884" spans="15:16" hidden="1" x14ac:dyDescent="0.25">
      <c r="O2884" s="16" t="e">
        <f t="shared" si="64"/>
        <v>#VALUE!</v>
      </c>
      <c r="P2884" s="16">
        <f t="shared" si="65"/>
        <v>0</v>
      </c>
    </row>
    <row r="2885" spans="15:16" hidden="1" x14ac:dyDescent="0.25">
      <c r="O2885" s="16" t="e">
        <f t="shared" si="64"/>
        <v>#VALUE!</v>
      </c>
      <c r="P2885" s="16">
        <f t="shared" si="65"/>
        <v>0</v>
      </c>
    </row>
    <row r="2886" spans="15:16" hidden="1" x14ac:dyDescent="0.25">
      <c r="O2886" s="16" t="e">
        <f t="shared" si="64"/>
        <v>#VALUE!</v>
      </c>
      <c r="P2886" s="16">
        <f t="shared" si="65"/>
        <v>0</v>
      </c>
    </row>
    <row r="2887" spans="15:16" hidden="1" x14ac:dyDescent="0.25">
      <c r="O2887" s="16" t="e">
        <f t="shared" si="64"/>
        <v>#VALUE!</v>
      </c>
      <c r="P2887" s="16">
        <f t="shared" si="65"/>
        <v>0</v>
      </c>
    </row>
    <row r="2888" spans="15:16" hidden="1" x14ac:dyDescent="0.25">
      <c r="O2888" s="16" t="e">
        <f t="shared" si="64"/>
        <v>#VALUE!</v>
      </c>
      <c r="P2888" s="16">
        <f t="shared" si="65"/>
        <v>0</v>
      </c>
    </row>
    <row r="2889" spans="15:16" hidden="1" x14ac:dyDescent="0.25">
      <c r="O2889" s="16" t="e">
        <f t="shared" si="64"/>
        <v>#VALUE!</v>
      </c>
      <c r="P2889" s="16">
        <f t="shared" si="65"/>
        <v>0</v>
      </c>
    </row>
    <row r="2890" spans="15:16" hidden="1" x14ac:dyDescent="0.25">
      <c r="O2890" s="16" t="e">
        <f t="shared" si="64"/>
        <v>#VALUE!</v>
      </c>
      <c r="P2890" s="16">
        <f t="shared" si="65"/>
        <v>0</v>
      </c>
    </row>
    <row r="2891" spans="15:16" hidden="1" x14ac:dyDescent="0.25">
      <c r="O2891" s="16" t="e">
        <f t="shared" si="64"/>
        <v>#VALUE!</v>
      </c>
      <c r="P2891" s="16">
        <f t="shared" si="65"/>
        <v>0</v>
      </c>
    </row>
    <row r="2892" spans="15:16" hidden="1" x14ac:dyDescent="0.25">
      <c r="O2892" s="16" t="e">
        <f t="shared" si="64"/>
        <v>#VALUE!</v>
      </c>
      <c r="P2892" s="16">
        <f t="shared" si="65"/>
        <v>0</v>
      </c>
    </row>
    <row r="2893" spans="15:16" hidden="1" x14ac:dyDescent="0.25">
      <c r="O2893" s="16" t="e">
        <f t="shared" si="64"/>
        <v>#VALUE!</v>
      </c>
      <c r="P2893" s="16">
        <f t="shared" si="65"/>
        <v>0</v>
      </c>
    </row>
    <row r="2894" spans="15:16" hidden="1" x14ac:dyDescent="0.25">
      <c r="O2894" s="16" t="e">
        <f t="shared" si="64"/>
        <v>#VALUE!</v>
      </c>
      <c r="P2894" s="16">
        <f t="shared" si="65"/>
        <v>0</v>
      </c>
    </row>
    <row r="2895" spans="15:16" hidden="1" x14ac:dyDescent="0.25">
      <c r="O2895" s="16" t="e">
        <f t="shared" si="64"/>
        <v>#VALUE!</v>
      </c>
      <c r="P2895" s="16">
        <f t="shared" si="65"/>
        <v>0</v>
      </c>
    </row>
    <row r="2896" spans="15:16" hidden="1" x14ac:dyDescent="0.25">
      <c r="O2896" s="16" t="e">
        <f t="shared" si="64"/>
        <v>#VALUE!</v>
      </c>
      <c r="P2896" s="16">
        <f t="shared" si="65"/>
        <v>0</v>
      </c>
    </row>
    <row r="2897" spans="15:16" hidden="1" x14ac:dyDescent="0.25">
      <c r="O2897" s="16" t="e">
        <f t="shared" si="64"/>
        <v>#VALUE!</v>
      </c>
      <c r="P2897" s="16">
        <f t="shared" si="65"/>
        <v>0</v>
      </c>
    </row>
    <row r="2898" spans="15:16" hidden="1" x14ac:dyDescent="0.25">
      <c r="O2898" s="16" t="e">
        <f t="shared" si="64"/>
        <v>#VALUE!</v>
      </c>
      <c r="P2898" s="16">
        <f t="shared" si="65"/>
        <v>0</v>
      </c>
    </row>
    <row r="2899" spans="15:16" hidden="1" x14ac:dyDescent="0.25">
      <c r="O2899" s="16" t="e">
        <f t="shared" si="64"/>
        <v>#VALUE!</v>
      </c>
      <c r="P2899" s="16">
        <f t="shared" si="65"/>
        <v>0</v>
      </c>
    </row>
    <row r="2900" spans="15:16" hidden="1" x14ac:dyDescent="0.25">
      <c r="O2900" s="16" t="e">
        <f t="shared" si="64"/>
        <v>#VALUE!</v>
      </c>
      <c r="P2900" s="16">
        <f t="shared" si="65"/>
        <v>0</v>
      </c>
    </row>
    <row r="2901" spans="15:16" hidden="1" x14ac:dyDescent="0.25">
      <c r="O2901" s="16" t="e">
        <f t="shared" si="64"/>
        <v>#VALUE!</v>
      </c>
      <c r="P2901" s="16">
        <f t="shared" si="65"/>
        <v>0</v>
      </c>
    </row>
    <row r="2902" spans="15:16" hidden="1" x14ac:dyDescent="0.25">
      <c r="O2902" s="16" t="e">
        <f t="shared" si="64"/>
        <v>#VALUE!</v>
      </c>
      <c r="P2902" s="16">
        <f t="shared" si="65"/>
        <v>0</v>
      </c>
    </row>
    <row r="2903" spans="15:16" hidden="1" x14ac:dyDescent="0.25">
      <c r="O2903" s="16" t="e">
        <f t="shared" si="64"/>
        <v>#VALUE!</v>
      </c>
      <c r="P2903" s="16">
        <f t="shared" si="65"/>
        <v>0</v>
      </c>
    </row>
    <row r="2904" spans="15:16" hidden="1" x14ac:dyDescent="0.25">
      <c r="O2904" s="16" t="e">
        <f t="shared" si="64"/>
        <v>#VALUE!</v>
      </c>
      <c r="P2904" s="16">
        <f t="shared" si="65"/>
        <v>0</v>
      </c>
    </row>
    <row r="2905" spans="15:16" hidden="1" x14ac:dyDescent="0.25">
      <c r="O2905" s="16" t="e">
        <f t="shared" si="64"/>
        <v>#VALUE!</v>
      </c>
      <c r="P2905" s="16">
        <f t="shared" si="65"/>
        <v>0</v>
      </c>
    </row>
    <row r="2906" spans="15:16" hidden="1" x14ac:dyDescent="0.25">
      <c r="O2906" s="16" t="e">
        <f t="shared" si="64"/>
        <v>#VALUE!</v>
      </c>
      <c r="P2906" s="16">
        <f t="shared" si="65"/>
        <v>0</v>
      </c>
    </row>
  </sheetData>
  <autoFilter ref="C1:P2906">
    <filterColumn colId="12">
      <filters>
        <filter val="01-2015"/>
        <filter val="02-2015"/>
        <filter val="03-2015"/>
        <filter val="04-2015"/>
        <filter val="05-2015"/>
        <filter val="06-2015"/>
      </filters>
    </filterColumn>
    <sortState ref="C2:P857">
      <sortCondition ref="O1:O2906"/>
    </sortState>
  </autoFilter>
  <conditionalFormatting sqref="C2">
    <cfRule type="cellIs" dxfId="2570" priority="1" stopIfTrue="1" operator="equal">
      <formula>"1 Modify"</formula>
    </cfRule>
    <cfRule type="cellIs" dxfId="2569" priority="2" stopIfTrue="1" operator="equal">
      <formula>"2 Add"</formula>
    </cfRule>
    <cfRule type="cellIs" dxfId="2568" priority="3" stopIfTrue="1" operator="equal">
      <formula>"3 Delete"</formula>
    </cfRule>
  </conditionalFormatting>
  <conditionalFormatting sqref="C3">
    <cfRule type="cellIs" dxfId="2567" priority="4" stopIfTrue="1" operator="equal">
      <formula>"1 Modify"</formula>
    </cfRule>
    <cfRule type="cellIs" dxfId="2566" priority="5" stopIfTrue="1" operator="equal">
      <formula>"2 Add"</formula>
    </cfRule>
    <cfRule type="cellIs" dxfId="2565" priority="6" stopIfTrue="1" operator="equal">
      <formula>"3 Delete"</formula>
    </cfRule>
  </conditionalFormatting>
  <conditionalFormatting sqref="C4">
    <cfRule type="cellIs" dxfId="2564" priority="7" stopIfTrue="1" operator="equal">
      <formula>"1 Modify"</formula>
    </cfRule>
    <cfRule type="cellIs" dxfId="2563" priority="8" stopIfTrue="1" operator="equal">
      <formula>"2 Add"</formula>
    </cfRule>
    <cfRule type="cellIs" dxfId="2562" priority="9" stopIfTrue="1" operator="equal">
      <formula>"3 Delete"</formula>
    </cfRule>
  </conditionalFormatting>
  <conditionalFormatting sqref="C5">
    <cfRule type="cellIs" dxfId="2561" priority="10" stopIfTrue="1" operator="equal">
      <formula>"1 Modify"</formula>
    </cfRule>
    <cfRule type="cellIs" dxfId="2560" priority="11" stopIfTrue="1" operator="equal">
      <formula>"2 Add"</formula>
    </cfRule>
    <cfRule type="cellIs" dxfId="2559" priority="12" stopIfTrue="1" operator="equal">
      <formula>"3 Delete"</formula>
    </cfRule>
  </conditionalFormatting>
  <conditionalFormatting sqref="C6">
    <cfRule type="cellIs" dxfId="2558" priority="13" stopIfTrue="1" operator="equal">
      <formula>"1 Modify"</formula>
    </cfRule>
    <cfRule type="cellIs" dxfId="2557" priority="14" stopIfTrue="1" operator="equal">
      <formula>"2 Add"</formula>
    </cfRule>
    <cfRule type="cellIs" dxfId="2556" priority="15" stopIfTrue="1" operator="equal">
      <formula>"3 Delete"</formula>
    </cfRule>
  </conditionalFormatting>
  <conditionalFormatting sqref="C7">
    <cfRule type="cellIs" dxfId="2555" priority="16" stopIfTrue="1" operator="equal">
      <formula>"1 Modify"</formula>
    </cfRule>
    <cfRule type="cellIs" dxfId="2554" priority="17" stopIfTrue="1" operator="equal">
      <formula>"2 Add"</formula>
    </cfRule>
    <cfRule type="cellIs" dxfId="2553" priority="18" stopIfTrue="1" operator="equal">
      <formula>"3 Delete"</formula>
    </cfRule>
  </conditionalFormatting>
  <conditionalFormatting sqref="C8">
    <cfRule type="cellIs" dxfId="2552" priority="19" stopIfTrue="1" operator="equal">
      <formula>"1 Modify"</formula>
    </cfRule>
    <cfRule type="cellIs" dxfId="2551" priority="20" stopIfTrue="1" operator="equal">
      <formula>"2 Add"</formula>
    </cfRule>
    <cfRule type="cellIs" dxfId="2550" priority="21" stopIfTrue="1" operator="equal">
      <formula>"3 Delete"</formula>
    </cfRule>
  </conditionalFormatting>
  <conditionalFormatting sqref="C9">
    <cfRule type="cellIs" dxfId="2549" priority="22" stopIfTrue="1" operator="equal">
      <formula>"1 Modify"</formula>
    </cfRule>
    <cfRule type="cellIs" dxfId="2548" priority="23" stopIfTrue="1" operator="equal">
      <formula>"2 Add"</formula>
    </cfRule>
    <cfRule type="cellIs" dxfId="2547" priority="24" stopIfTrue="1" operator="equal">
      <formula>"3 Delete"</formula>
    </cfRule>
  </conditionalFormatting>
  <conditionalFormatting sqref="C10">
    <cfRule type="cellIs" dxfId="2546" priority="25" stopIfTrue="1" operator="equal">
      <formula>"1 Modify"</formula>
    </cfRule>
    <cfRule type="cellIs" dxfId="2545" priority="26" stopIfTrue="1" operator="equal">
      <formula>"2 Add"</formula>
    </cfRule>
    <cfRule type="cellIs" dxfId="2544" priority="27" stopIfTrue="1" operator="equal">
      <formula>"3 Delete"</formula>
    </cfRule>
  </conditionalFormatting>
  <conditionalFormatting sqref="C11">
    <cfRule type="cellIs" dxfId="2543" priority="28" stopIfTrue="1" operator="equal">
      <formula>"1 Modify"</formula>
    </cfRule>
    <cfRule type="cellIs" dxfId="2542" priority="29" stopIfTrue="1" operator="equal">
      <formula>"2 Add"</formula>
    </cfRule>
    <cfRule type="cellIs" dxfId="2541" priority="30" stopIfTrue="1" operator="equal">
      <formula>"3 Delete"</formula>
    </cfRule>
  </conditionalFormatting>
  <conditionalFormatting sqref="C12">
    <cfRule type="cellIs" dxfId="2540" priority="31" stopIfTrue="1" operator="equal">
      <formula>"1 Modify"</formula>
    </cfRule>
    <cfRule type="cellIs" dxfId="2539" priority="32" stopIfTrue="1" operator="equal">
      <formula>"2 Add"</formula>
    </cfRule>
    <cfRule type="cellIs" dxfId="2538" priority="33" stopIfTrue="1" operator="equal">
      <formula>"3 Delete"</formula>
    </cfRule>
  </conditionalFormatting>
  <conditionalFormatting sqref="C13">
    <cfRule type="cellIs" dxfId="2537" priority="34" stopIfTrue="1" operator="equal">
      <formula>"1 Modify"</formula>
    </cfRule>
    <cfRule type="cellIs" dxfId="2536" priority="35" stopIfTrue="1" operator="equal">
      <formula>"2 Add"</formula>
    </cfRule>
    <cfRule type="cellIs" dxfId="2535" priority="36" stopIfTrue="1" operator="equal">
      <formula>"3 Delete"</formula>
    </cfRule>
  </conditionalFormatting>
  <conditionalFormatting sqref="C14">
    <cfRule type="cellIs" dxfId="2534" priority="37" stopIfTrue="1" operator="equal">
      <formula>"1 Modify"</formula>
    </cfRule>
    <cfRule type="cellIs" dxfId="2533" priority="38" stopIfTrue="1" operator="equal">
      <formula>"2 Add"</formula>
    </cfRule>
    <cfRule type="cellIs" dxfId="2532" priority="39" stopIfTrue="1" operator="equal">
      <formula>"3 Delete"</formula>
    </cfRule>
  </conditionalFormatting>
  <conditionalFormatting sqref="C15">
    <cfRule type="cellIs" dxfId="2531" priority="40" stopIfTrue="1" operator="equal">
      <formula>"1 Modify"</formula>
    </cfRule>
    <cfRule type="cellIs" dxfId="2530" priority="41" stopIfTrue="1" operator="equal">
      <formula>"2 Add"</formula>
    </cfRule>
    <cfRule type="cellIs" dxfId="2529" priority="42" stopIfTrue="1" operator="equal">
      <formula>"3 Delete"</formula>
    </cfRule>
  </conditionalFormatting>
  <conditionalFormatting sqref="C16">
    <cfRule type="cellIs" dxfId="2528" priority="43" stopIfTrue="1" operator="equal">
      <formula>"1 Modify"</formula>
    </cfRule>
    <cfRule type="cellIs" dxfId="2527" priority="44" stopIfTrue="1" operator="equal">
      <formula>"2 Add"</formula>
    </cfRule>
    <cfRule type="cellIs" dxfId="2526" priority="45" stopIfTrue="1" operator="equal">
      <formula>"3 Delete"</formula>
    </cfRule>
  </conditionalFormatting>
  <conditionalFormatting sqref="C17">
    <cfRule type="cellIs" dxfId="2525" priority="46" stopIfTrue="1" operator="equal">
      <formula>"1 Modify"</formula>
    </cfRule>
    <cfRule type="cellIs" dxfId="2524" priority="47" stopIfTrue="1" operator="equal">
      <formula>"2 Add"</formula>
    </cfRule>
    <cfRule type="cellIs" dxfId="2523" priority="48" stopIfTrue="1" operator="equal">
      <formula>"3 Delete"</formula>
    </cfRule>
  </conditionalFormatting>
  <conditionalFormatting sqref="C18">
    <cfRule type="cellIs" dxfId="2522" priority="49" stopIfTrue="1" operator="equal">
      <formula>"1 Modify"</formula>
    </cfRule>
    <cfRule type="cellIs" dxfId="2521" priority="50" stopIfTrue="1" operator="equal">
      <formula>"2 Add"</formula>
    </cfRule>
    <cfRule type="cellIs" dxfId="2520" priority="51" stopIfTrue="1" operator="equal">
      <formula>"3 Delete"</formula>
    </cfRule>
  </conditionalFormatting>
  <conditionalFormatting sqref="C19">
    <cfRule type="cellIs" dxfId="2519" priority="52" stopIfTrue="1" operator="equal">
      <formula>"1 Modify"</formula>
    </cfRule>
    <cfRule type="cellIs" dxfId="2518" priority="53" stopIfTrue="1" operator="equal">
      <formula>"2 Add"</formula>
    </cfRule>
    <cfRule type="cellIs" dxfId="2517" priority="54" stopIfTrue="1" operator="equal">
      <formula>"3 Delete"</formula>
    </cfRule>
  </conditionalFormatting>
  <conditionalFormatting sqref="C20">
    <cfRule type="cellIs" dxfId="2516" priority="55" stopIfTrue="1" operator="equal">
      <formula>"1 Modify"</formula>
    </cfRule>
    <cfRule type="cellIs" dxfId="2515" priority="56" stopIfTrue="1" operator="equal">
      <formula>"2 Add"</formula>
    </cfRule>
    <cfRule type="cellIs" dxfId="2514" priority="57" stopIfTrue="1" operator="equal">
      <formula>"3 Delete"</formula>
    </cfRule>
  </conditionalFormatting>
  <conditionalFormatting sqref="C21">
    <cfRule type="cellIs" dxfId="2513" priority="58" stopIfTrue="1" operator="equal">
      <formula>"1 Modify"</formula>
    </cfRule>
    <cfRule type="cellIs" dxfId="2512" priority="59" stopIfTrue="1" operator="equal">
      <formula>"2 Add"</formula>
    </cfRule>
    <cfRule type="cellIs" dxfId="2511" priority="60" stopIfTrue="1" operator="equal">
      <formula>"3 Delete"</formula>
    </cfRule>
  </conditionalFormatting>
  <conditionalFormatting sqref="C22">
    <cfRule type="cellIs" dxfId="2510" priority="61" stopIfTrue="1" operator="equal">
      <formula>"1 Modify"</formula>
    </cfRule>
  </conditionalFormatting>
  <conditionalFormatting sqref="C22">
    <cfRule type="cellIs" dxfId="2509" priority="62" stopIfTrue="1" operator="equal">
      <formula>"2 Add"</formula>
    </cfRule>
  </conditionalFormatting>
  <conditionalFormatting sqref="C22">
    <cfRule type="cellIs" dxfId="2508" priority="63" stopIfTrue="1" operator="equal">
      <formula>"3 Delete"</formula>
    </cfRule>
  </conditionalFormatting>
  <conditionalFormatting sqref="C23">
    <cfRule type="cellIs" dxfId="2507" priority="64" stopIfTrue="1" operator="equal">
      <formula>"1 Modify"</formula>
    </cfRule>
  </conditionalFormatting>
  <conditionalFormatting sqref="C23">
    <cfRule type="cellIs" dxfId="2506" priority="65" stopIfTrue="1" operator="equal">
      <formula>"2 Add"</formula>
    </cfRule>
  </conditionalFormatting>
  <conditionalFormatting sqref="C23">
    <cfRule type="cellIs" dxfId="2505" priority="66" stopIfTrue="1" operator="equal">
      <formula>"3 Delete"</formula>
    </cfRule>
  </conditionalFormatting>
  <conditionalFormatting sqref="C24">
    <cfRule type="cellIs" dxfId="2504" priority="67" stopIfTrue="1" operator="equal">
      <formula>"1 Modify"</formula>
    </cfRule>
  </conditionalFormatting>
  <conditionalFormatting sqref="C24">
    <cfRule type="cellIs" dxfId="2503" priority="68" stopIfTrue="1" operator="equal">
      <formula>"2 Add"</formula>
    </cfRule>
  </conditionalFormatting>
  <conditionalFormatting sqref="C24">
    <cfRule type="cellIs" dxfId="2502" priority="69" stopIfTrue="1" operator="equal">
      <formula>"3 Delete"</formula>
    </cfRule>
  </conditionalFormatting>
  <conditionalFormatting sqref="C25">
    <cfRule type="cellIs" dxfId="2501" priority="70" stopIfTrue="1" operator="equal">
      <formula>"1 Modify"</formula>
    </cfRule>
  </conditionalFormatting>
  <conditionalFormatting sqref="C25">
    <cfRule type="cellIs" dxfId="2500" priority="71" stopIfTrue="1" operator="equal">
      <formula>"2 Add"</formula>
    </cfRule>
  </conditionalFormatting>
  <conditionalFormatting sqref="C25">
    <cfRule type="cellIs" dxfId="2499" priority="72" stopIfTrue="1" operator="equal">
      <formula>"3 Delete"</formula>
    </cfRule>
  </conditionalFormatting>
  <conditionalFormatting sqref="C26">
    <cfRule type="cellIs" dxfId="2498" priority="73" stopIfTrue="1" operator="equal">
      <formula>"1 Modify"</formula>
    </cfRule>
  </conditionalFormatting>
  <conditionalFormatting sqref="C26">
    <cfRule type="cellIs" dxfId="2497" priority="74" stopIfTrue="1" operator="equal">
      <formula>"2 Add"</formula>
    </cfRule>
  </conditionalFormatting>
  <conditionalFormatting sqref="C26">
    <cfRule type="cellIs" dxfId="2496" priority="75" stopIfTrue="1" operator="equal">
      <formula>"3 Delete"</formula>
    </cfRule>
  </conditionalFormatting>
  <conditionalFormatting sqref="C27">
    <cfRule type="cellIs" dxfId="2495" priority="76" stopIfTrue="1" operator="equal">
      <formula>"1 Modify"</formula>
    </cfRule>
  </conditionalFormatting>
  <conditionalFormatting sqref="C27">
    <cfRule type="cellIs" dxfId="2494" priority="77" stopIfTrue="1" operator="equal">
      <formula>"2 Add"</formula>
    </cfRule>
  </conditionalFormatting>
  <conditionalFormatting sqref="C27">
    <cfRule type="cellIs" dxfId="2493" priority="78" stopIfTrue="1" operator="equal">
      <formula>"3 Delete"</formula>
    </cfRule>
  </conditionalFormatting>
  <conditionalFormatting sqref="C28">
    <cfRule type="cellIs" dxfId="2492" priority="79" stopIfTrue="1" operator="equal">
      <formula>"1 Modify"</formula>
    </cfRule>
  </conditionalFormatting>
  <conditionalFormatting sqref="C28">
    <cfRule type="cellIs" dxfId="2491" priority="80" stopIfTrue="1" operator="equal">
      <formula>"2 Add"</formula>
    </cfRule>
  </conditionalFormatting>
  <conditionalFormatting sqref="C28">
    <cfRule type="cellIs" dxfId="2490" priority="81" stopIfTrue="1" operator="equal">
      <formula>"3 Delete"</formula>
    </cfRule>
  </conditionalFormatting>
  <conditionalFormatting sqref="C29">
    <cfRule type="cellIs" dxfId="2489" priority="82" stopIfTrue="1" operator="equal">
      <formula>"1 Modify"</formula>
    </cfRule>
  </conditionalFormatting>
  <conditionalFormatting sqref="C29">
    <cfRule type="cellIs" dxfId="2488" priority="83" stopIfTrue="1" operator="equal">
      <formula>"2 Add"</formula>
    </cfRule>
  </conditionalFormatting>
  <conditionalFormatting sqref="C29">
    <cfRule type="cellIs" dxfId="2487" priority="84" stopIfTrue="1" operator="equal">
      <formula>"3 Delete"</formula>
    </cfRule>
  </conditionalFormatting>
  <conditionalFormatting sqref="C30">
    <cfRule type="cellIs" dxfId="2486" priority="85" stopIfTrue="1" operator="equal">
      <formula>"1 Modify"</formula>
    </cfRule>
  </conditionalFormatting>
  <conditionalFormatting sqref="C30">
    <cfRule type="cellIs" dxfId="2485" priority="86" stopIfTrue="1" operator="equal">
      <formula>"2 Add"</formula>
    </cfRule>
  </conditionalFormatting>
  <conditionalFormatting sqref="C30">
    <cfRule type="cellIs" dxfId="2484" priority="87" stopIfTrue="1" operator="equal">
      <formula>"3 Delete"</formula>
    </cfRule>
  </conditionalFormatting>
  <conditionalFormatting sqref="C31">
    <cfRule type="cellIs" dxfId="2483" priority="88" stopIfTrue="1" operator="equal">
      <formula>"1 Modify"</formula>
    </cfRule>
  </conditionalFormatting>
  <conditionalFormatting sqref="C31">
    <cfRule type="cellIs" dxfId="2482" priority="89" stopIfTrue="1" operator="equal">
      <formula>"2 Add"</formula>
    </cfRule>
  </conditionalFormatting>
  <conditionalFormatting sqref="C31">
    <cfRule type="cellIs" dxfId="2481" priority="90" stopIfTrue="1" operator="equal">
      <formula>"3 Delete"</formula>
    </cfRule>
  </conditionalFormatting>
  <conditionalFormatting sqref="C32">
    <cfRule type="cellIs" dxfId="2480" priority="91" stopIfTrue="1" operator="equal">
      <formula>"1 Modify"</formula>
    </cfRule>
  </conditionalFormatting>
  <conditionalFormatting sqref="C32">
    <cfRule type="cellIs" dxfId="2479" priority="92" stopIfTrue="1" operator="equal">
      <formula>"2 Add"</formula>
    </cfRule>
  </conditionalFormatting>
  <conditionalFormatting sqref="C32">
    <cfRule type="cellIs" dxfId="2478" priority="93" stopIfTrue="1" operator="equal">
      <formula>"3 Delete"</formula>
    </cfRule>
  </conditionalFormatting>
  <conditionalFormatting sqref="C33">
    <cfRule type="cellIs" dxfId="2477" priority="94" stopIfTrue="1" operator="equal">
      <formula>"1 Modify"</formula>
    </cfRule>
  </conditionalFormatting>
  <conditionalFormatting sqref="C33">
    <cfRule type="cellIs" dxfId="2476" priority="95" stopIfTrue="1" operator="equal">
      <formula>"2 Add"</formula>
    </cfRule>
  </conditionalFormatting>
  <conditionalFormatting sqref="C33">
    <cfRule type="cellIs" dxfId="2475" priority="96" stopIfTrue="1" operator="equal">
      <formula>"3 Delete"</formula>
    </cfRule>
  </conditionalFormatting>
  <conditionalFormatting sqref="C34">
    <cfRule type="cellIs" dxfId="2474" priority="97" stopIfTrue="1" operator="equal">
      <formula>"1 Modify"</formula>
    </cfRule>
  </conditionalFormatting>
  <conditionalFormatting sqref="C34">
    <cfRule type="cellIs" dxfId="2473" priority="98" stopIfTrue="1" operator="equal">
      <formula>"2 Add"</formula>
    </cfRule>
  </conditionalFormatting>
  <conditionalFormatting sqref="C34">
    <cfRule type="cellIs" dxfId="2472" priority="99" stopIfTrue="1" operator="equal">
      <formula>"3 Delete"</formula>
    </cfRule>
  </conditionalFormatting>
  <conditionalFormatting sqref="C35">
    <cfRule type="cellIs" dxfId="2471" priority="100" stopIfTrue="1" operator="equal">
      <formula>"1 Modify"</formula>
    </cfRule>
  </conditionalFormatting>
  <conditionalFormatting sqref="C35">
    <cfRule type="cellIs" dxfId="2470" priority="101" stopIfTrue="1" operator="equal">
      <formula>"2 Add"</formula>
    </cfRule>
  </conditionalFormatting>
  <conditionalFormatting sqref="C35">
    <cfRule type="cellIs" dxfId="2469" priority="102" stopIfTrue="1" operator="equal">
      <formula>"3 Delete"</formula>
    </cfRule>
  </conditionalFormatting>
  <conditionalFormatting sqref="C36">
    <cfRule type="cellIs" dxfId="2468" priority="103" stopIfTrue="1" operator="equal">
      <formula>"1 Modify"</formula>
    </cfRule>
  </conditionalFormatting>
  <conditionalFormatting sqref="C36">
    <cfRule type="cellIs" dxfId="2467" priority="104" stopIfTrue="1" operator="equal">
      <formula>"2 Add"</formula>
    </cfRule>
  </conditionalFormatting>
  <conditionalFormatting sqref="C36">
    <cfRule type="cellIs" dxfId="2466" priority="105" stopIfTrue="1" operator="equal">
      <formula>"3 Delete"</formula>
    </cfRule>
  </conditionalFormatting>
  <conditionalFormatting sqref="C37">
    <cfRule type="cellIs" dxfId="2465" priority="106" stopIfTrue="1" operator="equal">
      <formula>"1 Modify"</formula>
    </cfRule>
  </conditionalFormatting>
  <conditionalFormatting sqref="C37">
    <cfRule type="cellIs" dxfId="2464" priority="107" stopIfTrue="1" operator="equal">
      <formula>"2 Add"</formula>
    </cfRule>
  </conditionalFormatting>
  <conditionalFormatting sqref="C37">
    <cfRule type="cellIs" dxfId="2463" priority="108" stopIfTrue="1" operator="equal">
      <formula>"3 Delete"</formula>
    </cfRule>
  </conditionalFormatting>
  <conditionalFormatting sqref="C38">
    <cfRule type="cellIs" dxfId="2462" priority="109" stopIfTrue="1" operator="equal">
      <formula>"1 Modify"</formula>
    </cfRule>
  </conditionalFormatting>
  <conditionalFormatting sqref="C38">
    <cfRule type="cellIs" dxfId="2461" priority="110" stopIfTrue="1" operator="equal">
      <formula>"2 Add"</formula>
    </cfRule>
  </conditionalFormatting>
  <conditionalFormatting sqref="C38">
    <cfRule type="cellIs" dxfId="2460" priority="111" stopIfTrue="1" operator="equal">
      <formula>"3 Delete"</formula>
    </cfRule>
  </conditionalFormatting>
  <conditionalFormatting sqref="C39">
    <cfRule type="cellIs" dxfId="2459" priority="112" stopIfTrue="1" operator="equal">
      <formula>"1 Modify"</formula>
    </cfRule>
  </conditionalFormatting>
  <conditionalFormatting sqref="C39">
    <cfRule type="cellIs" dxfId="2458" priority="113" stopIfTrue="1" operator="equal">
      <formula>"2 Add"</formula>
    </cfRule>
  </conditionalFormatting>
  <conditionalFormatting sqref="C39">
    <cfRule type="cellIs" dxfId="2457" priority="114" stopIfTrue="1" operator="equal">
      <formula>"3 Delete"</formula>
    </cfRule>
  </conditionalFormatting>
  <conditionalFormatting sqref="C40">
    <cfRule type="cellIs" dxfId="2456" priority="115" stopIfTrue="1" operator="equal">
      <formula>"1 Modify"</formula>
    </cfRule>
  </conditionalFormatting>
  <conditionalFormatting sqref="C40">
    <cfRule type="cellIs" dxfId="2455" priority="116" stopIfTrue="1" operator="equal">
      <formula>"2 Add"</formula>
    </cfRule>
  </conditionalFormatting>
  <conditionalFormatting sqref="C40">
    <cfRule type="cellIs" dxfId="2454" priority="117" stopIfTrue="1" operator="equal">
      <formula>"3 Delete"</formula>
    </cfRule>
  </conditionalFormatting>
  <conditionalFormatting sqref="C41">
    <cfRule type="cellIs" dxfId="2453" priority="118" stopIfTrue="1" operator="equal">
      <formula>"1 Modify"</formula>
    </cfRule>
  </conditionalFormatting>
  <conditionalFormatting sqref="C41">
    <cfRule type="cellIs" dxfId="2452" priority="119" stopIfTrue="1" operator="equal">
      <formula>"2 Add"</formula>
    </cfRule>
  </conditionalFormatting>
  <conditionalFormatting sqref="C41">
    <cfRule type="cellIs" dxfId="2451" priority="120" stopIfTrue="1" operator="equal">
      <formula>"3 Delete"</formula>
    </cfRule>
  </conditionalFormatting>
  <conditionalFormatting sqref="C42">
    <cfRule type="cellIs" dxfId="2450" priority="121" stopIfTrue="1" operator="equal">
      <formula>"1 Modify"</formula>
    </cfRule>
  </conditionalFormatting>
  <conditionalFormatting sqref="C42">
    <cfRule type="cellIs" dxfId="2449" priority="122" stopIfTrue="1" operator="equal">
      <formula>"2 Add"</formula>
    </cfRule>
  </conditionalFormatting>
  <conditionalFormatting sqref="C42">
    <cfRule type="cellIs" dxfId="2448" priority="123" stopIfTrue="1" operator="equal">
      <formula>"3 Delete"</formula>
    </cfRule>
  </conditionalFormatting>
  <conditionalFormatting sqref="C43">
    <cfRule type="cellIs" dxfId="2447" priority="124" stopIfTrue="1" operator="equal">
      <formula>"1 Modify"</formula>
    </cfRule>
  </conditionalFormatting>
  <conditionalFormatting sqref="C43">
    <cfRule type="cellIs" dxfId="2446" priority="125" stopIfTrue="1" operator="equal">
      <formula>"2 Add"</formula>
    </cfRule>
  </conditionalFormatting>
  <conditionalFormatting sqref="C43">
    <cfRule type="cellIs" dxfId="2445" priority="126" stopIfTrue="1" operator="equal">
      <formula>"3 Delete"</formula>
    </cfRule>
  </conditionalFormatting>
  <conditionalFormatting sqref="C44">
    <cfRule type="cellIs" dxfId="2444" priority="127" stopIfTrue="1" operator="equal">
      <formula>"1 Modify"</formula>
    </cfRule>
  </conditionalFormatting>
  <conditionalFormatting sqref="C44">
    <cfRule type="cellIs" dxfId="2443" priority="128" stopIfTrue="1" operator="equal">
      <formula>"2 Add"</formula>
    </cfRule>
  </conditionalFormatting>
  <conditionalFormatting sqref="C44">
    <cfRule type="cellIs" dxfId="2442" priority="129" stopIfTrue="1" operator="equal">
      <formula>"3 Delete"</formula>
    </cfRule>
  </conditionalFormatting>
  <conditionalFormatting sqref="C45">
    <cfRule type="cellIs" dxfId="2441" priority="130" stopIfTrue="1" operator="equal">
      <formula>"1 Modify"</formula>
    </cfRule>
  </conditionalFormatting>
  <conditionalFormatting sqref="C45">
    <cfRule type="cellIs" dxfId="2440" priority="131" stopIfTrue="1" operator="equal">
      <formula>"2 Add"</formula>
    </cfRule>
  </conditionalFormatting>
  <conditionalFormatting sqref="C45">
    <cfRule type="cellIs" dxfId="2439" priority="132" stopIfTrue="1" operator="equal">
      <formula>"3 Delete"</formula>
    </cfRule>
  </conditionalFormatting>
  <conditionalFormatting sqref="C46">
    <cfRule type="cellIs" dxfId="2438" priority="133" stopIfTrue="1" operator="equal">
      <formula>"1 Modify"</formula>
    </cfRule>
  </conditionalFormatting>
  <conditionalFormatting sqref="C46">
    <cfRule type="cellIs" dxfId="2437" priority="134" stopIfTrue="1" operator="equal">
      <formula>"2 Add"</formula>
    </cfRule>
  </conditionalFormatting>
  <conditionalFormatting sqref="C46">
    <cfRule type="cellIs" dxfId="2436" priority="135" stopIfTrue="1" operator="equal">
      <formula>"3 Delete"</formula>
    </cfRule>
  </conditionalFormatting>
  <conditionalFormatting sqref="C47">
    <cfRule type="cellIs" dxfId="2435" priority="136" stopIfTrue="1" operator="equal">
      <formula>"1 Modify"</formula>
    </cfRule>
  </conditionalFormatting>
  <conditionalFormatting sqref="C47">
    <cfRule type="cellIs" dxfId="2434" priority="137" stopIfTrue="1" operator="equal">
      <formula>"2 Add"</formula>
    </cfRule>
  </conditionalFormatting>
  <conditionalFormatting sqref="C47">
    <cfRule type="cellIs" dxfId="2433" priority="138" stopIfTrue="1" operator="equal">
      <formula>"3 Delete"</formula>
    </cfRule>
  </conditionalFormatting>
  <conditionalFormatting sqref="C48">
    <cfRule type="cellIs" dxfId="2432" priority="139" stopIfTrue="1" operator="equal">
      <formula>"1 Modify"</formula>
    </cfRule>
  </conditionalFormatting>
  <conditionalFormatting sqref="C48">
    <cfRule type="cellIs" dxfId="2431" priority="140" stopIfTrue="1" operator="equal">
      <formula>"2 Add"</formula>
    </cfRule>
  </conditionalFormatting>
  <conditionalFormatting sqref="C48">
    <cfRule type="cellIs" dxfId="2430" priority="141" stopIfTrue="1" operator="equal">
      <formula>"3 Delete"</formula>
    </cfRule>
  </conditionalFormatting>
  <conditionalFormatting sqref="C49">
    <cfRule type="cellIs" dxfId="2429" priority="142" stopIfTrue="1" operator="equal">
      <formula>"1 Modify"</formula>
    </cfRule>
  </conditionalFormatting>
  <conditionalFormatting sqref="C49">
    <cfRule type="cellIs" dxfId="2428" priority="143" stopIfTrue="1" operator="equal">
      <formula>"2 Add"</formula>
    </cfRule>
  </conditionalFormatting>
  <conditionalFormatting sqref="C49">
    <cfRule type="cellIs" dxfId="2427" priority="144" stopIfTrue="1" operator="equal">
      <formula>"3 Delete"</formula>
    </cfRule>
  </conditionalFormatting>
  <conditionalFormatting sqref="C50">
    <cfRule type="cellIs" dxfId="2426" priority="145" stopIfTrue="1" operator="equal">
      <formula>"1 Modify"</formula>
    </cfRule>
  </conditionalFormatting>
  <conditionalFormatting sqref="C50">
    <cfRule type="cellIs" dxfId="2425" priority="146" stopIfTrue="1" operator="equal">
      <formula>"2 Add"</formula>
    </cfRule>
  </conditionalFormatting>
  <conditionalFormatting sqref="C50">
    <cfRule type="cellIs" dxfId="2424" priority="147" stopIfTrue="1" operator="equal">
      <formula>"3 Delete"</formula>
    </cfRule>
  </conditionalFormatting>
  <conditionalFormatting sqref="C51">
    <cfRule type="cellIs" dxfId="2423" priority="148" stopIfTrue="1" operator="equal">
      <formula>"1 Modify"</formula>
    </cfRule>
  </conditionalFormatting>
  <conditionalFormatting sqref="C51">
    <cfRule type="cellIs" dxfId="2422" priority="149" stopIfTrue="1" operator="equal">
      <formula>"2 Add"</formula>
    </cfRule>
  </conditionalFormatting>
  <conditionalFormatting sqref="C51">
    <cfRule type="cellIs" dxfId="2421" priority="150" stopIfTrue="1" operator="equal">
      <formula>"3 Delete"</formula>
    </cfRule>
  </conditionalFormatting>
  <conditionalFormatting sqref="C52">
    <cfRule type="cellIs" dxfId="2420" priority="151" stopIfTrue="1" operator="equal">
      <formula>"1 Modify"</formula>
    </cfRule>
  </conditionalFormatting>
  <conditionalFormatting sqref="C52">
    <cfRule type="cellIs" dxfId="2419" priority="152" stopIfTrue="1" operator="equal">
      <formula>"2 Add"</formula>
    </cfRule>
  </conditionalFormatting>
  <conditionalFormatting sqref="C52">
    <cfRule type="cellIs" dxfId="2418" priority="153" stopIfTrue="1" operator="equal">
      <formula>"3 Delete"</formula>
    </cfRule>
  </conditionalFormatting>
  <conditionalFormatting sqref="C53">
    <cfRule type="cellIs" dxfId="2417" priority="154" stopIfTrue="1" operator="equal">
      <formula>"1 Modify"</formula>
    </cfRule>
  </conditionalFormatting>
  <conditionalFormatting sqref="C53">
    <cfRule type="cellIs" dxfId="2416" priority="155" stopIfTrue="1" operator="equal">
      <formula>"2 Add"</formula>
    </cfRule>
  </conditionalFormatting>
  <conditionalFormatting sqref="C53">
    <cfRule type="cellIs" dxfId="2415" priority="156" stopIfTrue="1" operator="equal">
      <formula>"3 Delete"</formula>
    </cfRule>
  </conditionalFormatting>
  <conditionalFormatting sqref="C54">
    <cfRule type="cellIs" dxfId="2414" priority="157" stopIfTrue="1" operator="equal">
      <formula>"1 Modify"</formula>
    </cfRule>
  </conditionalFormatting>
  <conditionalFormatting sqref="C54">
    <cfRule type="cellIs" dxfId="2413" priority="158" stopIfTrue="1" operator="equal">
      <formula>"2 Add"</formula>
    </cfRule>
  </conditionalFormatting>
  <conditionalFormatting sqref="C54">
    <cfRule type="cellIs" dxfId="2412" priority="159" stopIfTrue="1" operator="equal">
      <formula>"3 Delete"</formula>
    </cfRule>
  </conditionalFormatting>
  <conditionalFormatting sqref="C55">
    <cfRule type="cellIs" dxfId="2411" priority="160" stopIfTrue="1" operator="equal">
      <formula>"1 Modify"</formula>
    </cfRule>
  </conditionalFormatting>
  <conditionalFormatting sqref="C55">
    <cfRule type="cellIs" dxfId="2410" priority="161" stopIfTrue="1" operator="equal">
      <formula>"2 Add"</formula>
    </cfRule>
  </conditionalFormatting>
  <conditionalFormatting sqref="C55">
    <cfRule type="cellIs" dxfId="2409" priority="162" stopIfTrue="1" operator="equal">
      <formula>"3 Delete"</formula>
    </cfRule>
  </conditionalFormatting>
  <conditionalFormatting sqref="C56">
    <cfRule type="cellIs" dxfId="2408" priority="163" stopIfTrue="1" operator="equal">
      <formula>"1 Modify"</formula>
    </cfRule>
  </conditionalFormatting>
  <conditionalFormatting sqref="C56">
    <cfRule type="cellIs" dxfId="2407" priority="164" stopIfTrue="1" operator="equal">
      <formula>"2 Add"</formula>
    </cfRule>
  </conditionalFormatting>
  <conditionalFormatting sqref="C56">
    <cfRule type="cellIs" dxfId="2406" priority="165" stopIfTrue="1" operator="equal">
      <formula>"3 Delete"</formula>
    </cfRule>
  </conditionalFormatting>
  <conditionalFormatting sqref="C57">
    <cfRule type="cellIs" dxfId="2405" priority="166" stopIfTrue="1" operator="equal">
      <formula>"1 Modify"</formula>
    </cfRule>
  </conditionalFormatting>
  <conditionalFormatting sqref="C57">
    <cfRule type="cellIs" dxfId="2404" priority="167" stopIfTrue="1" operator="equal">
      <formula>"2 Add"</formula>
    </cfRule>
  </conditionalFormatting>
  <conditionalFormatting sqref="C57">
    <cfRule type="cellIs" dxfId="2403" priority="168" stopIfTrue="1" operator="equal">
      <formula>"3 Delete"</formula>
    </cfRule>
  </conditionalFormatting>
  <conditionalFormatting sqref="C58">
    <cfRule type="cellIs" dxfId="2402" priority="169" stopIfTrue="1" operator="equal">
      <formula>"1 Modify"</formula>
    </cfRule>
  </conditionalFormatting>
  <conditionalFormatting sqref="C58">
    <cfRule type="cellIs" dxfId="2401" priority="170" stopIfTrue="1" operator="equal">
      <formula>"2 Add"</formula>
    </cfRule>
  </conditionalFormatting>
  <conditionalFormatting sqref="C58">
    <cfRule type="cellIs" dxfId="2400" priority="171" stopIfTrue="1" operator="equal">
      <formula>"3 Delete"</formula>
    </cfRule>
  </conditionalFormatting>
  <conditionalFormatting sqref="C59">
    <cfRule type="cellIs" dxfId="2399" priority="172" stopIfTrue="1" operator="equal">
      <formula>"1 Modify"</formula>
    </cfRule>
  </conditionalFormatting>
  <conditionalFormatting sqref="C59">
    <cfRule type="cellIs" dxfId="2398" priority="173" stopIfTrue="1" operator="equal">
      <formula>"2 Add"</formula>
    </cfRule>
  </conditionalFormatting>
  <conditionalFormatting sqref="C59">
    <cfRule type="cellIs" dxfId="2397" priority="174" stopIfTrue="1" operator="equal">
      <formula>"3 Delete"</formula>
    </cfRule>
  </conditionalFormatting>
  <conditionalFormatting sqref="C60">
    <cfRule type="cellIs" dxfId="2396" priority="175" stopIfTrue="1" operator="equal">
      <formula>"1 Modify"</formula>
    </cfRule>
  </conditionalFormatting>
  <conditionalFormatting sqref="C60">
    <cfRule type="cellIs" dxfId="2395" priority="176" stopIfTrue="1" operator="equal">
      <formula>"2 Add"</formula>
    </cfRule>
  </conditionalFormatting>
  <conditionalFormatting sqref="C60">
    <cfRule type="cellIs" dxfId="2394" priority="177" stopIfTrue="1" operator="equal">
      <formula>"3 Delete"</formula>
    </cfRule>
  </conditionalFormatting>
  <conditionalFormatting sqref="C61">
    <cfRule type="cellIs" dxfId="2393" priority="178" stopIfTrue="1" operator="equal">
      <formula>"1 Modify"</formula>
    </cfRule>
  </conditionalFormatting>
  <conditionalFormatting sqref="C61">
    <cfRule type="cellIs" dxfId="2392" priority="179" stopIfTrue="1" operator="equal">
      <formula>"2 Add"</formula>
    </cfRule>
  </conditionalFormatting>
  <conditionalFormatting sqref="C61">
    <cfRule type="cellIs" dxfId="2391" priority="180" stopIfTrue="1" operator="equal">
      <formula>"3 Delete"</formula>
    </cfRule>
  </conditionalFormatting>
  <conditionalFormatting sqref="C62">
    <cfRule type="cellIs" dxfId="2390" priority="181" stopIfTrue="1" operator="equal">
      <formula>"1 Modify"</formula>
    </cfRule>
  </conditionalFormatting>
  <conditionalFormatting sqref="C62">
    <cfRule type="cellIs" dxfId="2389" priority="182" stopIfTrue="1" operator="equal">
      <formula>"2 Add"</formula>
    </cfRule>
  </conditionalFormatting>
  <conditionalFormatting sqref="C62">
    <cfRule type="cellIs" dxfId="2388" priority="183" stopIfTrue="1" operator="equal">
      <formula>"3 Delete"</formula>
    </cfRule>
  </conditionalFormatting>
  <conditionalFormatting sqref="C63">
    <cfRule type="cellIs" dxfId="2387" priority="184" stopIfTrue="1" operator="equal">
      <formula>"1 Modify"</formula>
    </cfRule>
  </conditionalFormatting>
  <conditionalFormatting sqref="C63">
    <cfRule type="cellIs" dxfId="2386" priority="185" stopIfTrue="1" operator="equal">
      <formula>"2 Add"</formula>
    </cfRule>
  </conditionalFormatting>
  <conditionalFormatting sqref="C63">
    <cfRule type="cellIs" dxfId="2385" priority="186" stopIfTrue="1" operator="equal">
      <formula>"3 Delete"</formula>
    </cfRule>
  </conditionalFormatting>
  <conditionalFormatting sqref="C64">
    <cfRule type="cellIs" dxfId="2384" priority="187" stopIfTrue="1" operator="equal">
      <formula>"1 Modify"</formula>
    </cfRule>
  </conditionalFormatting>
  <conditionalFormatting sqref="C64">
    <cfRule type="cellIs" dxfId="2383" priority="188" stopIfTrue="1" operator="equal">
      <formula>"2 Add"</formula>
    </cfRule>
  </conditionalFormatting>
  <conditionalFormatting sqref="C64">
    <cfRule type="cellIs" dxfId="2382" priority="189" stopIfTrue="1" operator="equal">
      <formula>"3 Delete"</formula>
    </cfRule>
  </conditionalFormatting>
  <conditionalFormatting sqref="C65">
    <cfRule type="cellIs" dxfId="2381" priority="190" stopIfTrue="1" operator="equal">
      <formula>"1 Modify"</formula>
    </cfRule>
  </conditionalFormatting>
  <conditionalFormatting sqref="C65">
    <cfRule type="cellIs" dxfId="2380" priority="191" stopIfTrue="1" operator="equal">
      <formula>"2 Add"</formula>
    </cfRule>
  </conditionalFormatting>
  <conditionalFormatting sqref="C65">
    <cfRule type="cellIs" dxfId="2379" priority="192" stopIfTrue="1" operator="equal">
      <formula>"3 Delete"</formula>
    </cfRule>
  </conditionalFormatting>
  <conditionalFormatting sqref="C66">
    <cfRule type="cellIs" dxfId="2378" priority="193" stopIfTrue="1" operator="equal">
      <formula>"1 Modify"</formula>
    </cfRule>
  </conditionalFormatting>
  <conditionalFormatting sqref="C66">
    <cfRule type="cellIs" dxfId="2377" priority="194" stopIfTrue="1" operator="equal">
      <formula>"2 Add"</formula>
    </cfRule>
  </conditionalFormatting>
  <conditionalFormatting sqref="C66">
    <cfRule type="cellIs" dxfId="2376" priority="195" stopIfTrue="1" operator="equal">
      <formula>"3 Delete"</formula>
    </cfRule>
  </conditionalFormatting>
  <conditionalFormatting sqref="C67">
    <cfRule type="cellIs" dxfId="2375" priority="196" stopIfTrue="1" operator="equal">
      <formula>"1 Modify"</formula>
    </cfRule>
  </conditionalFormatting>
  <conditionalFormatting sqref="C67">
    <cfRule type="cellIs" dxfId="2374" priority="197" stopIfTrue="1" operator="equal">
      <formula>"2 Add"</formula>
    </cfRule>
  </conditionalFormatting>
  <conditionalFormatting sqref="C67">
    <cfRule type="cellIs" dxfId="2373" priority="198" stopIfTrue="1" operator="equal">
      <formula>"3 Delete"</formula>
    </cfRule>
  </conditionalFormatting>
  <conditionalFormatting sqref="C68">
    <cfRule type="cellIs" dxfId="2372" priority="199" stopIfTrue="1" operator="equal">
      <formula>"1 Modify"</formula>
    </cfRule>
  </conditionalFormatting>
  <conditionalFormatting sqref="C68">
    <cfRule type="cellIs" dxfId="2371" priority="200" stopIfTrue="1" operator="equal">
      <formula>"2 Add"</formula>
    </cfRule>
  </conditionalFormatting>
  <conditionalFormatting sqref="C68">
    <cfRule type="cellIs" dxfId="2370" priority="201" stopIfTrue="1" operator="equal">
      <formula>"3 Delete"</formula>
    </cfRule>
  </conditionalFormatting>
  <conditionalFormatting sqref="C69">
    <cfRule type="cellIs" dxfId="2369" priority="202" stopIfTrue="1" operator="equal">
      <formula>"1 Modify"</formula>
    </cfRule>
  </conditionalFormatting>
  <conditionalFormatting sqref="C69">
    <cfRule type="cellIs" dxfId="2368" priority="203" stopIfTrue="1" operator="equal">
      <formula>"2 Add"</formula>
    </cfRule>
  </conditionalFormatting>
  <conditionalFormatting sqref="C69">
    <cfRule type="cellIs" dxfId="2367" priority="204" stopIfTrue="1" operator="equal">
      <formula>"3 Delete"</formula>
    </cfRule>
  </conditionalFormatting>
  <conditionalFormatting sqref="C70">
    <cfRule type="cellIs" dxfId="2366" priority="205" stopIfTrue="1" operator="equal">
      <formula>"1 Modify"</formula>
    </cfRule>
  </conditionalFormatting>
  <conditionalFormatting sqref="C70">
    <cfRule type="cellIs" dxfId="2365" priority="206" stopIfTrue="1" operator="equal">
      <formula>"2 Add"</formula>
    </cfRule>
  </conditionalFormatting>
  <conditionalFormatting sqref="C70">
    <cfRule type="cellIs" dxfId="2364" priority="207" stopIfTrue="1" operator="equal">
      <formula>"3 Delete"</formula>
    </cfRule>
  </conditionalFormatting>
  <conditionalFormatting sqref="C71">
    <cfRule type="cellIs" dxfId="2363" priority="208" stopIfTrue="1" operator="equal">
      <formula>"1 Modify"</formula>
    </cfRule>
  </conditionalFormatting>
  <conditionalFormatting sqref="C71">
    <cfRule type="cellIs" dxfId="2362" priority="209" stopIfTrue="1" operator="equal">
      <formula>"2 Add"</formula>
    </cfRule>
  </conditionalFormatting>
  <conditionalFormatting sqref="C71">
    <cfRule type="cellIs" dxfId="2361" priority="210" stopIfTrue="1" operator="equal">
      <formula>"3 Delete"</formula>
    </cfRule>
  </conditionalFormatting>
  <conditionalFormatting sqref="C72">
    <cfRule type="cellIs" dxfId="2360" priority="211" stopIfTrue="1" operator="equal">
      <formula>"1 Modify"</formula>
    </cfRule>
  </conditionalFormatting>
  <conditionalFormatting sqref="C72">
    <cfRule type="cellIs" dxfId="2359" priority="212" stopIfTrue="1" operator="equal">
      <formula>"2 Add"</formula>
    </cfRule>
  </conditionalFormatting>
  <conditionalFormatting sqref="C72">
    <cfRule type="cellIs" dxfId="2358" priority="213" stopIfTrue="1" operator="equal">
      <formula>"3 Delete"</formula>
    </cfRule>
  </conditionalFormatting>
  <conditionalFormatting sqref="C73">
    <cfRule type="cellIs" dxfId="2357" priority="214" stopIfTrue="1" operator="equal">
      <formula>"1 Modify"</formula>
    </cfRule>
  </conditionalFormatting>
  <conditionalFormatting sqref="C73">
    <cfRule type="cellIs" dxfId="2356" priority="215" stopIfTrue="1" operator="equal">
      <formula>"2 Add"</formula>
    </cfRule>
  </conditionalFormatting>
  <conditionalFormatting sqref="C73">
    <cfRule type="cellIs" dxfId="2355" priority="216" stopIfTrue="1" operator="equal">
      <formula>"3 Delete"</formula>
    </cfRule>
  </conditionalFormatting>
  <conditionalFormatting sqref="C74">
    <cfRule type="cellIs" dxfId="2354" priority="217" stopIfTrue="1" operator="equal">
      <formula>"1 Modify"</formula>
    </cfRule>
  </conditionalFormatting>
  <conditionalFormatting sqref="C74">
    <cfRule type="cellIs" dxfId="2353" priority="218" stopIfTrue="1" operator="equal">
      <formula>"2 Add"</formula>
    </cfRule>
  </conditionalFormatting>
  <conditionalFormatting sqref="C74">
    <cfRule type="cellIs" dxfId="2352" priority="219" stopIfTrue="1" operator="equal">
      <formula>"3 Delete"</formula>
    </cfRule>
  </conditionalFormatting>
  <conditionalFormatting sqref="C75">
    <cfRule type="cellIs" dxfId="2351" priority="220" stopIfTrue="1" operator="equal">
      <formula>"1 Modify"</formula>
    </cfRule>
  </conditionalFormatting>
  <conditionalFormatting sqref="C75">
    <cfRule type="cellIs" dxfId="2350" priority="221" stopIfTrue="1" operator="equal">
      <formula>"2 Add"</formula>
    </cfRule>
  </conditionalFormatting>
  <conditionalFormatting sqref="C75">
    <cfRule type="cellIs" dxfId="2349" priority="222" stopIfTrue="1" operator="equal">
      <formula>"3 Delete"</formula>
    </cfRule>
  </conditionalFormatting>
  <conditionalFormatting sqref="C76">
    <cfRule type="cellIs" dxfId="2348" priority="223" stopIfTrue="1" operator="equal">
      <formula>"1 Modify"</formula>
    </cfRule>
  </conditionalFormatting>
  <conditionalFormatting sqref="C76">
    <cfRule type="cellIs" dxfId="2347" priority="224" stopIfTrue="1" operator="equal">
      <formula>"2 Add"</formula>
    </cfRule>
  </conditionalFormatting>
  <conditionalFormatting sqref="C76">
    <cfRule type="cellIs" dxfId="2346" priority="225" stopIfTrue="1" operator="equal">
      <formula>"3 Delete"</formula>
    </cfRule>
  </conditionalFormatting>
  <conditionalFormatting sqref="C77">
    <cfRule type="cellIs" dxfId="2345" priority="226" stopIfTrue="1" operator="equal">
      <formula>"1 Modify"</formula>
    </cfRule>
  </conditionalFormatting>
  <conditionalFormatting sqref="C77">
    <cfRule type="cellIs" dxfId="2344" priority="227" stopIfTrue="1" operator="equal">
      <formula>"2 Add"</formula>
    </cfRule>
  </conditionalFormatting>
  <conditionalFormatting sqref="C77">
    <cfRule type="cellIs" dxfId="2343" priority="228" stopIfTrue="1" operator="equal">
      <formula>"3 Delete"</formula>
    </cfRule>
  </conditionalFormatting>
  <conditionalFormatting sqref="C78">
    <cfRule type="cellIs" dxfId="2342" priority="229" stopIfTrue="1" operator="equal">
      <formula>"1 Modify"</formula>
    </cfRule>
  </conditionalFormatting>
  <conditionalFormatting sqref="C78">
    <cfRule type="cellIs" dxfId="2341" priority="230" stopIfTrue="1" operator="equal">
      <formula>"2 Add"</formula>
    </cfRule>
  </conditionalFormatting>
  <conditionalFormatting sqref="C78">
    <cfRule type="cellIs" dxfId="2340" priority="231" stopIfTrue="1" operator="equal">
      <formula>"3 Delete"</formula>
    </cfRule>
  </conditionalFormatting>
  <conditionalFormatting sqref="C79">
    <cfRule type="cellIs" dxfId="2339" priority="232" stopIfTrue="1" operator="equal">
      <formula>"1 Modify"</formula>
    </cfRule>
  </conditionalFormatting>
  <conditionalFormatting sqref="C79">
    <cfRule type="cellIs" dxfId="2338" priority="233" stopIfTrue="1" operator="equal">
      <formula>"2 Add"</formula>
    </cfRule>
  </conditionalFormatting>
  <conditionalFormatting sqref="C79">
    <cfRule type="cellIs" dxfId="2337" priority="234" stopIfTrue="1" operator="equal">
      <formula>"3 Delete"</formula>
    </cfRule>
  </conditionalFormatting>
  <conditionalFormatting sqref="C80">
    <cfRule type="cellIs" dxfId="2336" priority="235" stopIfTrue="1" operator="equal">
      <formula>"1 Modify"</formula>
    </cfRule>
  </conditionalFormatting>
  <conditionalFormatting sqref="C80">
    <cfRule type="cellIs" dxfId="2335" priority="236" stopIfTrue="1" operator="equal">
      <formula>"2 Add"</formula>
    </cfRule>
  </conditionalFormatting>
  <conditionalFormatting sqref="C80">
    <cfRule type="cellIs" dxfId="2334" priority="237" stopIfTrue="1" operator="equal">
      <formula>"3 Delete"</formula>
    </cfRule>
  </conditionalFormatting>
  <conditionalFormatting sqref="C81">
    <cfRule type="cellIs" dxfId="2333" priority="238" stopIfTrue="1" operator="equal">
      <formula>"1 Modify"</formula>
    </cfRule>
  </conditionalFormatting>
  <conditionalFormatting sqref="C81">
    <cfRule type="cellIs" dxfId="2332" priority="239" stopIfTrue="1" operator="equal">
      <formula>"2 Add"</formula>
    </cfRule>
  </conditionalFormatting>
  <conditionalFormatting sqref="C81">
    <cfRule type="cellIs" dxfId="2331" priority="240" stopIfTrue="1" operator="equal">
      <formula>"3 Delete"</formula>
    </cfRule>
  </conditionalFormatting>
  <conditionalFormatting sqref="C82">
    <cfRule type="cellIs" dxfId="2330" priority="241" stopIfTrue="1" operator="equal">
      <formula>"1 Modify"</formula>
    </cfRule>
  </conditionalFormatting>
  <conditionalFormatting sqref="C82">
    <cfRule type="cellIs" dxfId="2329" priority="242" stopIfTrue="1" operator="equal">
      <formula>"2 Add"</formula>
    </cfRule>
  </conditionalFormatting>
  <conditionalFormatting sqref="C82">
    <cfRule type="cellIs" dxfId="2328" priority="243" stopIfTrue="1" operator="equal">
      <formula>"3 Delete"</formula>
    </cfRule>
  </conditionalFormatting>
  <conditionalFormatting sqref="C83">
    <cfRule type="cellIs" dxfId="2327" priority="244" stopIfTrue="1" operator="equal">
      <formula>"1 Modify"</formula>
    </cfRule>
  </conditionalFormatting>
  <conditionalFormatting sqref="C83">
    <cfRule type="cellIs" dxfId="2326" priority="245" stopIfTrue="1" operator="equal">
      <formula>"2 Add"</formula>
    </cfRule>
  </conditionalFormatting>
  <conditionalFormatting sqref="C83">
    <cfRule type="cellIs" dxfId="2325" priority="246" stopIfTrue="1" operator="equal">
      <formula>"3 Delete"</formula>
    </cfRule>
  </conditionalFormatting>
  <conditionalFormatting sqref="C84">
    <cfRule type="cellIs" dxfId="2324" priority="247" stopIfTrue="1" operator="equal">
      <formula>"1 Modify"</formula>
    </cfRule>
  </conditionalFormatting>
  <conditionalFormatting sqref="C84">
    <cfRule type="cellIs" dxfId="2323" priority="248" stopIfTrue="1" operator="equal">
      <formula>"2 Add"</formula>
    </cfRule>
  </conditionalFormatting>
  <conditionalFormatting sqref="C84">
    <cfRule type="cellIs" dxfId="2322" priority="249" stopIfTrue="1" operator="equal">
      <formula>"3 Delete"</formula>
    </cfRule>
  </conditionalFormatting>
  <conditionalFormatting sqref="C85">
    <cfRule type="cellIs" dxfId="2321" priority="250" stopIfTrue="1" operator="equal">
      <formula>"1 Modify"</formula>
    </cfRule>
  </conditionalFormatting>
  <conditionalFormatting sqref="C85">
    <cfRule type="cellIs" dxfId="2320" priority="251" stopIfTrue="1" operator="equal">
      <formula>"2 Add"</formula>
    </cfRule>
  </conditionalFormatting>
  <conditionalFormatting sqref="C85">
    <cfRule type="cellIs" dxfId="2319" priority="252" stopIfTrue="1" operator="equal">
      <formula>"3 Delete"</formula>
    </cfRule>
  </conditionalFormatting>
  <conditionalFormatting sqref="C86">
    <cfRule type="cellIs" dxfId="2318" priority="253" stopIfTrue="1" operator="equal">
      <formula>"1 Modify"</formula>
    </cfRule>
  </conditionalFormatting>
  <conditionalFormatting sqref="C86">
    <cfRule type="cellIs" dxfId="2317" priority="254" stopIfTrue="1" operator="equal">
      <formula>"2 Add"</formula>
    </cfRule>
  </conditionalFormatting>
  <conditionalFormatting sqref="C86">
    <cfRule type="cellIs" dxfId="2316" priority="255" stopIfTrue="1" operator="equal">
      <formula>"3 Delete"</formula>
    </cfRule>
  </conditionalFormatting>
  <conditionalFormatting sqref="C87">
    <cfRule type="cellIs" dxfId="2315" priority="256" stopIfTrue="1" operator="equal">
      <formula>"1 Modify"</formula>
    </cfRule>
  </conditionalFormatting>
  <conditionalFormatting sqref="C87">
    <cfRule type="cellIs" dxfId="2314" priority="257" stopIfTrue="1" operator="equal">
      <formula>"2 Add"</formula>
    </cfRule>
  </conditionalFormatting>
  <conditionalFormatting sqref="C87">
    <cfRule type="cellIs" dxfId="2313" priority="258" stopIfTrue="1" operator="equal">
      <formula>"3 Delete"</formula>
    </cfRule>
  </conditionalFormatting>
  <conditionalFormatting sqref="C88">
    <cfRule type="cellIs" dxfId="2312" priority="259" stopIfTrue="1" operator="equal">
      <formula>"1 Modify"</formula>
    </cfRule>
  </conditionalFormatting>
  <conditionalFormatting sqref="C88">
    <cfRule type="cellIs" dxfId="2311" priority="260" stopIfTrue="1" operator="equal">
      <formula>"2 Add"</formula>
    </cfRule>
  </conditionalFormatting>
  <conditionalFormatting sqref="C88">
    <cfRule type="cellIs" dxfId="2310" priority="261" stopIfTrue="1" operator="equal">
      <formula>"3 Delete"</formula>
    </cfRule>
  </conditionalFormatting>
  <conditionalFormatting sqref="C89">
    <cfRule type="cellIs" dxfId="2309" priority="262" stopIfTrue="1" operator="equal">
      <formula>"1 Modify"</formula>
    </cfRule>
  </conditionalFormatting>
  <conditionalFormatting sqref="C89">
    <cfRule type="cellIs" dxfId="2308" priority="263" stopIfTrue="1" operator="equal">
      <formula>"2 Add"</formula>
    </cfRule>
  </conditionalFormatting>
  <conditionalFormatting sqref="C89">
    <cfRule type="cellIs" dxfId="2307" priority="264" stopIfTrue="1" operator="equal">
      <formula>"3 Delete"</formula>
    </cfRule>
  </conditionalFormatting>
  <conditionalFormatting sqref="C90">
    <cfRule type="cellIs" dxfId="2306" priority="265" stopIfTrue="1" operator="equal">
      <formula>"1 Modify"</formula>
    </cfRule>
  </conditionalFormatting>
  <conditionalFormatting sqref="C90">
    <cfRule type="cellIs" dxfId="2305" priority="266" stopIfTrue="1" operator="equal">
      <formula>"2 Add"</formula>
    </cfRule>
  </conditionalFormatting>
  <conditionalFormatting sqref="C90">
    <cfRule type="cellIs" dxfId="2304" priority="267" stopIfTrue="1" operator="equal">
      <formula>"3 Delete"</formula>
    </cfRule>
  </conditionalFormatting>
  <conditionalFormatting sqref="C91">
    <cfRule type="cellIs" dxfId="2303" priority="268" stopIfTrue="1" operator="equal">
      <formula>"1 Modify"</formula>
    </cfRule>
  </conditionalFormatting>
  <conditionalFormatting sqref="C91">
    <cfRule type="cellIs" dxfId="2302" priority="269" stopIfTrue="1" operator="equal">
      <formula>"2 Add"</formula>
    </cfRule>
  </conditionalFormatting>
  <conditionalFormatting sqref="C91">
    <cfRule type="cellIs" dxfId="2301" priority="270" stopIfTrue="1" operator="equal">
      <formula>"3 Delete"</formula>
    </cfRule>
  </conditionalFormatting>
  <conditionalFormatting sqref="C92">
    <cfRule type="cellIs" dxfId="2300" priority="271" stopIfTrue="1" operator="equal">
      <formula>"1 Modify"</formula>
    </cfRule>
  </conditionalFormatting>
  <conditionalFormatting sqref="C92">
    <cfRule type="cellIs" dxfId="2299" priority="272" stopIfTrue="1" operator="equal">
      <formula>"2 Add"</formula>
    </cfRule>
  </conditionalFormatting>
  <conditionalFormatting sqref="C92">
    <cfRule type="cellIs" dxfId="2298" priority="273" stopIfTrue="1" operator="equal">
      <formula>"3 Delete"</formula>
    </cfRule>
  </conditionalFormatting>
  <conditionalFormatting sqref="C93">
    <cfRule type="cellIs" dxfId="2297" priority="274" stopIfTrue="1" operator="equal">
      <formula>"1 Modify"</formula>
    </cfRule>
  </conditionalFormatting>
  <conditionalFormatting sqref="C93">
    <cfRule type="cellIs" dxfId="2296" priority="275" stopIfTrue="1" operator="equal">
      <formula>"2 Add"</formula>
    </cfRule>
  </conditionalFormatting>
  <conditionalFormatting sqref="C93">
    <cfRule type="cellIs" dxfId="2295" priority="276" stopIfTrue="1" operator="equal">
      <formula>"3 Delete"</formula>
    </cfRule>
  </conditionalFormatting>
  <conditionalFormatting sqref="C94">
    <cfRule type="cellIs" dxfId="2294" priority="277" stopIfTrue="1" operator="equal">
      <formula>"1 Modify"</formula>
    </cfRule>
  </conditionalFormatting>
  <conditionalFormatting sqref="C94">
    <cfRule type="cellIs" dxfId="2293" priority="278" stopIfTrue="1" operator="equal">
      <formula>"2 Add"</formula>
    </cfRule>
  </conditionalFormatting>
  <conditionalFormatting sqref="C94">
    <cfRule type="cellIs" dxfId="2292" priority="279" stopIfTrue="1" operator="equal">
      <formula>"3 Delete"</formula>
    </cfRule>
  </conditionalFormatting>
  <conditionalFormatting sqref="C95">
    <cfRule type="cellIs" dxfId="2291" priority="280" stopIfTrue="1" operator="equal">
      <formula>"1 Modify"</formula>
    </cfRule>
  </conditionalFormatting>
  <conditionalFormatting sqref="C95">
    <cfRule type="cellIs" dxfId="2290" priority="281" stopIfTrue="1" operator="equal">
      <formula>"2 Add"</formula>
    </cfRule>
  </conditionalFormatting>
  <conditionalFormatting sqref="C95">
    <cfRule type="cellIs" dxfId="2289" priority="282" stopIfTrue="1" operator="equal">
      <formula>"3 Delete"</formula>
    </cfRule>
  </conditionalFormatting>
  <conditionalFormatting sqref="C96">
    <cfRule type="cellIs" dxfId="2288" priority="283" stopIfTrue="1" operator="equal">
      <formula>"1 Modify"</formula>
    </cfRule>
  </conditionalFormatting>
  <conditionalFormatting sqref="C96">
    <cfRule type="cellIs" dxfId="2287" priority="284" stopIfTrue="1" operator="equal">
      <formula>"2 Add"</formula>
    </cfRule>
  </conditionalFormatting>
  <conditionalFormatting sqref="C96">
    <cfRule type="cellIs" dxfId="2286" priority="285" stopIfTrue="1" operator="equal">
      <formula>"3 Delete"</formula>
    </cfRule>
  </conditionalFormatting>
  <conditionalFormatting sqref="C97">
    <cfRule type="cellIs" dxfId="2285" priority="286" stopIfTrue="1" operator="equal">
      <formula>"1 Modify"</formula>
    </cfRule>
  </conditionalFormatting>
  <conditionalFormatting sqref="C97">
    <cfRule type="cellIs" dxfId="2284" priority="287" stopIfTrue="1" operator="equal">
      <formula>"2 Add"</formula>
    </cfRule>
  </conditionalFormatting>
  <conditionalFormatting sqref="C97">
    <cfRule type="cellIs" dxfId="2283" priority="288" stopIfTrue="1" operator="equal">
      <formula>"3 Delete"</formula>
    </cfRule>
  </conditionalFormatting>
  <conditionalFormatting sqref="C98">
    <cfRule type="cellIs" dxfId="2282" priority="289" stopIfTrue="1" operator="equal">
      <formula>"1 Modify"</formula>
    </cfRule>
  </conditionalFormatting>
  <conditionalFormatting sqref="C98">
    <cfRule type="cellIs" dxfId="2281" priority="290" stopIfTrue="1" operator="equal">
      <formula>"2 Add"</formula>
    </cfRule>
  </conditionalFormatting>
  <conditionalFormatting sqref="C98">
    <cfRule type="cellIs" dxfId="2280" priority="291" stopIfTrue="1" operator="equal">
      <formula>"3 Delete"</formula>
    </cfRule>
  </conditionalFormatting>
  <conditionalFormatting sqref="C99">
    <cfRule type="cellIs" dxfId="2279" priority="292" stopIfTrue="1" operator="equal">
      <formula>"1 Modify"</formula>
    </cfRule>
  </conditionalFormatting>
  <conditionalFormatting sqref="C99">
    <cfRule type="cellIs" dxfId="2278" priority="293" stopIfTrue="1" operator="equal">
      <formula>"2 Add"</formula>
    </cfRule>
  </conditionalFormatting>
  <conditionalFormatting sqref="C99">
    <cfRule type="cellIs" dxfId="2277" priority="294" stopIfTrue="1" operator="equal">
      <formula>"3 Delete"</formula>
    </cfRule>
  </conditionalFormatting>
  <conditionalFormatting sqref="C100">
    <cfRule type="cellIs" dxfId="2276" priority="295" stopIfTrue="1" operator="equal">
      <formula>"1 Modify"</formula>
    </cfRule>
  </conditionalFormatting>
  <conditionalFormatting sqref="C100">
    <cfRule type="cellIs" dxfId="2275" priority="296" stopIfTrue="1" operator="equal">
      <formula>"2 Add"</formula>
    </cfRule>
  </conditionalFormatting>
  <conditionalFormatting sqref="C100">
    <cfRule type="cellIs" dxfId="2274" priority="297" stopIfTrue="1" operator="equal">
      <formula>"3 Delete"</formula>
    </cfRule>
  </conditionalFormatting>
  <conditionalFormatting sqref="C101">
    <cfRule type="cellIs" dxfId="2273" priority="298" stopIfTrue="1" operator="equal">
      <formula>"1 Modify"</formula>
    </cfRule>
  </conditionalFormatting>
  <conditionalFormatting sqref="C101">
    <cfRule type="cellIs" dxfId="2272" priority="299" stopIfTrue="1" operator="equal">
      <formula>"2 Add"</formula>
    </cfRule>
  </conditionalFormatting>
  <conditionalFormatting sqref="C101">
    <cfRule type="cellIs" dxfId="2271" priority="300" stopIfTrue="1" operator="equal">
      <formula>"3 Delete"</formula>
    </cfRule>
  </conditionalFormatting>
  <conditionalFormatting sqref="C102">
    <cfRule type="cellIs" dxfId="2270" priority="301" stopIfTrue="1" operator="equal">
      <formula>"1 Modify"</formula>
    </cfRule>
  </conditionalFormatting>
  <conditionalFormatting sqref="C102">
    <cfRule type="cellIs" dxfId="2269" priority="302" stopIfTrue="1" operator="equal">
      <formula>"2 Add"</formula>
    </cfRule>
  </conditionalFormatting>
  <conditionalFormatting sqref="C102">
    <cfRule type="cellIs" dxfId="2268" priority="303" stopIfTrue="1" operator="equal">
      <formula>"3 Delete"</formula>
    </cfRule>
  </conditionalFormatting>
  <conditionalFormatting sqref="C103">
    <cfRule type="cellIs" dxfId="2267" priority="304" stopIfTrue="1" operator="equal">
      <formula>"1 Modify"</formula>
    </cfRule>
  </conditionalFormatting>
  <conditionalFormatting sqref="C103">
    <cfRule type="cellIs" dxfId="2266" priority="305" stopIfTrue="1" operator="equal">
      <formula>"2 Add"</formula>
    </cfRule>
  </conditionalFormatting>
  <conditionalFormatting sqref="C103">
    <cfRule type="cellIs" dxfId="2265" priority="306" stopIfTrue="1" operator="equal">
      <formula>"3 Delete"</formula>
    </cfRule>
  </conditionalFormatting>
  <conditionalFormatting sqref="C104">
    <cfRule type="cellIs" dxfId="2264" priority="307" stopIfTrue="1" operator="equal">
      <formula>"1 Modify"</formula>
    </cfRule>
  </conditionalFormatting>
  <conditionalFormatting sqref="C104">
    <cfRule type="cellIs" dxfId="2263" priority="308" stopIfTrue="1" operator="equal">
      <formula>"2 Add"</formula>
    </cfRule>
  </conditionalFormatting>
  <conditionalFormatting sqref="C104">
    <cfRule type="cellIs" dxfId="2262" priority="309" stopIfTrue="1" operator="equal">
      <formula>"3 Delete"</formula>
    </cfRule>
  </conditionalFormatting>
  <conditionalFormatting sqref="C105">
    <cfRule type="cellIs" dxfId="2261" priority="310" stopIfTrue="1" operator="equal">
      <formula>"1 Modify"</formula>
    </cfRule>
  </conditionalFormatting>
  <conditionalFormatting sqref="C105">
    <cfRule type="cellIs" dxfId="2260" priority="311" stopIfTrue="1" operator="equal">
      <formula>"2 Add"</formula>
    </cfRule>
  </conditionalFormatting>
  <conditionalFormatting sqref="C105">
    <cfRule type="cellIs" dxfId="2259" priority="312" stopIfTrue="1" operator="equal">
      <formula>"3 Delete"</formula>
    </cfRule>
  </conditionalFormatting>
  <conditionalFormatting sqref="C106">
    <cfRule type="cellIs" dxfId="2258" priority="313" stopIfTrue="1" operator="equal">
      <formula>"1 Modify"</formula>
    </cfRule>
  </conditionalFormatting>
  <conditionalFormatting sqref="C106">
    <cfRule type="cellIs" dxfId="2257" priority="314" stopIfTrue="1" operator="equal">
      <formula>"2 Add"</formula>
    </cfRule>
  </conditionalFormatting>
  <conditionalFormatting sqref="C106">
    <cfRule type="cellIs" dxfId="2256" priority="315" stopIfTrue="1" operator="equal">
      <formula>"3 Delete"</formula>
    </cfRule>
  </conditionalFormatting>
  <conditionalFormatting sqref="C107">
    <cfRule type="cellIs" dxfId="2255" priority="316" stopIfTrue="1" operator="equal">
      <formula>"1 Modify"</formula>
    </cfRule>
  </conditionalFormatting>
  <conditionalFormatting sqref="C107">
    <cfRule type="cellIs" dxfId="2254" priority="317" stopIfTrue="1" operator="equal">
      <formula>"2 Add"</formula>
    </cfRule>
  </conditionalFormatting>
  <conditionalFormatting sqref="C107">
    <cfRule type="cellIs" dxfId="2253" priority="318" stopIfTrue="1" operator="equal">
      <formula>"3 Delete"</formula>
    </cfRule>
  </conditionalFormatting>
  <conditionalFormatting sqref="C108">
    <cfRule type="cellIs" dxfId="2252" priority="319" stopIfTrue="1" operator="equal">
      <formula>"1 Modify"</formula>
    </cfRule>
  </conditionalFormatting>
  <conditionalFormatting sqref="C108">
    <cfRule type="cellIs" dxfId="2251" priority="320" stopIfTrue="1" operator="equal">
      <formula>"2 Add"</formula>
    </cfRule>
  </conditionalFormatting>
  <conditionalFormatting sqref="C108">
    <cfRule type="cellIs" dxfId="2250" priority="321" stopIfTrue="1" operator="equal">
      <formula>"3 Delete"</formula>
    </cfRule>
  </conditionalFormatting>
  <conditionalFormatting sqref="C109">
    <cfRule type="cellIs" dxfId="2249" priority="322" stopIfTrue="1" operator="equal">
      <formula>"1 Modify"</formula>
    </cfRule>
  </conditionalFormatting>
  <conditionalFormatting sqref="C109">
    <cfRule type="cellIs" dxfId="2248" priority="323" stopIfTrue="1" operator="equal">
      <formula>"2 Add"</formula>
    </cfRule>
  </conditionalFormatting>
  <conditionalFormatting sqref="C109">
    <cfRule type="cellIs" dxfId="2247" priority="324" stopIfTrue="1" operator="equal">
      <formula>"3 Delete"</formula>
    </cfRule>
  </conditionalFormatting>
  <conditionalFormatting sqref="C110">
    <cfRule type="cellIs" dxfId="2246" priority="325" stopIfTrue="1" operator="equal">
      <formula>"1 Modify"</formula>
    </cfRule>
  </conditionalFormatting>
  <conditionalFormatting sqref="C110">
    <cfRule type="cellIs" dxfId="2245" priority="326" stopIfTrue="1" operator="equal">
      <formula>"2 Add"</formula>
    </cfRule>
  </conditionalFormatting>
  <conditionalFormatting sqref="C110">
    <cfRule type="cellIs" dxfId="2244" priority="327" stopIfTrue="1" operator="equal">
      <formula>"3 Delete"</formula>
    </cfRule>
  </conditionalFormatting>
  <conditionalFormatting sqref="C111">
    <cfRule type="cellIs" dxfId="2243" priority="328" stopIfTrue="1" operator="equal">
      <formula>"1 Modify"</formula>
    </cfRule>
  </conditionalFormatting>
  <conditionalFormatting sqref="C111">
    <cfRule type="cellIs" dxfId="2242" priority="329" stopIfTrue="1" operator="equal">
      <formula>"2 Add"</formula>
    </cfRule>
  </conditionalFormatting>
  <conditionalFormatting sqref="C111">
    <cfRule type="cellIs" dxfId="2241" priority="330" stopIfTrue="1" operator="equal">
      <formula>"3 Delete"</formula>
    </cfRule>
  </conditionalFormatting>
  <conditionalFormatting sqref="C112">
    <cfRule type="cellIs" dxfId="2240" priority="331" stopIfTrue="1" operator="equal">
      <formula>"1 Modify"</formula>
    </cfRule>
  </conditionalFormatting>
  <conditionalFormatting sqref="C112">
    <cfRule type="cellIs" dxfId="2239" priority="332" stopIfTrue="1" operator="equal">
      <formula>"2 Add"</formula>
    </cfRule>
  </conditionalFormatting>
  <conditionalFormatting sqref="C112">
    <cfRule type="cellIs" dxfId="2238" priority="333" stopIfTrue="1" operator="equal">
      <formula>"3 Delete"</formula>
    </cfRule>
  </conditionalFormatting>
  <conditionalFormatting sqref="C113">
    <cfRule type="cellIs" dxfId="2237" priority="334" stopIfTrue="1" operator="equal">
      <formula>"1 Modify"</formula>
    </cfRule>
  </conditionalFormatting>
  <conditionalFormatting sqref="C113">
    <cfRule type="cellIs" dxfId="2236" priority="335" stopIfTrue="1" operator="equal">
      <formula>"2 Add"</formula>
    </cfRule>
  </conditionalFormatting>
  <conditionalFormatting sqref="C113">
    <cfRule type="cellIs" dxfId="2235" priority="336" stopIfTrue="1" operator="equal">
      <formula>"3 Delete"</formula>
    </cfRule>
  </conditionalFormatting>
  <conditionalFormatting sqref="C114">
    <cfRule type="cellIs" dxfId="2234" priority="337" stopIfTrue="1" operator="equal">
      <formula>"1 Modify"</formula>
    </cfRule>
  </conditionalFormatting>
  <conditionalFormatting sqref="C114">
    <cfRule type="cellIs" dxfId="2233" priority="338" stopIfTrue="1" operator="equal">
      <formula>"2 Add"</formula>
    </cfRule>
  </conditionalFormatting>
  <conditionalFormatting sqref="C114">
    <cfRule type="cellIs" dxfId="2232" priority="339" stopIfTrue="1" operator="equal">
      <formula>"3 Delete"</formula>
    </cfRule>
  </conditionalFormatting>
  <conditionalFormatting sqref="C115">
    <cfRule type="cellIs" dxfId="2231" priority="340" stopIfTrue="1" operator="equal">
      <formula>"1 Modify"</formula>
    </cfRule>
  </conditionalFormatting>
  <conditionalFormatting sqref="C115">
    <cfRule type="cellIs" dxfId="2230" priority="341" stopIfTrue="1" operator="equal">
      <formula>"2 Add"</formula>
    </cfRule>
  </conditionalFormatting>
  <conditionalFormatting sqref="C115">
    <cfRule type="cellIs" dxfId="2229" priority="342" stopIfTrue="1" operator="equal">
      <formula>"3 Delete"</formula>
    </cfRule>
  </conditionalFormatting>
  <conditionalFormatting sqref="C116">
    <cfRule type="cellIs" dxfId="2228" priority="343" stopIfTrue="1" operator="equal">
      <formula>"1 Modify"</formula>
    </cfRule>
  </conditionalFormatting>
  <conditionalFormatting sqref="C116">
    <cfRule type="cellIs" dxfId="2227" priority="344" stopIfTrue="1" operator="equal">
      <formula>"2 Add"</formula>
    </cfRule>
  </conditionalFormatting>
  <conditionalFormatting sqref="C116">
    <cfRule type="cellIs" dxfId="2226" priority="345" stopIfTrue="1" operator="equal">
      <formula>"3 Delete"</formula>
    </cfRule>
  </conditionalFormatting>
  <conditionalFormatting sqref="C117">
    <cfRule type="cellIs" dxfId="2225" priority="346" stopIfTrue="1" operator="equal">
      <formula>"1 Modify"</formula>
    </cfRule>
  </conditionalFormatting>
  <conditionalFormatting sqref="C117">
    <cfRule type="cellIs" dxfId="2224" priority="347" stopIfTrue="1" operator="equal">
      <formula>"2 Add"</formula>
    </cfRule>
  </conditionalFormatting>
  <conditionalFormatting sqref="C117">
    <cfRule type="cellIs" dxfId="2223" priority="348" stopIfTrue="1" operator="equal">
      <formula>"3 Delete"</formula>
    </cfRule>
  </conditionalFormatting>
  <conditionalFormatting sqref="C118">
    <cfRule type="cellIs" dxfId="2222" priority="349" stopIfTrue="1" operator="equal">
      <formula>"1 Modify"</formula>
    </cfRule>
  </conditionalFormatting>
  <conditionalFormatting sqref="C118">
    <cfRule type="cellIs" dxfId="2221" priority="350" stopIfTrue="1" operator="equal">
      <formula>"2 Add"</formula>
    </cfRule>
  </conditionalFormatting>
  <conditionalFormatting sqref="C118">
    <cfRule type="cellIs" dxfId="2220" priority="351" stopIfTrue="1" operator="equal">
      <formula>"3 Delete"</formula>
    </cfRule>
  </conditionalFormatting>
  <conditionalFormatting sqref="C119">
    <cfRule type="cellIs" dxfId="2219" priority="352" stopIfTrue="1" operator="equal">
      <formula>"1 Modify"</formula>
    </cfRule>
  </conditionalFormatting>
  <conditionalFormatting sqref="C119">
    <cfRule type="cellIs" dxfId="2218" priority="353" stopIfTrue="1" operator="equal">
      <formula>"2 Add"</formula>
    </cfRule>
  </conditionalFormatting>
  <conditionalFormatting sqref="C119">
    <cfRule type="cellIs" dxfId="2217" priority="354" stopIfTrue="1" operator="equal">
      <formula>"3 Delete"</formula>
    </cfRule>
  </conditionalFormatting>
  <conditionalFormatting sqref="C120">
    <cfRule type="cellIs" dxfId="2216" priority="355" stopIfTrue="1" operator="equal">
      <formula>"1 Modify"</formula>
    </cfRule>
  </conditionalFormatting>
  <conditionalFormatting sqref="C120">
    <cfRule type="cellIs" dxfId="2215" priority="356" stopIfTrue="1" operator="equal">
      <formula>"2 Add"</formula>
    </cfRule>
  </conditionalFormatting>
  <conditionalFormatting sqref="C120">
    <cfRule type="cellIs" dxfId="2214" priority="357" stopIfTrue="1" operator="equal">
      <formula>"3 Delete"</formula>
    </cfRule>
  </conditionalFormatting>
  <conditionalFormatting sqref="C121">
    <cfRule type="cellIs" dxfId="2213" priority="358" stopIfTrue="1" operator="equal">
      <formula>"1 Modify"</formula>
    </cfRule>
  </conditionalFormatting>
  <conditionalFormatting sqref="C121">
    <cfRule type="cellIs" dxfId="2212" priority="359" stopIfTrue="1" operator="equal">
      <formula>"2 Add"</formula>
    </cfRule>
  </conditionalFormatting>
  <conditionalFormatting sqref="C121">
    <cfRule type="cellIs" dxfId="2211" priority="360" stopIfTrue="1" operator="equal">
      <formula>"3 Delete"</formula>
    </cfRule>
  </conditionalFormatting>
  <conditionalFormatting sqref="C122">
    <cfRule type="cellIs" dxfId="2210" priority="361" stopIfTrue="1" operator="equal">
      <formula>"1 Modify"</formula>
    </cfRule>
  </conditionalFormatting>
  <conditionalFormatting sqref="C122">
    <cfRule type="cellIs" dxfId="2209" priority="362" stopIfTrue="1" operator="equal">
      <formula>"2 Add"</formula>
    </cfRule>
  </conditionalFormatting>
  <conditionalFormatting sqref="C122">
    <cfRule type="cellIs" dxfId="2208" priority="363" stopIfTrue="1" operator="equal">
      <formula>"3 Delete"</formula>
    </cfRule>
  </conditionalFormatting>
  <conditionalFormatting sqref="C123">
    <cfRule type="cellIs" dxfId="2207" priority="364" stopIfTrue="1" operator="equal">
      <formula>"1 Modify"</formula>
    </cfRule>
  </conditionalFormatting>
  <conditionalFormatting sqref="C123">
    <cfRule type="cellIs" dxfId="2206" priority="365" stopIfTrue="1" operator="equal">
      <formula>"2 Add"</formula>
    </cfRule>
  </conditionalFormatting>
  <conditionalFormatting sqref="C123">
    <cfRule type="cellIs" dxfId="2205" priority="366" stopIfTrue="1" operator="equal">
      <formula>"3 Delete"</formula>
    </cfRule>
  </conditionalFormatting>
  <conditionalFormatting sqref="C124">
    <cfRule type="cellIs" dxfId="2204" priority="367" stopIfTrue="1" operator="equal">
      <formula>"1 Modify"</formula>
    </cfRule>
  </conditionalFormatting>
  <conditionalFormatting sqref="C124">
    <cfRule type="cellIs" dxfId="2203" priority="368" stopIfTrue="1" operator="equal">
      <formula>"2 Add"</formula>
    </cfRule>
  </conditionalFormatting>
  <conditionalFormatting sqref="C124">
    <cfRule type="cellIs" dxfId="2202" priority="369" stopIfTrue="1" operator="equal">
      <formula>"3 Delete"</formula>
    </cfRule>
  </conditionalFormatting>
  <conditionalFormatting sqref="C125">
    <cfRule type="cellIs" dxfId="2201" priority="370" stopIfTrue="1" operator="equal">
      <formula>"1 Modify"</formula>
    </cfRule>
  </conditionalFormatting>
  <conditionalFormatting sqref="C125">
    <cfRule type="cellIs" dxfId="2200" priority="371" stopIfTrue="1" operator="equal">
      <formula>"2 Add"</formula>
    </cfRule>
  </conditionalFormatting>
  <conditionalFormatting sqref="C125">
    <cfRule type="cellIs" dxfId="2199" priority="372" stopIfTrue="1" operator="equal">
      <formula>"3 Delete"</formula>
    </cfRule>
  </conditionalFormatting>
  <conditionalFormatting sqref="C126">
    <cfRule type="cellIs" dxfId="2198" priority="373" stopIfTrue="1" operator="equal">
      <formula>"1 Modify"</formula>
    </cfRule>
  </conditionalFormatting>
  <conditionalFormatting sqref="C126">
    <cfRule type="cellIs" dxfId="2197" priority="374" stopIfTrue="1" operator="equal">
      <formula>"2 Add"</formula>
    </cfRule>
  </conditionalFormatting>
  <conditionalFormatting sqref="C126">
    <cfRule type="cellIs" dxfId="2196" priority="375" stopIfTrue="1" operator="equal">
      <formula>"3 Delete"</formula>
    </cfRule>
  </conditionalFormatting>
  <conditionalFormatting sqref="C127">
    <cfRule type="cellIs" dxfId="2195" priority="376" stopIfTrue="1" operator="equal">
      <formula>"1 Modify"</formula>
    </cfRule>
  </conditionalFormatting>
  <conditionalFormatting sqref="C127">
    <cfRule type="cellIs" dxfId="2194" priority="377" stopIfTrue="1" operator="equal">
      <formula>"2 Add"</formula>
    </cfRule>
  </conditionalFormatting>
  <conditionalFormatting sqref="C127">
    <cfRule type="cellIs" dxfId="2193" priority="378" stopIfTrue="1" operator="equal">
      <formula>"3 Delete"</formula>
    </cfRule>
  </conditionalFormatting>
  <conditionalFormatting sqref="C128">
    <cfRule type="cellIs" dxfId="2192" priority="379" stopIfTrue="1" operator="equal">
      <formula>"1 Modify"</formula>
    </cfRule>
  </conditionalFormatting>
  <conditionalFormatting sqref="C128">
    <cfRule type="cellIs" dxfId="2191" priority="380" stopIfTrue="1" operator="equal">
      <formula>"2 Add"</formula>
    </cfRule>
  </conditionalFormatting>
  <conditionalFormatting sqref="C128">
    <cfRule type="cellIs" dxfId="2190" priority="381" stopIfTrue="1" operator="equal">
      <formula>"3 Delete"</formula>
    </cfRule>
  </conditionalFormatting>
  <conditionalFormatting sqref="C129">
    <cfRule type="cellIs" dxfId="2189" priority="382" stopIfTrue="1" operator="equal">
      <formula>"1 Modify"</formula>
    </cfRule>
  </conditionalFormatting>
  <conditionalFormatting sqref="C129">
    <cfRule type="cellIs" dxfId="2188" priority="383" stopIfTrue="1" operator="equal">
      <formula>"2 Add"</formula>
    </cfRule>
  </conditionalFormatting>
  <conditionalFormatting sqref="C129">
    <cfRule type="cellIs" dxfId="2187" priority="384" stopIfTrue="1" operator="equal">
      <formula>"3 Delete"</formula>
    </cfRule>
  </conditionalFormatting>
  <conditionalFormatting sqref="C130">
    <cfRule type="cellIs" dxfId="2186" priority="385" stopIfTrue="1" operator="equal">
      <formula>"1 Modify"</formula>
    </cfRule>
  </conditionalFormatting>
  <conditionalFormatting sqref="C130">
    <cfRule type="cellIs" dxfId="2185" priority="386" stopIfTrue="1" operator="equal">
      <formula>"2 Add"</formula>
    </cfRule>
  </conditionalFormatting>
  <conditionalFormatting sqref="C130">
    <cfRule type="cellIs" dxfId="2184" priority="387" stopIfTrue="1" operator="equal">
      <formula>"3 Delete"</formula>
    </cfRule>
  </conditionalFormatting>
  <conditionalFormatting sqref="C131">
    <cfRule type="cellIs" dxfId="2183" priority="388" stopIfTrue="1" operator="equal">
      <formula>"1 Modify"</formula>
    </cfRule>
  </conditionalFormatting>
  <conditionalFormatting sqref="C131">
    <cfRule type="cellIs" dxfId="2182" priority="389" stopIfTrue="1" operator="equal">
      <formula>"2 Add"</formula>
    </cfRule>
  </conditionalFormatting>
  <conditionalFormatting sqref="C131">
    <cfRule type="cellIs" dxfId="2181" priority="390" stopIfTrue="1" operator="equal">
      <formula>"3 Delete"</formula>
    </cfRule>
  </conditionalFormatting>
  <conditionalFormatting sqref="C132">
    <cfRule type="cellIs" dxfId="2180" priority="391" stopIfTrue="1" operator="equal">
      <formula>"1 Modify"</formula>
    </cfRule>
  </conditionalFormatting>
  <conditionalFormatting sqref="C132">
    <cfRule type="cellIs" dxfId="2179" priority="392" stopIfTrue="1" operator="equal">
      <formula>"2 Add"</formula>
    </cfRule>
  </conditionalFormatting>
  <conditionalFormatting sqref="C132">
    <cfRule type="cellIs" dxfId="2178" priority="393" stopIfTrue="1" operator="equal">
      <formula>"3 Delete"</formula>
    </cfRule>
  </conditionalFormatting>
  <conditionalFormatting sqref="C133">
    <cfRule type="cellIs" dxfId="2177" priority="394" stopIfTrue="1" operator="equal">
      <formula>"1 Modify"</formula>
    </cfRule>
  </conditionalFormatting>
  <conditionalFormatting sqref="C133">
    <cfRule type="cellIs" dxfId="2176" priority="395" stopIfTrue="1" operator="equal">
      <formula>"2 Add"</formula>
    </cfRule>
  </conditionalFormatting>
  <conditionalFormatting sqref="C133">
    <cfRule type="cellIs" dxfId="2175" priority="396" stopIfTrue="1" operator="equal">
      <formula>"3 Delete"</formula>
    </cfRule>
  </conditionalFormatting>
  <conditionalFormatting sqref="C134">
    <cfRule type="cellIs" dxfId="2174" priority="397" stopIfTrue="1" operator="equal">
      <formula>"1 Modify"</formula>
    </cfRule>
  </conditionalFormatting>
  <conditionalFormatting sqref="C134">
    <cfRule type="cellIs" dxfId="2173" priority="398" stopIfTrue="1" operator="equal">
      <formula>"2 Add"</formula>
    </cfRule>
  </conditionalFormatting>
  <conditionalFormatting sqref="C134">
    <cfRule type="cellIs" dxfId="2172" priority="399" stopIfTrue="1" operator="equal">
      <formula>"3 Delete"</formula>
    </cfRule>
  </conditionalFormatting>
  <conditionalFormatting sqref="C135">
    <cfRule type="cellIs" dxfId="2171" priority="400" stopIfTrue="1" operator="equal">
      <formula>"1 Modify"</formula>
    </cfRule>
  </conditionalFormatting>
  <conditionalFormatting sqref="C135">
    <cfRule type="cellIs" dxfId="2170" priority="401" stopIfTrue="1" operator="equal">
      <formula>"2 Add"</formula>
    </cfRule>
  </conditionalFormatting>
  <conditionalFormatting sqref="C135">
    <cfRule type="cellIs" dxfId="2169" priority="402" stopIfTrue="1" operator="equal">
      <formula>"3 Delete"</formula>
    </cfRule>
  </conditionalFormatting>
  <conditionalFormatting sqref="C136">
    <cfRule type="cellIs" dxfId="2168" priority="403" stopIfTrue="1" operator="equal">
      <formula>"1 Modify"</formula>
    </cfRule>
  </conditionalFormatting>
  <conditionalFormatting sqref="C136">
    <cfRule type="cellIs" dxfId="2167" priority="404" stopIfTrue="1" operator="equal">
      <formula>"2 Add"</formula>
    </cfRule>
  </conditionalFormatting>
  <conditionalFormatting sqref="C136">
    <cfRule type="cellIs" dxfId="2166" priority="405" stopIfTrue="1" operator="equal">
      <formula>"3 Delete"</formula>
    </cfRule>
  </conditionalFormatting>
  <conditionalFormatting sqref="C137">
    <cfRule type="cellIs" dxfId="2165" priority="406" stopIfTrue="1" operator="equal">
      <formula>"1 Modify"</formula>
    </cfRule>
  </conditionalFormatting>
  <conditionalFormatting sqref="C137">
    <cfRule type="cellIs" dxfId="2164" priority="407" stopIfTrue="1" operator="equal">
      <formula>"2 Add"</formula>
    </cfRule>
  </conditionalFormatting>
  <conditionalFormatting sqref="C137">
    <cfRule type="cellIs" dxfId="2163" priority="408" stopIfTrue="1" operator="equal">
      <formula>"3 Delete"</formula>
    </cfRule>
  </conditionalFormatting>
  <conditionalFormatting sqref="C138">
    <cfRule type="cellIs" dxfId="2162" priority="409" stopIfTrue="1" operator="equal">
      <formula>"1 Modify"</formula>
    </cfRule>
  </conditionalFormatting>
  <conditionalFormatting sqref="C138">
    <cfRule type="cellIs" dxfId="2161" priority="410" stopIfTrue="1" operator="equal">
      <formula>"2 Add"</formula>
    </cfRule>
  </conditionalFormatting>
  <conditionalFormatting sqref="C138">
    <cfRule type="cellIs" dxfId="2160" priority="411" stopIfTrue="1" operator="equal">
      <formula>"3 Delete"</formula>
    </cfRule>
  </conditionalFormatting>
  <conditionalFormatting sqref="C139">
    <cfRule type="cellIs" dxfId="2159" priority="412" stopIfTrue="1" operator="equal">
      <formula>"1 Modify"</formula>
    </cfRule>
  </conditionalFormatting>
  <conditionalFormatting sqref="C139">
    <cfRule type="cellIs" dxfId="2158" priority="413" stopIfTrue="1" operator="equal">
      <formula>"2 Add"</formula>
    </cfRule>
  </conditionalFormatting>
  <conditionalFormatting sqref="C139">
    <cfRule type="cellIs" dxfId="2157" priority="414" stopIfTrue="1" operator="equal">
      <formula>"3 Delete"</formula>
    </cfRule>
  </conditionalFormatting>
  <conditionalFormatting sqref="C140">
    <cfRule type="cellIs" dxfId="2156" priority="415" stopIfTrue="1" operator="equal">
      <formula>"1 Modify"</formula>
    </cfRule>
  </conditionalFormatting>
  <conditionalFormatting sqref="C140">
    <cfRule type="cellIs" dxfId="2155" priority="416" stopIfTrue="1" operator="equal">
      <formula>"2 Add"</formula>
    </cfRule>
  </conditionalFormatting>
  <conditionalFormatting sqref="C140">
    <cfRule type="cellIs" dxfId="2154" priority="417" stopIfTrue="1" operator="equal">
      <formula>"3 Delete"</formula>
    </cfRule>
  </conditionalFormatting>
  <conditionalFormatting sqref="C141">
    <cfRule type="cellIs" dxfId="2153" priority="418" stopIfTrue="1" operator="equal">
      <formula>"1 Modify"</formula>
    </cfRule>
  </conditionalFormatting>
  <conditionalFormatting sqref="C141">
    <cfRule type="cellIs" dxfId="2152" priority="419" stopIfTrue="1" operator="equal">
      <formula>"2 Add"</formula>
    </cfRule>
  </conditionalFormatting>
  <conditionalFormatting sqref="C141">
    <cfRule type="cellIs" dxfId="2151" priority="420" stopIfTrue="1" operator="equal">
      <formula>"3 Delete"</formula>
    </cfRule>
  </conditionalFormatting>
  <conditionalFormatting sqref="C142">
    <cfRule type="cellIs" dxfId="2150" priority="421" stopIfTrue="1" operator="equal">
      <formula>"1 Modify"</formula>
    </cfRule>
  </conditionalFormatting>
  <conditionalFormatting sqref="C142">
    <cfRule type="cellIs" dxfId="2149" priority="422" stopIfTrue="1" operator="equal">
      <formula>"2 Add"</formula>
    </cfRule>
  </conditionalFormatting>
  <conditionalFormatting sqref="C142">
    <cfRule type="cellIs" dxfId="2148" priority="423" stopIfTrue="1" operator="equal">
      <formula>"3 Delete"</formula>
    </cfRule>
  </conditionalFormatting>
  <conditionalFormatting sqref="C143">
    <cfRule type="cellIs" dxfId="2147" priority="424" stopIfTrue="1" operator="equal">
      <formula>"1 Modify"</formula>
    </cfRule>
  </conditionalFormatting>
  <conditionalFormatting sqref="C143">
    <cfRule type="cellIs" dxfId="2146" priority="425" stopIfTrue="1" operator="equal">
      <formula>"2 Add"</formula>
    </cfRule>
  </conditionalFormatting>
  <conditionalFormatting sqref="C143">
    <cfRule type="cellIs" dxfId="2145" priority="426" stopIfTrue="1" operator="equal">
      <formula>"3 Delete"</formula>
    </cfRule>
  </conditionalFormatting>
  <conditionalFormatting sqref="C144">
    <cfRule type="cellIs" dxfId="2144" priority="427" stopIfTrue="1" operator="equal">
      <formula>"1 Modify"</formula>
    </cfRule>
  </conditionalFormatting>
  <conditionalFormatting sqref="C144">
    <cfRule type="cellIs" dxfId="2143" priority="428" stopIfTrue="1" operator="equal">
      <formula>"2 Add"</formula>
    </cfRule>
  </conditionalFormatting>
  <conditionalFormatting sqref="C144">
    <cfRule type="cellIs" dxfId="2142" priority="429" stopIfTrue="1" operator="equal">
      <formula>"3 Delete"</formula>
    </cfRule>
  </conditionalFormatting>
  <conditionalFormatting sqref="C145">
    <cfRule type="cellIs" dxfId="2141" priority="430" stopIfTrue="1" operator="equal">
      <formula>"1 Modify"</formula>
    </cfRule>
  </conditionalFormatting>
  <conditionalFormatting sqref="C145">
    <cfRule type="cellIs" dxfId="2140" priority="431" stopIfTrue="1" operator="equal">
      <formula>"2 Add"</formula>
    </cfRule>
  </conditionalFormatting>
  <conditionalFormatting sqref="C145">
    <cfRule type="cellIs" dxfId="2139" priority="432" stopIfTrue="1" operator="equal">
      <formula>"3 Delete"</formula>
    </cfRule>
  </conditionalFormatting>
  <conditionalFormatting sqref="C146">
    <cfRule type="cellIs" dxfId="2138" priority="433" stopIfTrue="1" operator="equal">
      <formula>"1 Modify"</formula>
    </cfRule>
  </conditionalFormatting>
  <conditionalFormatting sqref="C146">
    <cfRule type="cellIs" dxfId="2137" priority="434" stopIfTrue="1" operator="equal">
      <formula>"2 Add"</formula>
    </cfRule>
  </conditionalFormatting>
  <conditionalFormatting sqref="C146">
    <cfRule type="cellIs" dxfId="2136" priority="435" stopIfTrue="1" operator="equal">
      <formula>"3 Delete"</formula>
    </cfRule>
  </conditionalFormatting>
  <conditionalFormatting sqref="C147">
    <cfRule type="cellIs" dxfId="2135" priority="436" stopIfTrue="1" operator="equal">
      <formula>"1 Modify"</formula>
    </cfRule>
  </conditionalFormatting>
  <conditionalFormatting sqref="C147">
    <cfRule type="cellIs" dxfId="2134" priority="437" stopIfTrue="1" operator="equal">
      <formula>"2 Add"</formula>
    </cfRule>
  </conditionalFormatting>
  <conditionalFormatting sqref="C147">
    <cfRule type="cellIs" dxfId="2133" priority="438" stopIfTrue="1" operator="equal">
      <formula>"3 Delete"</formula>
    </cfRule>
  </conditionalFormatting>
  <conditionalFormatting sqref="C148">
    <cfRule type="cellIs" dxfId="2132" priority="439" stopIfTrue="1" operator="equal">
      <formula>"1 Modify"</formula>
    </cfRule>
  </conditionalFormatting>
  <conditionalFormatting sqref="C148">
    <cfRule type="cellIs" dxfId="2131" priority="440" stopIfTrue="1" operator="equal">
      <formula>"2 Add"</formula>
    </cfRule>
  </conditionalFormatting>
  <conditionalFormatting sqref="C148">
    <cfRule type="cellIs" dxfId="2130" priority="441" stopIfTrue="1" operator="equal">
      <formula>"3 Delete"</formula>
    </cfRule>
  </conditionalFormatting>
  <conditionalFormatting sqref="C149">
    <cfRule type="cellIs" dxfId="2129" priority="442" stopIfTrue="1" operator="equal">
      <formula>"1 Modify"</formula>
    </cfRule>
  </conditionalFormatting>
  <conditionalFormatting sqref="C149">
    <cfRule type="cellIs" dxfId="2128" priority="443" stopIfTrue="1" operator="equal">
      <formula>"2 Add"</formula>
    </cfRule>
  </conditionalFormatting>
  <conditionalFormatting sqref="C149">
    <cfRule type="cellIs" dxfId="2127" priority="444" stopIfTrue="1" operator="equal">
      <formula>"3 Delete"</formula>
    </cfRule>
  </conditionalFormatting>
  <conditionalFormatting sqref="C150">
    <cfRule type="cellIs" dxfId="2126" priority="445" stopIfTrue="1" operator="equal">
      <formula>"1 Modify"</formula>
    </cfRule>
  </conditionalFormatting>
  <conditionalFormatting sqref="C150">
    <cfRule type="cellIs" dxfId="2125" priority="446" stopIfTrue="1" operator="equal">
      <formula>"2 Add"</formula>
    </cfRule>
  </conditionalFormatting>
  <conditionalFormatting sqref="C150">
    <cfRule type="cellIs" dxfId="2124" priority="447" stopIfTrue="1" operator="equal">
      <formula>"3 Delete"</formula>
    </cfRule>
  </conditionalFormatting>
  <conditionalFormatting sqref="C151">
    <cfRule type="cellIs" dxfId="2123" priority="448" stopIfTrue="1" operator="equal">
      <formula>"1 Modify"</formula>
    </cfRule>
  </conditionalFormatting>
  <conditionalFormatting sqref="C151">
    <cfRule type="cellIs" dxfId="2122" priority="449" stopIfTrue="1" operator="equal">
      <formula>"2 Add"</formula>
    </cfRule>
  </conditionalFormatting>
  <conditionalFormatting sqref="C151">
    <cfRule type="cellIs" dxfId="2121" priority="450" stopIfTrue="1" operator="equal">
      <formula>"3 Delete"</formula>
    </cfRule>
  </conditionalFormatting>
  <conditionalFormatting sqref="C152">
    <cfRule type="cellIs" dxfId="2120" priority="451" stopIfTrue="1" operator="equal">
      <formula>"1 Modify"</formula>
    </cfRule>
  </conditionalFormatting>
  <conditionalFormatting sqref="C152">
    <cfRule type="cellIs" dxfId="2119" priority="452" stopIfTrue="1" operator="equal">
      <formula>"2 Add"</formula>
    </cfRule>
  </conditionalFormatting>
  <conditionalFormatting sqref="C152">
    <cfRule type="cellIs" dxfId="2118" priority="453" stopIfTrue="1" operator="equal">
      <formula>"3 Delete"</formula>
    </cfRule>
  </conditionalFormatting>
  <conditionalFormatting sqref="C153">
    <cfRule type="cellIs" dxfId="2117" priority="454" stopIfTrue="1" operator="equal">
      <formula>"1 Modify"</formula>
    </cfRule>
  </conditionalFormatting>
  <conditionalFormatting sqref="C153">
    <cfRule type="cellIs" dxfId="2116" priority="455" stopIfTrue="1" operator="equal">
      <formula>"2 Add"</formula>
    </cfRule>
  </conditionalFormatting>
  <conditionalFormatting sqref="C153">
    <cfRule type="cellIs" dxfId="2115" priority="456" stopIfTrue="1" operator="equal">
      <formula>"3 Delete"</formula>
    </cfRule>
  </conditionalFormatting>
  <conditionalFormatting sqref="C154">
    <cfRule type="cellIs" dxfId="2114" priority="457" stopIfTrue="1" operator="equal">
      <formula>"1 Modify"</formula>
    </cfRule>
  </conditionalFormatting>
  <conditionalFormatting sqref="C154">
    <cfRule type="cellIs" dxfId="2113" priority="458" stopIfTrue="1" operator="equal">
      <formula>"2 Add"</formula>
    </cfRule>
  </conditionalFormatting>
  <conditionalFormatting sqref="C154">
    <cfRule type="cellIs" dxfId="2112" priority="459" stopIfTrue="1" operator="equal">
      <formula>"3 Delete"</formula>
    </cfRule>
  </conditionalFormatting>
  <conditionalFormatting sqref="C155">
    <cfRule type="cellIs" dxfId="2111" priority="460" stopIfTrue="1" operator="equal">
      <formula>"1 Modify"</formula>
    </cfRule>
  </conditionalFormatting>
  <conditionalFormatting sqref="C155">
    <cfRule type="cellIs" dxfId="2110" priority="461" stopIfTrue="1" operator="equal">
      <formula>"2 Add"</formula>
    </cfRule>
  </conditionalFormatting>
  <conditionalFormatting sqref="C155">
    <cfRule type="cellIs" dxfId="2109" priority="462" stopIfTrue="1" operator="equal">
      <formula>"3 Delete"</formula>
    </cfRule>
  </conditionalFormatting>
  <conditionalFormatting sqref="C156">
    <cfRule type="cellIs" dxfId="2108" priority="463" stopIfTrue="1" operator="equal">
      <formula>"1 Modify"</formula>
    </cfRule>
  </conditionalFormatting>
  <conditionalFormatting sqref="C156">
    <cfRule type="cellIs" dxfId="2107" priority="464" stopIfTrue="1" operator="equal">
      <formula>"2 Add"</formula>
    </cfRule>
  </conditionalFormatting>
  <conditionalFormatting sqref="C156">
    <cfRule type="cellIs" dxfId="2106" priority="465" stopIfTrue="1" operator="equal">
      <formula>"3 Delete"</formula>
    </cfRule>
  </conditionalFormatting>
  <conditionalFormatting sqref="C157">
    <cfRule type="cellIs" dxfId="2105" priority="466" stopIfTrue="1" operator="equal">
      <formula>"1 Modify"</formula>
    </cfRule>
  </conditionalFormatting>
  <conditionalFormatting sqref="C157">
    <cfRule type="cellIs" dxfId="2104" priority="467" stopIfTrue="1" operator="equal">
      <formula>"2 Add"</formula>
    </cfRule>
  </conditionalFormatting>
  <conditionalFormatting sqref="C157">
    <cfRule type="cellIs" dxfId="2103" priority="468" stopIfTrue="1" operator="equal">
      <formula>"3 Delete"</formula>
    </cfRule>
  </conditionalFormatting>
  <conditionalFormatting sqref="C158">
    <cfRule type="cellIs" dxfId="2102" priority="469" stopIfTrue="1" operator="equal">
      <formula>"1 Modify"</formula>
    </cfRule>
  </conditionalFormatting>
  <conditionalFormatting sqref="C158">
    <cfRule type="cellIs" dxfId="2101" priority="470" stopIfTrue="1" operator="equal">
      <formula>"2 Add"</formula>
    </cfRule>
  </conditionalFormatting>
  <conditionalFormatting sqref="C158">
    <cfRule type="cellIs" dxfId="2100" priority="471" stopIfTrue="1" operator="equal">
      <formula>"3 Delete"</formula>
    </cfRule>
  </conditionalFormatting>
  <conditionalFormatting sqref="C159">
    <cfRule type="cellIs" dxfId="2099" priority="472" stopIfTrue="1" operator="equal">
      <formula>"1 Modify"</formula>
    </cfRule>
  </conditionalFormatting>
  <conditionalFormatting sqref="C159">
    <cfRule type="cellIs" dxfId="2098" priority="473" stopIfTrue="1" operator="equal">
      <formula>"2 Add"</formula>
    </cfRule>
  </conditionalFormatting>
  <conditionalFormatting sqref="C159">
    <cfRule type="cellIs" dxfId="2097" priority="474" stopIfTrue="1" operator="equal">
      <formula>"3 Delete"</formula>
    </cfRule>
  </conditionalFormatting>
  <conditionalFormatting sqref="C160">
    <cfRule type="cellIs" dxfId="2096" priority="475" stopIfTrue="1" operator="equal">
      <formula>"1 Modify"</formula>
    </cfRule>
  </conditionalFormatting>
  <conditionalFormatting sqref="C160">
    <cfRule type="cellIs" dxfId="2095" priority="476" stopIfTrue="1" operator="equal">
      <formula>"2 Add"</formula>
    </cfRule>
  </conditionalFormatting>
  <conditionalFormatting sqref="C160">
    <cfRule type="cellIs" dxfId="2094" priority="477" stopIfTrue="1" operator="equal">
      <formula>"3 Delete"</formula>
    </cfRule>
  </conditionalFormatting>
  <conditionalFormatting sqref="C161">
    <cfRule type="cellIs" dxfId="2093" priority="478" stopIfTrue="1" operator="equal">
      <formula>"1 Modify"</formula>
    </cfRule>
  </conditionalFormatting>
  <conditionalFormatting sqref="C161">
    <cfRule type="cellIs" dxfId="2092" priority="479" stopIfTrue="1" operator="equal">
      <formula>"2 Add"</formula>
    </cfRule>
  </conditionalFormatting>
  <conditionalFormatting sqref="C161">
    <cfRule type="cellIs" dxfId="2091" priority="480" stopIfTrue="1" operator="equal">
      <formula>"3 Delete"</formula>
    </cfRule>
  </conditionalFormatting>
  <conditionalFormatting sqref="C162">
    <cfRule type="cellIs" dxfId="2090" priority="481" stopIfTrue="1" operator="equal">
      <formula>"1 Modify"</formula>
    </cfRule>
  </conditionalFormatting>
  <conditionalFormatting sqref="C162">
    <cfRule type="cellIs" dxfId="2089" priority="482" stopIfTrue="1" operator="equal">
      <formula>"2 Add"</formula>
    </cfRule>
  </conditionalFormatting>
  <conditionalFormatting sqref="C162">
    <cfRule type="cellIs" dxfId="2088" priority="483" stopIfTrue="1" operator="equal">
      <formula>"3 Delete"</formula>
    </cfRule>
  </conditionalFormatting>
  <conditionalFormatting sqref="C163">
    <cfRule type="cellIs" dxfId="2087" priority="484" stopIfTrue="1" operator="equal">
      <formula>"1 Modify"</formula>
    </cfRule>
  </conditionalFormatting>
  <conditionalFormatting sqref="C163">
    <cfRule type="cellIs" dxfId="2086" priority="485" stopIfTrue="1" operator="equal">
      <formula>"2 Add"</formula>
    </cfRule>
  </conditionalFormatting>
  <conditionalFormatting sqref="C163">
    <cfRule type="cellIs" dxfId="2085" priority="486" stopIfTrue="1" operator="equal">
      <formula>"3 Delete"</formula>
    </cfRule>
  </conditionalFormatting>
  <conditionalFormatting sqref="C164">
    <cfRule type="cellIs" dxfId="2084" priority="487" stopIfTrue="1" operator="equal">
      <formula>"1 Modify"</formula>
    </cfRule>
  </conditionalFormatting>
  <conditionalFormatting sqref="C164">
    <cfRule type="cellIs" dxfId="2083" priority="488" stopIfTrue="1" operator="equal">
      <formula>"2 Add"</formula>
    </cfRule>
  </conditionalFormatting>
  <conditionalFormatting sqref="C164">
    <cfRule type="cellIs" dxfId="2082" priority="489" stopIfTrue="1" operator="equal">
      <formula>"3 Delete"</formula>
    </cfRule>
  </conditionalFormatting>
  <conditionalFormatting sqref="C165">
    <cfRule type="cellIs" dxfId="2081" priority="490" stopIfTrue="1" operator="equal">
      <formula>"1 Modify"</formula>
    </cfRule>
  </conditionalFormatting>
  <conditionalFormatting sqref="C165">
    <cfRule type="cellIs" dxfId="2080" priority="491" stopIfTrue="1" operator="equal">
      <formula>"2 Add"</formula>
    </cfRule>
  </conditionalFormatting>
  <conditionalFormatting sqref="C165">
    <cfRule type="cellIs" dxfId="2079" priority="492" stopIfTrue="1" operator="equal">
      <formula>"3 Delete"</formula>
    </cfRule>
  </conditionalFormatting>
  <conditionalFormatting sqref="C166">
    <cfRule type="cellIs" dxfId="2078" priority="493" stopIfTrue="1" operator="equal">
      <formula>"1 Modify"</formula>
    </cfRule>
  </conditionalFormatting>
  <conditionalFormatting sqref="C166">
    <cfRule type="cellIs" dxfId="2077" priority="494" stopIfTrue="1" operator="equal">
      <formula>"2 Add"</formula>
    </cfRule>
  </conditionalFormatting>
  <conditionalFormatting sqref="C166">
    <cfRule type="cellIs" dxfId="2076" priority="495" stopIfTrue="1" operator="equal">
      <formula>"3 Delete"</formula>
    </cfRule>
  </conditionalFormatting>
  <conditionalFormatting sqref="C167">
    <cfRule type="cellIs" dxfId="2075" priority="496" stopIfTrue="1" operator="equal">
      <formula>"1 Modify"</formula>
    </cfRule>
  </conditionalFormatting>
  <conditionalFormatting sqref="C167">
    <cfRule type="cellIs" dxfId="2074" priority="497" stopIfTrue="1" operator="equal">
      <formula>"2 Add"</formula>
    </cfRule>
  </conditionalFormatting>
  <conditionalFormatting sqref="C167">
    <cfRule type="cellIs" dxfId="2073" priority="498" stopIfTrue="1" operator="equal">
      <formula>"3 Delete"</formula>
    </cfRule>
  </conditionalFormatting>
  <conditionalFormatting sqref="C168">
    <cfRule type="cellIs" dxfId="2072" priority="499" stopIfTrue="1" operator="equal">
      <formula>"1 Modify"</formula>
    </cfRule>
  </conditionalFormatting>
  <conditionalFormatting sqref="C168">
    <cfRule type="cellIs" dxfId="2071" priority="500" stopIfTrue="1" operator="equal">
      <formula>"2 Add"</formula>
    </cfRule>
  </conditionalFormatting>
  <conditionalFormatting sqref="C168">
    <cfRule type="cellIs" dxfId="2070" priority="501" stopIfTrue="1" operator="equal">
      <formula>"3 Delete"</formula>
    </cfRule>
  </conditionalFormatting>
  <conditionalFormatting sqref="C169">
    <cfRule type="cellIs" dxfId="2069" priority="502" stopIfTrue="1" operator="equal">
      <formula>"1 Modify"</formula>
    </cfRule>
  </conditionalFormatting>
  <conditionalFormatting sqref="C169">
    <cfRule type="cellIs" dxfId="2068" priority="503" stopIfTrue="1" operator="equal">
      <formula>"2 Add"</formula>
    </cfRule>
  </conditionalFormatting>
  <conditionalFormatting sqref="C169">
    <cfRule type="cellIs" dxfId="2067" priority="504" stopIfTrue="1" operator="equal">
      <formula>"3 Delete"</formula>
    </cfRule>
  </conditionalFormatting>
  <conditionalFormatting sqref="C170">
    <cfRule type="cellIs" dxfId="2066" priority="505" stopIfTrue="1" operator="equal">
      <formula>"1 Modify"</formula>
    </cfRule>
  </conditionalFormatting>
  <conditionalFormatting sqref="C170">
    <cfRule type="cellIs" dxfId="2065" priority="506" stopIfTrue="1" operator="equal">
      <formula>"2 Add"</formula>
    </cfRule>
  </conditionalFormatting>
  <conditionalFormatting sqref="C170">
    <cfRule type="cellIs" dxfId="2064" priority="507" stopIfTrue="1" operator="equal">
      <formula>"3 Delete"</formula>
    </cfRule>
  </conditionalFormatting>
  <conditionalFormatting sqref="C171">
    <cfRule type="cellIs" dxfId="2063" priority="508" stopIfTrue="1" operator="equal">
      <formula>"1 Modify"</formula>
    </cfRule>
  </conditionalFormatting>
  <conditionalFormatting sqref="C171">
    <cfRule type="cellIs" dxfId="2062" priority="509" stopIfTrue="1" operator="equal">
      <formula>"2 Add"</formula>
    </cfRule>
  </conditionalFormatting>
  <conditionalFormatting sqref="C171">
    <cfRule type="cellIs" dxfId="2061" priority="510" stopIfTrue="1" operator="equal">
      <formula>"3 Delete"</formula>
    </cfRule>
  </conditionalFormatting>
  <conditionalFormatting sqref="C172">
    <cfRule type="cellIs" dxfId="2060" priority="511" stopIfTrue="1" operator="equal">
      <formula>"1 Modify"</formula>
    </cfRule>
  </conditionalFormatting>
  <conditionalFormatting sqref="C172">
    <cfRule type="cellIs" dxfId="2059" priority="512" stopIfTrue="1" operator="equal">
      <formula>"2 Add"</formula>
    </cfRule>
  </conditionalFormatting>
  <conditionalFormatting sqref="C172">
    <cfRule type="cellIs" dxfId="2058" priority="513" stopIfTrue="1" operator="equal">
      <formula>"3 Delete"</formula>
    </cfRule>
  </conditionalFormatting>
  <conditionalFormatting sqref="C173">
    <cfRule type="cellIs" dxfId="2057" priority="514" stopIfTrue="1" operator="equal">
      <formula>"1 Modify"</formula>
    </cfRule>
  </conditionalFormatting>
  <conditionalFormatting sqref="C173">
    <cfRule type="cellIs" dxfId="2056" priority="515" stopIfTrue="1" operator="equal">
      <formula>"2 Add"</formula>
    </cfRule>
  </conditionalFormatting>
  <conditionalFormatting sqref="C173">
    <cfRule type="cellIs" dxfId="2055" priority="516" stopIfTrue="1" operator="equal">
      <formula>"3 Delete"</formula>
    </cfRule>
  </conditionalFormatting>
  <conditionalFormatting sqref="C174">
    <cfRule type="cellIs" dxfId="2054" priority="517" stopIfTrue="1" operator="equal">
      <formula>"1 Modify"</formula>
    </cfRule>
  </conditionalFormatting>
  <conditionalFormatting sqref="C174">
    <cfRule type="cellIs" dxfId="2053" priority="518" stopIfTrue="1" operator="equal">
      <formula>"2 Add"</formula>
    </cfRule>
  </conditionalFormatting>
  <conditionalFormatting sqref="C174">
    <cfRule type="cellIs" dxfId="2052" priority="519" stopIfTrue="1" operator="equal">
      <formula>"3 Delete"</formula>
    </cfRule>
  </conditionalFormatting>
  <conditionalFormatting sqref="C175">
    <cfRule type="cellIs" dxfId="2051" priority="520" stopIfTrue="1" operator="equal">
      <formula>"1 Modify"</formula>
    </cfRule>
  </conditionalFormatting>
  <conditionalFormatting sqref="C175">
    <cfRule type="cellIs" dxfId="2050" priority="521" stopIfTrue="1" operator="equal">
      <formula>"2 Add"</formula>
    </cfRule>
  </conditionalFormatting>
  <conditionalFormatting sqref="C175">
    <cfRule type="cellIs" dxfId="2049" priority="522" stopIfTrue="1" operator="equal">
      <formula>"3 Delete"</formula>
    </cfRule>
  </conditionalFormatting>
  <conditionalFormatting sqref="C176">
    <cfRule type="cellIs" dxfId="2048" priority="523" stopIfTrue="1" operator="equal">
      <formula>"1 Modify"</formula>
    </cfRule>
  </conditionalFormatting>
  <conditionalFormatting sqref="C176">
    <cfRule type="cellIs" dxfId="2047" priority="524" stopIfTrue="1" operator="equal">
      <formula>"2 Add"</formula>
    </cfRule>
  </conditionalFormatting>
  <conditionalFormatting sqref="C176">
    <cfRule type="cellIs" dxfId="2046" priority="525" stopIfTrue="1" operator="equal">
      <formula>"3 Delete"</formula>
    </cfRule>
  </conditionalFormatting>
  <conditionalFormatting sqref="C177">
    <cfRule type="cellIs" dxfId="2045" priority="526" stopIfTrue="1" operator="equal">
      <formula>"1 Modify"</formula>
    </cfRule>
  </conditionalFormatting>
  <conditionalFormatting sqref="C177">
    <cfRule type="cellIs" dxfId="2044" priority="527" stopIfTrue="1" operator="equal">
      <formula>"2 Add"</formula>
    </cfRule>
  </conditionalFormatting>
  <conditionalFormatting sqref="C177">
    <cfRule type="cellIs" dxfId="2043" priority="528" stopIfTrue="1" operator="equal">
      <formula>"3 Delete"</formula>
    </cfRule>
  </conditionalFormatting>
  <conditionalFormatting sqref="C178">
    <cfRule type="cellIs" dxfId="2042" priority="529" stopIfTrue="1" operator="equal">
      <formula>"1 Modify"</formula>
    </cfRule>
  </conditionalFormatting>
  <conditionalFormatting sqref="C178">
    <cfRule type="cellIs" dxfId="2041" priority="530" stopIfTrue="1" operator="equal">
      <formula>"2 Add"</formula>
    </cfRule>
  </conditionalFormatting>
  <conditionalFormatting sqref="C178">
    <cfRule type="cellIs" dxfId="2040" priority="531" stopIfTrue="1" operator="equal">
      <formula>"3 Delete"</formula>
    </cfRule>
  </conditionalFormatting>
  <conditionalFormatting sqref="C179">
    <cfRule type="cellIs" dxfId="2039" priority="532" stopIfTrue="1" operator="equal">
      <formula>"1 Modify"</formula>
    </cfRule>
  </conditionalFormatting>
  <conditionalFormatting sqref="C179">
    <cfRule type="cellIs" dxfId="2038" priority="533" stopIfTrue="1" operator="equal">
      <formula>"2 Add"</formula>
    </cfRule>
  </conditionalFormatting>
  <conditionalFormatting sqref="C179">
    <cfRule type="cellIs" dxfId="2037" priority="534" stopIfTrue="1" operator="equal">
      <formula>"3 Delete"</formula>
    </cfRule>
  </conditionalFormatting>
  <conditionalFormatting sqref="C180">
    <cfRule type="cellIs" dxfId="2036" priority="535" stopIfTrue="1" operator="equal">
      <formula>"1 Modify"</formula>
    </cfRule>
  </conditionalFormatting>
  <conditionalFormatting sqref="C180">
    <cfRule type="cellIs" dxfId="2035" priority="536" stopIfTrue="1" operator="equal">
      <formula>"2 Add"</formula>
    </cfRule>
  </conditionalFormatting>
  <conditionalFormatting sqref="C180">
    <cfRule type="cellIs" dxfId="2034" priority="537" stopIfTrue="1" operator="equal">
      <formula>"3 Delete"</formula>
    </cfRule>
  </conditionalFormatting>
  <conditionalFormatting sqref="C181">
    <cfRule type="cellIs" dxfId="2033" priority="538" stopIfTrue="1" operator="equal">
      <formula>"1 Modify"</formula>
    </cfRule>
  </conditionalFormatting>
  <conditionalFormatting sqref="C181">
    <cfRule type="cellIs" dxfId="2032" priority="539" stopIfTrue="1" operator="equal">
      <formula>"2 Add"</formula>
    </cfRule>
  </conditionalFormatting>
  <conditionalFormatting sqref="C181">
    <cfRule type="cellIs" dxfId="2031" priority="540" stopIfTrue="1" operator="equal">
      <formula>"3 Delete"</formula>
    </cfRule>
  </conditionalFormatting>
  <conditionalFormatting sqref="C182">
    <cfRule type="cellIs" dxfId="2030" priority="541" stopIfTrue="1" operator="equal">
      <formula>"1 Modify"</formula>
    </cfRule>
  </conditionalFormatting>
  <conditionalFormatting sqref="C182">
    <cfRule type="cellIs" dxfId="2029" priority="542" stopIfTrue="1" operator="equal">
      <formula>"2 Add"</formula>
    </cfRule>
  </conditionalFormatting>
  <conditionalFormatting sqref="C182">
    <cfRule type="cellIs" dxfId="2028" priority="543" stopIfTrue="1" operator="equal">
      <formula>"3 Delete"</formula>
    </cfRule>
  </conditionalFormatting>
  <conditionalFormatting sqref="C183">
    <cfRule type="cellIs" dxfId="2027" priority="544" stopIfTrue="1" operator="equal">
      <formula>"1 Modify"</formula>
    </cfRule>
  </conditionalFormatting>
  <conditionalFormatting sqref="C183">
    <cfRule type="cellIs" dxfId="2026" priority="545" stopIfTrue="1" operator="equal">
      <formula>"2 Add"</formula>
    </cfRule>
  </conditionalFormatting>
  <conditionalFormatting sqref="C183">
    <cfRule type="cellIs" dxfId="2025" priority="546" stopIfTrue="1" operator="equal">
      <formula>"3 Delete"</formula>
    </cfRule>
  </conditionalFormatting>
  <conditionalFormatting sqref="C184">
    <cfRule type="cellIs" dxfId="2024" priority="547" stopIfTrue="1" operator="equal">
      <formula>"1 Modify"</formula>
    </cfRule>
  </conditionalFormatting>
  <conditionalFormatting sqref="C184">
    <cfRule type="cellIs" dxfId="2023" priority="548" stopIfTrue="1" operator="equal">
      <formula>"2 Add"</formula>
    </cfRule>
  </conditionalFormatting>
  <conditionalFormatting sqref="C184">
    <cfRule type="cellIs" dxfId="2022" priority="549" stopIfTrue="1" operator="equal">
      <formula>"3 Delete"</formula>
    </cfRule>
  </conditionalFormatting>
  <conditionalFormatting sqref="C185">
    <cfRule type="cellIs" dxfId="2021" priority="550" stopIfTrue="1" operator="equal">
      <formula>"1 Modify"</formula>
    </cfRule>
  </conditionalFormatting>
  <conditionalFormatting sqref="C185">
    <cfRule type="cellIs" dxfId="2020" priority="551" stopIfTrue="1" operator="equal">
      <formula>"2 Add"</formula>
    </cfRule>
  </conditionalFormatting>
  <conditionalFormatting sqref="C185">
    <cfRule type="cellIs" dxfId="2019" priority="552" stopIfTrue="1" operator="equal">
      <formula>"3 Delete"</formula>
    </cfRule>
  </conditionalFormatting>
  <conditionalFormatting sqref="C186">
    <cfRule type="cellIs" dxfId="2018" priority="553" stopIfTrue="1" operator="equal">
      <formula>"1 Modify"</formula>
    </cfRule>
  </conditionalFormatting>
  <conditionalFormatting sqref="C186">
    <cfRule type="cellIs" dxfId="2017" priority="554" stopIfTrue="1" operator="equal">
      <formula>"2 Add"</formula>
    </cfRule>
  </conditionalFormatting>
  <conditionalFormatting sqref="C186">
    <cfRule type="cellIs" dxfId="2016" priority="555" stopIfTrue="1" operator="equal">
      <formula>"3 Delete"</formula>
    </cfRule>
  </conditionalFormatting>
  <conditionalFormatting sqref="C187">
    <cfRule type="cellIs" dxfId="2015" priority="556" stopIfTrue="1" operator="equal">
      <formula>"1 Modify"</formula>
    </cfRule>
  </conditionalFormatting>
  <conditionalFormatting sqref="C187">
    <cfRule type="cellIs" dxfId="2014" priority="557" stopIfTrue="1" operator="equal">
      <formula>"2 Add"</formula>
    </cfRule>
  </conditionalFormatting>
  <conditionalFormatting sqref="C187">
    <cfRule type="cellIs" dxfId="2013" priority="558" stopIfTrue="1" operator="equal">
      <formula>"3 Delete"</formula>
    </cfRule>
  </conditionalFormatting>
  <conditionalFormatting sqref="C188">
    <cfRule type="cellIs" dxfId="2012" priority="559" stopIfTrue="1" operator="equal">
      <formula>"1 Modify"</formula>
    </cfRule>
  </conditionalFormatting>
  <conditionalFormatting sqref="C188">
    <cfRule type="cellIs" dxfId="2011" priority="560" stopIfTrue="1" operator="equal">
      <formula>"2 Add"</formula>
    </cfRule>
  </conditionalFormatting>
  <conditionalFormatting sqref="C188">
    <cfRule type="cellIs" dxfId="2010" priority="561" stopIfTrue="1" operator="equal">
      <formula>"3 Delete"</formula>
    </cfRule>
  </conditionalFormatting>
  <conditionalFormatting sqref="C189">
    <cfRule type="cellIs" dxfId="2009" priority="562" stopIfTrue="1" operator="equal">
      <formula>"1 Modify"</formula>
    </cfRule>
  </conditionalFormatting>
  <conditionalFormatting sqref="C189">
    <cfRule type="cellIs" dxfId="2008" priority="563" stopIfTrue="1" operator="equal">
      <formula>"2 Add"</formula>
    </cfRule>
  </conditionalFormatting>
  <conditionalFormatting sqref="C189">
    <cfRule type="cellIs" dxfId="2007" priority="564" stopIfTrue="1" operator="equal">
      <formula>"3 Delete"</formula>
    </cfRule>
  </conditionalFormatting>
  <conditionalFormatting sqref="C190">
    <cfRule type="cellIs" dxfId="2006" priority="565" stopIfTrue="1" operator="equal">
      <formula>"1 Modify"</formula>
    </cfRule>
  </conditionalFormatting>
  <conditionalFormatting sqref="C190">
    <cfRule type="cellIs" dxfId="2005" priority="566" stopIfTrue="1" operator="equal">
      <formula>"2 Add"</formula>
    </cfRule>
  </conditionalFormatting>
  <conditionalFormatting sqref="C190">
    <cfRule type="cellIs" dxfId="2004" priority="567" stopIfTrue="1" operator="equal">
      <formula>"3 Delete"</formula>
    </cfRule>
  </conditionalFormatting>
  <conditionalFormatting sqref="C191">
    <cfRule type="cellIs" dxfId="2003" priority="568" stopIfTrue="1" operator="equal">
      <formula>"1 Modify"</formula>
    </cfRule>
  </conditionalFormatting>
  <conditionalFormatting sqref="C191">
    <cfRule type="cellIs" dxfId="2002" priority="569" stopIfTrue="1" operator="equal">
      <formula>"2 Add"</formula>
    </cfRule>
  </conditionalFormatting>
  <conditionalFormatting sqref="C191">
    <cfRule type="cellIs" dxfId="2001" priority="570" stopIfTrue="1" operator="equal">
      <formula>"3 Delete"</formula>
    </cfRule>
  </conditionalFormatting>
  <conditionalFormatting sqref="C192">
    <cfRule type="cellIs" dxfId="2000" priority="571" stopIfTrue="1" operator="equal">
      <formula>"1 Modify"</formula>
    </cfRule>
  </conditionalFormatting>
  <conditionalFormatting sqref="C192">
    <cfRule type="cellIs" dxfId="1999" priority="572" stopIfTrue="1" operator="equal">
      <formula>"2 Add"</formula>
    </cfRule>
  </conditionalFormatting>
  <conditionalFormatting sqref="C192">
    <cfRule type="cellIs" dxfId="1998" priority="573" stopIfTrue="1" operator="equal">
      <formula>"3 Delete"</formula>
    </cfRule>
  </conditionalFormatting>
  <conditionalFormatting sqref="C193">
    <cfRule type="cellIs" dxfId="1997" priority="574" stopIfTrue="1" operator="equal">
      <formula>"1 Modify"</formula>
    </cfRule>
  </conditionalFormatting>
  <conditionalFormatting sqref="C193">
    <cfRule type="cellIs" dxfId="1996" priority="575" stopIfTrue="1" operator="equal">
      <formula>"2 Add"</formula>
    </cfRule>
  </conditionalFormatting>
  <conditionalFormatting sqref="C193">
    <cfRule type="cellIs" dxfId="1995" priority="576" stopIfTrue="1" operator="equal">
      <formula>"3 Delete"</formula>
    </cfRule>
  </conditionalFormatting>
  <conditionalFormatting sqref="C194">
    <cfRule type="cellIs" dxfId="1994" priority="577" stopIfTrue="1" operator="equal">
      <formula>"1 Modify"</formula>
    </cfRule>
  </conditionalFormatting>
  <conditionalFormatting sqref="C194">
    <cfRule type="cellIs" dxfId="1993" priority="578" stopIfTrue="1" operator="equal">
      <formula>"2 Add"</formula>
    </cfRule>
  </conditionalFormatting>
  <conditionalFormatting sqref="C194">
    <cfRule type="cellIs" dxfId="1992" priority="579" stopIfTrue="1" operator="equal">
      <formula>"3 Delete"</formula>
    </cfRule>
  </conditionalFormatting>
  <conditionalFormatting sqref="C195">
    <cfRule type="cellIs" dxfId="1991" priority="580" stopIfTrue="1" operator="equal">
      <formula>"1 Modify"</formula>
    </cfRule>
  </conditionalFormatting>
  <conditionalFormatting sqref="C195">
    <cfRule type="cellIs" dxfId="1990" priority="581" stopIfTrue="1" operator="equal">
      <formula>"2 Add"</formula>
    </cfRule>
  </conditionalFormatting>
  <conditionalFormatting sqref="C195">
    <cfRule type="cellIs" dxfId="1989" priority="582" stopIfTrue="1" operator="equal">
      <formula>"3 Delete"</formula>
    </cfRule>
  </conditionalFormatting>
  <conditionalFormatting sqref="C196">
    <cfRule type="cellIs" dxfId="1988" priority="583" stopIfTrue="1" operator="equal">
      <formula>"1 Modify"</formula>
    </cfRule>
  </conditionalFormatting>
  <conditionalFormatting sqref="C196">
    <cfRule type="cellIs" dxfId="1987" priority="584" stopIfTrue="1" operator="equal">
      <formula>"2 Add"</formula>
    </cfRule>
  </conditionalFormatting>
  <conditionalFormatting sqref="C196">
    <cfRule type="cellIs" dxfId="1986" priority="585" stopIfTrue="1" operator="equal">
      <formula>"3 Delete"</formula>
    </cfRule>
  </conditionalFormatting>
  <conditionalFormatting sqref="C197">
    <cfRule type="cellIs" dxfId="1985" priority="586" stopIfTrue="1" operator="equal">
      <formula>"1 Modify"</formula>
    </cfRule>
  </conditionalFormatting>
  <conditionalFormatting sqref="C197">
    <cfRule type="cellIs" dxfId="1984" priority="587" stopIfTrue="1" operator="equal">
      <formula>"2 Add"</formula>
    </cfRule>
  </conditionalFormatting>
  <conditionalFormatting sqref="C197">
    <cfRule type="cellIs" dxfId="1983" priority="588" stopIfTrue="1" operator="equal">
      <formula>"3 Delete"</formula>
    </cfRule>
  </conditionalFormatting>
  <conditionalFormatting sqref="C198">
    <cfRule type="cellIs" dxfId="1982" priority="589" stopIfTrue="1" operator="equal">
      <formula>"1 Modify"</formula>
    </cfRule>
  </conditionalFormatting>
  <conditionalFormatting sqref="C198">
    <cfRule type="cellIs" dxfId="1981" priority="590" stopIfTrue="1" operator="equal">
      <formula>"2 Add"</formula>
    </cfRule>
  </conditionalFormatting>
  <conditionalFormatting sqref="C198">
    <cfRule type="cellIs" dxfId="1980" priority="591" stopIfTrue="1" operator="equal">
      <formula>"3 Delete"</formula>
    </cfRule>
  </conditionalFormatting>
  <conditionalFormatting sqref="C199">
    <cfRule type="cellIs" dxfId="1979" priority="592" stopIfTrue="1" operator="equal">
      <formula>"1 Modify"</formula>
    </cfRule>
  </conditionalFormatting>
  <conditionalFormatting sqref="C199">
    <cfRule type="cellIs" dxfId="1978" priority="593" stopIfTrue="1" operator="equal">
      <formula>"2 Add"</formula>
    </cfRule>
  </conditionalFormatting>
  <conditionalFormatting sqref="C199">
    <cfRule type="cellIs" dxfId="1977" priority="594" stopIfTrue="1" operator="equal">
      <formula>"3 Delete"</formula>
    </cfRule>
  </conditionalFormatting>
  <conditionalFormatting sqref="C200">
    <cfRule type="cellIs" dxfId="1976" priority="595" stopIfTrue="1" operator="equal">
      <formula>"1 Modify"</formula>
    </cfRule>
  </conditionalFormatting>
  <conditionalFormatting sqref="C200">
    <cfRule type="cellIs" dxfId="1975" priority="596" stopIfTrue="1" operator="equal">
      <formula>"2 Add"</formula>
    </cfRule>
  </conditionalFormatting>
  <conditionalFormatting sqref="C200">
    <cfRule type="cellIs" dxfId="1974" priority="597" stopIfTrue="1" operator="equal">
      <formula>"3 Delete"</formula>
    </cfRule>
  </conditionalFormatting>
  <conditionalFormatting sqref="C201">
    <cfRule type="cellIs" dxfId="1973" priority="598" stopIfTrue="1" operator="equal">
      <formula>"1 Modify"</formula>
    </cfRule>
  </conditionalFormatting>
  <conditionalFormatting sqref="C201">
    <cfRule type="cellIs" dxfId="1972" priority="599" stopIfTrue="1" operator="equal">
      <formula>"2 Add"</formula>
    </cfRule>
  </conditionalFormatting>
  <conditionalFormatting sqref="C201">
    <cfRule type="cellIs" dxfId="1971" priority="600" stopIfTrue="1" operator="equal">
      <formula>"3 Delete"</formula>
    </cfRule>
  </conditionalFormatting>
  <conditionalFormatting sqref="C202">
    <cfRule type="cellIs" dxfId="1970" priority="601" stopIfTrue="1" operator="equal">
      <formula>"1 Modify"</formula>
    </cfRule>
  </conditionalFormatting>
  <conditionalFormatting sqref="C202">
    <cfRule type="cellIs" dxfId="1969" priority="602" stopIfTrue="1" operator="equal">
      <formula>"2 Add"</formula>
    </cfRule>
  </conditionalFormatting>
  <conditionalFormatting sqref="C202">
    <cfRule type="cellIs" dxfId="1968" priority="603" stopIfTrue="1" operator="equal">
      <formula>"3 Delete"</formula>
    </cfRule>
  </conditionalFormatting>
  <conditionalFormatting sqref="C203">
    <cfRule type="cellIs" dxfId="1967" priority="604" stopIfTrue="1" operator="equal">
      <formula>"1 Modify"</formula>
    </cfRule>
  </conditionalFormatting>
  <conditionalFormatting sqref="C203">
    <cfRule type="cellIs" dxfId="1966" priority="605" stopIfTrue="1" operator="equal">
      <formula>"2 Add"</formula>
    </cfRule>
  </conditionalFormatting>
  <conditionalFormatting sqref="C203">
    <cfRule type="cellIs" dxfId="1965" priority="606" stopIfTrue="1" operator="equal">
      <formula>"3 Delete"</formula>
    </cfRule>
  </conditionalFormatting>
  <conditionalFormatting sqref="C204">
    <cfRule type="cellIs" dxfId="1964" priority="607" stopIfTrue="1" operator="equal">
      <formula>"1 Modify"</formula>
    </cfRule>
  </conditionalFormatting>
  <conditionalFormatting sqref="C204">
    <cfRule type="cellIs" dxfId="1963" priority="608" stopIfTrue="1" operator="equal">
      <formula>"2 Add"</formula>
    </cfRule>
  </conditionalFormatting>
  <conditionalFormatting sqref="C204">
    <cfRule type="cellIs" dxfId="1962" priority="609" stopIfTrue="1" operator="equal">
      <formula>"3 Delete"</formula>
    </cfRule>
  </conditionalFormatting>
  <conditionalFormatting sqref="C205">
    <cfRule type="cellIs" dxfId="1961" priority="610" stopIfTrue="1" operator="equal">
      <formula>"1 Modify"</formula>
    </cfRule>
  </conditionalFormatting>
  <conditionalFormatting sqref="C205">
    <cfRule type="cellIs" dxfId="1960" priority="611" stopIfTrue="1" operator="equal">
      <formula>"2 Add"</formula>
    </cfRule>
  </conditionalFormatting>
  <conditionalFormatting sqref="C205">
    <cfRule type="cellIs" dxfId="1959" priority="612" stopIfTrue="1" operator="equal">
      <formula>"3 Delete"</formula>
    </cfRule>
  </conditionalFormatting>
  <conditionalFormatting sqref="C206">
    <cfRule type="cellIs" dxfId="1958" priority="613" stopIfTrue="1" operator="equal">
      <formula>"1 Modify"</formula>
    </cfRule>
  </conditionalFormatting>
  <conditionalFormatting sqref="C206">
    <cfRule type="cellIs" dxfId="1957" priority="614" stopIfTrue="1" operator="equal">
      <formula>"2 Add"</formula>
    </cfRule>
  </conditionalFormatting>
  <conditionalFormatting sqref="C206">
    <cfRule type="cellIs" dxfId="1956" priority="615" stopIfTrue="1" operator="equal">
      <formula>"3 Delete"</formula>
    </cfRule>
  </conditionalFormatting>
  <conditionalFormatting sqref="C207">
    <cfRule type="cellIs" dxfId="1955" priority="616" stopIfTrue="1" operator="equal">
      <formula>"1 Modify"</formula>
    </cfRule>
  </conditionalFormatting>
  <conditionalFormatting sqref="C207">
    <cfRule type="cellIs" dxfId="1954" priority="617" stopIfTrue="1" operator="equal">
      <formula>"2 Add"</formula>
    </cfRule>
  </conditionalFormatting>
  <conditionalFormatting sqref="C207">
    <cfRule type="cellIs" dxfId="1953" priority="618" stopIfTrue="1" operator="equal">
      <formula>"3 Delete"</formula>
    </cfRule>
  </conditionalFormatting>
  <conditionalFormatting sqref="C208">
    <cfRule type="cellIs" dxfId="1952" priority="619" stopIfTrue="1" operator="equal">
      <formula>"1 Modify"</formula>
    </cfRule>
  </conditionalFormatting>
  <conditionalFormatting sqref="C208">
    <cfRule type="cellIs" dxfId="1951" priority="620" stopIfTrue="1" operator="equal">
      <formula>"2 Add"</formula>
    </cfRule>
  </conditionalFormatting>
  <conditionalFormatting sqref="C208">
    <cfRule type="cellIs" dxfId="1950" priority="621" stopIfTrue="1" operator="equal">
      <formula>"3 Delete"</formula>
    </cfRule>
  </conditionalFormatting>
  <conditionalFormatting sqref="C209">
    <cfRule type="cellIs" dxfId="1949" priority="622" stopIfTrue="1" operator="equal">
      <formula>"1 Modify"</formula>
    </cfRule>
  </conditionalFormatting>
  <conditionalFormatting sqref="C209">
    <cfRule type="cellIs" dxfId="1948" priority="623" stopIfTrue="1" operator="equal">
      <formula>"2 Add"</formula>
    </cfRule>
  </conditionalFormatting>
  <conditionalFormatting sqref="C209">
    <cfRule type="cellIs" dxfId="1947" priority="624" stopIfTrue="1" operator="equal">
      <formula>"3 Delete"</formula>
    </cfRule>
  </conditionalFormatting>
  <conditionalFormatting sqref="C210">
    <cfRule type="cellIs" dxfId="1946" priority="625" stopIfTrue="1" operator="equal">
      <formula>"1 Modify"</formula>
    </cfRule>
  </conditionalFormatting>
  <conditionalFormatting sqref="C210">
    <cfRule type="cellIs" dxfId="1945" priority="626" stopIfTrue="1" operator="equal">
      <formula>"2 Add"</formula>
    </cfRule>
  </conditionalFormatting>
  <conditionalFormatting sqref="C210">
    <cfRule type="cellIs" dxfId="1944" priority="627" stopIfTrue="1" operator="equal">
      <formula>"3 Delete"</formula>
    </cfRule>
  </conditionalFormatting>
  <conditionalFormatting sqref="C211">
    <cfRule type="cellIs" dxfId="1943" priority="628" stopIfTrue="1" operator="equal">
      <formula>"1 Modify"</formula>
    </cfRule>
  </conditionalFormatting>
  <conditionalFormatting sqref="C211">
    <cfRule type="cellIs" dxfId="1942" priority="629" stopIfTrue="1" operator="equal">
      <formula>"2 Add"</formula>
    </cfRule>
  </conditionalFormatting>
  <conditionalFormatting sqref="C211">
    <cfRule type="cellIs" dxfId="1941" priority="630" stopIfTrue="1" operator="equal">
      <formula>"3 Delete"</formula>
    </cfRule>
  </conditionalFormatting>
  <conditionalFormatting sqref="C212">
    <cfRule type="cellIs" dxfId="1940" priority="631" stopIfTrue="1" operator="equal">
      <formula>"1 Modify"</formula>
    </cfRule>
  </conditionalFormatting>
  <conditionalFormatting sqref="C212">
    <cfRule type="cellIs" dxfId="1939" priority="632" stopIfTrue="1" operator="equal">
      <formula>"2 Add"</formula>
    </cfRule>
  </conditionalFormatting>
  <conditionalFormatting sqref="C212">
    <cfRule type="cellIs" dxfId="1938" priority="633" stopIfTrue="1" operator="equal">
      <formula>"3 Delete"</formula>
    </cfRule>
  </conditionalFormatting>
  <conditionalFormatting sqref="C213">
    <cfRule type="cellIs" dxfId="1937" priority="634" stopIfTrue="1" operator="equal">
      <formula>"1 Modify"</formula>
    </cfRule>
  </conditionalFormatting>
  <conditionalFormatting sqref="C213">
    <cfRule type="cellIs" dxfId="1936" priority="635" stopIfTrue="1" operator="equal">
      <formula>"2 Add"</formula>
    </cfRule>
  </conditionalFormatting>
  <conditionalFormatting sqref="C213">
    <cfRule type="cellIs" dxfId="1935" priority="636" stopIfTrue="1" operator="equal">
      <formula>"3 Delete"</formula>
    </cfRule>
  </conditionalFormatting>
  <conditionalFormatting sqref="C214">
    <cfRule type="cellIs" dxfId="1934" priority="637" stopIfTrue="1" operator="equal">
      <formula>"1 Modify"</formula>
    </cfRule>
  </conditionalFormatting>
  <conditionalFormatting sqref="C214">
    <cfRule type="cellIs" dxfId="1933" priority="638" stopIfTrue="1" operator="equal">
      <formula>"2 Add"</formula>
    </cfRule>
  </conditionalFormatting>
  <conditionalFormatting sqref="C214">
    <cfRule type="cellIs" dxfId="1932" priority="639" stopIfTrue="1" operator="equal">
      <formula>"3 Delete"</formula>
    </cfRule>
  </conditionalFormatting>
  <conditionalFormatting sqref="C215">
    <cfRule type="cellIs" dxfId="1931" priority="640" stopIfTrue="1" operator="equal">
      <formula>"1 Modify"</formula>
    </cfRule>
  </conditionalFormatting>
  <conditionalFormatting sqref="C215">
    <cfRule type="cellIs" dxfId="1930" priority="641" stopIfTrue="1" operator="equal">
      <formula>"2 Add"</formula>
    </cfRule>
  </conditionalFormatting>
  <conditionalFormatting sqref="C215">
    <cfRule type="cellIs" dxfId="1929" priority="642" stopIfTrue="1" operator="equal">
      <formula>"3 Delete"</formula>
    </cfRule>
  </conditionalFormatting>
  <conditionalFormatting sqref="C216">
    <cfRule type="cellIs" dxfId="1928" priority="643" stopIfTrue="1" operator="equal">
      <formula>"1 Modify"</formula>
    </cfRule>
  </conditionalFormatting>
  <conditionalFormatting sqref="C216">
    <cfRule type="cellIs" dxfId="1927" priority="644" stopIfTrue="1" operator="equal">
      <formula>"2 Add"</formula>
    </cfRule>
  </conditionalFormatting>
  <conditionalFormatting sqref="C216">
    <cfRule type="cellIs" dxfId="1926" priority="645" stopIfTrue="1" operator="equal">
      <formula>"3 Delete"</formula>
    </cfRule>
  </conditionalFormatting>
  <conditionalFormatting sqref="C217">
    <cfRule type="cellIs" dxfId="1925" priority="646" stopIfTrue="1" operator="equal">
      <formula>"1 Modify"</formula>
    </cfRule>
  </conditionalFormatting>
  <conditionalFormatting sqref="C217">
    <cfRule type="cellIs" dxfId="1924" priority="647" stopIfTrue="1" operator="equal">
      <formula>"2 Add"</formula>
    </cfRule>
  </conditionalFormatting>
  <conditionalFormatting sqref="C217">
    <cfRule type="cellIs" dxfId="1923" priority="648" stopIfTrue="1" operator="equal">
      <formula>"3 Delete"</formula>
    </cfRule>
  </conditionalFormatting>
  <conditionalFormatting sqref="C218">
    <cfRule type="cellIs" dxfId="1922" priority="649" stopIfTrue="1" operator="equal">
      <formula>"1 Modify"</formula>
    </cfRule>
  </conditionalFormatting>
  <conditionalFormatting sqref="C218">
    <cfRule type="cellIs" dxfId="1921" priority="650" stopIfTrue="1" operator="equal">
      <formula>"2 Add"</formula>
    </cfRule>
  </conditionalFormatting>
  <conditionalFormatting sqref="C218">
    <cfRule type="cellIs" dxfId="1920" priority="651" stopIfTrue="1" operator="equal">
      <formula>"3 Delete"</formula>
    </cfRule>
  </conditionalFormatting>
  <conditionalFormatting sqref="C219">
    <cfRule type="cellIs" dxfId="1919" priority="652" stopIfTrue="1" operator="equal">
      <formula>"1 Modify"</formula>
    </cfRule>
  </conditionalFormatting>
  <conditionalFormatting sqref="C219">
    <cfRule type="cellIs" dxfId="1918" priority="653" stopIfTrue="1" operator="equal">
      <formula>"2 Add"</formula>
    </cfRule>
  </conditionalFormatting>
  <conditionalFormatting sqref="C219">
    <cfRule type="cellIs" dxfId="1917" priority="654" stopIfTrue="1" operator="equal">
      <formula>"3 Delete"</formula>
    </cfRule>
  </conditionalFormatting>
  <conditionalFormatting sqref="C220">
    <cfRule type="cellIs" dxfId="1916" priority="655" stopIfTrue="1" operator="equal">
      <formula>"1 Modify"</formula>
    </cfRule>
  </conditionalFormatting>
  <conditionalFormatting sqref="C220">
    <cfRule type="cellIs" dxfId="1915" priority="656" stopIfTrue="1" operator="equal">
      <formula>"2 Add"</formula>
    </cfRule>
  </conditionalFormatting>
  <conditionalFormatting sqref="C220">
    <cfRule type="cellIs" dxfId="1914" priority="657" stopIfTrue="1" operator="equal">
      <formula>"3 Delete"</formula>
    </cfRule>
  </conditionalFormatting>
  <conditionalFormatting sqref="C221">
    <cfRule type="cellIs" dxfId="1913" priority="658" stopIfTrue="1" operator="equal">
      <formula>"1 Modify"</formula>
    </cfRule>
  </conditionalFormatting>
  <conditionalFormatting sqref="C221">
    <cfRule type="cellIs" dxfId="1912" priority="659" stopIfTrue="1" operator="equal">
      <formula>"2 Add"</formula>
    </cfRule>
  </conditionalFormatting>
  <conditionalFormatting sqref="C221">
    <cfRule type="cellIs" dxfId="1911" priority="660" stopIfTrue="1" operator="equal">
      <formula>"3 Delete"</formula>
    </cfRule>
  </conditionalFormatting>
  <conditionalFormatting sqref="C222">
    <cfRule type="cellIs" dxfId="1910" priority="661" stopIfTrue="1" operator="equal">
      <formula>"1 Modify"</formula>
    </cfRule>
  </conditionalFormatting>
  <conditionalFormatting sqref="C222">
    <cfRule type="cellIs" dxfId="1909" priority="662" stopIfTrue="1" operator="equal">
      <formula>"2 Add"</formula>
    </cfRule>
  </conditionalFormatting>
  <conditionalFormatting sqref="C222">
    <cfRule type="cellIs" dxfId="1908" priority="663" stopIfTrue="1" operator="equal">
      <formula>"3 Delete"</formula>
    </cfRule>
  </conditionalFormatting>
  <conditionalFormatting sqref="C223">
    <cfRule type="cellIs" dxfId="1907" priority="664" stopIfTrue="1" operator="equal">
      <formula>"1 Modify"</formula>
    </cfRule>
  </conditionalFormatting>
  <conditionalFormatting sqref="C223">
    <cfRule type="cellIs" dxfId="1906" priority="665" stopIfTrue="1" operator="equal">
      <formula>"2 Add"</formula>
    </cfRule>
  </conditionalFormatting>
  <conditionalFormatting sqref="C223">
    <cfRule type="cellIs" dxfId="1905" priority="666" stopIfTrue="1" operator="equal">
      <formula>"3 Delete"</formula>
    </cfRule>
  </conditionalFormatting>
  <conditionalFormatting sqref="C224">
    <cfRule type="cellIs" dxfId="1904" priority="667" stopIfTrue="1" operator="equal">
      <formula>"1 Modify"</formula>
    </cfRule>
  </conditionalFormatting>
  <conditionalFormatting sqref="C224">
    <cfRule type="cellIs" dxfId="1903" priority="668" stopIfTrue="1" operator="equal">
      <formula>"2 Add"</formula>
    </cfRule>
  </conditionalFormatting>
  <conditionalFormatting sqref="C224">
    <cfRule type="cellIs" dxfId="1902" priority="669" stopIfTrue="1" operator="equal">
      <formula>"3 Delete"</formula>
    </cfRule>
  </conditionalFormatting>
  <conditionalFormatting sqref="C225">
    <cfRule type="cellIs" dxfId="1901" priority="670" stopIfTrue="1" operator="equal">
      <formula>"1 Modify"</formula>
    </cfRule>
  </conditionalFormatting>
  <conditionalFormatting sqref="C225">
    <cfRule type="cellIs" dxfId="1900" priority="671" stopIfTrue="1" operator="equal">
      <formula>"2 Add"</formula>
    </cfRule>
  </conditionalFormatting>
  <conditionalFormatting sqref="C225">
    <cfRule type="cellIs" dxfId="1899" priority="672" stopIfTrue="1" operator="equal">
      <formula>"3 Delete"</formula>
    </cfRule>
  </conditionalFormatting>
  <conditionalFormatting sqref="C226">
    <cfRule type="cellIs" dxfId="1898" priority="673" stopIfTrue="1" operator="equal">
      <formula>"1 Modify"</formula>
    </cfRule>
  </conditionalFormatting>
  <conditionalFormatting sqref="C226">
    <cfRule type="cellIs" dxfId="1897" priority="674" stopIfTrue="1" operator="equal">
      <formula>"2 Add"</formula>
    </cfRule>
  </conditionalFormatting>
  <conditionalFormatting sqref="C226">
    <cfRule type="cellIs" dxfId="1896" priority="675" stopIfTrue="1" operator="equal">
      <formula>"3 Delete"</formula>
    </cfRule>
  </conditionalFormatting>
  <conditionalFormatting sqref="C227">
    <cfRule type="cellIs" dxfId="1895" priority="676" stopIfTrue="1" operator="equal">
      <formula>"1 Modify"</formula>
    </cfRule>
  </conditionalFormatting>
  <conditionalFormatting sqref="C227">
    <cfRule type="cellIs" dxfId="1894" priority="677" stopIfTrue="1" operator="equal">
      <formula>"2 Add"</formula>
    </cfRule>
  </conditionalFormatting>
  <conditionalFormatting sqref="C227">
    <cfRule type="cellIs" dxfId="1893" priority="678" stopIfTrue="1" operator="equal">
      <formula>"3 Delete"</formula>
    </cfRule>
  </conditionalFormatting>
  <conditionalFormatting sqref="C228">
    <cfRule type="cellIs" dxfId="1892" priority="679" stopIfTrue="1" operator="equal">
      <formula>"1 Modify"</formula>
    </cfRule>
  </conditionalFormatting>
  <conditionalFormatting sqref="C228">
    <cfRule type="cellIs" dxfId="1891" priority="680" stopIfTrue="1" operator="equal">
      <formula>"2 Add"</formula>
    </cfRule>
  </conditionalFormatting>
  <conditionalFormatting sqref="C228">
    <cfRule type="cellIs" dxfId="1890" priority="681" stopIfTrue="1" operator="equal">
      <formula>"3 Delete"</formula>
    </cfRule>
  </conditionalFormatting>
  <conditionalFormatting sqref="C229">
    <cfRule type="cellIs" dxfId="1889" priority="682" stopIfTrue="1" operator="equal">
      <formula>"1 Modify"</formula>
    </cfRule>
  </conditionalFormatting>
  <conditionalFormatting sqref="C229">
    <cfRule type="cellIs" dxfId="1888" priority="683" stopIfTrue="1" operator="equal">
      <formula>"2 Add"</formula>
    </cfRule>
  </conditionalFormatting>
  <conditionalFormatting sqref="C229">
    <cfRule type="cellIs" dxfId="1887" priority="684" stopIfTrue="1" operator="equal">
      <formula>"3 Delete"</formula>
    </cfRule>
  </conditionalFormatting>
  <conditionalFormatting sqref="C230">
    <cfRule type="cellIs" dxfId="1886" priority="685" stopIfTrue="1" operator="equal">
      <formula>"1 Modify"</formula>
    </cfRule>
  </conditionalFormatting>
  <conditionalFormatting sqref="C230">
    <cfRule type="cellIs" dxfId="1885" priority="686" stopIfTrue="1" operator="equal">
      <formula>"2 Add"</formula>
    </cfRule>
  </conditionalFormatting>
  <conditionalFormatting sqref="C230">
    <cfRule type="cellIs" dxfId="1884" priority="687" stopIfTrue="1" operator="equal">
      <formula>"3 Delete"</formula>
    </cfRule>
  </conditionalFormatting>
  <conditionalFormatting sqref="C231">
    <cfRule type="cellIs" dxfId="1883" priority="688" stopIfTrue="1" operator="equal">
      <formula>"1 Modify"</formula>
    </cfRule>
  </conditionalFormatting>
  <conditionalFormatting sqref="C231">
    <cfRule type="cellIs" dxfId="1882" priority="689" stopIfTrue="1" operator="equal">
      <formula>"2 Add"</formula>
    </cfRule>
  </conditionalFormatting>
  <conditionalFormatting sqref="C231">
    <cfRule type="cellIs" dxfId="1881" priority="690" stopIfTrue="1" operator="equal">
      <formula>"3 Delete"</formula>
    </cfRule>
  </conditionalFormatting>
  <conditionalFormatting sqref="C232">
    <cfRule type="cellIs" dxfId="1880" priority="691" stopIfTrue="1" operator="equal">
      <formula>"1 Modify"</formula>
    </cfRule>
  </conditionalFormatting>
  <conditionalFormatting sqref="C232">
    <cfRule type="cellIs" dxfId="1879" priority="692" stopIfTrue="1" operator="equal">
      <formula>"2 Add"</formula>
    </cfRule>
  </conditionalFormatting>
  <conditionalFormatting sqref="C232">
    <cfRule type="cellIs" dxfId="1878" priority="693" stopIfTrue="1" operator="equal">
      <formula>"3 Delete"</formula>
    </cfRule>
  </conditionalFormatting>
  <conditionalFormatting sqref="C233">
    <cfRule type="cellIs" dxfId="1877" priority="694" stopIfTrue="1" operator="equal">
      <formula>"1 Modify"</formula>
    </cfRule>
  </conditionalFormatting>
  <conditionalFormatting sqref="C233">
    <cfRule type="cellIs" dxfId="1876" priority="695" stopIfTrue="1" operator="equal">
      <formula>"2 Add"</formula>
    </cfRule>
  </conditionalFormatting>
  <conditionalFormatting sqref="C233">
    <cfRule type="cellIs" dxfId="1875" priority="696" stopIfTrue="1" operator="equal">
      <formula>"3 Delete"</formula>
    </cfRule>
  </conditionalFormatting>
  <conditionalFormatting sqref="C234">
    <cfRule type="cellIs" dxfId="1874" priority="697" stopIfTrue="1" operator="equal">
      <formula>"1 Modify"</formula>
    </cfRule>
  </conditionalFormatting>
  <conditionalFormatting sqref="C234">
    <cfRule type="cellIs" dxfId="1873" priority="698" stopIfTrue="1" operator="equal">
      <formula>"2 Add"</formula>
    </cfRule>
  </conditionalFormatting>
  <conditionalFormatting sqref="C234">
    <cfRule type="cellIs" dxfId="1872" priority="699" stopIfTrue="1" operator="equal">
      <formula>"3 Delete"</formula>
    </cfRule>
  </conditionalFormatting>
  <conditionalFormatting sqref="C235">
    <cfRule type="cellIs" dxfId="1871" priority="700" stopIfTrue="1" operator="equal">
      <formula>"1 Modify"</formula>
    </cfRule>
  </conditionalFormatting>
  <conditionalFormatting sqref="C235">
    <cfRule type="cellIs" dxfId="1870" priority="701" stopIfTrue="1" operator="equal">
      <formula>"2 Add"</formula>
    </cfRule>
  </conditionalFormatting>
  <conditionalFormatting sqref="C235">
    <cfRule type="cellIs" dxfId="1869" priority="702" stopIfTrue="1" operator="equal">
      <formula>"3 Delete"</formula>
    </cfRule>
  </conditionalFormatting>
  <conditionalFormatting sqref="C236">
    <cfRule type="cellIs" dxfId="1868" priority="703" stopIfTrue="1" operator="equal">
      <formula>"1 Modify"</formula>
    </cfRule>
  </conditionalFormatting>
  <conditionalFormatting sqref="C236">
    <cfRule type="cellIs" dxfId="1867" priority="704" stopIfTrue="1" operator="equal">
      <formula>"2 Add"</formula>
    </cfRule>
  </conditionalFormatting>
  <conditionalFormatting sqref="C236">
    <cfRule type="cellIs" dxfId="1866" priority="705" stopIfTrue="1" operator="equal">
      <formula>"3 Delete"</formula>
    </cfRule>
  </conditionalFormatting>
  <conditionalFormatting sqref="C237">
    <cfRule type="cellIs" dxfId="1865" priority="706" stopIfTrue="1" operator="equal">
      <formula>"1 Modify"</formula>
    </cfRule>
  </conditionalFormatting>
  <conditionalFormatting sqref="C237">
    <cfRule type="cellIs" dxfId="1864" priority="707" stopIfTrue="1" operator="equal">
      <formula>"2 Add"</formula>
    </cfRule>
  </conditionalFormatting>
  <conditionalFormatting sqref="C237">
    <cfRule type="cellIs" dxfId="1863" priority="708" stopIfTrue="1" operator="equal">
      <formula>"3 Delete"</formula>
    </cfRule>
  </conditionalFormatting>
  <conditionalFormatting sqref="C238">
    <cfRule type="cellIs" dxfId="1862" priority="709" stopIfTrue="1" operator="equal">
      <formula>"1 Modify"</formula>
    </cfRule>
  </conditionalFormatting>
  <conditionalFormatting sqref="C238">
    <cfRule type="cellIs" dxfId="1861" priority="710" stopIfTrue="1" operator="equal">
      <formula>"2 Add"</formula>
    </cfRule>
  </conditionalFormatting>
  <conditionalFormatting sqref="C238">
    <cfRule type="cellIs" dxfId="1860" priority="711" stopIfTrue="1" operator="equal">
      <formula>"3 Delete"</formula>
    </cfRule>
  </conditionalFormatting>
  <conditionalFormatting sqref="C239">
    <cfRule type="cellIs" dxfId="1859" priority="712" stopIfTrue="1" operator="equal">
      <formula>"1 Modify"</formula>
    </cfRule>
  </conditionalFormatting>
  <conditionalFormatting sqref="C239">
    <cfRule type="cellIs" dxfId="1858" priority="713" stopIfTrue="1" operator="equal">
      <formula>"2 Add"</formula>
    </cfRule>
  </conditionalFormatting>
  <conditionalFormatting sqref="C239">
    <cfRule type="cellIs" dxfId="1857" priority="714" stopIfTrue="1" operator="equal">
      <formula>"3 Delete"</formula>
    </cfRule>
  </conditionalFormatting>
  <conditionalFormatting sqref="C240">
    <cfRule type="cellIs" dxfId="1856" priority="715" stopIfTrue="1" operator="equal">
      <formula>"1 Modify"</formula>
    </cfRule>
  </conditionalFormatting>
  <conditionalFormatting sqref="C240">
    <cfRule type="cellIs" dxfId="1855" priority="716" stopIfTrue="1" operator="equal">
      <formula>"2 Add"</formula>
    </cfRule>
  </conditionalFormatting>
  <conditionalFormatting sqref="C240">
    <cfRule type="cellIs" dxfId="1854" priority="717" stopIfTrue="1" operator="equal">
      <formula>"3 Delete"</formula>
    </cfRule>
  </conditionalFormatting>
  <conditionalFormatting sqref="C241">
    <cfRule type="cellIs" dxfId="1853" priority="718" stopIfTrue="1" operator="equal">
      <formula>"1 Modify"</formula>
    </cfRule>
  </conditionalFormatting>
  <conditionalFormatting sqref="C241">
    <cfRule type="cellIs" dxfId="1852" priority="719" stopIfTrue="1" operator="equal">
      <formula>"2 Add"</formula>
    </cfRule>
  </conditionalFormatting>
  <conditionalFormatting sqref="C241">
    <cfRule type="cellIs" dxfId="1851" priority="720" stopIfTrue="1" operator="equal">
      <formula>"3 Delete"</formula>
    </cfRule>
  </conditionalFormatting>
  <conditionalFormatting sqref="C242">
    <cfRule type="cellIs" dxfId="1850" priority="721" stopIfTrue="1" operator="equal">
      <formula>"1 Modify"</formula>
    </cfRule>
  </conditionalFormatting>
  <conditionalFormatting sqref="C242">
    <cfRule type="cellIs" dxfId="1849" priority="722" stopIfTrue="1" operator="equal">
      <formula>"2 Add"</formula>
    </cfRule>
  </conditionalFormatting>
  <conditionalFormatting sqref="C242">
    <cfRule type="cellIs" dxfId="1848" priority="723" stopIfTrue="1" operator="equal">
      <formula>"3 Delete"</formula>
    </cfRule>
  </conditionalFormatting>
  <conditionalFormatting sqref="C243">
    <cfRule type="cellIs" dxfId="1847" priority="724" stopIfTrue="1" operator="equal">
      <formula>"1 Modify"</formula>
    </cfRule>
  </conditionalFormatting>
  <conditionalFormatting sqref="C243">
    <cfRule type="cellIs" dxfId="1846" priority="725" stopIfTrue="1" operator="equal">
      <formula>"2 Add"</formula>
    </cfRule>
  </conditionalFormatting>
  <conditionalFormatting sqref="C243">
    <cfRule type="cellIs" dxfId="1845" priority="726" stopIfTrue="1" operator="equal">
      <formula>"3 Delete"</formula>
    </cfRule>
  </conditionalFormatting>
  <conditionalFormatting sqref="C244">
    <cfRule type="cellIs" dxfId="1844" priority="727" stopIfTrue="1" operator="equal">
      <formula>"1 Modify"</formula>
    </cfRule>
  </conditionalFormatting>
  <conditionalFormatting sqref="C244">
    <cfRule type="cellIs" dxfId="1843" priority="728" stopIfTrue="1" operator="equal">
      <formula>"2 Add"</formula>
    </cfRule>
  </conditionalFormatting>
  <conditionalFormatting sqref="C244">
    <cfRule type="cellIs" dxfId="1842" priority="729" stopIfTrue="1" operator="equal">
      <formula>"3 Delete"</formula>
    </cfRule>
  </conditionalFormatting>
  <conditionalFormatting sqref="C245">
    <cfRule type="cellIs" dxfId="1841" priority="730" stopIfTrue="1" operator="equal">
      <formula>"1 Modify"</formula>
    </cfRule>
  </conditionalFormatting>
  <conditionalFormatting sqref="C245">
    <cfRule type="cellIs" dxfId="1840" priority="731" stopIfTrue="1" operator="equal">
      <formula>"2 Add"</formula>
    </cfRule>
  </conditionalFormatting>
  <conditionalFormatting sqref="C245">
    <cfRule type="cellIs" dxfId="1839" priority="732" stopIfTrue="1" operator="equal">
      <formula>"3 Delete"</formula>
    </cfRule>
  </conditionalFormatting>
  <conditionalFormatting sqref="C246">
    <cfRule type="cellIs" dxfId="1838" priority="733" stopIfTrue="1" operator="equal">
      <formula>"1 Modify"</formula>
    </cfRule>
  </conditionalFormatting>
  <conditionalFormatting sqref="C246">
    <cfRule type="cellIs" dxfId="1837" priority="734" stopIfTrue="1" operator="equal">
      <formula>"2 Add"</formula>
    </cfRule>
  </conditionalFormatting>
  <conditionalFormatting sqref="C246">
    <cfRule type="cellIs" dxfId="1836" priority="735" stopIfTrue="1" operator="equal">
      <formula>"3 Delete"</formula>
    </cfRule>
  </conditionalFormatting>
  <conditionalFormatting sqref="C247">
    <cfRule type="cellIs" dxfId="1835" priority="736" stopIfTrue="1" operator="equal">
      <formula>"1 Modify"</formula>
    </cfRule>
  </conditionalFormatting>
  <conditionalFormatting sqref="C247">
    <cfRule type="cellIs" dxfId="1834" priority="737" stopIfTrue="1" operator="equal">
      <formula>"2 Add"</formula>
    </cfRule>
  </conditionalFormatting>
  <conditionalFormatting sqref="C247">
    <cfRule type="cellIs" dxfId="1833" priority="738" stopIfTrue="1" operator="equal">
      <formula>"3 Delete"</formula>
    </cfRule>
  </conditionalFormatting>
  <conditionalFormatting sqref="C248">
    <cfRule type="cellIs" dxfId="1832" priority="739" stopIfTrue="1" operator="equal">
      <formula>"1 Modify"</formula>
    </cfRule>
  </conditionalFormatting>
  <conditionalFormatting sqref="C248">
    <cfRule type="cellIs" dxfId="1831" priority="740" stopIfTrue="1" operator="equal">
      <formula>"2 Add"</formula>
    </cfRule>
  </conditionalFormatting>
  <conditionalFormatting sqref="C248">
    <cfRule type="cellIs" dxfId="1830" priority="741" stopIfTrue="1" operator="equal">
      <formula>"3 Delete"</formula>
    </cfRule>
  </conditionalFormatting>
  <conditionalFormatting sqref="C249">
    <cfRule type="cellIs" dxfId="1829" priority="742" stopIfTrue="1" operator="equal">
      <formula>"1 Modify"</formula>
    </cfRule>
  </conditionalFormatting>
  <conditionalFormatting sqref="C249">
    <cfRule type="cellIs" dxfId="1828" priority="743" stopIfTrue="1" operator="equal">
      <formula>"2 Add"</formula>
    </cfRule>
  </conditionalFormatting>
  <conditionalFormatting sqref="C249">
    <cfRule type="cellIs" dxfId="1827" priority="744" stopIfTrue="1" operator="equal">
      <formula>"3 Delete"</formula>
    </cfRule>
  </conditionalFormatting>
  <conditionalFormatting sqref="C250">
    <cfRule type="cellIs" dxfId="1826" priority="745" stopIfTrue="1" operator="equal">
      <formula>"1 Modify"</formula>
    </cfRule>
  </conditionalFormatting>
  <conditionalFormatting sqref="C250">
    <cfRule type="cellIs" dxfId="1825" priority="746" stopIfTrue="1" operator="equal">
      <formula>"2 Add"</formula>
    </cfRule>
  </conditionalFormatting>
  <conditionalFormatting sqref="C250">
    <cfRule type="cellIs" dxfId="1824" priority="747" stopIfTrue="1" operator="equal">
      <formula>"3 Delete"</formula>
    </cfRule>
  </conditionalFormatting>
  <conditionalFormatting sqref="C251">
    <cfRule type="cellIs" dxfId="1823" priority="748" stopIfTrue="1" operator="equal">
      <formula>"1 Modify"</formula>
    </cfRule>
  </conditionalFormatting>
  <conditionalFormatting sqref="C251">
    <cfRule type="cellIs" dxfId="1822" priority="749" stopIfTrue="1" operator="equal">
      <formula>"2 Add"</formula>
    </cfRule>
  </conditionalFormatting>
  <conditionalFormatting sqref="C251">
    <cfRule type="cellIs" dxfId="1821" priority="750" stopIfTrue="1" operator="equal">
      <formula>"3 Delete"</formula>
    </cfRule>
  </conditionalFormatting>
  <conditionalFormatting sqref="C252">
    <cfRule type="cellIs" dxfId="1820" priority="751" stopIfTrue="1" operator="equal">
      <formula>"1 Modify"</formula>
    </cfRule>
  </conditionalFormatting>
  <conditionalFormatting sqref="C252">
    <cfRule type="cellIs" dxfId="1819" priority="752" stopIfTrue="1" operator="equal">
      <formula>"2 Add"</formula>
    </cfRule>
  </conditionalFormatting>
  <conditionalFormatting sqref="C252">
    <cfRule type="cellIs" dxfId="1818" priority="753" stopIfTrue="1" operator="equal">
      <formula>"3 Delete"</formula>
    </cfRule>
  </conditionalFormatting>
  <conditionalFormatting sqref="C253">
    <cfRule type="cellIs" dxfId="1817" priority="754" stopIfTrue="1" operator="equal">
      <formula>"1 Modify"</formula>
    </cfRule>
  </conditionalFormatting>
  <conditionalFormatting sqref="C253">
    <cfRule type="cellIs" dxfId="1816" priority="755" stopIfTrue="1" operator="equal">
      <formula>"2 Add"</formula>
    </cfRule>
  </conditionalFormatting>
  <conditionalFormatting sqref="C253">
    <cfRule type="cellIs" dxfId="1815" priority="756" stopIfTrue="1" operator="equal">
      <formula>"3 Delete"</formula>
    </cfRule>
  </conditionalFormatting>
  <conditionalFormatting sqref="C254">
    <cfRule type="cellIs" dxfId="1814" priority="757" stopIfTrue="1" operator="equal">
      <formula>"1 Modify"</formula>
    </cfRule>
  </conditionalFormatting>
  <conditionalFormatting sqref="C254">
    <cfRule type="cellIs" dxfId="1813" priority="758" stopIfTrue="1" operator="equal">
      <formula>"2 Add"</formula>
    </cfRule>
  </conditionalFormatting>
  <conditionalFormatting sqref="C254">
    <cfRule type="cellIs" dxfId="1812" priority="759" stopIfTrue="1" operator="equal">
      <formula>"3 Delete"</formula>
    </cfRule>
  </conditionalFormatting>
  <conditionalFormatting sqref="C255">
    <cfRule type="cellIs" dxfId="1811" priority="760" stopIfTrue="1" operator="equal">
      <formula>"1 Modify"</formula>
    </cfRule>
  </conditionalFormatting>
  <conditionalFormatting sqref="C255">
    <cfRule type="cellIs" dxfId="1810" priority="761" stopIfTrue="1" operator="equal">
      <formula>"2 Add"</formula>
    </cfRule>
  </conditionalFormatting>
  <conditionalFormatting sqref="C255">
    <cfRule type="cellIs" dxfId="1809" priority="762" stopIfTrue="1" operator="equal">
      <formula>"3 Delete"</formula>
    </cfRule>
  </conditionalFormatting>
  <conditionalFormatting sqref="C256">
    <cfRule type="cellIs" dxfId="1808" priority="763" stopIfTrue="1" operator="equal">
      <formula>"1 Modify"</formula>
    </cfRule>
  </conditionalFormatting>
  <conditionalFormatting sqref="C256">
    <cfRule type="cellIs" dxfId="1807" priority="764" stopIfTrue="1" operator="equal">
      <formula>"2 Add"</formula>
    </cfRule>
  </conditionalFormatting>
  <conditionalFormatting sqref="C256">
    <cfRule type="cellIs" dxfId="1806" priority="765" stopIfTrue="1" operator="equal">
      <formula>"3 Delete"</formula>
    </cfRule>
  </conditionalFormatting>
  <conditionalFormatting sqref="C257">
    <cfRule type="cellIs" dxfId="1805" priority="766" stopIfTrue="1" operator="equal">
      <formula>"1 Modify"</formula>
    </cfRule>
  </conditionalFormatting>
  <conditionalFormatting sqref="C257">
    <cfRule type="cellIs" dxfId="1804" priority="767" stopIfTrue="1" operator="equal">
      <formula>"2 Add"</formula>
    </cfRule>
  </conditionalFormatting>
  <conditionalFormatting sqref="C257">
    <cfRule type="cellIs" dxfId="1803" priority="768" stopIfTrue="1" operator="equal">
      <formula>"3 Delete"</formula>
    </cfRule>
  </conditionalFormatting>
  <conditionalFormatting sqref="C258">
    <cfRule type="cellIs" dxfId="1802" priority="769" stopIfTrue="1" operator="equal">
      <formula>"1 Modify"</formula>
    </cfRule>
  </conditionalFormatting>
  <conditionalFormatting sqref="C258">
    <cfRule type="cellIs" dxfId="1801" priority="770" stopIfTrue="1" operator="equal">
      <formula>"2 Add"</formula>
    </cfRule>
  </conditionalFormatting>
  <conditionalFormatting sqref="C258">
    <cfRule type="cellIs" dxfId="1800" priority="771" stopIfTrue="1" operator="equal">
      <formula>"3 Delete"</formula>
    </cfRule>
  </conditionalFormatting>
  <conditionalFormatting sqref="C259">
    <cfRule type="cellIs" dxfId="1799" priority="772" stopIfTrue="1" operator="equal">
      <formula>"1 Modify"</formula>
    </cfRule>
  </conditionalFormatting>
  <conditionalFormatting sqref="C259">
    <cfRule type="cellIs" dxfId="1798" priority="773" stopIfTrue="1" operator="equal">
      <formula>"2 Add"</formula>
    </cfRule>
  </conditionalFormatting>
  <conditionalFormatting sqref="C259">
    <cfRule type="cellIs" dxfId="1797" priority="774" stopIfTrue="1" operator="equal">
      <formula>"3 Delete"</formula>
    </cfRule>
  </conditionalFormatting>
  <conditionalFormatting sqref="C260">
    <cfRule type="cellIs" dxfId="1796" priority="775" stopIfTrue="1" operator="equal">
      <formula>"1 Modify"</formula>
    </cfRule>
  </conditionalFormatting>
  <conditionalFormatting sqref="C260">
    <cfRule type="cellIs" dxfId="1795" priority="776" stopIfTrue="1" operator="equal">
      <formula>"2 Add"</formula>
    </cfRule>
  </conditionalFormatting>
  <conditionalFormatting sqref="C260">
    <cfRule type="cellIs" dxfId="1794" priority="777" stopIfTrue="1" operator="equal">
      <formula>"3 Delete"</formula>
    </cfRule>
  </conditionalFormatting>
  <conditionalFormatting sqref="C261">
    <cfRule type="cellIs" dxfId="1793" priority="778" stopIfTrue="1" operator="equal">
      <formula>"1 Modify"</formula>
    </cfRule>
  </conditionalFormatting>
  <conditionalFormatting sqref="C261">
    <cfRule type="cellIs" dxfId="1792" priority="779" stopIfTrue="1" operator="equal">
      <formula>"2 Add"</formula>
    </cfRule>
  </conditionalFormatting>
  <conditionalFormatting sqref="C261">
    <cfRule type="cellIs" dxfId="1791" priority="780" stopIfTrue="1" operator="equal">
      <formula>"3 Delete"</formula>
    </cfRule>
  </conditionalFormatting>
  <conditionalFormatting sqref="C262">
    <cfRule type="cellIs" dxfId="1790" priority="781" stopIfTrue="1" operator="equal">
      <formula>"1 Modify"</formula>
    </cfRule>
  </conditionalFormatting>
  <conditionalFormatting sqref="C262">
    <cfRule type="cellIs" dxfId="1789" priority="782" stopIfTrue="1" operator="equal">
      <formula>"2 Add"</formula>
    </cfRule>
  </conditionalFormatting>
  <conditionalFormatting sqref="C262">
    <cfRule type="cellIs" dxfId="1788" priority="783" stopIfTrue="1" operator="equal">
      <formula>"3 Delete"</formula>
    </cfRule>
  </conditionalFormatting>
  <conditionalFormatting sqref="C263">
    <cfRule type="cellIs" dxfId="1787" priority="784" stopIfTrue="1" operator="equal">
      <formula>"1 Modify"</formula>
    </cfRule>
  </conditionalFormatting>
  <conditionalFormatting sqref="C263">
    <cfRule type="cellIs" dxfId="1786" priority="785" stopIfTrue="1" operator="equal">
      <formula>"2 Add"</formula>
    </cfRule>
  </conditionalFormatting>
  <conditionalFormatting sqref="C263">
    <cfRule type="cellIs" dxfId="1785" priority="786" stopIfTrue="1" operator="equal">
      <formula>"3 Delete"</formula>
    </cfRule>
  </conditionalFormatting>
  <conditionalFormatting sqref="C264">
    <cfRule type="cellIs" dxfId="1784" priority="787" stopIfTrue="1" operator="equal">
      <formula>"1 Modify"</formula>
    </cfRule>
  </conditionalFormatting>
  <conditionalFormatting sqref="C264">
    <cfRule type="cellIs" dxfId="1783" priority="788" stopIfTrue="1" operator="equal">
      <formula>"2 Add"</formula>
    </cfRule>
  </conditionalFormatting>
  <conditionalFormatting sqref="C264">
    <cfRule type="cellIs" dxfId="1782" priority="789" stopIfTrue="1" operator="equal">
      <formula>"3 Delete"</formula>
    </cfRule>
  </conditionalFormatting>
  <conditionalFormatting sqref="C265">
    <cfRule type="cellIs" dxfId="1781" priority="790" stopIfTrue="1" operator="equal">
      <formula>"1 Modify"</formula>
    </cfRule>
  </conditionalFormatting>
  <conditionalFormatting sqref="C265">
    <cfRule type="cellIs" dxfId="1780" priority="791" stopIfTrue="1" operator="equal">
      <formula>"2 Add"</formula>
    </cfRule>
  </conditionalFormatting>
  <conditionalFormatting sqref="C265">
    <cfRule type="cellIs" dxfId="1779" priority="792" stopIfTrue="1" operator="equal">
      <formula>"3 Delete"</formula>
    </cfRule>
  </conditionalFormatting>
  <conditionalFormatting sqref="C266">
    <cfRule type="cellIs" dxfId="1778" priority="793" stopIfTrue="1" operator="equal">
      <formula>"1 Modify"</formula>
    </cfRule>
  </conditionalFormatting>
  <conditionalFormatting sqref="C266">
    <cfRule type="cellIs" dxfId="1777" priority="794" stopIfTrue="1" operator="equal">
      <formula>"2 Add"</formula>
    </cfRule>
  </conditionalFormatting>
  <conditionalFormatting sqref="C266">
    <cfRule type="cellIs" dxfId="1776" priority="795" stopIfTrue="1" operator="equal">
      <formula>"3 Delete"</formula>
    </cfRule>
  </conditionalFormatting>
  <conditionalFormatting sqref="C267">
    <cfRule type="cellIs" dxfId="1775" priority="796" stopIfTrue="1" operator="equal">
      <formula>"1 Modify"</formula>
    </cfRule>
  </conditionalFormatting>
  <conditionalFormatting sqref="C267">
    <cfRule type="cellIs" dxfId="1774" priority="797" stopIfTrue="1" operator="equal">
      <formula>"2 Add"</formula>
    </cfRule>
  </conditionalFormatting>
  <conditionalFormatting sqref="C267">
    <cfRule type="cellIs" dxfId="1773" priority="798" stopIfTrue="1" operator="equal">
      <formula>"3 Delete"</formula>
    </cfRule>
  </conditionalFormatting>
  <conditionalFormatting sqref="C268">
    <cfRule type="cellIs" dxfId="1772" priority="799" stopIfTrue="1" operator="equal">
      <formula>"1 Modify"</formula>
    </cfRule>
  </conditionalFormatting>
  <conditionalFormatting sqref="C268">
    <cfRule type="cellIs" dxfId="1771" priority="800" stopIfTrue="1" operator="equal">
      <formula>"2 Add"</formula>
    </cfRule>
  </conditionalFormatting>
  <conditionalFormatting sqref="C268">
    <cfRule type="cellIs" dxfId="1770" priority="801" stopIfTrue="1" operator="equal">
      <formula>"3 Delete"</formula>
    </cfRule>
  </conditionalFormatting>
  <conditionalFormatting sqref="C269">
    <cfRule type="cellIs" dxfId="1769" priority="802" stopIfTrue="1" operator="equal">
      <formula>"1 Modify"</formula>
    </cfRule>
  </conditionalFormatting>
  <conditionalFormatting sqref="C269">
    <cfRule type="cellIs" dxfId="1768" priority="803" stopIfTrue="1" operator="equal">
      <formula>"2 Add"</formula>
    </cfRule>
  </conditionalFormatting>
  <conditionalFormatting sqref="C269">
    <cfRule type="cellIs" dxfId="1767" priority="804" stopIfTrue="1" operator="equal">
      <formula>"3 Delete"</formula>
    </cfRule>
  </conditionalFormatting>
  <conditionalFormatting sqref="C270">
    <cfRule type="cellIs" dxfId="1766" priority="805" stopIfTrue="1" operator="equal">
      <formula>"1 Modify"</formula>
    </cfRule>
  </conditionalFormatting>
  <conditionalFormatting sqref="C270">
    <cfRule type="cellIs" dxfId="1765" priority="806" stopIfTrue="1" operator="equal">
      <formula>"2 Add"</formula>
    </cfRule>
  </conditionalFormatting>
  <conditionalFormatting sqref="C270">
    <cfRule type="cellIs" dxfId="1764" priority="807" stopIfTrue="1" operator="equal">
      <formula>"3 Delete"</formula>
    </cfRule>
  </conditionalFormatting>
  <conditionalFormatting sqref="C271">
    <cfRule type="cellIs" dxfId="1763" priority="808" stopIfTrue="1" operator="equal">
      <formula>"1 Modify"</formula>
    </cfRule>
  </conditionalFormatting>
  <conditionalFormatting sqref="C271">
    <cfRule type="cellIs" dxfId="1762" priority="809" stopIfTrue="1" operator="equal">
      <formula>"2 Add"</formula>
    </cfRule>
  </conditionalFormatting>
  <conditionalFormatting sqref="C271">
    <cfRule type="cellIs" dxfId="1761" priority="810" stopIfTrue="1" operator="equal">
      <formula>"3 Delete"</formula>
    </cfRule>
  </conditionalFormatting>
  <conditionalFormatting sqref="C272">
    <cfRule type="cellIs" dxfId="1760" priority="811" stopIfTrue="1" operator="equal">
      <formula>"1 Modify"</formula>
    </cfRule>
  </conditionalFormatting>
  <conditionalFormatting sqref="C272">
    <cfRule type="cellIs" dxfId="1759" priority="812" stopIfTrue="1" operator="equal">
      <formula>"2 Add"</formula>
    </cfRule>
  </conditionalFormatting>
  <conditionalFormatting sqref="C272">
    <cfRule type="cellIs" dxfId="1758" priority="813" stopIfTrue="1" operator="equal">
      <formula>"3 Delete"</formula>
    </cfRule>
  </conditionalFormatting>
  <conditionalFormatting sqref="C273">
    <cfRule type="cellIs" dxfId="1757" priority="814" stopIfTrue="1" operator="equal">
      <formula>"1 Modify"</formula>
    </cfRule>
  </conditionalFormatting>
  <conditionalFormatting sqref="C273">
    <cfRule type="cellIs" dxfId="1756" priority="815" stopIfTrue="1" operator="equal">
      <formula>"2 Add"</formula>
    </cfRule>
  </conditionalFormatting>
  <conditionalFormatting sqref="C273">
    <cfRule type="cellIs" dxfId="1755" priority="816" stopIfTrue="1" operator="equal">
      <formula>"3 Delete"</formula>
    </cfRule>
  </conditionalFormatting>
  <conditionalFormatting sqref="C274">
    <cfRule type="cellIs" dxfId="1754" priority="817" stopIfTrue="1" operator="equal">
      <formula>"1 Modify"</formula>
    </cfRule>
  </conditionalFormatting>
  <conditionalFormatting sqref="C274">
    <cfRule type="cellIs" dxfId="1753" priority="818" stopIfTrue="1" operator="equal">
      <formula>"2 Add"</formula>
    </cfRule>
  </conditionalFormatting>
  <conditionalFormatting sqref="C274">
    <cfRule type="cellIs" dxfId="1752" priority="819" stopIfTrue="1" operator="equal">
      <formula>"3 Delete"</formula>
    </cfRule>
  </conditionalFormatting>
  <conditionalFormatting sqref="C275">
    <cfRule type="cellIs" dxfId="1751" priority="820" stopIfTrue="1" operator="equal">
      <formula>"1 Modify"</formula>
    </cfRule>
  </conditionalFormatting>
  <conditionalFormatting sqref="C275">
    <cfRule type="cellIs" dxfId="1750" priority="821" stopIfTrue="1" operator="equal">
      <formula>"2 Add"</formula>
    </cfRule>
  </conditionalFormatting>
  <conditionalFormatting sqref="C275">
    <cfRule type="cellIs" dxfId="1749" priority="822" stopIfTrue="1" operator="equal">
      <formula>"3 Delete"</formula>
    </cfRule>
  </conditionalFormatting>
  <conditionalFormatting sqref="C276">
    <cfRule type="cellIs" dxfId="1748" priority="823" stopIfTrue="1" operator="equal">
      <formula>"1 Modify"</formula>
    </cfRule>
  </conditionalFormatting>
  <conditionalFormatting sqref="C276">
    <cfRule type="cellIs" dxfId="1747" priority="824" stopIfTrue="1" operator="equal">
      <formula>"2 Add"</formula>
    </cfRule>
  </conditionalFormatting>
  <conditionalFormatting sqref="C276">
    <cfRule type="cellIs" dxfId="1746" priority="825" stopIfTrue="1" operator="equal">
      <formula>"3 Delete"</formula>
    </cfRule>
  </conditionalFormatting>
  <conditionalFormatting sqref="C277">
    <cfRule type="cellIs" dxfId="1745" priority="826" stopIfTrue="1" operator="equal">
      <formula>"1 Modify"</formula>
    </cfRule>
  </conditionalFormatting>
  <conditionalFormatting sqref="C277">
    <cfRule type="cellIs" dxfId="1744" priority="827" stopIfTrue="1" operator="equal">
      <formula>"2 Add"</formula>
    </cfRule>
  </conditionalFormatting>
  <conditionalFormatting sqref="C277">
    <cfRule type="cellIs" dxfId="1743" priority="828" stopIfTrue="1" operator="equal">
      <formula>"3 Delete"</formula>
    </cfRule>
  </conditionalFormatting>
  <conditionalFormatting sqref="C278">
    <cfRule type="cellIs" dxfId="1742" priority="829" stopIfTrue="1" operator="equal">
      <formula>"1 Modify"</formula>
    </cfRule>
  </conditionalFormatting>
  <conditionalFormatting sqref="C278">
    <cfRule type="cellIs" dxfId="1741" priority="830" stopIfTrue="1" operator="equal">
      <formula>"2 Add"</formula>
    </cfRule>
  </conditionalFormatting>
  <conditionalFormatting sqref="C278">
    <cfRule type="cellIs" dxfId="1740" priority="831" stopIfTrue="1" operator="equal">
      <formula>"3 Delete"</formula>
    </cfRule>
  </conditionalFormatting>
  <conditionalFormatting sqref="C279">
    <cfRule type="cellIs" dxfId="1739" priority="832" stopIfTrue="1" operator="equal">
      <formula>"1 Modify"</formula>
    </cfRule>
  </conditionalFormatting>
  <conditionalFormatting sqref="C279">
    <cfRule type="cellIs" dxfId="1738" priority="833" stopIfTrue="1" operator="equal">
      <formula>"2 Add"</formula>
    </cfRule>
  </conditionalFormatting>
  <conditionalFormatting sqref="C279">
    <cfRule type="cellIs" dxfId="1737" priority="834" stopIfTrue="1" operator="equal">
      <formula>"3 Delete"</formula>
    </cfRule>
  </conditionalFormatting>
  <conditionalFormatting sqref="C280">
    <cfRule type="cellIs" dxfId="1736" priority="835" stopIfTrue="1" operator="equal">
      <formula>"1 Modify"</formula>
    </cfRule>
  </conditionalFormatting>
  <conditionalFormatting sqref="C280">
    <cfRule type="cellIs" dxfId="1735" priority="836" stopIfTrue="1" operator="equal">
      <formula>"2 Add"</formula>
    </cfRule>
  </conditionalFormatting>
  <conditionalFormatting sqref="C280">
    <cfRule type="cellIs" dxfId="1734" priority="837" stopIfTrue="1" operator="equal">
      <formula>"3 Delete"</formula>
    </cfRule>
  </conditionalFormatting>
  <conditionalFormatting sqref="C281">
    <cfRule type="cellIs" dxfId="1733" priority="838" stopIfTrue="1" operator="equal">
      <formula>"1 Modify"</formula>
    </cfRule>
  </conditionalFormatting>
  <conditionalFormatting sqref="C281">
    <cfRule type="cellIs" dxfId="1732" priority="839" stopIfTrue="1" operator="equal">
      <formula>"2 Add"</formula>
    </cfRule>
  </conditionalFormatting>
  <conditionalFormatting sqref="C281">
    <cfRule type="cellIs" dxfId="1731" priority="840" stopIfTrue="1" operator="equal">
      <formula>"3 Delete"</formula>
    </cfRule>
  </conditionalFormatting>
  <conditionalFormatting sqref="C282">
    <cfRule type="cellIs" dxfId="1730" priority="841" stopIfTrue="1" operator="equal">
      <formula>"1 Modify"</formula>
    </cfRule>
  </conditionalFormatting>
  <conditionalFormatting sqref="C282">
    <cfRule type="cellIs" dxfId="1729" priority="842" stopIfTrue="1" operator="equal">
      <formula>"2 Add"</formula>
    </cfRule>
  </conditionalFormatting>
  <conditionalFormatting sqref="C282">
    <cfRule type="cellIs" dxfId="1728" priority="843" stopIfTrue="1" operator="equal">
      <formula>"3 Delete"</formula>
    </cfRule>
  </conditionalFormatting>
  <conditionalFormatting sqref="C283">
    <cfRule type="cellIs" dxfId="1727" priority="844" stopIfTrue="1" operator="equal">
      <formula>"1 Modify"</formula>
    </cfRule>
  </conditionalFormatting>
  <conditionalFormatting sqref="C283">
    <cfRule type="cellIs" dxfId="1726" priority="845" stopIfTrue="1" operator="equal">
      <formula>"2 Add"</formula>
    </cfRule>
  </conditionalFormatting>
  <conditionalFormatting sqref="C283">
    <cfRule type="cellIs" dxfId="1725" priority="846" stopIfTrue="1" operator="equal">
      <formula>"3 Delete"</formula>
    </cfRule>
  </conditionalFormatting>
  <conditionalFormatting sqref="C284">
    <cfRule type="cellIs" dxfId="1724" priority="847" stopIfTrue="1" operator="equal">
      <formula>"1 Modify"</formula>
    </cfRule>
  </conditionalFormatting>
  <conditionalFormatting sqref="C284">
    <cfRule type="cellIs" dxfId="1723" priority="848" stopIfTrue="1" operator="equal">
      <formula>"2 Add"</formula>
    </cfRule>
  </conditionalFormatting>
  <conditionalFormatting sqref="C284">
    <cfRule type="cellIs" dxfId="1722" priority="849" stopIfTrue="1" operator="equal">
      <formula>"3 Delete"</formula>
    </cfRule>
  </conditionalFormatting>
  <conditionalFormatting sqref="C285">
    <cfRule type="cellIs" dxfId="1721" priority="850" stopIfTrue="1" operator="equal">
      <formula>"1 Modify"</formula>
    </cfRule>
  </conditionalFormatting>
  <conditionalFormatting sqref="C285">
    <cfRule type="cellIs" dxfId="1720" priority="851" stopIfTrue="1" operator="equal">
      <formula>"2 Add"</formula>
    </cfRule>
  </conditionalFormatting>
  <conditionalFormatting sqref="C285">
    <cfRule type="cellIs" dxfId="1719" priority="852" stopIfTrue="1" operator="equal">
      <formula>"3 Delete"</formula>
    </cfRule>
  </conditionalFormatting>
  <conditionalFormatting sqref="C286">
    <cfRule type="cellIs" dxfId="1718" priority="853" stopIfTrue="1" operator="equal">
      <formula>"1 Modify"</formula>
    </cfRule>
  </conditionalFormatting>
  <conditionalFormatting sqref="C286">
    <cfRule type="cellIs" dxfId="1717" priority="854" stopIfTrue="1" operator="equal">
      <formula>"2 Add"</formula>
    </cfRule>
  </conditionalFormatting>
  <conditionalFormatting sqref="C286">
    <cfRule type="cellIs" dxfId="1716" priority="855" stopIfTrue="1" operator="equal">
      <formula>"3 Delete"</formula>
    </cfRule>
  </conditionalFormatting>
  <conditionalFormatting sqref="C287">
    <cfRule type="cellIs" dxfId="1715" priority="856" stopIfTrue="1" operator="equal">
      <formula>"1 Modify"</formula>
    </cfRule>
  </conditionalFormatting>
  <conditionalFormatting sqref="C287">
    <cfRule type="cellIs" dxfId="1714" priority="857" stopIfTrue="1" operator="equal">
      <formula>"2 Add"</formula>
    </cfRule>
  </conditionalFormatting>
  <conditionalFormatting sqref="C287">
    <cfRule type="cellIs" dxfId="1713" priority="858" stopIfTrue="1" operator="equal">
      <formula>"3 Delete"</formula>
    </cfRule>
  </conditionalFormatting>
  <conditionalFormatting sqref="C288">
    <cfRule type="cellIs" dxfId="1712" priority="859" stopIfTrue="1" operator="equal">
      <formula>"1 Modify"</formula>
    </cfRule>
  </conditionalFormatting>
  <conditionalFormatting sqref="C288">
    <cfRule type="cellIs" dxfId="1711" priority="860" stopIfTrue="1" operator="equal">
      <formula>"2 Add"</formula>
    </cfRule>
  </conditionalFormatting>
  <conditionalFormatting sqref="C288">
    <cfRule type="cellIs" dxfId="1710" priority="861" stopIfTrue="1" operator="equal">
      <formula>"3 Delete"</formula>
    </cfRule>
  </conditionalFormatting>
  <conditionalFormatting sqref="C289">
    <cfRule type="cellIs" dxfId="1709" priority="862" stopIfTrue="1" operator="equal">
      <formula>"1 Modify"</formula>
    </cfRule>
  </conditionalFormatting>
  <conditionalFormatting sqref="C289">
    <cfRule type="cellIs" dxfId="1708" priority="863" stopIfTrue="1" operator="equal">
      <formula>"2 Add"</formula>
    </cfRule>
  </conditionalFormatting>
  <conditionalFormatting sqref="C289">
    <cfRule type="cellIs" dxfId="1707" priority="864" stopIfTrue="1" operator="equal">
      <formula>"3 Delete"</formula>
    </cfRule>
  </conditionalFormatting>
  <conditionalFormatting sqref="C290">
    <cfRule type="cellIs" dxfId="1706" priority="865" stopIfTrue="1" operator="equal">
      <formula>"1 Modify"</formula>
    </cfRule>
  </conditionalFormatting>
  <conditionalFormatting sqref="C290">
    <cfRule type="cellIs" dxfId="1705" priority="866" stopIfTrue="1" operator="equal">
      <formula>"2 Add"</formula>
    </cfRule>
  </conditionalFormatting>
  <conditionalFormatting sqref="C290">
    <cfRule type="cellIs" dxfId="1704" priority="867" stopIfTrue="1" operator="equal">
      <formula>"3 Delete"</formula>
    </cfRule>
  </conditionalFormatting>
  <conditionalFormatting sqref="C291">
    <cfRule type="cellIs" dxfId="1703" priority="868" stopIfTrue="1" operator="equal">
      <formula>"1 Modify"</formula>
    </cfRule>
  </conditionalFormatting>
  <conditionalFormatting sqref="C291">
    <cfRule type="cellIs" dxfId="1702" priority="869" stopIfTrue="1" operator="equal">
      <formula>"2 Add"</formula>
    </cfRule>
  </conditionalFormatting>
  <conditionalFormatting sqref="C291">
    <cfRule type="cellIs" dxfId="1701" priority="870" stopIfTrue="1" operator="equal">
      <formula>"3 Delete"</formula>
    </cfRule>
  </conditionalFormatting>
  <conditionalFormatting sqref="C292">
    <cfRule type="cellIs" dxfId="1700" priority="871" stopIfTrue="1" operator="equal">
      <formula>"1 Modify"</formula>
    </cfRule>
  </conditionalFormatting>
  <conditionalFormatting sqref="C292">
    <cfRule type="cellIs" dxfId="1699" priority="872" stopIfTrue="1" operator="equal">
      <formula>"2 Add"</formula>
    </cfRule>
  </conditionalFormatting>
  <conditionalFormatting sqref="C292">
    <cfRule type="cellIs" dxfId="1698" priority="873" stopIfTrue="1" operator="equal">
      <formula>"3 Delete"</formula>
    </cfRule>
  </conditionalFormatting>
  <conditionalFormatting sqref="C293">
    <cfRule type="cellIs" dxfId="1697" priority="874" stopIfTrue="1" operator="equal">
      <formula>"1 Modify"</formula>
    </cfRule>
  </conditionalFormatting>
  <conditionalFormatting sqref="C293">
    <cfRule type="cellIs" dxfId="1696" priority="875" stopIfTrue="1" operator="equal">
      <formula>"2 Add"</formula>
    </cfRule>
  </conditionalFormatting>
  <conditionalFormatting sqref="C293">
    <cfRule type="cellIs" dxfId="1695" priority="876" stopIfTrue="1" operator="equal">
      <formula>"3 Delete"</formula>
    </cfRule>
  </conditionalFormatting>
  <conditionalFormatting sqref="C294">
    <cfRule type="cellIs" dxfId="1694" priority="877" stopIfTrue="1" operator="equal">
      <formula>"1 Modify"</formula>
    </cfRule>
  </conditionalFormatting>
  <conditionalFormatting sqref="C294">
    <cfRule type="cellIs" dxfId="1693" priority="878" stopIfTrue="1" operator="equal">
      <formula>"2 Add"</formula>
    </cfRule>
  </conditionalFormatting>
  <conditionalFormatting sqref="C294">
    <cfRule type="cellIs" dxfId="1692" priority="879" stopIfTrue="1" operator="equal">
      <formula>"3 Delete"</formula>
    </cfRule>
  </conditionalFormatting>
  <conditionalFormatting sqref="C295">
    <cfRule type="cellIs" dxfId="1691" priority="880" stopIfTrue="1" operator="equal">
      <formula>"1 Modify"</formula>
    </cfRule>
  </conditionalFormatting>
  <conditionalFormatting sqref="C295">
    <cfRule type="cellIs" dxfId="1690" priority="881" stopIfTrue="1" operator="equal">
      <formula>"2 Add"</formula>
    </cfRule>
  </conditionalFormatting>
  <conditionalFormatting sqref="C295">
    <cfRule type="cellIs" dxfId="1689" priority="882" stopIfTrue="1" operator="equal">
      <formula>"3 Delete"</formula>
    </cfRule>
  </conditionalFormatting>
  <conditionalFormatting sqref="C296">
    <cfRule type="cellIs" dxfId="1688" priority="883" stopIfTrue="1" operator="equal">
      <formula>"1 Modify"</formula>
    </cfRule>
  </conditionalFormatting>
  <conditionalFormatting sqref="C296">
    <cfRule type="cellIs" dxfId="1687" priority="884" stopIfTrue="1" operator="equal">
      <formula>"2 Add"</formula>
    </cfRule>
  </conditionalFormatting>
  <conditionalFormatting sqref="C296">
    <cfRule type="cellIs" dxfId="1686" priority="885" stopIfTrue="1" operator="equal">
      <formula>"3 Delete"</formula>
    </cfRule>
  </conditionalFormatting>
  <conditionalFormatting sqref="C297">
    <cfRule type="cellIs" dxfId="1685" priority="886" stopIfTrue="1" operator="equal">
      <formula>"1 Modify"</formula>
    </cfRule>
  </conditionalFormatting>
  <conditionalFormatting sqref="C297">
    <cfRule type="cellIs" dxfId="1684" priority="887" stopIfTrue="1" operator="equal">
      <formula>"2 Add"</formula>
    </cfRule>
  </conditionalFormatting>
  <conditionalFormatting sqref="C297">
    <cfRule type="cellIs" dxfId="1683" priority="888" stopIfTrue="1" operator="equal">
      <formula>"3 Delete"</formula>
    </cfRule>
  </conditionalFormatting>
  <conditionalFormatting sqref="C298">
    <cfRule type="cellIs" dxfId="1682" priority="889" stopIfTrue="1" operator="equal">
      <formula>"1 Modify"</formula>
    </cfRule>
  </conditionalFormatting>
  <conditionalFormatting sqref="C298">
    <cfRule type="cellIs" dxfId="1681" priority="890" stopIfTrue="1" operator="equal">
      <formula>"2 Add"</formula>
    </cfRule>
  </conditionalFormatting>
  <conditionalFormatting sqref="C298">
    <cfRule type="cellIs" dxfId="1680" priority="891" stopIfTrue="1" operator="equal">
      <formula>"3 Delete"</formula>
    </cfRule>
  </conditionalFormatting>
  <conditionalFormatting sqref="C299">
    <cfRule type="cellIs" dxfId="1679" priority="892" stopIfTrue="1" operator="equal">
      <formula>"1 Modify"</formula>
    </cfRule>
  </conditionalFormatting>
  <conditionalFormatting sqref="C299">
    <cfRule type="cellIs" dxfId="1678" priority="893" stopIfTrue="1" operator="equal">
      <formula>"2 Add"</formula>
    </cfRule>
  </conditionalFormatting>
  <conditionalFormatting sqref="C299">
    <cfRule type="cellIs" dxfId="1677" priority="894" stopIfTrue="1" operator="equal">
      <formula>"3 Delete"</formula>
    </cfRule>
  </conditionalFormatting>
  <conditionalFormatting sqref="C300">
    <cfRule type="cellIs" dxfId="1676" priority="895" stopIfTrue="1" operator="equal">
      <formula>"1 Modify"</formula>
    </cfRule>
  </conditionalFormatting>
  <conditionalFormatting sqref="C300">
    <cfRule type="cellIs" dxfId="1675" priority="896" stopIfTrue="1" operator="equal">
      <formula>"2 Add"</formula>
    </cfRule>
  </conditionalFormatting>
  <conditionalFormatting sqref="C300">
    <cfRule type="cellIs" dxfId="1674" priority="897" stopIfTrue="1" operator="equal">
      <formula>"3 Delete"</formula>
    </cfRule>
  </conditionalFormatting>
  <conditionalFormatting sqref="C301">
    <cfRule type="cellIs" dxfId="1673" priority="898" stopIfTrue="1" operator="equal">
      <formula>"1 Modify"</formula>
    </cfRule>
  </conditionalFormatting>
  <conditionalFormatting sqref="C301">
    <cfRule type="cellIs" dxfId="1672" priority="899" stopIfTrue="1" operator="equal">
      <formula>"2 Add"</formula>
    </cfRule>
  </conditionalFormatting>
  <conditionalFormatting sqref="C301">
    <cfRule type="cellIs" dxfId="1671" priority="900" stopIfTrue="1" operator="equal">
      <formula>"3 Delete"</formula>
    </cfRule>
  </conditionalFormatting>
  <conditionalFormatting sqref="C302">
    <cfRule type="cellIs" dxfId="1670" priority="901" stopIfTrue="1" operator="equal">
      <formula>"1 Modify"</formula>
    </cfRule>
  </conditionalFormatting>
  <conditionalFormatting sqref="C302">
    <cfRule type="cellIs" dxfId="1669" priority="902" stopIfTrue="1" operator="equal">
      <formula>"2 Add"</formula>
    </cfRule>
  </conditionalFormatting>
  <conditionalFormatting sqref="C302">
    <cfRule type="cellIs" dxfId="1668" priority="903" stopIfTrue="1" operator="equal">
      <formula>"3 Delete"</formula>
    </cfRule>
  </conditionalFormatting>
  <conditionalFormatting sqref="C303">
    <cfRule type="cellIs" dxfId="1667" priority="904" stopIfTrue="1" operator="equal">
      <formula>"1 Modify"</formula>
    </cfRule>
  </conditionalFormatting>
  <conditionalFormatting sqref="C303">
    <cfRule type="cellIs" dxfId="1666" priority="905" stopIfTrue="1" operator="equal">
      <formula>"2 Add"</formula>
    </cfRule>
  </conditionalFormatting>
  <conditionalFormatting sqref="C303">
    <cfRule type="cellIs" dxfId="1665" priority="906" stopIfTrue="1" operator="equal">
      <formula>"3 Delete"</formula>
    </cfRule>
  </conditionalFormatting>
  <conditionalFormatting sqref="C304">
    <cfRule type="cellIs" dxfId="1664" priority="907" stopIfTrue="1" operator="equal">
      <formula>"1 Modify"</formula>
    </cfRule>
  </conditionalFormatting>
  <conditionalFormatting sqref="C304">
    <cfRule type="cellIs" dxfId="1663" priority="908" stopIfTrue="1" operator="equal">
      <formula>"2 Add"</formula>
    </cfRule>
  </conditionalFormatting>
  <conditionalFormatting sqref="C304">
    <cfRule type="cellIs" dxfId="1662" priority="909" stopIfTrue="1" operator="equal">
      <formula>"3 Delete"</formula>
    </cfRule>
  </conditionalFormatting>
  <conditionalFormatting sqref="C305">
    <cfRule type="cellIs" dxfId="1661" priority="910" stopIfTrue="1" operator="equal">
      <formula>"1 Modify"</formula>
    </cfRule>
  </conditionalFormatting>
  <conditionalFormatting sqref="C305">
    <cfRule type="cellIs" dxfId="1660" priority="911" stopIfTrue="1" operator="equal">
      <formula>"2 Add"</formula>
    </cfRule>
  </conditionalFormatting>
  <conditionalFormatting sqref="C305">
    <cfRule type="cellIs" dxfId="1659" priority="912" stopIfTrue="1" operator="equal">
      <formula>"3 Delete"</formula>
    </cfRule>
  </conditionalFormatting>
  <conditionalFormatting sqref="C306">
    <cfRule type="cellIs" dxfId="1658" priority="913" stopIfTrue="1" operator="equal">
      <formula>"1 Modify"</formula>
    </cfRule>
  </conditionalFormatting>
  <conditionalFormatting sqref="C306">
    <cfRule type="cellIs" dxfId="1657" priority="914" stopIfTrue="1" operator="equal">
      <formula>"2 Add"</formula>
    </cfRule>
  </conditionalFormatting>
  <conditionalFormatting sqref="C306">
    <cfRule type="cellIs" dxfId="1656" priority="915" stopIfTrue="1" operator="equal">
      <formula>"3 Delete"</formula>
    </cfRule>
  </conditionalFormatting>
  <conditionalFormatting sqref="C307">
    <cfRule type="cellIs" dxfId="1655" priority="916" stopIfTrue="1" operator="equal">
      <formula>"1 Modify"</formula>
    </cfRule>
  </conditionalFormatting>
  <conditionalFormatting sqref="C307">
    <cfRule type="cellIs" dxfId="1654" priority="917" stopIfTrue="1" operator="equal">
      <formula>"2 Add"</formula>
    </cfRule>
  </conditionalFormatting>
  <conditionalFormatting sqref="C307">
    <cfRule type="cellIs" dxfId="1653" priority="918" stopIfTrue="1" operator="equal">
      <formula>"3 Delete"</formula>
    </cfRule>
  </conditionalFormatting>
  <conditionalFormatting sqref="C308">
    <cfRule type="cellIs" dxfId="1652" priority="919" stopIfTrue="1" operator="equal">
      <formula>"1 Modify"</formula>
    </cfRule>
  </conditionalFormatting>
  <conditionalFormatting sqref="C308">
    <cfRule type="cellIs" dxfId="1651" priority="920" stopIfTrue="1" operator="equal">
      <formula>"2 Add"</formula>
    </cfRule>
  </conditionalFormatting>
  <conditionalFormatting sqref="C308">
    <cfRule type="cellIs" dxfId="1650" priority="921" stopIfTrue="1" operator="equal">
      <formula>"3 Delete"</formula>
    </cfRule>
  </conditionalFormatting>
  <conditionalFormatting sqref="C309">
    <cfRule type="cellIs" dxfId="1649" priority="922" stopIfTrue="1" operator="equal">
      <formula>"1 Modify"</formula>
    </cfRule>
  </conditionalFormatting>
  <conditionalFormatting sqref="C309">
    <cfRule type="cellIs" dxfId="1648" priority="923" stopIfTrue="1" operator="equal">
      <formula>"2 Add"</formula>
    </cfRule>
  </conditionalFormatting>
  <conditionalFormatting sqref="C309">
    <cfRule type="cellIs" dxfId="1647" priority="924" stopIfTrue="1" operator="equal">
      <formula>"3 Delete"</formula>
    </cfRule>
  </conditionalFormatting>
  <conditionalFormatting sqref="C310">
    <cfRule type="cellIs" dxfId="1646" priority="925" stopIfTrue="1" operator="equal">
      <formula>"1 Modify"</formula>
    </cfRule>
  </conditionalFormatting>
  <conditionalFormatting sqref="C310">
    <cfRule type="cellIs" dxfId="1645" priority="926" stopIfTrue="1" operator="equal">
      <formula>"2 Add"</formula>
    </cfRule>
  </conditionalFormatting>
  <conditionalFormatting sqref="C310">
    <cfRule type="cellIs" dxfId="1644" priority="927" stopIfTrue="1" operator="equal">
      <formula>"3 Delete"</formula>
    </cfRule>
  </conditionalFormatting>
  <conditionalFormatting sqref="C311">
    <cfRule type="cellIs" dxfId="1643" priority="928" stopIfTrue="1" operator="equal">
      <formula>"1 Modify"</formula>
    </cfRule>
  </conditionalFormatting>
  <conditionalFormatting sqref="C311">
    <cfRule type="cellIs" dxfId="1642" priority="929" stopIfTrue="1" operator="equal">
      <formula>"2 Add"</formula>
    </cfRule>
  </conditionalFormatting>
  <conditionalFormatting sqref="C311">
    <cfRule type="cellIs" dxfId="1641" priority="930" stopIfTrue="1" operator="equal">
      <formula>"3 Delete"</formula>
    </cfRule>
  </conditionalFormatting>
  <conditionalFormatting sqref="C312">
    <cfRule type="cellIs" dxfId="1640" priority="931" stopIfTrue="1" operator="equal">
      <formula>"1 Modify"</formula>
    </cfRule>
  </conditionalFormatting>
  <conditionalFormatting sqref="C312">
    <cfRule type="cellIs" dxfId="1639" priority="932" stopIfTrue="1" operator="equal">
      <formula>"2 Add"</formula>
    </cfRule>
  </conditionalFormatting>
  <conditionalFormatting sqref="C312">
    <cfRule type="cellIs" dxfId="1638" priority="933" stopIfTrue="1" operator="equal">
      <formula>"3 Delete"</formula>
    </cfRule>
  </conditionalFormatting>
  <conditionalFormatting sqref="C313">
    <cfRule type="cellIs" dxfId="1637" priority="934" stopIfTrue="1" operator="equal">
      <formula>"1 Modify"</formula>
    </cfRule>
  </conditionalFormatting>
  <conditionalFormatting sqref="C313">
    <cfRule type="cellIs" dxfId="1636" priority="935" stopIfTrue="1" operator="equal">
      <formula>"2 Add"</formula>
    </cfRule>
  </conditionalFormatting>
  <conditionalFormatting sqref="C313">
    <cfRule type="cellIs" dxfId="1635" priority="936" stopIfTrue="1" operator="equal">
      <formula>"3 Delete"</formula>
    </cfRule>
  </conditionalFormatting>
  <conditionalFormatting sqref="C314">
    <cfRule type="cellIs" dxfId="1634" priority="937" stopIfTrue="1" operator="equal">
      <formula>"1 Modify"</formula>
    </cfRule>
  </conditionalFormatting>
  <conditionalFormatting sqref="C314">
    <cfRule type="cellIs" dxfId="1633" priority="938" stopIfTrue="1" operator="equal">
      <formula>"2 Add"</formula>
    </cfRule>
  </conditionalFormatting>
  <conditionalFormatting sqref="C314">
    <cfRule type="cellIs" dxfId="1632" priority="939" stopIfTrue="1" operator="equal">
      <formula>"3 Delete"</formula>
    </cfRule>
  </conditionalFormatting>
  <conditionalFormatting sqref="C315">
    <cfRule type="cellIs" dxfId="1631" priority="940" stopIfTrue="1" operator="equal">
      <formula>"1 Modify"</formula>
    </cfRule>
  </conditionalFormatting>
  <conditionalFormatting sqref="C315">
    <cfRule type="cellIs" dxfId="1630" priority="941" stopIfTrue="1" operator="equal">
      <formula>"2 Add"</formula>
    </cfRule>
  </conditionalFormatting>
  <conditionalFormatting sqref="C315">
    <cfRule type="cellIs" dxfId="1629" priority="942" stopIfTrue="1" operator="equal">
      <formula>"3 Delete"</formula>
    </cfRule>
  </conditionalFormatting>
  <conditionalFormatting sqref="C316">
    <cfRule type="cellIs" dxfId="1628" priority="943" stopIfTrue="1" operator="equal">
      <formula>"1 Modify"</formula>
    </cfRule>
  </conditionalFormatting>
  <conditionalFormatting sqref="C316">
    <cfRule type="cellIs" dxfId="1627" priority="944" stopIfTrue="1" operator="equal">
      <formula>"2 Add"</formula>
    </cfRule>
  </conditionalFormatting>
  <conditionalFormatting sqref="C316">
    <cfRule type="cellIs" dxfId="1626" priority="945" stopIfTrue="1" operator="equal">
      <formula>"3 Delete"</formula>
    </cfRule>
  </conditionalFormatting>
  <conditionalFormatting sqref="C317">
    <cfRule type="cellIs" dxfId="1625" priority="946" stopIfTrue="1" operator="equal">
      <formula>"1 Modify"</formula>
    </cfRule>
  </conditionalFormatting>
  <conditionalFormatting sqref="C317">
    <cfRule type="cellIs" dxfId="1624" priority="947" stopIfTrue="1" operator="equal">
      <formula>"2 Add"</formula>
    </cfRule>
  </conditionalFormatting>
  <conditionalFormatting sqref="C317">
    <cfRule type="cellIs" dxfId="1623" priority="948" stopIfTrue="1" operator="equal">
      <formula>"3 Delete"</formula>
    </cfRule>
  </conditionalFormatting>
  <conditionalFormatting sqref="C318">
    <cfRule type="cellIs" dxfId="1622" priority="949" stopIfTrue="1" operator="equal">
      <formula>"1 Modify"</formula>
    </cfRule>
  </conditionalFormatting>
  <conditionalFormatting sqref="C318">
    <cfRule type="cellIs" dxfId="1621" priority="950" stopIfTrue="1" operator="equal">
      <formula>"2 Add"</formula>
    </cfRule>
  </conditionalFormatting>
  <conditionalFormatting sqref="C318">
    <cfRule type="cellIs" dxfId="1620" priority="951" stopIfTrue="1" operator="equal">
      <formula>"3 Delete"</formula>
    </cfRule>
  </conditionalFormatting>
  <conditionalFormatting sqref="C319">
    <cfRule type="cellIs" dxfId="1619" priority="952" stopIfTrue="1" operator="equal">
      <formula>"1 Modify"</formula>
    </cfRule>
  </conditionalFormatting>
  <conditionalFormatting sqref="C319">
    <cfRule type="cellIs" dxfId="1618" priority="953" stopIfTrue="1" operator="equal">
      <formula>"2 Add"</formula>
    </cfRule>
  </conditionalFormatting>
  <conditionalFormatting sqref="C319">
    <cfRule type="cellIs" dxfId="1617" priority="954" stopIfTrue="1" operator="equal">
      <formula>"3 Delete"</formula>
    </cfRule>
  </conditionalFormatting>
  <conditionalFormatting sqref="C320">
    <cfRule type="cellIs" dxfId="1616" priority="955" stopIfTrue="1" operator="equal">
      <formula>"1 Modify"</formula>
    </cfRule>
  </conditionalFormatting>
  <conditionalFormatting sqref="C320">
    <cfRule type="cellIs" dxfId="1615" priority="956" stopIfTrue="1" operator="equal">
      <formula>"2 Add"</formula>
    </cfRule>
  </conditionalFormatting>
  <conditionalFormatting sqref="C320">
    <cfRule type="cellIs" dxfId="1614" priority="957" stopIfTrue="1" operator="equal">
      <formula>"3 Delete"</formula>
    </cfRule>
  </conditionalFormatting>
  <conditionalFormatting sqref="C321">
    <cfRule type="cellIs" dxfId="1613" priority="958" stopIfTrue="1" operator="equal">
      <formula>"1 Modify"</formula>
    </cfRule>
  </conditionalFormatting>
  <conditionalFormatting sqref="C321">
    <cfRule type="cellIs" dxfId="1612" priority="959" stopIfTrue="1" operator="equal">
      <formula>"2 Add"</formula>
    </cfRule>
  </conditionalFormatting>
  <conditionalFormatting sqref="C321">
    <cfRule type="cellIs" dxfId="1611" priority="960" stopIfTrue="1" operator="equal">
      <formula>"3 Delete"</formula>
    </cfRule>
  </conditionalFormatting>
  <conditionalFormatting sqref="C322">
    <cfRule type="cellIs" dxfId="1610" priority="961" stopIfTrue="1" operator="equal">
      <formula>"1 Modify"</formula>
    </cfRule>
  </conditionalFormatting>
  <conditionalFormatting sqref="C322">
    <cfRule type="cellIs" dxfId="1609" priority="962" stopIfTrue="1" operator="equal">
      <formula>"2 Add"</formula>
    </cfRule>
  </conditionalFormatting>
  <conditionalFormatting sqref="C322">
    <cfRule type="cellIs" dxfId="1608" priority="963" stopIfTrue="1" operator="equal">
      <formula>"3 Delete"</formula>
    </cfRule>
  </conditionalFormatting>
  <conditionalFormatting sqref="C323">
    <cfRule type="cellIs" dxfId="1607" priority="964" stopIfTrue="1" operator="equal">
      <formula>"1 Modify"</formula>
    </cfRule>
  </conditionalFormatting>
  <conditionalFormatting sqref="C323">
    <cfRule type="cellIs" dxfId="1606" priority="965" stopIfTrue="1" operator="equal">
      <formula>"2 Add"</formula>
    </cfRule>
  </conditionalFormatting>
  <conditionalFormatting sqref="C323">
    <cfRule type="cellIs" dxfId="1605" priority="966" stopIfTrue="1" operator="equal">
      <formula>"3 Delete"</formula>
    </cfRule>
  </conditionalFormatting>
  <conditionalFormatting sqref="C324">
    <cfRule type="cellIs" dxfId="1604" priority="967" stopIfTrue="1" operator="equal">
      <formula>"1 Modify"</formula>
    </cfRule>
  </conditionalFormatting>
  <conditionalFormatting sqref="C324">
    <cfRule type="cellIs" dxfId="1603" priority="968" stopIfTrue="1" operator="equal">
      <formula>"2 Add"</formula>
    </cfRule>
  </conditionalFormatting>
  <conditionalFormatting sqref="C324">
    <cfRule type="cellIs" dxfId="1602" priority="969" stopIfTrue="1" operator="equal">
      <formula>"3 Delete"</formula>
    </cfRule>
  </conditionalFormatting>
  <conditionalFormatting sqref="C325">
    <cfRule type="cellIs" dxfId="1601" priority="970" stopIfTrue="1" operator="equal">
      <formula>"1 Modify"</formula>
    </cfRule>
  </conditionalFormatting>
  <conditionalFormatting sqref="C325">
    <cfRule type="cellIs" dxfId="1600" priority="971" stopIfTrue="1" operator="equal">
      <formula>"2 Add"</formula>
    </cfRule>
  </conditionalFormatting>
  <conditionalFormatting sqref="C325">
    <cfRule type="cellIs" dxfId="1599" priority="972" stopIfTrue="1" operator="equal">
      <formula>"3 Delete"</formula>
    </cfRule>
  </conditionalFormatting>
  <conditionalFormatting sqref="C326">
    <cfRule type="cellIs" dxfId="1598" priority="973" stopIfTrue="1" operator="equal">
      <formula>"1 Modify"</formula>
    </cfRule>
  </conditionalFormatting>
  <conditionalFormatting sqref="C326">
    <cfRule type="cellIs" dxfId="1597" priority="974" stopIfTrue="1" operator="equal">
      <formula>"2 Add"</formula>
    </cfRule>
  </conditionalFormatting>
  <conditionalFormatting sqref="C326">
    <cfRule type="cellIs" dxfId="1596" priority="975" stopIfTrue="1" operator="equal">
      <formula>"3 Delete"</formula>
    </cfRule>
  </conditionalFormatting>
  <conditionalFormatting sqref="C327">
    <cfRule type="cellIs" dxfId="1595" priority="976" stopIfTrue="1" operator="equal">
      <formula>"1 Modify"</formula>
    </cfRule>
  </conditionalFormatting>
  <conditionalFormatting sqref="C327">
    <cfRule type="cellIs" dxfId="1594" priority="977" stopIfTrue="1" operator="equal">
      <formula>"2 Add"</formula>
    </cfRule>
  </conditionalFormatting>
  <conditionalFormatting sqref="C327">
    <cfRule type="cellIs" dxfId="1593" priority="978" stopIfTrue="1" operator="equal">
      <formula>"3 Delete"</formula>
    </cfRule>
  </conditionalFormatting>
  <conditionalFormatting sqref="C328">
    <cfRule type="cellIs" dxfId="1592" priority="979" stopIfTrue="1" operator="equal">
      <formula>"1 Modify"</formula>
    </cfRule>
  </conditionalFormatting>
  <conditionalFormatting sqref="C328">
    <cfRule type="cellIs" dxfId="1591" priority="980" stopIfTrue="1" operator="equal">
      <formula>"2 Add"</formula>
    </cfRule>
  </conditionalFormatting>
  <conditionalFormatting sqref="C328">
    <cfRule type="cellIs" dxfId="1590" priority="981" stopIfTrue="1" operator="equal">
      <formula>"3 Delete"</formula>
    </cfRule>
  </conditionalFormatting>
  <conditionalFormatting sqref="C329">
    <cfRule type="cellIs" dxfId="1589" priority="982" stopIfTrue="1" operator="equal">
      <formula>"1 Modify"</formula>
    </cfRule>
  </conditionalFormatting>
  <conditionalFormatting sqref="C329">
    <cfRule type="cellIs" dxfId="1588" priority="983" stopIfTrue="1" operator="equal">
      <formula>"2 Add"</formula>
    </cfRule>
  </conditionalFormatting>
  <conditionalFormatting sqref="C329">
    <cfRule type="cellIs" dxfId="1587" priority="984" stopIfTrue="1" operator="equal">
      <formula>"3 Delete"</formula>
    </cfRule>
  </conditionalFormatting>
  <conditionalFormatting sqref="C330">
    <cfRule type="cellIs" dxfId="1586" priority="985" stopIfTrue="1" operator="equal">
      <formula>"1 Modify"</formula>
    </cfRule>
  </conditionalFormatting>
  <conditionalFormatting sqref="C330">
    <cfRule type="cellIs" dxfId="1585" priority="986" stopIfTrue="1" operator="equal">
      <formula>"2 Add"</formula>
    </cfRule>
  </conditionalFormatting>
  <conditionalFormatting sqref="C330">
    <cfRule type="cellIs" dxfId="1584" priority="987" stopIfTrue="1" operator="equal">
      <formula>"3 Delete"</formula>
    </cfRule>
  </conditionalFormatting>
  <conditionalFormatting sqref="C331">
    <cfRule type="cellIs" dxfId="1583" priority="988" stopIfTrue="1" operator="equal">
      <formula>"1 Modify"</formula>
    </cfRule>
  </conditionalFormatting>
  <conditionalFormatting sqref="C331">
    <cfRule type="cellIs" dxfId="1582" priority="989" stopIfTrue="1" operator="equal">
      <formula>"2 Add"</formula>
    </cfRule>
  </conditionalFormatting>
  <conditionalFormatting sqref="C331">
    <cfRule type="cellIs" dxfId="1581" priority="990" stopIfTrue="1" operator="equal">
      <formula>"3 Delete"</formula>
    </cfRule>
  </conditionalFormatting>
  <conditionalFormatting sqref="C332">
    <cfRule type="cellIs" dxfId="1580" priority="991" stopIfTrue="1" operator="equal">
      <formula>"1 Modify"</formula>
    </cfRule>
  </conditionalFormatting>
  <conditionalFormatting sqref="C332">
    <cfRule type="cellIs" dxfId="1579" priority="992" stopIfTrue="1" operator="equal">
      <formula>"2 Add"</formula>
    </cfRule>
  </conditionalFormatting>
  <conditionalFormatting sqref="C332">
    <cfRule type="cellIs" dxfId="1578" priority="993" stopIfTrue="1" operator="equal">
      <formula>"3 Delete"</formula>
    </cfRule>
  </conditionalFormatting>
  <conditionalFormatting sqref="C333">
    <cfRule type="cellIs" dxfId="1577" priority="994" stopIfTrue="1" operator="equal">
      <formula>"1 Modify"</formula>
    </cfRule>
  </conditionalFormatting>
  <conditionalFormatting sqref="C333">
    <cfRule type="cellIs" dxfId="1576" priority="995" stopIfTrue="1" operator="equal">
      <formula>"2 Add"</formula>
    </cfRule>
  </conditionalFormatting>
  <conditionalFormatting sqref="C333">
    <cfRule type="cellIs" dxfId="1575" priority="996" stopIfTrue="1" operator="equal">
      <formula>"3 Delete"</formula>
    </cfRule>
  </conditionalFormatting>
  <conditionalFormatting sqref="C334">
    <cfRule type="cellIs" dxfId="1574" priority="997" stopIfTrue="1" operator="equal">
      <formula>"1 Modify"</formula>
    </cfRule>
  </conditionalFormatting>
  <conditionalFormatting sqref="C334">
    <cfRule type="cellIs" dxfId="1573" priority="998" stopIfTrue="1" operator="equal">
      <formula>"2 Add"</formula>
    </cfRule>
  </conditionalFormatting>
  <conditionalFormatting sqref="C334">
    <cfRule type="cellIs" dxfId="1572" priority="999" stopIfTrue="1" operator="equal">
      <formula>"3 Delete"</formula>
    </cfRule>
  </conditionalFormatting>
  <conditionalFormatting sqref="C335">
    <cfRule type="cellIs" dxfId="1571" priority="1000" stopIfTrue="1" operator="equal">
      <formula>"1 Modify"</formula>
    </cfRule>
  </conditionalFormatting>
  <conditionalFormatting sqref="C335">
    <cfRule type="cellIs" dxfId="1570" priority="1001" stopIfTrue="1" operator="equal">
      <formula>"2 Add"</formula>
    </cfRule>
  </conditionalFormatting>
  <conditionalFormatting sqref="C335">
    <cfRule type="cellIs" dxfId="1569" priority="1002" stopIfTrue="1" operator="equal">
      <formula>"3 Delete"</formula>
    </cfRule>
  </conditionalFormatting>
  <conditionalFormatting sqref="C336">
    <cfRule type="cellIs" dxfId="1568" priority="1003" stopIfTrue="1" operator="equal">
      <formula>"1 Modify"</formula>
    </cfRule>
  </conditionalFormatting>
  <conditionalFormatting sqref="C336">
    <cfRule type="cellIs" dxfId="1567" priority="1004" stopIfTrue="1" operator="equal">
      <formula>"2 Add"</formula>
    </cfRule>
  </conditionalFormatting>
  <conditionalFormatting sqref="C336">
    <cfRule type="cellIs" dxfId="1566" priority="1005" stopIfTrue="1" operator="equal">
      <formula>"3 Delete"</formula>
    </cfRule>
  </conditionalFormatting>
  <conditionalFormatting sqref="C337">
    <cfRule type="cellIs" dxfId="1565" priority="1006" stopIfTrue="1" operator="equal">
      <formula>"1 Modify"</formula>
    </cfRule>
  </conditionalFormatting>
  <conditionalFormatting sqref="C337">
    <cfRule type="cellIs" dxfId="1564" priority="1007" stopIfTrue="1" operator="equal">
      <formula>"2 Add"</formula>
    </cfRule>
  </conditionalFormatting>
  <conditionalFormatting sqref="C337">
    <cfRule type="cellIs" dxfId="1563" priority="1008" stopIfTrue="1" operator="equal">
      <formula>"3 Delete"</formula>
    </cfRule>
  </conditionalFormatting>
  <conditionalFormatting sqref="C338">
    <cfRule type="cellIs" dxfId="1562" priority="1009" stopIfTrue="1" operator="equal">
      <formula>"1 Modify"</formula>
    </cfRule>
  </conditionalFormatting>
  <conditionalFormatting sqref="C338">
    <cfRule type="cellIs" dxfId="1561" priority="1010" stopIfTrue="1" operator="equal">
      <formula>"2 Add"</formula>
    </cfRule>
  </conditionalFormatting>
  <conditionalFormatting sqref="C338">
    <cfRule type="cellIs" dxfId="1560" priority="1011" stopIfTrue="1" operator="equal">
      <formula>"3 Delete"</formula>
    </cfRule>
  </conditionalFormatting>
  <conditionalFormatting sqref="C339">
    <cfRule type="cellIs" dxfId="1559" priority="1012" stopIfTrue="1" operator="equal">
      <formula>"1 Modify"</formula>
    </cfRule>
  </conditionalFormatting>
  <conditionalFormatting sqref="C339">
    <cfRule type="cellIs" dxfId="1558" priority="1013" stopIfTrue="1" operator="equal">
      <formula>"2 Add"</formula>
    </cfRule>
  </conditionalFormatting>
  <conditionalFormatting sqref="C339">
    <cfRule type="cellIs" dxfId="1557" priority="1014" stopIfTrue="1" operator="equal">
      <formula>"3 Delete"</formula>
    </cfRule>
  </conditionalFormatting>
  <conditionalFormatting sqref="C340">
    <cfRule type="cellIs" dxfId="1556" priority="1015" stopIfTrue="1" operator="equal">
      <formula>"1 Modify"</formula>
    </cfRule>
  </conditionalFormatting>
  <conditionalFormatting sqref="C340">
    <cfRule type="cellIs" dxfId="1555" priority="1016" stopIfTrue="1" operator="equal">
      <formula>"2 Add"</formula>
    </cfRule>
  </conditionalFormatting>
  <conditionalFormatting sqref="C340">
    <cfRule type="cellIs" dxfId="1554" priority="1017" stopIfTrue="1" operator="equal">
      <formula>"3 Delete"</formula>
    </cfRule>
  </conditionalFormatting>
  <conditionalFormatting sqref="C341">
    <cfRule type="cellIs" dxfId="1553" priority="1018" stopIfTrue="1" operator="equal">
      <formula>"1 Modify"</formula>
    </cfRule>
  </conditionalFormatting>
  <conditionalFormatting sqref="C341">
    <cfRule type="cellIs" dxfId="1552" priority="1019" stopIfTrue="1" operator="equal">
      <formula>"2 Add"</formula>
    </cfRule>
  </conditionalFormatting>
  <conditionalFormatting sqref="C341">
    <cfRule type="cellIs" dxfId="1551" priority="1020" stopIfTrue="1" operator="equal">
      <formula>"3 Delete"</formula>
    </cfRule>
  </conditionalFormatting>
  <conditionalFormatting sqref="C342">
    <cfRule type="cellIs" dxfId="1550" priority="1021" stopIfTrue="1" operator="equal">
      <formula>"1 Modify"</formula>
    </cfRule>
  </conditionalFormatting>
  <conditionalFormatting sqref="C342">
    <cfRule type="cellIs" dxfId="1549" priority="1022" stopIfTrue="1" operator="equal">
      <formula>"2 Add"</formula>
    </cfRule>
  </conditionalFormatting>
  <conditionalFormatting sqref="C342">
    <cfRule type="cellIs" dxfId="1548" priority="1023" stopIfTrue="1" operator="equal">
      <formula>"3 Delete"</formula>
    </cfRule>
  </conditionalFormatting>
  <conditionalFormatting sqref="C343">
    <cfRule type="cellIs" dxfId="1547" priority="1024" stopIfTrue="1" operator="equal">
      <formula>"1 Modify"</formula>
    </cfRule>
  </conditionalFormatting>
  <conditionalFormatting sqref="C343">
    <cfRule type="cellIs" dxfId="1546" priority="1025" stopIfTrue="1" operator="equal">
      <formula>"2 Add"</formula>
    </cfRule>
  </conditionalFormatting>
  <conditionalFormatting sqref="C343">
    <cfRule type="cellIs" dxfId="1545" priority="1026" stopIfTrue="1" operator="equal">
      <formula>"3 Delete"</formula>
    </cfRule>
  </conditionalFormatting>
  <conditionalFormatting sqref="C344">
    <cfRule type="cellIs" dxfId="1544" priority="1027" stopIfTrue="1" operator="equal">
      <formula>"1 Modify"</formula>
    </cfRule>
  </conditionalFormatting>
  <conditionalFormatting sqref="C344">
    <cfRule type="cellIs" dxfId="1543" priority="1028" stopIfTrue="1" operator="equal">
      <formula>"2 Add"</formula>
    </cfRule>
  </conditionalFormatting>
  <conditionalFormatting sqref="C344">
    <cfRule type="cellIs" dxfId="1542" priority="1029" stopIfTrue="1" operator="equal">
      <formula>"3 Delete"</formula>
    </cfRule>
  </conditionalFormatting>
  <conditionalFormatting sqref="C345">
    <cfRule type="cellIs" dxfId="1541" priority="1030" stopIfTrue="1" operator="equal">
      <formula>"1 Modify"</formula>
    </cfRule>
  </conditionalFormatting>
  <conditionalFormatting sqref="C345">
    <cfRule type="cellIs" dxfId="1540" priority="1031" stopIfTrue="1" operator="equal">
      <formula>"2 Add"</formula>
    </cfRule>
  </conditionalFormatting>
  <conditionalFormatting sqref="C345">
    <cfRule type="cellIs" dxfId="1539" priority="1032" stopIfTrue="1" operator="equal">
      <formula>"3 Delete"</formula>
    </cfRule>
  </conditionalFormatting>
  <conditionalFormatting sqref="C346">
    <cfRule type="cellIs" dxfId="1538" priority="1033" stopIfTrue="1" operator="equal">
      <formula>"1 Modify"</formula>
    </cfRule>
  </conditionalFormatting>
  <conditionalFormatting sqref="C346">
    <cfRule type="cellIs" dxfId="1537" priority="1034" stopIfTrue="1" operator="equal">
      <formula>"2 Add"</formula>
    </cfRule>
  </conditionalFormatting>
  <conditionalFormatting sqref="C346">
    <cfRule type="cellIs" dxfId="1536" priority="1035" stopIfTrue="1" operator="equal">
      <formula>"3 Delete"</formula>
    </cfRule>
  </conditionalFormatting>
  <conditionalFormatting sqref="C347">
    <cfRule type="cellIs" dxfId="1535" priority="1036" stopIfTrue="1" operator="equal">
      <formula>"1 Modify"</formula>
    </cfRule>
  </conditionalFormatting>
  <conditionalFormatting sqref="C347">
    <cfRule type="cellIs" dxfId="1534" priority="1037" stopIfTrue="1" operator="equal">
      <formula>"2 Add"</formula>
    </cfRule>
  </conditionalFormatting>
  <conditionalFormatting sqref="C347">
    <cfRule type="cellIs" dxfId="1533" priority="1038" stopIfTrue="1" operator="equal">
      <formula>"3 Delete"</formula>
    </cfRule>
  </conditionalFormatting>
  <conditionalFormatting sqref="C348">
    <cfRule type="cellIs" dxfId="1532" priority="1039" stopIfTrue="1" operator="equal">
      <formula>"1 Modify"</formula>
    </cfRule>
  </conditionalFormatting>
  <conditionalFormatting sqref="C348">
    <cfRule type="cellIs" dxfId="1531" priority="1040" stopIfTrue="1" operator="equal">
      <formula>"2 Add"</formula>
    </cfRule>
  </conditionalFormatting>
  <conditionalFormatting sqref="C348">
    <cfRule type="cellIs" dxfId="1530" priority="1041" stopIfTrue="1" operator="equal">
      <formula>"3 Delete"</formula>
    </cfRule>
  </conditionalFormatting>
  <conditionalFormatting sqref="C349">
    <cfRule type="cellIs" dxfId="1529" priority="1042" stopIfTrue="1" operator="equal">
      <formula>"1 Modify"</formula>
    </cfRule>
  </conditionalFormatting>
  <conditionalFormatting sqref="C349">
    <cfRule type="cellIs" dxfId="1528" priority="1043" stopIfTrue="1" operator="equal">
      <formula>"2 Add"</formula>
    </cfRule>
  </conditionalFormatting>
  <conditionalFormatting sqref="C349">
    <cfRule type="cellIs" dxfId="1527" priority="1044" stopIfTrue="1" operator="equal">
      <formula>"3 Delete"</formula>
    </cfRule>
  </conditionalFormatting>
  <conditionalFormatting sqref="C350">
    <cfRule type="cellIs" dxfId="1526" priority="1045" stopIfTrue="1" operator="equal">
      <formula>"1 Modify"</formula>
    </cfRule>
  </conditionalFormatting>
  <conditionalFormatting sqref="C350">
    <cfRule type="cellIs" dxfId="1525" priority="1046" stopIfTrue="1" operator="equal">
      <formula>"2 Add"</formula>
    </cfRule>
  </conditionalFormatting>
  <conditionalFormatting sqref="C350">
    <cfRule type="cellIs" dxfId="1524" priority="1047" stopIfTrue="1" operator="equal">
      <formula>"3 Delete"</formula>
    </cfRule>
  </conditionalFormatting>
  <conditionalFormatting sqref="C351">
    <cfRule type="cellIs" dxfId="1523" priority="1048" stopIfTrue="1" operator="equal">
      <formula>"1 Modify"</formula>
    </cfRule>
  </conditionalFormatting>
  <conditionalFormatting sqref="C351">
    <cfRule type="cellIs" dxfId="1522" priority="1049" stopIfTrue="1" operator="equal">
      <formula>"2 Add"</formula>
    </cfRule>
  </conditionalFormatting>
  <conditionalFormatting sqref="C351">
    <cfRule type="cellIs" dxfId="1521" priority="1050" stopIfTrue="1" operator="equal">
      <formula>"3 Delete"</formula>
    </cfRule>
  </conditionalFormatting>
  <conditionalFormatting sqref="C352">
    <cfRule type="cellIs" dxfId="1520" priority="1051" stopIfTrue="1" operator="equal">
      <formula>"1 Modify"</formula>
    </cfRule>
  </conditionalFormatting>
  <conditionalFormatting sqref="C352">
    <cfRule type="cellIs" dxfId="1519" priority="1052" stopIfTrue="1" operator="equal">
      <formula>"2 Add"</formula>
    </cfRule>
  </conditionalFormatting>
  <conditionalFormatting sqref="C352">
    <cfRule type="cellIs" dxfId="1518" priority="1053" stopIfTrue="1" operator="equal">
      <formula>"3 Delete"</formula>
    </cfRule>
  </conditionalFormatting>
  <conditionalFormatting sqref="C353">
    <cfRule type="cellIs" dxfId="1517" priority="1054" stopIfTrue="1" operator="equal">
      <formula>"1 Modify"</formula>
    </cfRule>
  </conditionalFormatting>
  <conditionalFormatting sqref="C353">
    <cfRule type="cellIs" dxfId="1516" priority="1055" stopIfTrue="1" operator="equal">
      <formula>"2 Add"</formula>
    </cfRule>
  </conditionalFormatting>
  <conditionalFormatting sqref="C353">
    <cfRule type="cellIs" dxfId="1515" priority="1056" stopIfTrue="1" operator="equal">
      <formula>"3 Delete"</formula>
    </cfRule>
  </conditionalFormatting>
  <conditionalFormatting sqref="C354">
    <cfRule type="cellIs" dxfId="1514" priority="1057" stopIfTrue="1" operator="equal">
      <formula>"1 Modify"</formula>
    </cfRule>
  </conditionalFormatting>
  <conditionalFormatting sqref="C354">
    <cfRule type="cellIs" dxfId="1513" priority="1058" stopIfTrue="1" operator="equal">
      <formula>"2 Add"</formula>
    </cfRule>
  </conditionalFormatting>
  <conditionalFormatting sqref="C354">
    <cfRule type="cellIs" dxfId="1512" priority="1059" stopIfTrue="1" operator="equal">
      <formula>"3 Delete"</formula>
    </cfRule>
  </conditionalFormatting>
  <conditionalFormatting sqref="C355">
    <cfRule type="cellIs" dxfId="1511" priority="1060" stopIfTrue="1" operator="equal">
      <formula>"1 Modify"</formula>
    </cfRule>
  </conditionalFormatting>
  <conditionalFormatting sqref="C355">
    <cfRule type="cellIs" dxfId="1510" priority="1061" stopIfTrue="1" operator="equal">
      <formula>"2 Add"</formula>
    </cfRule>
  </conditionalFormatting>
  <conditionalFormatting sqref="C355">
    <cfRule type="cellIs" dxfId="1509" priority="1062" stopIfTrue="1" operator="equal">
      <formula>"3 Delete"</formula>
    </cfRule>
  </conditionalFormatting>
  <conditionalFormatting sqref="C356">
    <cfRule type="cellIs" dxfId="1508" priority="1063" stopIfTrue="1" operator="equal">
      <formula>"1 Modify"</formula>
    </cfRule>
  </conditionalFormatting>
  <conditionalFormatting sqref="C356">
    <cfRule type="cellIs" dxfId="1507" priority="1064" stopIfTrue="1" operator="equal">
      <formula>"2 Add"</formula>
    </cfRule>
  </conditionalFormatting>
  <conditionalFormatting sqref="C356">
    <cfRule type="cellIs" dxfId="1506" priority="1065" stopIfTrue="1" operator="equal">
      <formula>"3 Delete"</formula>
    </cfRule>
  </conditionalFormatting>
  <conditionalFormatting sqref="C357">
    <cfRule type="cellIs" dxfId="1505" priority="1066" stopIfTrue="1" operator="equal">
      <formula>"1 Modify"</formula>
    </cfRule>
  </conditionalFormatting>
  <conditionalFormatting sqref="C357">
    <cfRule type="cellIs" dxfId="1504" priority="1067" stopIfTrue="1" operator="equal">
      <formula>"2 Add"</formula>
    </cfRule>
  </conditionalFormatting>
  <conditionalFormatting sqref="C357">
    <cfRule type="cellIs" dxfId="1503" priority="1068" stopIfTrue="1" operator="equal">
      <formula>"3 Delete"</formula>
    </cfRule>
  </conditionalFormatting>
  <conditionalFormatting sqref="C358">
    <cfRule type="cellIs" dxfId="1502" priority="1069" stopIfTrue="1" operator="equal">
      <formula>"1 Modify"</formula>
    </cfRule>
  </conditionalFormatting>
  <conditionalFormatting sqref="C358">
    <cfRule type="cellIs" dxfId="1501" priority="1070" stopIfTrue="1" operator="equal">
      <formula>"2 Add"</formula>
    </cfRule>
  </conditionalFormatting>
  <conditionalFormatting sqref="C358">
    <cfRule type="cellIs" dxfId="1500" priority="1071" stopIfTrue="1" operator="equal">
      <formula>"3 Delete"</formula>
    </cfRule>
  </conditionalFormatting>
  <conditionalFormatting sqref="C359">
    <cfRule type="cellIs" dxfId="1499" priority="1072" stopIfTrue="1" operator="equal">
      <formula>"1 Modify"</formula>
    </cfRule>
  </conditionalFormatting>
  <conditionalFormatting sqref="C359">
    <cfRule type="cellIs" dxfId="1498" priority="1073" stopIfTrue="1" operator="equal">
      <formula>"2 Add"</formula>
    </cfRule>
  </conditionalFormatting>
  <conditionalFormatting sqref="C359">
    <cfRule type="cellIs" dxfId="1497" priority="1074" stopIfTrue="1" operator="equal">
      <formula>"3 Delete"</formula>
    </cfRule>
  </conditionalFormatting>
  <conditionalFormatting sqref="C360">
    <cfRule type="cellIs" dxfId="1496" priority="1075" stopIfTrue="1" operator="equal">
      <formula>"1 Modify"</formula>
    </cfRule>
  </conditionalFormatting>
  <conditionalFormatting sqref="C360">
    <cfRule type="cellIs" dxfId="1495" priority="1076" stopIfTrue="1" operator="equal">
      <formula>"2 Add"</formula>
    </cfRule>
  </conditionalFormatting>
  <conditionalFormatting sqref="C360">
    <cfRule type="cellIs" dxfId="1494" priority="1077" stopIfTrue="1" operator="equal">
      <formula>"3 Delete"</formula>
    </cfRule>
  </conditionalFormatting>
  <conditionalFormatting sqref="C361">
    <cfRule type="cellIs" dxfId="1493" priority="1078" stopIfTrue="1" operator="equal">
      <formula>"1 Modify"</formula>
    </cfRule>
  </conditionalFormatting>
  <conditionalFormatting sqref="C361">
    <cfRule type="cellIs" dxfId="1492" priority="1079" stopIfTrue="1" operator="equal">
      <formula>"2 Add"</formula>
    </cfRule>
  </conditionalFormatting>
  <conditionalFormatting sqref="C361">
    <cfRule type="cellIs" dxfId="1491" priority="1080" stopIfTrue="1" operator="equal">
      <formula>"3 Delete"</formula>
    </cfRule>
  </conditionalFormatting>
  <conditionalFormatting sqref="C362">
    <cfRule type="cellIs" dxfId="1490" priority="1081" stopIfTrue="1" operator="equal">
      <formula>"1 Modify"</formula>
    </cfRule>
  </conditionalFormatting>
  <conditionalFormatting sqref="C362">
    <cfRule type="cellIs" dxfId="1489" priority="1082" stopIfTrue="1" operator="equal">
      <formula>"2 Add"</formula>
    </cfRule>
  </conditionalFormatting>
  <conditionalFormatting sqref="C362">
    <cfRule type="cellIs" dxfId="1488" priority="1083" stopIfTrue="1" operator="equal">
      <formula>"3 Delete"</formula>
    </cfRule>
  </conditionalFormatting>
  <conditionalFormatting sqref="C363">
    <cfRule type="cellIs" dxfId="1487" priority="1084" stopIfTrue="1" operator="equal">
      <formula>"1 Modify"</formula>
    </cfRule>
  </conditionalFormatting>
  <conditionalFormatting sqref="C363">
    <cfRule type="cellIs" dxfId="1486" priority="1085" stopIfTrue="1" operator="equal">
      <formula>"2 Add"</formula>
    </cfRule>
  </conditionalFormatting>
  <conditionalFormatting sqref="C363">
    <cfRule type="cellIs" dxfId="1485" priority="1086" stopIfTrue="1" operator="equal">
      <formula>"3 Delete"</formula>
    </cfRule>
  </conditionalFormatting>
  <conditionalFormatting sqref="C364">
    <cfRule type="cellIs" dxfId="1484" priority="1087" stopIfTrue="1" operator="equal">
      <formula>"1 Modify"</formula>
    </cfRule>
  </conditionalFormatting>
  <conditionalFormatting sqref="C364">
    <cfRule type="cellIs" dxfId="1483" priority="1088" stopIfTrue="1" operator="equal">
      <formula>"2 Add"</formula>
    </cfRule>
  </conditionalFormatting>
  <conditionalFormatting sqref="C364">
    <cfRule type="cellIs" dxfId="1482" priority="1089" stopIfTrue="1" operator="equal">
      <formula>"3 Delete"</formula>
    </cfRule>
  </conditionalFormatting>
  <conditionalFormatting sqref="C365">
    <cfRule type="cellIs" dxfId="1481" priority="1090" stopIfTrue="1" operator="equal">
      <formula>"1 Modify"</formula>
    </cfRule>
  </conditionalFormatting>
  <conditionalFormatting sqref="C365">
    <cfRule type="cellIs" dxfId="1480" priority="1091" stopIfTrue="1" operator="equal">
      <formula>"2 Add"</formula>
    </cfRule>
  </conditionalFormatting>
  <conditionalFormatting sqref="C365">
    <cfRule type="cellIs" dxfId="1479" priority="1092" stopIfTrue="1" operator="equal">
      <formula>"3 Delete"</formula>
    </cfRule>
  </conditionalFormatting>
  <conditionalFormatting sqref="C366">
    <cfRule type="cellIs" dxfId="1478" priority="1093" stopIfTrue="1" operator="equal">
      <formula>"1 Modify"</formula>
    </cfRule>
  </conditionalFormatting>
  <conditionalFormatting sqref="C366">
    <cfRule type="cellIs" dxfId="1477" priority="1094" stopIfTrue="1" operator="equal">
      <formula>"2 Add"</formula>
    </cfRule>
  </conditionalFormatting>
  <conditionalFormatting sqref="C366">
    <cfRule type="cellIs" dxfId="1476" priority="1095" stopIfTrue="1" operator="equal">
      <formula>"3 Delete"</formula>
    </cfRule>
  </conditionalFormatting>
  <conditionalFormatting sqref="C367">
    <cfRule type="cellIs" dxfId="1475" priority="1096" stopIfTrue="1" operator="equal">
      <formula>"1 Modify"</formula>
    </cfRule>
  </conditionalFormatting>
  <conditionalFormatting sqref="C367">
    <cfRule type="cellIs" dxfId="1474" priority="1097" stopIfTrue="1" operator="equal">
      <formula>"2 Add"</formula>
    </cfRule>
  </conditionalFormatting>
  <conditionalFormatting sqref="C367">
    <cfRule type="cellIs" dxfId="1473" priority="1098" stopIfTrue="1" operator="equal">
      <formula>"3 Delete"</formula>
    </cfRule>
  </conditionalFormatting>
  <conditionalFormatting sqref="C368">
    <cfRule type="cellIs" dxfId="1472" priority="1099" stopIfTrue="1" operator="equal">
      <formula>"1 Modify"</formula>
    </cfRule>
  </conditionalFormatting>
  <conditionalFormatting sqref="C368">
    <cfRule type="cellIs" dxfId="1471" priority="1100" stopIfTrue="1" operator="equal">
      <formula>"2 Add"</formula>
    </cfRule>
  </conditionalFormatting>
  <conditionalFormatting sqref="C368">
    <cfRule type="cellIs" dxfId="1470" priority="1101" stopIfTrue="1" operator="equal">
      <formula>"3 Delete"</formula>
    </cfRule>
  </conditionalFormatting>
  <conditionalFormatting sqref="C369">
    <cfRule type="cellIs" dxfId="1469" priority="1102" stopIfTrue="1" operator="equal">
      <formula>"1 Modify"</formula>
    </cfRule>
  </conditionalFormatting>
  <conditionalFormatting sqref="C369">
    <cfRule type="cellIs" dxfId="1468" priority="1103" stopIfTrue="1" operator="equal">
      <formula>"2 Add"</formula>
    </cfRule>
  </conditionalFormatting>
  <conditionalFormatting sqref="C369">
    <cfRule type="cellIs" dxfId="1467" priority="1104" stopIfTrue="1" operator="equal">
      <formula>"3 Delete"</formula>
    </cfRule>
  </conditionalFormatting>
  <conditionalFormatting sqref="C370">
    <cfRule type="cellIs" dxfId="1466" priority="1105" stopIfTrue="1" operator="equal">
      <formula>"1 Modify"</formula>
    </cfRule>
  </conditionalFormatting>
  <conditionalFormatting sqref="C370">
    <cfRule type="cellIs" dxfId="1465" priority="1106" stopIfTrue="1" operator="equal">
      <formula>"2 Add"</formula>
    </cfRule>
  </conditionalFormatting>
  <conditionalFormatting sqref="C370">
    <cfRule type="cellIs" dxfId="1464" priority="1107" stopIfTrue="1" operator="equal">
      <formula>"3 Delete"</formula>
    </cfRule>
  </conditionalFormatting>
  <conditionalFormatting sqref="C371">
    <cfRule type="cellIs" dxfId="1463" priority="1108" stopIfTrue="1" operator="equal">
      <formula>"1 Modify"</formula>
    </cfRule>
  </conditionalFormatting>
  <conditionalFormatting sqref="C371">
    <cfRule type="cellIs" dxfId="1462" priority="1109" stopIfTrue="1" operator="equal">
      <formula>"2 Add"</formula>
    </cfRule>
  </conditionalFormatting>
  <conditionalFormatting sqref="C371">
    <cfRule type="cellIs" dxfId="1461" priority="1110" stopIfTrue="1" operator="equal">
      <formula>"3 Delete"</formula>
    </cfRule>
  </conditionalFormatting>
  <conditionalFormatting sqref="C372">
    <cfRule type="cellIs" dxfId="1460" priority="1111" stopIfTrue="1" operator="equal">
      <formula>"1 Modify"</formula>
    </cfRule>
  </conditionalFormatting>
  <conditionalFormatting sqref="C372">
    <cfRule type="cellIs" dxfId="1459" priority="1112" stopIfTrue="1" operator="equal">
      <formula>"2 Add"</formula>
    </cfRule>
  </conditionalFormatting>
  <conditionalFormatting sqref="C372">
    <cfRule type="cellIs" dxfId="1458" priority="1113" stopIfTrue="1" operator="equal">
      <formula>"3 Delete"</formula>
    </cfRule>
  </conditionalFormatting>
  <conditionalFormatting sqref="C373">
    <cfRule type="cellIs" dxfId="1457" priority="1114" stopIfTrue="1" operator="equal">
      <formula>"1 Modify"</formula>
    </cfRule>
  </conditionalFormatting>
  <conditionalFormatting sqref="C373">
    <cfRule type="cellIs" dxfId="1456" priority="1115" stopIfTrue="1" operator="equal">
      <formula>"2 Add"</formula>
    </cfRule>
  </conditionalFormatting>
  <conditionalFormatting sqref="C373">
    <cfRule type="cellIs" dxfId="1455" priority="1116" stopIfTrue="1" operator="equal">
      <formula>"3 Delete"</formula>
    </cfRule>
  </conditionalFormatting>
  <conditionalFormatting sqref="C374">
    <cfRule type="cellIs" dxfId="1454" priority="1117" stopIfTrue="1" operator="equal">
      <formula>"1 Modify"</formula>
    </cfRule>
  </conditionalFormatting>
  <conditionalFormatting sqref="C374">
    <cfRule type="cellIs" dxfId="1453" priority="1118" stopIfTrue="1" operator="equal">
      <formula>"2 Add"</formula>
    </cfRule>
  </conditionalFormatting>
  <conditionalFormatting sqref="C374">
    <cfRule type="cellIs" dxfId="1452" priority="1119" stopIfTrue="1" operator="equal">
      <formula>"3 Delete"</formula>
    </cfRule>
  </conditionalFormatting>
  <conditionalFormatting sqref="C375">
    <cfRule type="cellIs" dxfId="1451" priority="1120" stopIfTrue="1" operator="equal">
      <formula>"1 Modify"</formula>
    </cfRule>
  </conditionalFormatting>
  <conditionalFormatting sqref="C375">
    <cfRule type="cellIs" dxfId="1450" priority="1121" stopIfTrue="1" operator="equal">
      <formula>"2 Add"</formula>
    </cfRule>
  </conditionalFormatting>
  <conditionalFormatting sqref="C375">
    <cfRule type="cellIs" dxfId="1449" priority="1122" stopIfTrue="1" operator="equal">
      <formula>"3 Delete"</formula>
    </cfRule>
  </conditionalFormatting>
  <conditionalFormatting sqref="C376">
    <cfRule type="cellIs" dxfId="1448" priority="1123" stopIfTrue="1" operator="equal">
      <formula>"1 Modify"</formula>
    </cfRule>
  </conditionalFormatting>
  <conditionalFormatting sqref="C376">
    <cfRule type="cellIs" dxfId="1447" priority="1124" stopIfTrue="1" operator="equal">
      <formula>"2 Add"</formula>
    </cfRule>
  </conditionalFormatting>
  <conditionalFormatting sqref="C376">
    <cfRule type="cellIs" dxfId="1446" priority="1125" stopIfTrue="1" operator="equal">
      <formula>"3 Delete"</formula>
    </cfRule>
  </conditionalFormatting>
  <conditionalFormatting sqref="C377">
    <cfRule type="cellIs" dxfId="1445" priority="1126" stopIfTrue="1" operator="equal">
      <formula>"1 Modify"</formula>
    </cfRule>
  </conditionalFormatting>
  <conditionalFormatting sqref="C377">
    <cfRule type="cellIs" dxfId="1444" priority="1127" stopIfTrue="1" operator="equal">
      <formula>"2 Add"</formula>
    </cfRule>
  </conditionalFormatting>
  <conditionalFormatting sqref="C377">
    <cfRule type="cellIs" dxfId="1443" priority="1128" stopIfTrue="1" operator="equal">
      <formula>"3 Delete"</formula>
    </cfRule>
  </conditionalFormatting>
  <conditionalFormatting sqref="C378">
    <cfRule type="cellIs" dxfId="1442" priority="1129" stopIfTrue="1" operator="equal">
      <formula>"1 Modify"</formula>
    </cfRule>
  </conditionalFormatting>
  <conditionalFormatting sqref="C378">
    <cfRule type="cellIs" dxfId="1441" priority="1130" stopIfTrue="1" operator="equal">
      <formula>"2 Add"</formula>
    </cfRule>
  </conditionalFormatting>
  <conditionalFormatting sqref="C378">
    <cfRule type="cellIs" dxfId="1440" priority="1131" stopIfTrue="1" operator="equal">
      <formula>"3 Delete"</formula>
    </cfRule>
  </conditionalFormatting>
  <conditionalFormatting sqref="C379">
    <cfRule type="cellIs" dxfId="1439" priority="1132" stopIfTrue="1" operator="equal">
      <formula>"1 Modify"</formula>
    </cfRule>
  </conditionalFormatting>
  <conditionalFormatting sqref="C379">
    <cfRule type="cellIs" dxfId="1438" priority="1133" stopIfTrue="1" operator="equal">
      <formula>"2 Add"</formula>
    </cfRule>
  </conditionalFormatting>
  <conditionalFormatting sqref="C379">
    <cfRule type="cellIs" dxfId="1437" priority="1134" stopIfTrue="1" operator="equal">
      <formula>"3 Delete"</formula>
    </cfRule>
  </conditionalFormatting>
  <conditionalFormatting sqref="C380">
    <cfRule type="cellIs" dxfId="1436" priority="1135" stopIfTrue="1" operator="equal">
      <formula>"1 Modify"</formula>
    </cfRule>
  </conditionalFormatting>
  <conditionalFormatting sqref="C380">
    <cfRule type="cellIs" dxfId="1435" priority="1136" stopIfTrue="1" operator="equal">
      <formula>"2 Add"</formula>
    </cfRule>
  </conditionalFormatting>
  <conditionalFormatting sqref="C380">
    <cfRule type="cellIs" dxfId="1434" priority="1137" stopIfTrue="1" operator="equal">
      <formula>"3 Delete"</formula>
    </cfRule>
  </conditionalFormatting>
  <conditionalFormatting sqref="C381">
    <cfRule type="cellIs" dxfId="1433" priority="1138" stopIfTrue="1" operator="equal">
      <formula>"1 Modify"</formula>
    </cfRule>
  </conditionalFormatting>
  <conditionalFormatting sqref="C381">
    <cfRule type="cellIs" dxfId="1432" priority="1139" stopIfTrue="1" operator="equal">
      <formula>"2 Add"</formula>
    </cfRule>
  </conditionalFormatting>
  <conditionalFormatting sqref="C381">
    <cfRule type="cellIs" dxfId="1431" priority="1140" stopIfTrue="1" operator="equal">
      <formula>"3 Delete"</formula>
    </cfRule>
  </conditionalFormatting>
  <conditionalFormatting sqref="C382">
    <cfRule type="cellIs" dxfId="1430" priority="1141" stopIfTrue="1" operator="equal">
      <formula>"1 Modify"</formula>
    </cfRule>
  </conditionalFormatting>
  <conditionalFormatting sqref="C382">
    <cfRule type="cellIs" dxfId="1429" priority="1142" stopIfTrue="1" operator="equal">
      <formula>"2 Add"</formula>
    </cfRule>
  </conditionalFormatting>
  <conditionalFormatting sqref="C382">
    <cfRule type="cellIs" dxfId="1428" priority="1143" stopIfTrue="1" operator="equal">
      <formula>"3 Delete"</formula>
    </cfRule>
  </conditionalFormatting>
  <conditionalFormatting sqref="C383">
    <cfRule type="cellIs" dxfId="1427" priority="1144" stopIfTrue="1" operator="equal">
      <formula>"1 Modify"</formula>
    </cfRule>
  </conditionalFormatting>
  <conditionalFormatting sqref="C383">
    <cfRule type="cellIs" dxfId="1426" priority="1145" stopIfTrue="1" operator="equal">
      <formula>"2 Add"</formula>
    </cfRule>
  </conditionalFormatting>
  <conditionalFormatting sqref="C383">
    <cfRule type="cellIs" dxfId="1425" priority="1146" stopIfTrue="1" operator="equal">
      <formula>"3 Delete"</formula>
    </cfRule>
  </conditionalFormatting>
  <conditionalFormatting sqref="C384">
    <cfRule type="cellIs" dxfId="1424" priority="1147" stopIfTrue="1" operator="equal">
      <formula>"1 Modify"</formula>
    </cfRule>
  </conditionalFormatting>
  <conditionalFormatting sqref="C384">
    <cfRule type="cellIs" dxfId="1423" priority="1148" stopIfTrue="1" operator="equal">
      <formula>"2 Add"</formula>
    </cfRule>
  </conditionalFormatting>
  <conditionalFormatting sqref="C384">
    <cfRule type="cellIs" dxfId="1422" priority="1149" stopIfTrue="1" operator="equal">
      <formula>"3 Delete"</formula>
    </cfRule>
  </conditionalFormatting>
  <conditionalFormatting sqref="C385">
    <cfRule type="cellIs" dxfId="1421" priority="1150" stopIfTrue="1" operator="equal">
      <formula>"1 Modify"</formula>
    </cfRule>
  </conditionalFormatting>
  <conditionalFormatting sqref="C385">
    <cfRule type="cellIs" dxfId="1420" priority="1151" stopIfTrue="1" operator="equal">
      <formula>"2 Add"</formula>
    </cfRule>
  </conditionalFormatting>
  <conditionalFormatting sqref="C385">
    <cfRule type="cellIs" dxfId="1419" priority="1152" stopIfTrue="1" operator="equal">
      <formula>"3 Delete"</formula>
    </cfRule>
  </conditionalFormatting>
  <conditionalFormatting sqref="C386">
    <cfRule type="cellIs" dxfId="1418" priority="1153" stopIfTrue="1" operator="equal">
      <formula>"1 Modify"</formula>
    </cfRule>
  </conditionalFormatting>
  <conditionalFormatting sqref="C386">
    <cfRule type="cellIs" dxfId="1417" priority="1154" stopIfTrue="1" operator="equal">
      <formula>"2 Add"</formula>
    </cfRule>
  </conditionalFormatting>
  <conditionalFormatting sqref="C386">
    <cfRule type="cellIs" dxfId="1416" priority="1155" stopIfTrue="1" operator="equal">
      <formula>"3 Delete"</formula>
    </cfRule>
  </conditionalFormatting>
  <conditionalFormatting sqref="C387">
    <cfRule type="cellIs" dxfId="1415" priority="1156" stopIfTrue="1" operator="equal">
      <formula>"1 Modify"</formula>
    </cfRule>
  </conditionalFormatting>
  <conditionalFormatting sqref="C387">
    <cfRule type="cellIs" dxfId="1414" priority="1157" stopIfTrue="1" operator="equal">
      <formula>"2 Add"</formula>
    </cfRule>
  </conditionalFormatting>
  <conditionalFormatting sqref="C387">
    <cfRule type="cellIs" dxfId="1413" priority="1158" stopIfTrue="1" operator="equal">
      <formula>"3 Delete"</formula>
    </cfRule>
  </conditionalFormatting>
  <conditionalFormatting sqref="C388">
    <cfRule type="cellIs" dxfId="1412" priority="1159" stopIfTrue="1" operator="equal">
      <formula>"1 Modify"</formula>
    </cfRule>
  </conditionalFormatting>
  <conditionalFormatting sqref="C388">
    <cfRule type="cellIs" dxfId="1411" priority="1160" stopIfTrue="1" operator="equal">
      <formula>"2 Add"</formula>
    </cfRule>
  </conditionalFormatting>
  <conditionalFormatting sqref="C388">
    <cfRule type="cellIs" dxfId="1410" priority="1161" stopIfTrue="1" operator="equal">
      <formula>"3 Delete"</formula>
    </cfRule>
  </conditionalFormatting>
  <conditionalFormatting sqref="C389">
    <cfRule type="cellIs" dxfId="1409" priority="1162" stopIfTrue="1" operator="equal">
      <formula>"1 Modify"</formula>
    </cfRule>
  </conditionalFormatting>
  <conditionalFormatting sqref="C389">
    <cfRule type="cellIs" dxfId="1408" priority="1163" stopIfTrue="1" operator="equal">
      <formula>"2 Add"</formula>
    </cfRule>
  </conditionalFormatting>
  <conditionalFormatting sqref="C389">
    <cfRule type="cellIs" dxfId="1407" priority="1164" stopIfTrue="1" operator="equal">
      <formula>"3 Delete"</formula>
    </cfRule>
  </conditionalFormatting>
  <conditionalFormatting sqref="C390">
    <cfRule type="cellIs" dxfId="1406" priority="1165" stopIfTrue="1" operator="equal">
      <formula>"1 Modify"</formula>
    </cfRule>
  </conditionalFormatting>
  <conditionalFormatting sqref="C390">
    <cfRule type="cellIs" dxfId="1405" priority="1166" stopIfTrue="1" operator="equal">
      <formula>"2 Add"</formula>
    </cfRule>
  </conditionalFormatting>
  <conditionalFormatting sqref="C390">
    <cfRule type="cellIs" dxfId="1404" priority="1167" stopIfTrue="1" operator="equal">
      <formula>"3 Delete"</formula>
    </cfRule>
  </conditionalFormatting>
  <conditionalFormatting sqref="C391">
    <cfRule type="cellIs" dxfId="1403" priority="1168" stopIfTrue="1" operator="equal">
      <formula>"1 Modify"</formula>
    </cfRule>
  </conditionalFormatting>
  <conditionalFormatting sqref="C391">
    <cfRule type="cellIs" dxfId="1402" priority="1169" stopIfTrue="1" operator="equal">
      <formula>"2 Add"</formula>
    </cfRule>
  </conditionalFormatting>
  <conditionalFormatting sqref="C391">
    <cfRule type="cellIs" dxfId="1401" priority="1170" stopIfTrue="1" operator="equal">
      <formula>"3 Delete"</formula>
    </cfRule>
  </conditionalFormatting>
  <conditionalFormatting sqref="C392">
    <cfRule type="cellIs" dxfId="1400" priority="1171" stopIfTrue="1" operator="equal">
      <formula>"1 Modify"</formula>
    </cfRule>
  </conditionalFormatting>
  <conditionalFormatting sqref="C392">
    <cfRule type="cellIs" dxfId="1399" priority="1172" stopIfTrue="1" operator="equal">
      <formula>"2 Add"</formula>
    </cfRule>
  </conditionalFormatting>
  <conditionalFormatting sqref="C392">
    <cfRule type="cellIs" dxfId="1398" priority="1173" stopIfTrue="1" operator="equal">
      <formula>"3 Delete"</formula>
    </cfRule>
  </conditionalFormatting>
  <conditionalFormatting sqref="C393">
    <cfRule type="cellIs" dxfId="1397" priority="1174" stopIfTrue="1" operator="equal">
      <formula>"1 Modify"</formula>
    </cfRule>
  </conditionalFormatting>
  <conditionalFormatting sqref="C393">
    <cfRule type="cellIs" dxfId="1396" priority="1175" stopIfTrue="1" operator="equal">
      <formula>"2 Add"</formula>
    </cfRule>
  </conditionalFormatting>
  <conditionalFormatting sqref="C393">
    <cfRule type="cellIs" dxfId="1395" priority="1176" stopIfTrue="1" operator="equal">
      <formula>"3 Delete"</formula>
    </cfRule>
  </conditionalFormatting>
  <conditionalFormatting sqref="C394">
    <cfRule type="cellIs" dxfId="1394" priority="1177" stopIfTrue="1" operator="equal">
      <formula>"1 Modify"</formula>
    </cfRule>
  </conditionalFormatting>
  <conditionalFormatting sqref="C394">
    <cfRule type="cellIs" dxfId="1393" priority="1178" stopIfTrue="1" operator="equal">
      <formula>"2 Add"</formula>
    </cfRule>
  </conditionalFormatting>
  <conditionalFormatting sqref="C394">
    <cfRule type="cellIs" dxfId="1392" priority="1179" stopIfTrue="1" operator="equal">
      <formula>"3 Delete"</formula>
    </cfRule>
  </conditionalFormatting>
  <conditionalFormatting sqref="C395">
    <cfRule type="cellIs" dxfId="1391" priority="1180" stopIfTrue="1" operator="equal">
      <formula>"1 Modify"</formula>
    </cfRule>
  </conditionalFormatting>
  <conditionalFormatting sqref="C395">
    <cfRule type="cellIs" dxfId="1390" priority="1181" stopIfTrue="1" operator="equal">
      <formula>"2 Add"</formula>
    </cfRule>
  </conditionalFormatting>
  <conditionalFormatting sqref="C395">
    <cfRule type="cellIs" dxfId="1389" priority="1182" stopIfTrue="1" operator="equal">
      <formula>"3 Delete"</formula>
    </cfRule>
  </conditionalFormatting>
  <conditionalFormatting sqref="C396">
    <cfRule type="cellIs" dxfId="1388" priority="1183" stopIfTrue="1" operator="equal">
      <formula>"1 Modify"</formula>
    </cfRule>
  </conditionalFormatting>
  <conditionalFormatting sqref="C396">
    <cfRule type="cellIs" dxfId="1387" priority="1184" stopIfTrue="1" operator="equal">
      <formula>"2 Add"</formula>
    </cfRule>
  </conditionalFormatting>
  <conditionalFormatting sqref="C396">
    <cfRule type="cellIs" dxfId="1386" priority="1185" stopIfTrue="1" operator="equal">
      <formula>"3 Delete"</formula>
    </cfRule>
  </conditionalFormatting>
  <conditionalFormatting sqref="C397">
    <cfRule type="cellIs" dxfId="1385" priority="1186" stopIfTrue="1" operator="equal">
      <formula>"1 Modify"</formula>
    </cfRule>
  </conditionalFormatting>
  <conditionalFormatting sqref="C397">
    <cfRule type="cellIs" dxfId="1384" priority="1187" stopIfTrue="1" operator="equal">
      <formula>"2 Add"</formula>
    </cfRule>
  </conditionalFormatting>
  <conditionalFormatting sqref="C397">
    <cfRule type="cellIs" dxfId="1383" priority="1188" stopIfTrue="1" operator="equal">
      <formula>"3 Delete"</formula>
    </cfRule>
  </conditionalFormatting>
  <conditionalFormatting sqref="C398">
    <cfRule type="cellIs" dxfId="1382" priority="1189" stopIfTrue="1" operator="equal">
      <formula>"1 Modify"</formula>
    </cfRule>
  </conditionalFormatting>
  <conditionalFormatting sqref="C398">
    <cfRule type="cellIs" dxfId="1381" priority="1190" stopIfTrue="1" operator="equal">
      <formula>"2 Add"</formula>
    </cfRule>
  </conditionalFormatting>
  <conditionalFormatting sqref="C398">
    <cfRule type="cellIs" dxfId="1380" priority="1191" stopIfTrue="1" operator="equal">
      <formula>"3 Delete"</formula>
    </cfRule>
  </conditionalFormatting>
  <conditionalFormatting sqref="C399">
    <cfRule type="cellIs" dxfId="1379" priority="1192" stopIfTrue="1" operator="equal">
      <formula>"1 Modify"</formula>
    </cfRule>
  </conditionalFormatting>
  <conditionalFormatting sqref="C399">
    <cfRule type="cellIs" dxfId="1378" priority="1193" stopIfTrue="1" operator="equal">
      <formula>"2 Add"</formula>
    </cfRule>
  </conditionalFormatting>
  <conditionalFormatting sqref="C399">
    <cfRule type="cellIs" dxfId="1377" priority="1194" stopIfTrue="1" operator="equal">
      <formula>"3 Delete"</formula>
    </cfRule>
  </conditionalFormatting>
  <conditionalFormatting sqref="C400">
    <cfRule type="cellIs" dxfId="1376" priority="1195" stopIfTrue="1" operator="equal">
      <formula>"1 Modify"</formula>
    </cfRule>
  </conditionalFormatting>
  <conditionalFormatting sqref="C400">
    <cfRule type="cellIs" dxfId="1375" priority="1196" stopIfTrue="1" operator="equal">
      <formula>"2 Add"</formula>
    </cfRule>
  </conditionalFormatting>
  <conditionalFormatting sqref="C400">
    <cfRule type="cellIs" dxfId="1374" priority="1197" stopIfTrue="1" operator="equal">
      <formula>"3 Delete"</formula>
    </cfRule>
  </conditionalFormatting>
  <conditionalFormatting sqref="C401">
    <cfRule type="cellIs" dxfId="1373" priority="1198" stopIfTrue="1" operator="equal">
      <formula>"1 Modify"</formula>
    </cfRule>
  </conditionalFormatting>
  <conditionalFormatting sqref="C401">
    <cfRule type="cellIs" dxfId="1372" priority="1199" stopIfTrue="1" operator="equal">
      <formula>"2 Add"</formula>
    </cfRule>
  </conditionalFormatting>
  <conditionalFormatting sqref="C401">
    <cfRule type="cellIs" dxfId="1371" priority="1200" stopIfTrue="1" operator="equal">
      <formula>"3 Delete"</formula>
    </cfRule>
  </conditionalFormatting>
  <conditionalFormatting sqref="C402">
    <cfRule type="cellIs" dxfId="1370" priority="1201" stopIfTrue="1" operator="equal">
      <formula>"1 Modify"</formula>
    </cfRule>
  </conditionalFormatting>
  <conditionalFormatting sqref="C402">
    <cfRule type="cellIs" dxfId="1369" priority="1202" stopIfTrue="1" operator="equal">
      <formula>"2 Add"</formula>
    </cfRule>
  </conditionalFormatting>
  <conditionalFormatting sqref="C402">
    <cfRule type="cellIs" dxfId="1368" priority="1203" stopIfTrue="1" operator="equal">
      <formula>"3 Delete"</formula>
    </cfRule>
  </conditionalFormatting>
  <conditionalFormatting sqref="C403">
    <cfRule type="cellIs" dxfId="1367" priority="1204" stopIfTrue="1" operator="equal">
      <formula>"1 Modify"</formula>
    </cfRule>
  </conditionalFormatting>
  <conditionalFormatting sqref="C403">
    <cfRule type="cellIs" dxfId="1366" priority="1205" stopIfTrue="1" operator="equal">
      <formula>"2 Add"</formula>
    </cfRule>
  </conditionalFormatting>
  <conditionalFormatting sqref="C403">
    <cfRule type="cellIs" dxfId="1365" priority="1206" stopIfTrue="1" operator="equal">
      <formula>"3 Delete"</formula>
    </cfRule>
  </conditionalFormatting>
  <conditionalFormatting sqref="C404">
    <cfRule type="cellIs" dxfId="1364" priority="1207" stopIfTrue="1" operator="equal">
      <formula>"1 Modify"</formula>
    </cfRule>
  </conditionalFormatting>
  <conditionalFormatting sqref="C404">
    <cfRule type="cellIs" dxfId="1363" priority="1208" stopIfTrue="1" operator="equal">
      <formula>"2 Add"</formula>
    </cfRule>
  </conditionalFormatting>
  <conditionalFormatting sqref="C404">
    <cfRule type="cellIs" dxfId="1362" priority="1209" stopIfTrue="1" operator="equal">
      <formula>"3 Delete"</formula>
    </cfRule>
  </conditionalFormatting>
  <conditionalFormatting sqref="C405">
    <cfRule type="cellIs" dxfId="1361" priority="1210" stopIfTrue="1" operator="equal">
      <formula>"1 Modify"</formula>
    </cfRule>
  </conditionalFormatting>
  <conditionalFormatting sqref="C405">
    <cfRule type="cellIs" dxfId="1360" priority="1211" stopIfTrue="1" operator="equal">
      <formula>"2 Add"</formula>
    </cfRule>
  </conditionalFormatting>
  <conditionalFormatting sqref="C405">
    <cfRule type="cellIs" dxfId="1359" priority="1212" stopIfTrue="1" operator="equal">
      <formula>"3 Delete"</formula>
    </cfRule>
  </conditionalFormatting>
  <conditionalFormatting sqref="C406">
    <cfRule type="cellIs" dxfId="1358" priority="1213" stopIfTrue="1" operator="equal">
      <formula>"1 Modify"</formula>
    </cfRule>
  </conditionalFormatting>
  <conditionalFormatting sqref="C406">
    <cfRule type="cellIs" dxfId="1357" priority="1214" stopIfTrue="1" operator="equal">
      <formula>"2 Add"</formula>
    </cfRule>
  </conditionalFormatting>
  <conditionalFormatting sqref="C406">
    <cfRule type="cellIs" dxfId="1356" priority="1215" stopIfTrue="1" operator="equal">
      <formula>"3 Delete"</formula>
    </cfRule>
  </conditionalFormatting>
  <conditionalFormatting sqref="C407">
    <cfRule type="cellIs" dxfId="1355" priority="1216" stopIfTrue="1" operator="equal">
      <formula>"1 Modify"</formula>
    </cfRule>
  </conditionalFormatting>
  <conditionalFormatting sqref="C407">
    <cfRule type="cellIs" dxfId="1354" priority="1217" stopIfTrue="1" operator="equal">
      <formula>"2 Add"</formula>
    </cfRule>
  </conditionalFormatting>
  <conditionalFormatting sqref="C407">
    <cfRule type="cellIs" dxfId="1353" priority="1218" stopIfTrue="1" operator="equal">
      <formula>"3 Delete"</formula>
    </cfRule>
  </conditionalFormatting>
  <conditionalFormatting sqref="C408">
    <cfRule type="cellIs" dxfId="1352" priority="1219" stopIfTrue="1" operator="equal">
      <formula>"1 Modify"</formula>
    </cfRule>
  </conditionalFormatting>
  <conditionalFormatting sqref="C408">
    <cfRule type="cellIs" dxfId="1351" priority="1220" stopIfTrue="1" operator="equal">
      <formula>"2 Add"</formula>
    </cfRule>
  </conditionalFormatting>
  <conditionalFormatting sqref="C408">
    <cfRule type="cellIs" dxfId="1350" priority="1221" stopIfTrue="1" operator="equal">
      <formula>"3 Delete"</formula>
    </cfRule>
  </conditionalFormatting>
  <conditionalFormatting sqref="C409">
    <cfRule type="cellIs" dxfId="1349" priority="1222" stopIfTrue="1" operator="equal">
      <formula>"1 Modify"</formula>
    </cfRule>
  </conditionalFormatting>
  <conditionalFormatting sqref="C409">
    <cfRule type="cellIs" dxfId="1348" priority="1223" stopIfTrue="1" operator="equal">
      <formula>"2 Add"</formula>
    </cfRule>
  </conditionalFormatting>
  <conditionalFormatting sqref="C409">
    <cfRule type="cellIs" dxfId="1347" priority="1224" stopIfTrue="1" operator="equal">
      <formula>"3 Delete"</formula>
    </cfRule>
  </conditionalFormatting>
  <conditionalFormatting sqref="C410">
    <cfRule type="cellIs" dxfId="1346" priority="1225" stopIfTrue="1" operator="equal">
      <formula>"1 Modify"</formula>
    </cfRule>
  </conditionalFormatting>
  <conditionalFormatting sqref="C410">
    <cfRule type="cellIs" dxfId="1345" priority="1226" stopIfTrue="1" operator="equal">
      <formula>"2 Add"</formula>
    </cfRule>
  </conditionalFormatting>
  <conditionalFormatting sqref="C410">
    <cfRule type="cellIs" dxfId="1344" priority="1227" stopIfTrue="1" operator="equal">
      <formula>"3 Delete"</formula>
    </cfRule>
  </conditionalFormatting>
  <conditionalFormatting sqref="C411">
    <cfRule type="cellIs" dxfId="1343" priority="1228" stopIfTrue="1" operator="equal">
      <formula>"1 Modify"</formula>
    </cfRule>
  </conditionalFormatting>
  <conditionalFormatting sqref="C411">
    <cfRule type="cellIs" dxfId="1342" priority="1229" stopIfTrue="1" operator="equal">
      <formula>"2 Add"</formula>
    </cfRule>
  </conditionalFormatting>
  <conditionalFormatting sqref="C411">
    <cfRule type="cellIs" dxfId="1341" priority="1230" stopIfTrue="1" operator="equal">
      <formula>"3 Delete"</formula>
    </cfRule>
  </conditionalFormatting>
  <conditionalFormatting sqref="C412">
    <cfRule type="cellIs" dxfId="1340" priority="1231" stopIfTrue="1" operator="equal">
      <formula>"1 Modify"</formula>
    </cfRule>
  </conditionalFormatting>
  <conditionalFormatting sqref="C412">
    <cfRule type="cellIs" dxfId="1339" priority="1232" stopIfTrue="1" operator="equal">
      <formula>"2 Add"</formula>
    </cfRule>
  </conditionalFormatting>
  <conditionalFormatting sqref="C412">
    <cfRule type="cellIs" dxfId="1338" priority="1233" stopIfTrue="1" operator="equal">
      <formula>"3 Delete"</formula>
    </cfRule>
  </conditionalFormatting>
  <conditionalFormatting sqref="C413">
    <cfRule type="cellIs" dxfId="1337" priority="1234" stopIfTrue="1" operator="equal">
      <formula>"1 Modify"</formula>
    </cfRule>
  </conditionalFormatting>
  <conditionalFormatting sqref="C413">
    <cfRule type="cellIs" dxfId="1336" priority="1235" stopIfTrue="1" operator="equal">
      <formula>"2 Add"</formula>
    </cfRule>
  </conditionalFormatting>
  <conditionalFormatting sqref="C413">
    <cfRule type="cellIs" dxfId="1335" priority="1236" stopIfTrue="1" operator="equal">
      <formula>"3 Delete"</formula>
    </cfRule>
  </conditionalFormatting>
  <conditionalFormatting sqref="C414">
    <cfRule type="cellIs" dxfId="1334" priority="1237" stopIfTrue="1" operator="equal">
      <formula>"1 Modify"</formula>
    </cfRule>
  </conditionalFormatting>
  <conditionalFormatting sqref="C414">
    <cfRule type="cellIs" dxfId="1333" priority="1238" stopIfTrue="1" operator="equal">
      <formula>"2 Add"</formula>
    </cfRule>
  </conditionalFormatting>
  <conditionalFormatting sqref="C414">
    <cfRule type="cellIs" dxfId="1332" priority="1239" stopIfTrue="1" operator="equal">
      <formula>"3 Delete"</formula>
    </cfRule>
  </conditionalFormatting>
  <conditionalFormatting sqref="C415">
    <cfRule type="cellIs" dxfId="1331" priority="1240" stopIfTrue="1" operator="equal">
      <formula>"1 Modify"</formula>
    </cfRule>
  </conditionalFormatting>
  <conditionalFormatting sqref="C415">
    <cfRule type="cellIs" dxfId="1330" priority="1241" stopIfTrue="1" operator="equal">
      <formula>"2 Add"</formula>
    </cfRule>
  </conditionalFormatting>
  <conditionalFormatting sqref="C415">
    <cfRule type="cellIs" dxfId="1329" priority="1242" stopIfTrue="1" operator="equal">
      <formula>"3 Delete"</formula>
    </cfRule>
  </conditionalFormatting>
  <conditionalFormatting sqref="C416">
    <cfRule type="cellIs" dxfId="1328" priority="1243" stopIfTrue="1" operator="equal">
      <formula>"1 Modify"</formula>
    </cfRule>
  </conditionalFormatting>
  <conditionalFormatting sqref="C416">
    <cfRule type="cellIs" dxfId="1327" priority="1244" stopIfTrue="1" operator="equal">
      <formula>"2 Add"</formula>
    </cfRule>
  </conditionalFormatting>
  <conditionalFormatting sqref="C416">
    <cfRule type="cellIs" dxfId="1326" priority="1245" stopIfTrue="1" operator="equal">
      <formula>"3 Delete"</formula>
    </cfRule>
  </conditionalFormatting>
  <conditionalFormatting sqref="C417">
    <cfRule type="cellIs" dxfId="1325" priority="1246" stopIfTrue="1" operator="equal">
      <formula>"1 Modify"</formula>
    </cfRule>
  </conditionalFormatting>
  <conditionalFormatting sqref="C417">
    <cfRule type="cellIs" dxfId="1324" priority="1247" stopIfTrue="1" operator="equal">
      <formula>"2 Add"</formula>
    </cfRule>
  </conditionalFormatting>
  <conditionalFormatting sqref="C417">
    <cfRule type="cellIs" dxfId="1323" priority="1248" stopIfTrue="1" operator="equal">
      <formula>"3 Delete"</formula>
    </cfRule>
  </conditionalFormatting>
  <conditionalFormatting sqref="C418">
    <cfRule type="cellIs" dxfId="1322" priority="1249" stopIfTrue="1" operator="equal">
      <formula>"1 Modify"</formula>
    </cfRule>
  </conditionalFormatting>
  <conditionalFormatting sqref="C418">
    <cfRule type="cellIs" dxfId="1321" priority="1250" stopIfTrue="1" operator="equal">
      <formula>"2 Add"</formula>
    </cfRule>
  </conditionalFormatting>
  <conditionalFormatting sqref="C418">
    <cfRule type="cellIs" dxfId="1320" priority="1251" stopIfTrue="1" operator="equal">
      <formula>"3 Delete"</formula>
    </cfRule>
  </conditionalFormatting>
  <conditionalFormatting sqref="C419">
    <cfRule type="cellIs" dxfId="1319" priority="1252" stopIfTrue="1" operator="equal">
      <formula>"1 Modify"</formula>
    </cfRule>
  </conditionalFormatting>
  <conditionalFormatting sqref="C419">
    <cfRule type="cellIs" dxfId="1318" priority="1253" stopIfTrue="1" operator="equal">
      <formula>"2 Add"</formula>
    </cfRule>
  </conditionalFormatting>
  <conditionalFormatting sqref="C419">
    <cfRule type="cellIs" dxfId="1317" priority="1254" stopIfTrue="1" operator="equal">
      <formula>"3 Delete"</formula>
    </cfRule>
  </conditionalFormatting>
  <conditionalFormatting sqref="C420">
    <cfRule type="cellIs" dxfId="1316" priority="1255" stopIfTrue="1" operator="equal">
      <formula>"1 Modify"</formula>
    </cfRule>
  </conditionalFormatting>
  <conditionalFormatting sqref="C420">
    <cfRule type="cellIs" dxfId="1315" priority="1256" stopIfTrue="1" operator="equal">
      <formula>"2 Add"</formula>
    </cfRule>
  </conditionalFormatting>
  <conditionalFormatting sqref="C420">
    <cfRule type="cellIs" dxfId="1314" priority="1257" stopIfTrue="1" operator="equal">
      <formula>"3 Delete"</formula>
    </cfRule>
  </conditionalFormatting>
  <conditionalFormatting sqref="C421">
    <cfRule type="cellIs" dxfId="1313" priority="1258" stopIfTrue="1" operator="equal">
      <formula>"1 Modify"</formula>
    </cfRule>
  </conditionalFormatting>
  <conditionalFormatting sqref="C421">
    <cfRule type="cellIs" dxfId="1312" priority="1259" stopIfTrue="1" operator="equal">
      <formula>"2 Add"</formula>
    </cfRule>
  </conditionalFormatting>
  <conditionalFormatting sqref="C421">
    <cfRule type="cellIs" dxfId="1311" priority="1260" stopIfTrue="1" operator="equal">
      <formula>"3 Delete"</formula>
    </cfRule>
  </conditionalFormatting>
  <conditionalFormatting sqref="C422">
    <cfRule type="cellIs" dxfId="1310" priority="1261" stopIfTrue="1" operator="equal">
      <formula>"1 Modify"</formula>
    </cfRule>
  </conditionalFormatting>
  <conditionalFormatting sqref="C422">
    <cfRule type="cellIs" dxfId="1309" priority="1262" stopIfTrue="1" operator="equal">
      <formula>"2 Add"</formula>
    </cfRule>
  </conditionalFormatting>
  <conditionalFormatting sqref="C422">
    <cfRule type="cellIs" dxfId="1308" priority="1263" stopIfTrue="1" operator="equal">
      <formula>"3 Delete"</formula>
    </cfRule>
  </conditionalFormatting>
  <conditionalFormatting sqref="C423">
    <cfRule type="cellIs" dxfId="1307" priority="1264" stopIfTrue="1" operator="equal">
      <formula>"1 Modify"</formula>
    </cfRule>
  </conditionalFormatting>
  <conditionalFormatting sqref="C423">
    <cfRule type="cellIs" dxfId="1306" priority="1265" stopIfTrue="1" operator="equal">
      <formula>"2 Add"</formula>
    </cfRule>
  </conditionalFormatting>
  <conditionalFormatting sqref="C423">
    <cfRule type="cellIs" dxfId="1305" priority="1266" stopIfTrue="1" operator="equal">
      <formula>"3 Delete"</formula>
    </cfRule>
  </conditionalFormatting>
  <conditionalFormatting sqref="C424">
    <cfRule type="cellIs" dxfId="1304" priority="1267" stopIfTrue="1" operator="equal">
      <formula>"1 Modify"</formula>
    </cfRule>
  </conditionalFormatting>
  <conditionalFormatting sqref="C424">
    <cfRule type="cellIs" dxfId="1303" priority="1268" stopIfTrue="1" operator="equal">
      <formula>"2 Add"</formula>
    </cfRule>
  </conditionalFormatting>
  <conditionalFormatting sqref="C424">
    <cfRule type="cellIs" dxfId="1302" priority="1269" stopIfTrue="1" operator="equal">
      <formula>"3 Delete"</formula>
    </cfRule>
  </conditionalFormatting>
  <conditionalFormatting sqref="C425">
    <cfRule type="cellIs" dxfId="1301" priority="1270" stopIfTrue="1" operator="equal">
      <formula>"1 Modify"</formula>
    </cfRule>
  </conditionalFormatting>
  <conditionalFormatting sqref="C425">
    <cfRule type="cellIs" dxfId="1300" priority="1271" stopIfTrue="1" operator="equal">
      <formula>"2 Add"</formula>
    </cfRule>
  </conditionalFormatting>
  <conditionalFormatting sqref="C425">
    <cfRule type="cellIs" dxfId="1299" priority="1272" stopIfTrue="1" operator="equal">
      <formula>"3 Delete"</formula>
    </cfRule>
  </conditionalFormatting>
  <conditionalFormatting sqref="C426">
    <cfRule type="cellIs" dxfId="1298" priority="1273" stopIfTrue="1" operator="equal">
      <formula>"1 Modify"</formula>
    </cfRule>
  </conditionalFormatting>
  <conditionalFormatting sqref="C426">
    <cfRule type="cellIs" dxfId="1297" priority="1274" stopIfTrue="1" operator="equal">
      <formula>"2 Add"</formula>
    </cfRule>
  </conditionalFormatting>
  <conditionalFormatting sqref="C426">
    <cfRule type="cellIs" dxfId="1296" priority="1275" stopIfTrue="1" operator="equal">
      <formula>"3 Delete"</formula>
    </cfRule>
  </conditionalFormatting>
  <conditionalFormatting sqref="C427">
    <cfRule type="cellIs" dxfId="1295" priority="1276" stopIfTrue="1" operator="equal">
      <formula>"1 Modify"</formula>
    </cfRule>
  </conditionalFormatting>
  <conditionalFormatting sqref="C427">
    <cfRule type="cellIs" dxfId="1294" priority="1277" stopIfTrue="1" operator="equal">
      <formula>"2 Add"</formula>
    </cfRule>
  </conditionalFormatting>
  <conditionalFormatting sqref="C427">
    <cfRule type="cellIs" dxfId="1293" priority="1278" stopIfTrue="1" operator="equal">
      <formula>"3 Delete"</formula>
    </cfRule>
  </conditionalFormatting>
  <conditionalFormatting sqref="C428">
    <cfRule type="cellIs" dxfId="1292" priority="1279" stopIfTrue="1" operator="equal">
      <formula>"1 Modify"</formula>
    </cfRule>
  </conditionalFormatting>
  <conditionalFormatting sqref="C428">
    <cfRule type="cellIs" dxfId="1291" priority="1280" stopIfTrue="1" operator="equal">
      <formula>"2 Add"</formula>
    </cfRule>
  </conditionalFormatting>
  <conditionalFormatting sqref="C428">
    <cfRule type="cellIs" dxfId="1290" priority="1281" stopIfTrue="1" operator="equal">
      <formula>"3 Delete"</formula>
    </cfRule>
  </conditionalFormatting>
  <conditionalFormatting sqref="C429">
    <cfRule type="cellIs" dxfId="1289" priority="1282" stopIfTrue="1" operator="equal">
      <formula>"1 Modify"</formula>
    </cfRule>
  </conditionalFormatting>
  <conditionalFormatting sqref="C429">
    <cfRule type="cellIs" dxfId="1288" priority="1283" stopIfTrue="1" operator="equal">
      <formula>"2 Add"</formula>
    </cfRule>
  </conditionalFormatting>
  <conditionalFormatting sqref="C429">
    <cfRule type="cellIs" dxfId="1287" priority="1284" stopIfTrue="1" operator="equal">
      <formula>"3 Delete"</formula>
    </cfRule>
  </conditionalFormatting>
  <conditionalFormatting sqref="C430">
    <cfRule type="cellIs" dxfId="1286" priority="1285" stopIfTrue="1" operator="equal">
      <formula>"1 Modify"</formula>
    </cfRule>
  </conditionalFormatting>
  <conditionalFormatting sqref="C430">
    <cfRule type="cellIs" dxfId="1285" priority="1286" stopIfTrue="1" operator="equal">
      <formula>"2 Add"</formula>
    </cfRule>
  </conditionalFormatting>
  <conditionalFormatting sqref="C430">
    <cfRule type="cellIs" dxfId="1284" priority="1287" stopIfTrue="1" operator="equal">
      <formula>"3 Delete"</formula>
    </cfRule>
  </conditionalFormatting>
  <conditionalFormatting sqref="C431">
    <cfRule type="cellIs" dxfId="1283" priority="1288" stopIfTrue="1" operator="equal">
      <formula>"1 Modify"</formula>
    </cfRule>
  </conditionalFormatting>
  <conditionalFormatting sqref="C431">
    <cfRule type="cellIs" dxfId="1282" priority="1289" stopIfTrue="1" operator="equal">
      <formula>"2 Add"</formula>
    </cfRule>
  </conditionalFormatting>
  <conditionalFormatting sqref="C431">
    <cfRule type="cellIs" dxfId="1281" priority="1290" stopIfTrue="1" operator="equal">
      <formula>"3 Delete"</formula>
    </cfRule>
  </conditionalFormatting>
  <conditionalFormatting sqref="C432">
    <cfRule type="cellIs" dxfId="1280" priority="1291" stopIfTrue="1" operator="equal">
      <formula>"1 Modify"</formula>
    </cfRule>
  </conditionalFormatting>
  <conditionalFormatting sqref="C432">
    <cfRule type="cellIs" dxfId="1279" priority="1292" stopIfTrue="1" operator="equal">
      <formula>"2 Add"</formula>
    </cfRule>
  </conditionalFormatting>
  <conditionalFormatting sqref="C432">
    <cfRule type="cellIs" dxfId="1278" priority="1293" stopIfTrue="1" operator="equal">
      <formula>"3 Delete"</formula>
    </cfRule>
  </conditionalFormatting>
  <conditionalFormatting sqref="C433">
    <cfRule type="cellIs" dxfId="1277" priority="1294" stopIfTrue="1" operator="equal">
      <formula>"1 Modify"</formula>
    </cfRule>
  </conditionalFormatting>
  <conditionalFormatting sqref="C433">
    <cfRule type="cellIs" dxfId="1276" priority="1295" stopIfTrue="1" operator="equal">
      <formula>"2 Add"</formula>
    </cfRule>
  </conditionalFormatting>
  <conditionalFormatting sqref="C433">
    <cfRule type="cellIs" dxfId="1275" priority="1296" stopIfTrue="1" operator="equal">
      <formula>"3 Delete"</formula>
    </cfRule>
  </conditionalFormatting>
  <conditionalFormatting sqref="C434">
    <cfRule type="cellIs" dxfId="1274" priority="1297" stopIfTrue="1" operator="equal">
      <formula>"1 Modify"</formula>
    </cfRule>
  </conditionalFormatting>
  <conditionalFormatting sqref="C434">
    <cfRule type="cellIs" dxfId="1273" priority="1298" stopIfTrue="1" operator="equal">
      <formula>"2 Add"</formula>
    </cfRule>
  </conditionalFormatting>
  <conditionalFormatting sqref="C434">
    <cfRule type="cellIs" dxfId="1272" priority="1299" stopIfTrue="1" operator="equal">
      <formula>"3 Delete"</formula>
    </cfRule>
  </conditionalFormatting>
  <conditionalFormatting sqref="C435">
    <cfRule type="cellIs" dxfId="1271" priority="1300" stopIfTrue="1" operator="equal">
      <formula>"1 Modify"</formula>
    </cfRule>
  </conditionalFormatting>
  <conditionalFormatting sqref="C435">
    <cfRule type="cellIs" dxfId="1270" priority="1301" stopIfTrue="1" operator="equal">
      <formula>"2 Add"</formula>
    </cfRule>
  </conditionalFormatting>
  <conditionalFormatting sqref="C435">
    <cfRule type="cellIs" dxfId="1269" priority="1302" stopIfTrue="1" operator="equal">
      <formula>"3 Delete"</formula>
    </cfRule>
  </conditionalFormatting>
  <conditionalFormatting sqref="C436">
    <cfRule type="cellIs" dxfId="1268" priority="1303" stopIfTrue="1" operator="equal">
      <formula>"1 Modify"</formula>
    </cfRule>
  </conditionalFormatting>
  <conditionalFormatting sqref="C436">
    <cfRule type="cellIs" dxfId="1267" priority="1304" stopIfTrue="1" operator="equal">
      <formula>"2 Add"</formula>
    </cfRule>
  </conditionalFormatting>
  <conditionalFormatting sqref="C436">
    <cfRule type="cellIs" dxfId="1266" priority="1305" stopIfTrue="1" operator="equal">
      <formula>"3 Delete"</formula>
    </cfRule>
  </conditionalFormatting>
  <conditionalFormatting sqref="C437">
    <cfRule type="cellIs" dxfId="1265" priority="1306" stopIfTrue="1" operator="equal">
      <formula>"1 Modify"</formula>
    </cfRule>
  </conditionalFormatting>
  <conditionalFormatting sqref="C437">
    <cfRule type="cellIs" dxfId="1264" priority="1307" stopIfTrue="1" operator="equal">
      <formula>"2 Add"</formula>
    </cfRule>
  </conditionalFormatting>
  <conditionalFormatting sqref="C437">
    <cfRule type="cellIs" dxfId="1263" priority="1308" stopIfTrue="1" operator="equal">
      <formula>"3 Delete"</formula>
    </cfRule>
  </conditionalFormatting>
  <conditionalFormatting sqref="C438">
    <cfRule type="cellIs" dxfId="1262" priority="1309" stopIfTrue="1" operator="equal">
      <formula>"1 Modify"</formula>
    </cfRule>
  </conditionalFormatting>
  <conditionalFormatting sqref="C438">
    <cfRule type="cellIs" dxfId="1261" priority="1310" stopIfTrue="1" operator="equal">
      <formula>"2 Add"</formula>
    </cfRule>
  </conditionalFormatting>
  <conditionalFormatting sqref="C438">
    <cfRule type="cellIs" dxfId="1260" priority="1311" stopIfTrue="1" operator="equal">
      <formula>"3 Delete"</formula>
    </cfRule>
  </conditionalFormatting>
  <conditionalFormatting sqref="C439">
    <cfRule type="cellIs" dxfId="1259" priority="1312" stopIfTrue="1" operator="equal">
      <formula>"1 Modify"</formula>
    </cfRule>
  </conditionalFormatting>
  <conditionalFormatting sqref="C439">
    <cfRule type="cellIs" dxfId="1258" priority="1313" stopIfTrue="1" operator="equal">
      <formula>"2 Add"</formula>
    </cfRule>
  </conditionalFormatting>
  <conditionalFormatting sqref="C439">
    <cfRule type="cellIs" dxfId="1257" priority="1314" stopIfTrue="1" operator="equal">
      <formula>"3 Delete"</formula>
    </cfRule>
  </conditionalFormatting>
  <conditionalFormatting sqref="C440">
    <cfRule type="cellIs" dxfId="1256" priority="1315" stopIfTrue="1" operator="equal">
      <formula>"1 Modify"</formula>
    </cfRule>
  </conditionalFormatting>
  <conditionalFormatting sqref="C440">
    <cfRule type="cellIs" dxfId="1255" priority="1316" stopIfTrue="1" operator="equal">
      <formula>"2 Add"</formula>
    </cfRule>
  </conditionalFormatting>
  <conditionalFormatting sqref="C440">
    <cfRule type="cellIs" dxfId="1254" priority="1317" stopIfTrue="1" operator="equal">
      <formula>"3 Delete"</formula>
    </cfRule>
  </conditionalFormatting>
  <conditionalFormatting sqref="C441">
    <cfRule type="cellIs" dxfId="1253" priority="1318" stopIfTrue="1" operator="equal">
      <formula>"1 Modify"</formula>
    </cfRule>
  </conditionalFormatting>
  <conditionalFormatting sqref="C441">
    <cfRule type="cellIs" dxfId="1252" priority="1319" stopIfTrue="1" operator="equal">
      <formula>"2 Add"</formula>
    </cfRule>
  </conditionalFormatting>
  <conditionalFormatting sqref="C441">
    <cfRule type="cellIs" dxfId="1251" priority="1320" stopIfTrue="1" operator="equal">
      <formula>"3 Delete"</formula>
    </cfRule>
  </conditionalFormatting>
  <conditionalFormatting sqref="C442">
    <cfRule type="cellIs" dxfId="1250" priority="1321" stopIfTrue="1" operator="equal">
      <formula>"1 Modify"</formula>
    </cfRule>
  </conditionalFormatting>
  <conditionalFormatting sqref="C442">
    <cfRule type="cellIs" dxfId="1249" priority="1322" stopIfTrue="1" operator="equal">
      <formula>"2 Add"</formula>
    </cfRule>
  </conditionalFormatting>
  <conditionalFormatting sqref="C442">
    <cfRule type="cellIs" dxfId="1248" priority="1323" stopIfTrue="1" operator="equal">
      <formula>"3 Delete"</formula>
    </cfRule>
  </conditionalFormatting>
  <conditionalFormatting sqref="C443">
    <cfRule type="cellIs" dxfId="1247" priority="1324" stopIfTrue="1" operator="equal">
      <formula>"1 Modify"</formula>
    </cfRule>
  </conditionalFormatting>
  <conditionalFormatting sqref="C443">
    <cfRule type="cellIs" dxfId="1246" priority="1325" stopIfTrue="1" operator="equal">
      <formula>"2 Add"</formula>
    </cfRule>
  </conditionalFormatting>
  <conditionalFormatting sqref="C443">
    <cfRule type="cellIs" dxfId="1245" priority="1326" stopIfTrue="1" operator="equal">
      <formula>"3 Delete"</formula>
    </cfRule>
  </conditionalFormatting>
  <conditionalFormatting sqref="C444">
    <cfRule type="cellIs" dxfId="1244" priority="1327" stopIfTrue="1" operator="equal">
      <formula>"1 Modify"</formula>
    </cfRule>
  </conditionalFormatting>
  <conditionalFormatting sqref="C444">
    <cfRule type="cellIs" dxfId="1243" priority="1328" stopIfTrue="1" operator="equal">
      <formula>"2 Add"</formula>
    </cfRule>
  </conditionalFormatting>
  <conditionalFormatting sqref="C444">
    <cfRule type="cellIs" dxfId="1242" priority="1329" stopIfTrue="1" operator="equal">
      <formula>"3 Delete"</formula>
    </cfRule>
  </conditionalFormatting>
  <conditionalFormatting sqref="C445">
    <cfRule type="cellIs" dxfId="1241" priority="1330" stopIfTrue="1" operator="equal">
      <formula>"1 Modify"</formula>
    </cfRule>
  </conditionalFormatting>
  <conditionalFormatting sqref="C445">
    <cfRule type="cellIs" dxfId="1240" priority="1331" stopIfTrue="1" operator="equal">
      <formula>"2 Add"</formula>
    </cfRule>
  </conditionalFormatting>
  <conditionalFormatting sqref="C445">
    <cfRule type="cellIs" dxfId="1239" priority="1332" stopIfTrue="1" operator="equal">
      <formula>"3 Delete"</formula>
    </cfRule>
  </conditionalFormatting>
  <conditionalFormatting sqref="C446">
    <cfRule type="cellIs" dxfId="1238" priority="1333" stopIfTrue="1" operator="equal">
      <formula>"1 Modify"</formula>
    </cfRule>
  </conditionalFormatting>
  <conditionalFormatting sqref="C446">
    <cfRule type="cellIs" dxfId="1237" priority="1334" stopIfTrue="1" operator="equal">
      <formula>"2 Add"</formula>
    </cfRule>
  </conditionalFormatting>
  <conditionalFormatting sqref="C446">
    <cfRule type="cellIs" dxfId="1236" priority="1335" stopIfTrue="1" operator="equal">
      <formula>"3 Delete"</formula>
    </cfRule>
  </conditionalFormatting>
  <conditionalFormatting sqref="C447">
    <cfRule type="cellIs" dxfId="1235" priority="1336" stopIfTrue="1" operator="equal">
      <formula>"1 Modify"</formula>
    </cfRule>
  </conditionalFormatting>
  <conditionalFormatting sqref="C447">
    <cfRule type="cellIs" dxfId="1234" priority="1337" stopIfTrue="1" operator="equal">
      <formula>"2 Add"</formula>
    </cfRule>
  </conditionalFormatting>
  <conditionalFormatting sqref="C447">
    <cfRule type="cellIs" dxfId="1233" priority="1338" stopIfTrue="1" operator="equal">
      <formula>"3 Delete"</formula>
    </cfRule>
  </conditionalFormatting>
  <conditionalFormatting sqref="C448">
    <cfRule type="cellIs" dxfId="1232" priority="1339" stopIfTrue="1" operator="equal">
      <formula>"1 Modify"</formula>
    </cfRule>
  </conditionalFormatting>
  <conditionalFormatting sqref="C448">
    <cfRule type="cellIs" dxfId="1231" priority="1340" stopIfTrue="1" operator="equal">
      <formula>"2 Add"</formula>
    </cfRule>
  </conditionalFormatting>
  <conditionalFormatting sqref="C448">
    <cfRule type="cellIs" dxfId="1230" priority="1341" stopIfTrue="1" operator="equal">
      <formula>"3 Delete"</formula>
    </cfRule>
  </conditionalFormatting>
  <conditionalFormatting sqref="C449">
    <cfRule type="cellIs" dxfId="1229" priority="1342" stopIfTrue="1" operator="equal">
      <formula>"1 Modify"</formula>
    </cfRule>
  </conditionalFormatting>
  <conditionalFormatting sqref="C449">
    <cfRule type="cellIs" dxfId="1228" priority="1343" stopIfTrue="1" operator="equal">
      <formula>"2 Add"</formula>
    </cfRule>
  </conditionalFormatting>
  <conditionalFormatting sqref="C449">
    <cfRule type="cellIs" dxfId="1227" priority="1344" stopIfTrue="1" operator="equal">
      <formula>"3 Delete"</formula>
    </cfRule>
  </conditionalFormatting>
  <conditionalFormatting sqref="C450">
    <cfRule type="cellIs" dxfId="1226" priority="1345" stopIfTrue="1" operator="equal">
      <formula>"1 Modify"</formula>
    </cfRule>
  </conditionalFormatting>
  <conditionalFormatting sqref="C450">
    <cfRule type="cellIs" dxfId="1225" priority="1346" stopIfTrue="1" operator="equal">
      <formula>"2 Add"</formula>
    </cfRule>
  </conditionalFormatting>
  <conditionalFormatting sqref="C450">
    <cfRule type="cellIs" dxfId="1224" priority="1347" stopIfTrue="1" operator="equal">
      <formula>"3 Delete"</formula>
    </cfRule>
  </conditionalFormatting>
  <conditionalFormatting sqref="C451">
    <cfRule type="cellIs" dxfId="1223" priority="1348" stopIfTrue="1" operator="equal">
      <formula>"1 Modify"</formula>
    </cfRule>
  </conditionalFormatting>
  <conditionalFormatting sqref="C451">
    <cfRule type="cellIs" dxfId="1222" priority="1349" stopIfTrue="1" operator="equal">
      <formula>"2 Add"</formula>
    </cfRule>
  </conditionalFormatting>
  <conditionalFormatting sqref="C451">
    <cfRule type="cellIs" dxfId="1221" priority="1350" stopIfTrue="1" operator="equal">
      <formula>"3 Delete"</formula>
    </cfRule>
  </conditionalFormatting>
  <conditionalFormatting sqref="C452">
    <cfRule type="cellIs" dxfId="1220" priority="1351" stopIfTrue="1" operator="equal">
      <formula>"1 Modify"</formula>
    </cfRule>
  </conditionalFormatting>
  <conditionalFormatting sqref="C452">
    <cfRule type="cellIs" dxfId="1219" priority="1352" stopIfTrue="1" operator="equal">
      <formula>"2 Add"</formula>
    </cfRule>
  </conditionalFormatting>
  <conditionalFormatting sqref="C452">
    <cfRule type="cellIs" dxfId="1218" priority="1353" stopIfTrue="1" operator="equal">
      <formula>"3 Delete"</formula>
    </cfRule>
  </conditionalFormatting>
  <conditionalFormatting sqref="C453">
    <cfRule type="cellIs" dxfId="1217" priority="1354" stopIfTrue="1" operator="equal">
      <formula>"1 Modify"</formula>
    </cfRule>
  </conditionalFormatting>
  <conditionalFormatting sqref="C453">
    <cfRule type="cellIs" dxfId="1216" priority="1355" stopIfTrue="1" operator="equal">
      <formula>"2 Add"</formula>
    </cfRule>
  </conditionalFormatting>
  <conditionalFormatting sqref="C453">
    <cfRule type="cellIs" dxfId="1215" priority="1356" stopIfTrue="1" operator="equal">
      <formula>"3 Delete"</formula>
    </cfRule>
  </conditionalFormatting>
  <conditionalFormatting sqref="C454">
    <cfRule type="cellIs" dxfId="1214" priority="1357" stopIfTrue="1" operator="equal">
      <formula>"1 Modify"</formula>
    </cfRule>
  </conditionalFormatting>
  <conditionalFormatting sqref="C454">
    <cfRule type="cellIs" dxfId="1213" priority="1358" stopIfTrue="1" operator="equal">
      <formula>"2 Add"</formula>
    </cfRule>
  </conditionalFormatting>
  <conditionalFormatting sqref="C454">
    <cfRule type="cellIs" dxfId="1212" priority="1359" stopIfTrue="1" operator="equal">
      <formula>"3 Delete"</formula>
    </cfRule>
  </conditionalFormatting>
  <conditionalFormatting sqref="C455">
    <cfRule type="cellIs" dxfId="1211" priority="1360" stopIfTrue="1" operator="equal">
      <formula>"1 Modify"</formula>
    </cfRule>
  </conditionalFormatting>
  <conditionalFormatting sqref="C455">
    <cfRule type="cellIs" dxfId="1210" priority="1361" stopIfTrue="1" operator="equal">
      <formula>"2 Add"</formula>
    </cfRule>
  </conditionalFormatting>
  <conditionalFormatting sqref="C455">
    <cfRule type="cellIs" dxfId="1209" priority="1362" stopIfTrue="1" operator="equal">
      <formula>"3 Delete"</formula>
    </cfRule>
  </conditionalFormatting>
  <conditionalFormatting sqref="C456">
    <cfRule type="cellIs" dxfId="1208" priority="1363" stopIfTrue="1" operator="equal">
      <formula>"1 Modify"</formula>
    </cfRule>
  </conditionalFormatting>
  <conditionalFormatting sqref="C456">
    <cfRule type="cellIs" dxfId="1207" priority="1364" stopIfTrue="1" operator="equal">
      <formula>"2 Add"</formula>
    </cfRule>
  </conditionalFormatting>
  <conditionalFormatting sqref="C456">
    <cfRule type="cellIs" dxfId="1206" priority="1365" stopIfTrue="1" operator="equal">
      <formula>"3 Delete"</formula>
    </cfRule>
  </conditionalFormatting>
  <conditionalFormatting sqref="C457">
    <cfRule type="cellIs" dxfId="1205" priority="1366" stopIfTrue="1" operator="equal">
      <formula>"1 Modify"</formula>
    </cfRule>
  </conditionalFormatting>
  <conditionalFormatting sqref="C457">
    <cfRule type="cellIs" dxfId="1204" priority="1367" stopIfTrue="1" operator="equal">
      <formula>"2 Add"</formula>
    </cfRule>
  </conditionalFormatting>
  <conditionalFormatting sqref="C457">
    <cfRule type="cellIs" dxfId="1203" priority="1368" stopIfTrue="1" operator="equal">
      <formula>"3 Delete"</formula>
    </cfRule>
  </conditionalFormatting>
  <conditionalFormatting sqref="C458">
    <cfRule type="cellIs" dxfId="1202" priority="1369" stopIfTrue="1" operator="equal">
      <formula>"1 Modify"</formula>
    </cfRule>
  </conditionalFormatting>
  <conditionalFormatting sqref="C458">
    <cfRule type="cellIs" dxfId="1201" priority="1370" stopIfTrue="1" operator="equal">
      <formula>"2 Add"</formula>
    </cfRule>
  </conditionalFormatting>
  <conditionalFormatting sqref="C458">
    <cfRule type="cellIs" dxfId="1200" priority="1371" stopIfTrue="1" operator="equal">
      <formula>"3 Delete"</formula>
    </cfRule>
  </conditionalFormatting>
  <conditionalFormatting sqref="C459">
    <cfRule type="cellIs" dxfId="1199" priority="1372" stopIfTrue="1" operator="equal">
      <formula>"1 Modify"</formula>
    </cfRule>
  </conditionalFormatting>
  <conditionalFormatting sqref="C459">
    <cfRule type="cellIs" dxfId="1198" priority="1373" stopIfTrue="1" operator="equal">
      <formula>"2 Add"</formula>
    </cfRule>
  </conditionalFormatting>
  <conditionalFormatting sqref="C459">
    <cfRule type="cellIs" dxfId="1197" priority="1374" stopIfTrue="1" operator="equal">
      <formula>"3 Delete"</formula>
    </cfRule>
  </conditionalFormatting>
  <conditionalFormatting sqref="C460">
    <cfRule type="cellIs" dxfId="1196" priority="1375" stopIfTrue="1" operator="equal">
      <formula>"1 Modify"</formula>
    </cfRule>
  </conditionalFormatting>
  <conditionalFormatting sqref="C460">
    <cfRule type="cellIs" dxfId="1195" priority="1376" stopIfTrue="1" operator="equal">
      <formula>"2 Add"</formula>
    </cfRule>
  </conditionalFormatting>
  <conditionalFormatting sqref="C460">
    <cfRule type="cellIs" dxfId="1194" priority="1377" stopIfTrue="1" operator="equal">
      <formula>"3 Delete"</formula>
    </cfRule>
  </conditionalFormatting>
  <conditionalFormatting sqref="C461">
    <cfRule type="cellIs" dxfId="1193" priority="1378" stopIfTrue="1" operator="equal">
      <formula>"1 Modify"</formula>
    </cfRule>
  </conditionalFormatting>
  <conditionalFormatting sqref="C461">
    <cfRule type="cellIs" dxfId="1192" priority="1379" stopIfTrue="1" operator="equal">
      <formula>"2 Add"</formula>
    </cfRule>
  </conditionalFormatting>
  <conditionalFormatting sqref="C461">
    <cfRule type="cellIs" dxfId="1191" priority="1380" stopIfTrue="1" operator="equal">
      <formula>"3 Delete"</formula>
    </cfRule>
  </conditionalFormatting>
  <conditionalFormatting sqref="C462">
    <cfRule type="cellIs" dxfId="1190" priority="1381" stopIfTrue="1" operator="equal">
      <formula>"1 Modify"</formula>
    </cfRule>
  </conditionalFormatting>
  <conditionalFormatting sqref="C462">
    <cfRule type="cellIs" dxfId="1189" priority="1382" stopIfTrue="1" operator="equal">
      <formula>"2 Add"</formula>
    </cfRule>
  </conditionalFormatting>
  <conditionalFormatting sqref="C462">
    <cfRule type="cellIs" dxfId="1188" priority="1383" stopIfTrue="1" operator="equal">
      <formula>"3 Delete"</formula>
    </cfRule>
  </conditionalFormatting>
  <conditionalFormatting sqref="C463">
    <cfRule type="cellIs" dxfId="1187" priority="1384" stopIfTrue="1" operator="equal">
      <formula>"1 Modify"</formula>
    </cfRule>
  </conditionalFormatting>
  <conditionalFormatting sqref="C463">
    <cfRule type="cellIs" dxfId="1186" priority="1385" stopIfTrue="1" operator="equal">
      <formula>"2 Add"</formula>
    </cfRule>
  </conditionalFormatting>
  <conditionalFormatting sqref="C463">
    <cfRule type="cellIs" dxfId="1185" priority="1386" stopIfTrue="1" operator="equal">
      <formula>"3 Delete"</formula>
    </cfRule>
  </conditionalFormatting>
  <conditionalFormatting sqref="C464">
    <cfRule type="cellIs" dxfId="1184" priority="1387" stopIfTrue="1" operator="equal">
      <formula>"1 Modify"</formula>
    </cfRule>
  </conditionalFormatting>
  <conditionalFormatting sqref="C464">
    <cfRule type="cellIs" dxfId="1183" priority="1388" stopIfTrue="1" operator="equal">
      <formula>"2 Add"</formula>
    </cfRule>
  </conditionalFormatting>
  <conditionalFormatting sqref="C464">
    <cfRule type="cellIs" dxfId="1182" priority="1389" stopIfTrue="1" operator="equal">
      <formula>"3 Delete"</formula>
    </cfRule>
  </conditionalFormatting>
  <conditionalFormatting sqref="C465">
    <cfRule type="cellIs" dxfId="1181" priority="1390" stopIfTrue="1" operator="equal">
      <formula>"1 Modify"</formula>
    </cfRule>
  </conditionalFormatting>
  <conditionalFormatting sqref="C465">
    <cfRule type="cellIs" dxfId="1180" priority="1391" stopIfTrue="1" operator="equal">
      <formula>"2 Add"</formula>
    </cfRule>
  </conditionalFormatting>
  <conditionalFormatting sqref="C465">
    <cfRule type="cellIs" dxfId="1179" priority="1392" stopIfTrue="1" operator="equal">
      <formula>"3 Delete"</formula>
    </cfRule>
  </conditionalFormatting>
  <conditionalFormatting sqref="C466">
    <cfRule type="cellIs" dxfId="1178" priority="1393" stopIfTrue="1" operator="equal">
      <formula>"1 Modify"</formula>
    </cfRule>
  </conditionalFormatting>
  <conditionalFormatting sqref="C466">
    <cfRule type="cellIs" dxfId="1177" priority="1394" stopIfTrue="1" operator="equal">
      <formula>"2 Add"</formula>
    </cfRule>
  </conditionalFormatting>
  <conditionalFormatting sqref="C466">
    <cfRule type="cellIs" dxfId="1176" priority="1395" stopIfTrue="1" operator="equal">
      <formula>"3 Delete"</formula>
    </cfRule>
  </conditionalFormatting>
  <conditionalFormatting sqref="C467">
    <cfRule type="cellIs" dxfId="1175" priority="1396" stopIfTrue="1" operator="equal">
      <formula>"1 Modify"</formula>
    </cfRule>
  </conditionalFormatting>
  <conditionalFormatting sqref="C467">
    <cfRule type="cellIs" dxfId="1174" priority="1397" stopIfTrue="1" operator="equal">
      <formula>"2 Add"</formula>
    </cfRule>
  </conditionalFormatting>
  <conditionalFormatting sqref="C467">
    <cfRule type="cellIs" dxfId="1173" priority="1398" stopIfTrue="1" operator="equal">
      <formula>"3 Delete"</formula>
    </cfRule>
  </conditionalFormatting>
  <conditionalFormatting sqref="C468">
    <cfRule type="cellIs" dxfId="1172" priority="1399" stopIfTrue="1" operator="equal">
      <formula>"1 Modify"</formula>
    </cfRule>
  </conditionalFormatting>
  <conditionalFormatting sqref="C468">
    <cfRule type="cellIs" dxfId="1171" priority="1400" stopIfTrue="1" operator="equal">
      <formula>"2 Add"</formula>
    </cfRule>
  </conditionalFormatting>
  <conditionalFormatting sqref="C468">
    <cfRule type="cellIs" dxfId="1170" priority="1401" stopIfTrue="1" operator="equal">
      <formula>"3 Delete"</formula>
    </cfRule>
  </conditionalFormatting>
  <conditionalFormatting sqref="C469">
    <cfRule type="cellIs" dxfId="1169" priority="1402" stopIfTrue="1" operator="equal">
      <formula>"1 Modify"</formula>
    </cfRule>
  </conditionalFormatting>
  <conditionalFormatting sqref="C469">
    <cfRule type="cellIs" dxfId="1168" priority="1403" stopIfTrue="1" operator="equal">
      <formula>"2 Add"</formula>
    </cfRule>
  </conditionalFormatting>
  <conditionalFormatting sqref="C469">
    <cfRule type="cellIs" dxfId="1167" priority="1404" stopIfTrue="1" operator="equal">
      <formula>"3 Delete"</formula>
    </cfRule>
  </conditionalFormatting>
  <conditionalFormatting sqref="C470">
    <cfRule type="cellIs" dxfId="1166" priority="1405" stopIfTrue="1" operator="equal">
      <formula>"1 Modify"</formula>
    </cfRule>
  </conditionalFormatting>
  <conditionalFormatting sqref="C470">
    <cfRule type="cellIs" dxfId="1165" priority="1406" stopIfTrue="1" operator="equal">
      <formula>"2 Add"</formula>
    </cfRule>
  </conditionalFormatting>
  <conditionalFormatting sqref="C470">
    <cfRule type="cellIs" dxfId="1164" priority="1407" stopIfTrue="1" operator="equal">
      <formula>"3 Delete"</formula>
    </cfRule>
  </conditionalFormatting>
  <conditionalFormatting sqref="C471">
    <cfRule type="cellIs" dxfId="1163" priority="1408" stopIfTrue="1" operator="equal">
      <formula>"1 Modify"</formula>
    </cfRule>
  </conditionalFormatting>
  <conditionalFormatting sqref="C471">
    <cfRule type="cellIs" dxfId="1162" priority="1409" stopIfTrue="1" operator="equal">
      <formula>"2 Add"</formula>
    </cfRule>
  </conditionalFormatting>
  <conditionalFormatting sqref="C471">
    <cfRule type="cellIs" dxfId="1161" priority="1410" stopIfTrue="1" operator="equal">
      <formula>"3 Delete"</formula>
    </cfRule>
  </conditionalFormatting>
  <conditionalFormatting sqref="C472">
    <cfRule type="cellIs" dxfId="1160" priority="1411" stopIfTrue="1" operator="equal">
      <formula>"1 Modify"</formula>
    </cfRule>
  </conditionalFormatting>
  <conditionalFormatting sqref="C472">
    <cfRule type="cellIs" dxfId="1159" priority="1412" stopIfTrue="1" operator="equal">
      <formula>"2 Add"</formula>
    </cfRule>
  </conditionalFormatting>
  <conditionalFormatting sqref="C472">
    <cfRule type="cellIs" dxfId="1158" priority="1413" stopIfTrue="1" operator="equal">
      <formula>"3 Delete"</formula>
    </cfRule>
  </conditionalFormatting>
  <conditionalFormatting sqref="C473">
    <cfRule type="cellIs" dxfId="1157" priority="1414" stopIfTrue="1" operator="equal">
      <formula>"1 Modify"</formula>
    </cfRule>
  </conditionalFormatting>
  <conditionalFormatting sqref="C473">
    <cfRule type="cellIs" dxfId="1156" priority="1415" stopIfTrue="1" operator="equal">
      <formula>"2 Add"</formula>
    </cfRule>
  </conditionalFormatting>
  <conditionalFormatting sqref="C473">
    <cfRule type="cellIs" dxfId="1155" priority="1416" stopIfTrue="1" operator="equal">
      <formula>"3 Delete"</formula>
    </cfRule>
  </conditionalFormatting>
  <conditionalFormatting sqref="C474">
    <cfRule type="cellIs" dxfId="1154" priority="1417" stopIfTrue="1" operator="equal">
      <formula>"1 Modify"</formula>
    </cfRule>
  </conditionalFormatting>
  <conditionalFormatting sqref="C474">
    <cfRule type="cellIs" dxfId="1153" priority="1418" stopIfTrue="1" operator="equal">
      <formula>"2 Add"</formula>
    </cfRule>
  </conditionalFormatting>
  <conditionalFormatting sqref="C474">
    <cfRule type="cellIs" dxfId="1152" priority="1419" stopIfTrue="1" operator="equal">
      <formula>"3 Delete"</formula>
    </cfRule>
  </conditionalFormatting>
  <conditionalFormatting sqref="C475">
    <cfRule type="cellIs" dxfId="1151" priority="1420" stopIfTrue="1" operator="equal">
      <formula>"1 Modify"</formula>
    </cfRule>
  </conditionalFormatting>
  <conditionalFormatting sqref="C475">
    <cfRule type="cellIs" dxfId="1150" priority="1421" stopIfTrue="1" operator="equal">
      <formula>"2 Add"</formula>
    </cfRule>
  </conditionalFormatting>
  <conditionalFormatting sqref="C475">
    <cfRule type="cellIs" dxfId="1149" priority="1422" stopIfTrue="1" operator="equal">
      <formula>"3 Delete"</formula>
    </cfRule>
  </conditionalFormatting>
  <conditionalFormatting sqref="C476">
    <cfRule type="cellIs" dxfId="1148" priority="1423" stopIfTrue="1" operator="equal">
      <formula>"1 Modify"</formula>
    </cfRule>
  </conditionalFormatting>
  <conditionalFormatting sqref="C476">
    <cfRule type="cellIs" dxfId="1147" priority="1424" stopIfTrue="1" operator="equal">
      <formula>"2 Add"</formula>
    </cfRule>
  </conditionalFormatting>
  <conditionalFormatting sqref="C476">
    <cfRule type="cellIs" dxfId="1146" priority="1425" stopIfTrue="1" operator="equal">
      <formula>"3 Delete"</formula>
    </cfRule>
  </conditionalFormatting>
  <conditionalFormatting sqref="C477">
    <cfRule type="cellIs" dxfId="1145" priority="1426" stopIfTrue="1" operator="equal">
      <formula>"1 Modify"</formula>
    </cfRule>
  </conditionalFormatting>
  <conditionalFormatting sqref="C477">
    <cfRule type="cellIs" dxfId="1144" priority="1427" stopIfTrue="1" operator="equal">
      <formula>"2 Add"</formula>
    </cfRule>
  </conditionalFormatting>
  <conditionalFormatting sqref="C477">
    <cfRule type="cellIs" dxfId="1143" priority="1428" stopIfTrue="1" operator="equal">
      <formula>"3 Delete"</formula>
    </cfRule>
  </conditionalFormatting>
  <conditionalFormatting sqref="C478">
    <cfRule type="cellIs" dxfId="1142" priority="1429" stopIfTrue="1" operator="equal">
      <formula>"1 Modify"</formula>
    </cfRule>
  </conditionalFormatting>
  <conditionalFormatting sqref="C478">
    <cfRule type="cellIs" dxfId="1141" priority="1430" stopIfTrue="1" operator="equal">
      <formula>"2 Add"</formula>
    </cfRule>
  </conditionalFormatting>
  <conditionalFormatting sqref="C478">
    <cfRule type="cellIs" dxfId="1140" priority="1431" stopIfTrue="1" operator="equal">
      <formula>"3 Delete"</formula>
    </cfRule>
  </conditionalFormatting>
  <conditionalFormatting sqref="C479">
    <cfRule type="cellIs" dxfId="1139" priority="1432" stopIfTrue="1" operator="equal">
      <formula>"1 Modify"</formula>
    </cfRule>
  </conditionalFormatting>
  <conditionalFormatting sqref="C479">
    <cfRule type="cellIs" dxfId="1138" priority="1433" stopIfTrue="1" operator="equal">
      <formula>"2 Add"</formula>
    </cfRule>
  </conditionalFormatting>
  <conditionalFormatting sqref="C479">
    <cfRule type="cellIs" dxfId="1137" priority="1434" stopIfTrue="1" operator="equal">
      <formula>"3 Delete"</formula>
    </cfRule>
  </conditionalFormatting>
  <conditionalFormatting sqref="C480">
    <cfRule type="cellIs" dxfId="1136" priority="1435" stopIfTrue="1" operator="equal">
      <formula>"1 Modify"</formula>
    </cfRule>
  </conditionalFormatting>
  <conditionalFormatting sqref="C480">
    <cfRule type="cellIs" dxfId="1135" priority="1436" stopIfTrue="1" operator="equal">
      <formula>"2 Add"</formula>
    </cfRule>
  </conditionalFormatting>
  <conditionalFormatting sqref="C480">
    <cfRule type="cellIs" dxfId="1134" priority="1437" stopIfTrue="1" operator="equal">
      <formula>"3 Delete"</formula>
    </cfRule>
  </conditionalFormatting>
  <conditionalFormatting sqref="C481">
    <cfRule type="cellIs" dxfId="1133" priority="1438" stopIfTrue="1" operator="equal">
      <formula>"1 Modify"</formula>
    </cfRule>
  </conditionalFormatting>
  <conditionalFormatting sqref="C481">
    <cfRule type="cellIs" dxfId="1132" priority="1439" stopIfTrue="1" operator="equal">
      <formula>"2 Add"</formula>
    </cfRule>
  </conditionalFormatting>
  <conditionalFormatting sqref="C481">
    <cfRule type="cellIs" dxfId="1131" priority="1440" stopIfTrue="1" operator="equal">
      <formula>"3 Delete"</formula>
    </cfRule>
  </conditionalFormatting>
  <conditionalFormatting sqref="C482">
    <cfRule type="cellIs" dxfId="1130" priority="1441" stopIfTrue="1" operator="equal">
      <formula>"1 Modify"</formula>
    </cfRule>
  </conditionalFormatting>
  <conditionalFormatting sqref="C482">
    <cfRule type="cellIs" dxfId="1129" priority="1442" stopIfTrue="1" operator="equal">
      <formula>"2 Add"</formula>
    </cfRule>
  </conditionalFormatting>
  <conditionalFormatting sqref="C482">
    <cfRule type="cellIs" dxfId="1128" priority="1443" stopIfTrue="1" operator="equal">
      <formula>"3 Delete"</formula>
    </cfRule>
  </conditionalFormatting>
  <conditionalFormatting sqref="C483">
    <cfRule type="cellIs" dxfId="1127" priority="1444" stopIfTrue="1" operator="equal">
      <formula>"1 Modify"</formula>
    </cfRule>
  </conditionalFormatting>
  <conditionalFormatting sqref="C483">
    <cfRule type="cellIs" dxfId="1126" priority="1445" stopIfTrue="1" operator="equal">
      <formula>"2 Add"</formula>
    </cfRule>
  </conditionalFormatting>
  <conditionalFormatting sqref="C483">
    <cfRule type="cellIs" dxfId="1125" priority="1446" stopIfTrue="1" operator="equal">
      <formula>"3 Delete"</formula>
    </cfRule>
  </conditionalFormatting>
  <conditionalFormatting sqref="C484">
    <cfRule type="cellIs" dxfId="1124" priority="1447" stopIfTrue="1" operator="equal">
      <formula>"1 Modify"</formula>
    </cfRule>
  </conditionalFormatting>
  <conditionalFormatting sqref="C484">
    <cfRule type="cellIs" dxfId="1123" priority="1448" stopIfTrue="1" operator="equal">
      <formula>"2 Add"</formula>
    </cfRule>
  </conditionalFormatting>
  <conditionalFormatting sqref="C484">
    <cfRule type="cellIs" dxfId="1122" priority="1449" stopIfTrue="1" operator="equal">
      <formula>"3 Delete"</formula>
    </cfRule>
  </conditionalFormatting>
  <conditionalFormatting sqref="C485">
    <cfRule type="cellIs" dxfId="1121" priority="1450" stopIfTrue="1" operator="equal">
      <formula>"1 Modify"</formula>
    </cfRule>
  </conditionalFormatting>
  <conditionalFormatting sqref="C485">
    <cfRule type="cellIs" dxfId="1120" priority="1451" stopIfTrue="1" operator="equal">
      <formula>"2 Add"</formula>
    </cfRule>
  </conditionalFormatting>
  <conditionalFormatting sqref="C485">
    <cfRule type="cellIs" dxfId="1119" priority="1452" stopIfTrue="1" operator="equal">
      <formula>"3 Delete"</formula>
    </cfRule>
  </conditionalFormatting>
  <conditionalFormatting sqref="C486">
    <cfRule type="cellIs" dxfId="1118" priority="1453" stopIfTrue="1" operator="equal">
      <formula>"1 Modify"</formula>
    </cfRule>
  </conditionalFormatting>
  <conditionalFormatting sqref="C486">
    <cfRule type="cellIs" dxfId="1117" priority="1454" stopIfTrue="1" operator="equal">
      <formula>"2 Add"</formula>
    </cfRule>
  </conditionalFormatting>
  <conditionalFormatting sqref="C486">
    <cfRule type="cellIs" dxfId="1116" priority="1455" stopIfTrue="1" operator="equal">
      <formula>"3 Delete"</formula>
    </cfRule>
  </conditionalFormatting>
  <conditionalFormatting sqref="C487">
    <cfRule type="cellIs" dxfId="1115" priority="1456" stopIfTrue="1" operator="equal">
      <formula>"1 Modify"</formula>
    </cfRule>
  </conditionalFormatting>
  <conditionalFormatting sqref="C487">
    <cfRule type="cellIs" dxfId="1114" priority="1457" stopIfTrue="1" operator="equal">
      <formula>"2 Add"</formula>
    </cfRule>
  </conditionalFormatting>
  <conditionalFormatting sqref="C487">
    <cfRule type="cellIs" dxfId="1113" priority="1458" stopIfTrue="1" operator="equal">
      <formula>"3 Delete"</formula>
    </cfRule>
  </conditionalFormatting>
  <conditionalFormatting sqref="C488">
    <cfRule type="cellIs" dxfId="1112" priority="1459" stopIfTrue="1" operator="equal">
      <formula>"1 Modify"</formula>
    </cfRule>
  </conditionalFormatting>
  <conditionalFormatting sqref="C488">
    <cfRule type="cellIs" dxfId="1111" priority="1460" stopIfTrue="1" operator="equal">
      <formula>"2 Add"</formula>
    </cfRule>
  </conditionalFormatting>
  <conditionalFormatting sqref="C488">
    <cfRule type="cellIs" dxfId="1110" priority="1461" stopIfTrue="1" operator="equal">
      <formula>"3 Delete"</formula>
    </cfRule>
  </conditionalFormatting>
  <conditionalFormatting sqref="C489">
    <cfRule type="cellIs" dxfId="1109" priority="1462" stopIfTrue="1" operator="equal">
      <formula>"1 Modify"</formula>
    </cfRule>
  </conditionalFormatting>
  <conditionalFormatting sqref="C489">
    <cfRule type="cellIs" dxfId="1108" priority="1463" stopIfTrue="1" operator="equal">
      <formula>"2 Add"</formula>
    </cfRule>
  </conditionalFormatting>
  <conditionalFormatting sqref="C489">
    <cfRule type="cellIs" dxfId="1107" priority="1464" stopIfTrue="1" operator="equal">
      <formula>"3 Delete"</formula>
    </cfRule>
  </conditionalFormatting>
  <conditionalFormatting sqref="C490">
    <cfRule type="cellIs" dxfId="1106" priority="1465" stopIfTrue="1" operator="equal">
      <formula>"1 Modify"</formula>
    </cfRule>
  </conditionalFormatting>
  <conditionalFormatting sqref="C490">
    <cfRule type="cellIs" dxfId="1105" priority="1466" stopIfTrue="1" operator="equal">
      <formula>"2 Add"</formula>
    </cfRule>
  </conditionalFormatting>
  <conditionalFormatting sqref="C490">
    <cfRule type="cellIs" dxfId="1104" priority="1467" stopIfTrue="1" operator="equal">
      <formula>"3 Delete"</formula>
    </cfRule>
  </conditionalFormatting>
  <conditionalFormatting sqref="C491">
    <cfRule type="cellIs" dxfId="1103" priority="1468" stopIfTrue="1" operator="equal">
      <formula>"1 Modify"</formula>
    </cfRule>
  </conditionalFormatting>
  <conditionalFormatting sqref="C491">
    <cfRule type="cellIs" dxfId="1102" priority="1469" stopIfTrue="1" operator="equal">
      <formula>"2 Add"</formula>
    </cfRule>
  </conditionalFormatting>
  <conditionalFormatting sqref="C491">
    <cfRule type="cellIs" dxfId="1101" priority="1470" stopIfTrue="1" operator="equal">
      <formula>"3 Delete"</formula>
    </cfRule>
  </conditionalFormatting>
  <conditionalFormatting sqref="C492">
    <cfRule type="cellIs" dxfId="1100" priority="1471" stopIfTrue="1" operator="equal">
      <formula>"1 Modify"</formula>
    </cfRule>
  </conditionalFormatting>
  <conditionalFormatting sqref="C492">
    <cfRule type="cellIs" dxfId="1099" priority="1472" stopIfTrue="1" operator="equal">
      <formula>"2 Add"</formula>
    </cfRule>
  </conditionalFormatting>
  <conditionalFormatting sqref="C492">
    <cfRule type="cellIs" dxfId="1098" priority="1473" stopIfTrue="1" operator="equal">
      <formula>"3 Delete"</formula>
    </cfRule>
  </conditionalFormatting>
  <conditionalFormatting sqref="C493">
    <cfRule type="cellIs" dxfId="1097" priority="1474" stopIfTrue="1" operator="equal">
      <formula>"1 Modify"</formula>
    </cfRule>
  </conditionalFormatting>
  <conditionalFormatting sqref="C493">
    <cfRule type="cellIs" dxfId="1096" priority="1475" stopIfTrue="1" operator="equal">
      <formula>"2 Add"</formula>
    </cfRule>
  </conditionalFormatting>
  <conditionalFormatting sqref="C493">
    <cfRule type="cellIs" dxfId="1095" priority="1476" stopIfTrue="1" operator="equal">
      <formula>"3 Delete"</formula>
    </cfRule>
  </conditionalFormatting>
  <conditionalFormatting sqref="C494">
    <cfRule type="cellIs" dxfId="1094" priority="1477" stopIfTrue="1" operator="equal">
      <formula>"1 Modify"</formula>
    </cfRule>
  </conditionalFormatting>
  <conditionalFormatting sqref="C494">
    <cfRule type="cellIs" dxfId="1093" priority="1478" stopIfTrue="1" operator="equal">
      <formula>"2 Add"</formula>
    </cfRule>
  </conditionalFormatting>
  <conditionalFormatting sqref="C494">
    <cfRule type="cellIs" dxfId="1092" priority="1479" stopIfTrue="1" operator="equal">
      <formula>"3 Delete"</formula>
    </cfRule>
  </conditionalFormatting>
  <conditionalFormatting sqref="C495">
    <cfRule type="cellIs" dxfId="1091" priority="1480" stopIfTrue="1" operator="equal">
      <formula>"1 Modify"</formula>
    </cfRule>
  </conditionalFormatting>
  <conditionalFormatting sqref="C495">
    <cfRule type="cellIs" dxfId="1090" priority="1481" stopIfTrue="1" operator="equal">
      <formula>"2 Add"</formula>
    </cfRule>
  </conditionalFormatting>
  <conditionalFormatting sqref="C495">
    <cfRule type="cellIs" dxfId="1089" priority="1482" stopIfTrue="1" operator="equal">
      <formula>"3 Delete"</formula>
    </cfRule>
  </conditionalFormatting>
  <conditionalFormatting sqref="C496">
    <cfRule type="cellIs" dxfId="1088" priority="1483" stopIfTrue="1" operator="equal">
      <formula>"1 Modify"</formula>
    </cfRule>
  </conditionalFormatting>
  <conditionalFormatting sqref="C496">
    <cfRule type="cellIs" dxfId="1087" priority="1484" stopIfTrue="1" operator="equal">
      <formula>"2 Add"</formula>
    </cfRule>
  </conditionalFormatting>
  <conditionalFormatting sqref="C496">
    <cfRule type="cellIs" dxfId="1086" priority="1485" stopIfTrue="1" operator="equal">
      <formula>"3 Delete"</formula>
    </cfRule>
  </conditionalFormatting>
  <conditionalFormatting sqref="C497">
    <cfRule type="cellIs" dxfId="1085" priority="1486" stopIfTrue="1" operator="equal">
      <formula>"1 Modify"</formula>
    </cfRule>
  </conditionalFormatting>
  <conditionalFormatting sqref="C497">
    <cfRule type="cellIs" dxfId="1084" priority="1487" stopIfTrue="1" operator="equal">
      <formula>"2 Add"</formula>
    </cfRule>
  </conditionalFormatting>
  <conditionalFormatting sqref="C497">
    <cfRule type="cellIs" dxfId="1083" priority="1488" stopIfTrue="1" operator="equal">
      <formula>"3 Delete"</formula>
    </cfRule>
  </conditionalFormatting>
  <conditionalFormatting sqref="C498">
    <cfRule type="cellIs" dxfId="1082" priority="1489" stopIfTrue="1" operator="equal">
      <formula>"1 Modify"</formula>
    </cfRule>
  </conditionalFormatting>
  <conditionalFormatting sqref="C498">
    <cfRule type="cellIs" dxfId="1081" priority="1490" stopIfTrue="1" operator="equal">
      <formula>"2 Add"</formula>
    </cfRule>
  </conditionalFormatting>
  <conditionalFormatting sqref="C498">
    <cfRule type="cellIs" dxfId="1080" priority="1491" stopIfTrue="1" operator="equal">
      <formula>"3 Delete"</formula>
    </cfRule>
  </conditionalFormatting>
  <conditionalFormatting sqref="C499">
    <cfRule type="cellIs" dxfId="1079" priority="1492" stopIfTrue="1" operator="equal">
      <formula>"1 Modify"</formula>
    </cfRule>
  </conditionalFormatting>
  <conditionalFormatting sqref="C499">
    <cfRule type="cellIs" dxfId="1078" priority="1493" stopIfTrue="1" operator="equal">
      <formula>"2 Add"</formula>
    </cfRule>
  </conditionalFormatting>
  <conditionalFormatting sqref="C499">
    <cfRule type="cellIs" dxfId="1077" priority="1494" stopIfTrue="1" operator="equal">
      <formula>"3 Delete"</formula>
    </cfRule>
  </conditionalFormatting>
  <conditionalFormatting sqref="C500">
    <cfRule type="cellIs" dxfId="1076" priority="1495" stopIfTrue="1" operator="equal">
      <formula>"1 Modify"</formula>
    </cfRule>
  </conditionalFormatting>
  <conditionalFormatting sqref="C500">
    <cfRule type="cellIs" dxfId="1075" priority="1496" stopIfTrue="1" operator="equal">
      <formula>"2 Add"</formula>
    </cfRule>
  </conditionalFormatting>
  <conditionalFormatting sqref="C500">
    <cfRule type="cellIs" dxfId="1074" priority="1497" stopIfTrue="1" operator="equal">
      <formula>"3 Delete"</formula>
    </cfRule>
  </conditionalFormatting>
  <conditionalFormatting sqref="C501">
    <cfRule type="cellIs" dxfId="1073" priority="1498" stopIfTrue="1" operator="equal">
      <formula>"1 Modify"</formula>
    </cfRule>
  </conditionalFormatting>
  <conditionalFormatting sqref="C501">
    <cfRule type="cellIs" dxfId="1072" priority="1499" stopIfTrue="1" operator="equal">
      <formula>"2 Add"</formula>
    </cfRule>
  </conditionalFormatting>
  <conditionalFormatting sqref="C501">
    <cfRule type="cellIs" dxfId="1071" priority="1500" stopIfTrue="1" operator="equal">
      <formula>"3 Delete"</formula>
    </cfRule>
  </conditionalFormatting>
  <conditionalFormatting sqref="C502">
    <cfRule type="cellIs" dxfId="1070" priority="1501" stopIfTrue="1" operator="equal">
      <formula>"1 Modify"</formula>
    </cfRule>
  </conditionalFormatting>
  <conditionalFormatting sqref="C502">
    <cfRule type="cellIs" dxfId="1069" priority="1502" stopIfTrue="1" operator="equal">
      <formula>"2 Add"</formula>
    </cfRule>
  </conditionalFormatting>
  <conditionalFormatting sqref="C502">
    <cfRule type="cellIs" dxfId="1068" priority="1503" stopIfTrue="1" operator="equal">
      <formula>"3 Delete"</formula>
    </cfRule>
  </conditionalFormatting>
  <conditionalFormatting sqref="C503">
    <cfRule type="cellIs" dxfId="1067" priority="1504" stopIfTrue="1" operator="equal">
      <formula>"1 Modify"</formula>
    </cfRule>
  </conditionalFormatting>
  <conditionalFormatting sqref="C503">
    <cfRule type="cellIs" dxfId="1066" priority="1505" stopIfTrue="1" operator="equal">
      <formula>"2 Add"</formula>
    </cfRule>
  </conditionalFormatting>
  <conditionalFormatting sqref="C503">
    <cfRule type="cellIs" dxfId="1065" priority="1506" stopIfTrue="1" operator="equal">
      <formula>"3 Delete"</formula>
    </cfRule>
  </conditionalFormatting>
  <conditionalFormatting sqref="C504">
    <cfRule type="cellIs" dxfId="1064" priority="1507" stopIfTrue="1" operator="equal">
      <formula>"1 Modify"</formula>
    </cfRule>
  </conditionalFormatting>
  <conditionalFormatting sqref="C504">
    <cfRule type="cellIs" dxfId="1063" priority="1508" stopIfTrue="1" operator="equal">
      <formula>"2 Add"</formula>
    </cfRule>
  </conditionalFormatting>
  <conditionalFormatting sqref="C504">
    <cfRule type="cellIs" dxfId="1062" priority="1509" stopIfTrue="1" operator="equal">
      <formula>"3 Delete"</formula>
    </cfRule>
  </conditionalFormatting>
  <conditionalFormatting sqref="C505">
    <cfRule type="cellIs" dxfId="1061" priority="1510" stopIfTrue="1" operator="equal">
      <formula>"1 Modify"</formula>
    </cfRule>
  </conditionalFormatting>
  <conditionalFormatting sqref="C505">
    <cfRule type="cellIs" dxfId="1060" priority="1511" stopIfTrue="1" operator="equal">
      <formula>"2 Add"</formula>
    </cfRule>
  </conditionalFormatting>
  <conditionalFormatting sqref="C505">
    <cfRule type="cellIs" dxfId="1059" priority="1512" stopIfTrue="1" operator="equal">
      <formula>"3 Delete"</formula>
    </cfRule>
  </conditionalFormatting>
  <conditionalFormatting sqref="C506">
    <cfRule type="cellIs" dxfId="1058" priority="1513" stopIfTrue="1" operator="equal">
      <formula>"1 Modify"</formula>
    </cfRule>
  </conditionalFormatting>
  <conditionalFormatting sqref="C506">
    <cfRule type="cellIs" dxfId="1057" priority="1514" stopIfTrue="1" operator="equal">
      <formula>"2 Add"</formula>
    </cfRule>
  </conditionalFormatting>
  <conditionalFormatting sqref="C506">
    <cfRule type="cellIs" dxfId="1056" priority="1515" stopIfTrue="1" operator="equal">
      <formula>"3 Delete"</formula>
    </cfRule>
  </conditionalFormatting>
  <conditionalFormatting sqref="C507">
    <cfRule type="cellIs" dxfId="1055" priority="1516" stopIfTrue="1" operator="equal">
      <formula>"1 Modify"</formula>
    </cfRule>
  </conditionalFormatting>
  <conditionalFormatting sqref="C507">
    <cfRule type="cellIs" dxfId="1054" priority="1517" stopIfTrue="1" operator="equal">
      <formula>"2 Add"</formula>
    </cfRule>
  </conditionalFormatting>
  <conditionalFormatting sqref="C507">
    <cfRule type="cellIs" dxfId="1053" priority="1518" stopIfTrue="1" operator="equal">
      <formula>"3 Delete"</formula>
    </cfRule>
  </conditionalFormatting>
  <conditionalFormatting sqref="C508">
    <cfRule type="cellIs" dxfId="1052" priority="1519" stopIfTrue="1" operator="equal">
      <formula>"1 Modify"</formula>
    </cfRule>
  </conditionalFormatting>
  <conditionalFormatting sqref="C508">
    <cfRule type="cellIs" dxfId="1051" priority="1520" stopIfTrue="1" operator="equal">
      <formula>"2 Add"</formula>
    </cfRule>
  </conditionalFormatting>
  <conditionalFormatting sqref="C508">
    <cfRule type="cellIs" dxfId="1050" priority="1521" stopIfTrue="1" operator="equal">
      <formula>"3 Delete"</formula>
    </cfRule>
  </conditionalFormatting>
  <conditionalFormatting sqref="C509">
    <cfRule type="cellIs" dxfId="1049" priority="1522" stopIfTrue="1" operator="equal">
      <formula>"1 Modify"</formula>
    </cfRule>
  </conditionalFormatting>
  <conditionalFormatting sqref="C509">
    <cfRule type="cellIs" dxfId="1048" priority="1523" stopIfTrue="1" operator="equal">
      <formula>"2 Add"</formula>
    </cfRule>
  </conditionalFormatting>
  <conditionalFormatting sqref="C509">
    <cfRule type="cellIs" dxfId="1047" priority="1524" stopIfTrue="1" operator="equal">
      <formula>"3 Delete"</formula>
    </cfRule>
  </conditionalFormatting>
  <conditionalFormatting sqref="C510">
    <cfRule type="cellIs" dxfId="1046" priority="1525" stopIfTrue="1" operator="equal">
      <formula>"1 Modify"</formula>
    </cfRule>
  </conditionalFormatting>
  <conditionalFormatting sqref="C510">
    <cfRule type="cellIs" dxfId="1045" priority="1526" stopIfTrue="1" operator="equal">
      <formula>"2 Add"</formula>
    </cfRule>
  </conditionalFormatting>
  <conditionalFormatting sqref="C510">
    <cfRule type="cellIs" dxfId="1044" priority="1527" stopIfTrue="1" operator="equal">
      <formula>"3 Delete"</formula>
    </cfRule>
  </conditionalFormatting>
  <conditionalFormatting sqref="C511">
    <cfRule type="cellIs" dxfId="1043" priority="1528" stopIfTrue="1" operator="equal">
      <formula>"1 Modify"</formula>
    </cfRule>
  </conditionalFormatting>
  <conditionalFormatting sqref="C511">
    <cfRule type="cellIs" dxfId="1042" priority="1529" stopIfTrue="1" operator="equal">
      <formula>"2 Add"</formula>
    </cfRule>
  </conditionalFormatting>
  <conditionalFormatting sqref="C511">
    <cfRule type="cellIs" dxfId="1041" priority="1530" stopIfTrue="1" operator="equal">
      <formula>"3 Delete"</formula>
    </cfRule>
  </conditionalFormatting>
  <conditionalFormatting sqref="C512">
    <cfRule type="cellIs" dxfId="1040" priority="1531" stopIfTrue="1" operator="equal">
      <formula>"1 Modify"</formula>
    </cfRule>
  </conditionalFormatting>
  <conditionalFormatting sqref="C512">
    <cfRule type="cellIs" dxfId="1039" priority="1532" stopIfTrue="1" operator="equal">
      <formula>"2 Add"</formula>
    </cfRule>
  </conditionalFormatting>
  <conditionalFormatting sqref="C512">
    <cfRule type="cellIs" dxfId="1038" priority="1533" stopIfTrue="1" operator="equal">
      <formula>"3 Delete"</formula>
    </cfRule>
  </conditionalFormatting>
  <conditionalFormatting sqref="C513">
    <cfRule type="cellIs" dxfId="1037" priority="1534" stopIfTrue="1" operator="equal">
      <formula>"1 Modify"</formula>
    </cfRule>
  </conditionalFormatting>
  <conditionalFormatting sqref="C513">
    <cfRule type="cellIs" dxfId="1036" priority="1535" stopIfTrue="1" operator="equal">
      <formula>"2 Add"</formula>
    </cfRule>
  </conditionalFormatting>
  <conditionalFormatting sqref="C513">
    <cfRule type="cellIs" dxfId="1035" priority="1536" stopIfTrue="1" operator="equal">
      <formula>"3 Delete"</formula>
    </cfRule>
  </conditionalFormatting>
  <conditionalFormatting sqref="C514">
    <cfRule type="cellIs" dxfId="1034" priority="1537" stopIfTrue="1" operator="equal">
      <formula>"1 Modify"</formula>
    </cfRule>
  </conditionalFormatting>
  <conditionalFormatting sqref="C514">
    <cfRule type="cellIs" dxfId="1033" priority="1538" stopIfTrue="1" operator="equal">
      <formula>"2 Add"</formula>
    </cfRule>
  </conditionalFormatting>
  <conditionalFormatting sqref="C514">
    <cfRule type="cellIs" dxfId="1032" priority="1539" stopIfTrue="1" operator="equal">
      <formula>"3 Delete"</formula>
    </cfRule>
  </conditionalFormatting>
  <conditionalFormatting sqref="C515">
    <cfRule type="cellIs" dxfId="1031" priority="1540" stopIfTrue="1" operator="equal">
      <formula>"1 Modify"</formula>
    </cfRule>
  </conditionalFormatting>
  <conditionalFormatting sqref="C515">
    <cfRule type="cellIs" dxfId="1030" priority="1541" stopIfTrue="1" operator="equal">
      <formula>"2 Add"</formula>
    </cfRule>
  </conditionalFormatting>
  <conditionalFormatting sqref="C515">
    <cfRule type="cellIs" dxfId="1029" priority="1542" stopIfTrue="1" operator="equal">
      <formula>"3 Delete"</formula>
    </cfRule>
  </conditionalFormatting>
  <conditionalFormatting sqref="C516">
    <cfRule type="cellIs" dxfId="1028" priority="1543" stopIfTrue="1" operator="equal">
      <formula>"1 Modify"</formula>
    </cfRule>
  </conditionalFormatting>
  <conditionalFormatting sqref="C516">
    <cfRule type="cellIs" dxfId="1027" priority="1544" stopIfTrue="1" operator="equal">
      <formula>"2 Add"</formula>
    </cfRule>
  </conditionalFormatting>
  <conditionalFormatting sqref="C516">
    <cfRule type="cellIs" dxfId="1026" priority="1545" stopIfTrue="1" operator="equal">
      <formula>"3 Delete"</formula>
    </cfRule>
  </conditionalFormatting>
  <conditionalFormatting sqref="C517">
    <cfRule type="cellIs" dxfId="1025" priority="1546" stopIfTrue="1" operator="equal">
      <formula>"1 Modify"</formula>
    </cfRule>
  </conditionalFormatting>
  <conditionalFormatting sqref="C517">
    <cfRule type="cellIs" dxfId="1024" priority="1547" stopIfTrue="1" operator="equal">
      <formula>"2 Add"</formula>
    </cfRule>
  </conditionalFormatting>
  <conditionalFormatting sqref="C517">
    <cfRule type="cellIs" dxfId="1023" priority="1548" stopIfTrue="1" operator="equal">
      <formula>"3 Delete"</formula>
    </cfRule>
  </conditionalFormatting>
  <conditionalFormatting sqref="C518">
    <cfRule type="cellIs" dxfId="1022" priority="1549" stopIfTrue="1" operator="equal">
      <formula>"1 Modify"</formula>
    </cfRule>
  </conditionalFormatting>
  <conditionalFormatting sqref="C518">
    <cfRule type="cellIs" dxfId="1021" priority="1550" stopIfTrue="1" operator="equal">
      <formula>"2 Add"</formula>
    </cfRule>
  </conditionalFormatting>
  <conditionalFormatting sqref="C518">
    <cfRule type="cellIs" dxfId="1020" priority="1551" stopIfTrue="1" operator="equal">
      <formula>"3 Delete"</formula>
    </cfRule>
  </conditionalFormatting>
  <conditionalFormatting sqref="C519">
    <cfRule type="cellIs" dxfId="1019" priority="1552" stopIfTrue="1" operator="equal">
      <formula>"1 Modify"</formula>
    </cfRule>
  </conditionalFormatting>
  <conditionalFormatting sqref="C519">
    <cfRule type="cellIs" dxfId="1018" priority="1553" stopIfTrue="1" operator="equal">
      <formula>"2 Add"</formula>
    </cfRule>
  </conditionalFormatting>
  <conditionalFormatting sqref="C519">
    <cfRule type="cellIs" dxfId="1017" priority="1554" stopIfTrue="1" operator="equal">
      <formula>"3 Delete"</formula>
    </cfRule>
  </conditionalFormatting>
  <conditionalFormatting sqref="C520">
    <cfRule type="cellIs" dxfId="1016" priority="1555" stopIfTrue="1" operator="equal">
      <formula>"1 Modify"</formula>
    </cfRule>
  </conditionalFormatting>
  <conditionalFormatting sqref="C520">
    <cfRule type="cellIs" dxfId="1015" priority="1556" stopIfTrue="1" operator="equal">
      <formula>"2 Add"</formula>
    </cfRule>
  </conditionalFormatting>
  <conditionalFormatting sqref="C520">
    <cfRule type="cellIs" dxfId="1014" priority="1557" stopIfTrue="1" operator="equal">
      <formula>"3 Delete"</formula>
    </cfRule>
  </conditionalFormatting>
  <conditionalFormatting sqref="C521">
    <cfRule type="cellIs" dxfId="1013" priority="1558" stopIfTrue="1" operator="equal">
      <formula>"1 Modify"</formula>
    </cfRule>
  </conditionalFormatting>
  <conditionalFormatting sqref="C521">
    <cfRule type="cellIs" dxfId="1012" priority="1559" stopIfTrue="1" operator="equal">
      <formula>"2 Add"</formula>
    </cfRule>
  </conditionalFormatting>
  <conditionalFormatting sqref="C521">
    <cfRule type="cellIs" dxfId="1011" priority="1560" stopIfTrue="1" operator="equal">
      <formula>"3 Delete"</formula>
    </cfRule>
  </conditionalFormatting>
  <conditionalFormatting sqref="C522">
    <cfRule type="cellIs" dxfId="1010" priority="1561" stopIfTrue="1" operator="equal">
      <formula>"1 Modify"</formula>
    </cfRule>
  </conditionalFormatting>
  <conditionalFormatting sqref="C522">
    <cfRule type="cellIs" dxfId="1009" priority="1562" stopIfTrue="1" operator="equal">
      <formula>"2 Add"</formula>
    </cfRule>
  </conditionalFormatting>
  <conditionalFormatting sqref="C522">
    <cfRule type="cellIs" dxfId="1008" priority="1563" stopIfTrue="1" operator="equal">
      <formula>"3 Delete"</formula>
    </cfRule>
  </conditionalFormatting>
  <conditionalFormatting sqref="C523">
    <cfRule type="cellIs" dxfId="1007" priority="1564" stopIfTrue="1" operator="equal">
      <formula>"1 Modify"</formula>
    </cfRule>
  </conditionalFormatting>
  <conditionalFormatting sqref="C523">
    <cfRule type="cellIs" dxfId="1006" priority="1565" stopIfTrue="1" operator="equal">
      <formula>"2 Add"</formula>
    </cfRule>
  </conditionalFormatting>
  <conditionalFormatting sqref="C523">
    <cfRule type="cellIs" dxfId="1005" priority="1566" stopIfTrue="1" operator="equal">
      <formula>"3 Delete"</formula>
    </cfRule>
  </conditionalFormatting>
  <conditionalFormatting sqref="C524">
    <cfRule type="cellIs" dxfId="1004" priority="1567" stopIfTrue="1" operator="equal">
      <formula>"1 Modify"</formula>
    </cfRule>
  </conditionalFormatting>
  <conditionalFormatting sqref="C524">
    <cfRule type="cellIs" dxfId="1003" priority="1568" stopIfTrue="1" operator="equal">
      <formula>"2 Add"</formula>
    </cfRule>
  </conditionalFormatting>
  <conditionalFormatting sqref="C524">
    <cfRule type="cellIs" dxfId="1002" priority="1569" stopIfTrue="1" operator="equal">
      <formula>"3 Delete"</formula>
    </cfRule>
  </conditionalFormatting>
  <conditionalFormatting sqref="C525">
    <cfRule type="cellIs" dxfId="1001" priority="1570" stopIfTrue="1" operator="equal">
      <formula>"1 Modify"</formula>
    </cfRule>
  </conditionalFormatting>
  <conditionalFormatting sqref="C525">
    <cfRule type="cellIs" dxfId="1000" priority="1571" stopIfTrue="1" operator="equal">
      <formula>"2 Add"</formula>
    </cfRule>
  </conditionalFormatting>
  <conditionalFormatting sqref="C525">
    <cfRule type="cellIs" dxfId="999" priority="1572" stopIfTrue="1" operator="equal">
      <formula>"3 Delete"</formula>
    </cfRule>
  </conditionalFormatting>
  <conditionalFormatting sqref="C526">
    <cfRule type="cellIs" dxfId="998" priority="1573" stopIfTrue="1" operator="equal">
      <formula>"1 Modify"</formula>
    </cfRule>
  </conditionalFormatting>
  <conditionalFormatting sqref="C526">
    <cfRule type="cellIs" dxfId="997" priority="1574" stopIfTrue="1" operator="equal">
      <formula>"2 Add"</formula>
    </cfRule>
  </conditionalFormatting>
  <conditionalFormatting sqref="C526">
    <cfRule type="cellIs" dxfId="996" priority="1575" stopIfTrue="1" operator="equal">
      <formula>"3 Delete"</formula>
    </cfRule>
  </conditionalFormatting>
  <conditionalFormatting sqref="C527">
    <cfRule type="cellIs" dxfId="995" priority="1576" stopIfTrue="1" operator="equal">
      <formula>"1 Modify"</formula>
    </cfRule>
  </conditionalFormatting>
  <conditionalFormatting sqref="C527">
    <cfRule type="cellIs" dxfId="994" priority="1577" stopIfTrue="1" operator="equal">
      <formula>"2 Add"</formula>
    </cfRule>
  </conditionalFormatting>
  <conditionalFormatting sqref="C527">
    <cfRule type="cellIs" dxfId="993" priority="1578" stopIfTrue="1" operator="equal">
      <formula>"3 Delete"</formula>
    </cfRule>
  </conditionalFormatting>
  <conditionalFormatting sqref="C528">
    <cfRule type="cellIs" dxfId="992" priority="1579" stopIfTrue="1" operator="equal">
      <formula>"1 Modify"</formula>
    </cfRule>
  </conditionalFormatting>
  <conditionalFormatting sqref="C528">
    <cfRule type="cellIs" dxfId="991" priority="1580" stopIfTrue="1" operator="equal">
      <formula>"2 Add"</formula>
    </cfRule>
  </conditionalFormatting>
  <conditionalFormatting sqref="C528">
    <cfRule type="cellIs" dxfId="990" priority="1581" stopIfTrue="1" operator="equal">
      <formula>"3 Delete"</formula>
    </cfRule>
  </conditionalFormatting>
  <conditionalFormatting sqref="C529">
    <cfRule type="cellIs" dxfId="989" priority="1582" stopIfTrue="1" operator="equal">
      <formula>"1 Modify"</formula>
    </cfRule>
  </conditionalFormatting>
  <conditionalFormatting sqref="C529">
    <cfRule type="cellIs" dxfId="988" priority="1583" stopIfTrue="1" operator="equal">
      <formula>"2 Add"</formula>
    </cfRule>
  </conditionalFormatting>
  <conditionalFormatting sqref="C529">
    <cfRule type="cellIs" dxfId="987" priority="1584" stopIfTrue="1" operator="equal">
      <formula>"3 Delete"</formula>
    </cfRule>
  </conditionalFormatting>
  <conditionalFormatting sqref="C530">
    <cfRule type="cellIs" dxfId="986" priority="1585" stopIfTrue="1" operator="equal">
      <formula>"1 Modify"</formula>
    </cfRule>
  </conditionalFormatting>
  <conditionalFormatting sqref="C530">
    <cfRule type="cellIs" dxfId="985" priority="1586" stopIfTrue="1" operator="equal">
      <formula>"2 Add"</formula>
    </cfRule>
  </conditionalFormatting>
  <conditionalFormatting sqref="C530">
    <cfRule type="cellIs" dxfId="984" priority="1587" stopIfTrue="1" operator="equal">
      <formula>"3 Delete"</formula>
    </cfRule>
  </conditionalFormatting>
  <conditionalFormatting sqref="C531">
    <cfRule type="cellIs" dxfId="983" priority="1588" stopIfTrue="1" operator="equal">
      <formula>"1 Modify"</formula>
    </cfRule>
  </conditionalFormatting>
  <conditionalFormatting sqref="C531">
    <cfRule type="cellIs" dxfId="982" priority="1589" stopIfTrue="1" operator="equal">
      <formula>"2 Add"</formula>
    </cfRule>
  </conditionalFormatting>
  <conditionalFormatting sqref="C531">
    <cfRule type="cellIs" dxfId="981" priority="1590" stopIfTrue="1" operator="equal">
      <formula>"3 Delete"</formula>
    </cfRule>
  </conditionalFormatting>
  <conditionalFormatting sqref="C532">
    <cfRule type="cellIs" dxfId="980" priority="1591" stopIfTrue="1" operator="equal">
      <formula>"1 Modify"</formula>
    </cfRule>
  </conditionalFormatting>
  <conditionalFormatting sqref="C532">
    <cfRule type="cellIs" dxfId="979" priority="1592" stopIfTrue="1" operator="equal">
      <formula>"2 Add"</formula>
    </cfRule>
  </conditionalFormatting>
  <conditionalFormatting sqref="C532">
    <cfRule type="cellIs" dxfId="978" priority="1593" stopIfTrue="1" operator="equal">
      <formula>"3 Delete"</formula>
    </cfRule>
  </conditionalFormatting>
  <conditionalFormatting sqref="C533">
    <cfRule type="cellIs" dxfId="977" priority="1594" stopIfTrue="1" operator="equal">
      <formula>"1 Modify"</formula>
    </cfRule>
  </conditionalFormatting>
  <conditionalFormatting sqref="C533">
    <cfRule type="cellIs" dxfId="976" priority="1595" stopIfTrue="1" operator="equal">
      <formula>"2 Add"</formula>
    </cfRule>
  </conditionalFormatting>
  <conditionalFormatting sqref="C533">
    <cfRule type="cellIs" dxfId="975" priority="1596" stopIfTrue="1" operator="equal">
      <formula>"3 Delete"</formula>
    </cfRule>
  </conditionalFormatting>
  <conditionalFormatting sqref="C534">
    <cfRule type="cellIs" dxfId="974" priority="1597" stopIfTrue="1" operator="equal">
      <formula>"1 Modify"</formula>
    </cfRule>
  </conditionalFormatting>
  <conditionalFormatting sqref="C534">
    <cfRule type="cellIs" dxfId="973" priority="1598" stopIfTrue="1" operator="equal">
      <formula>"2 Add"</formula>
    </cfRule>
  </conditionalFormatting>
  <conditionalFormatting sqref="C534">
    <cfRule type="cellIs" dxfId="972" priority="1599" stopIfTrue="1" operator="equal">
      <formula>"3 Delete"</formula>
    </cfRule>
  </conditionalFormatting>
  <conditionalFormatting sqref="C535">
    <cfRule type="cellIs" dxfId="971" priority="1600" stopIfTrue="1" operator="equal">
      <formula>"1 Modify"</formula>
    </cfRule>
  </conditionalFormatting>
  <conditionalFormatting sqref="C535">
    <cfRule type="cellIs" dxfId="970" priority="1601" stopIfTrue="1" operator="equal">
      <formula>"2 Add"</formula>
    </cfRule>
  </conditionalFormatting>
  <conditionalFormatting sqref="C535">
    <cfRule type="cellIs" dxfId="969" priority="1602" stopIfTrue="1" operator="equal">
      <formula>"3 Delete"</formula>
    </cfRule>
  </conditionalFormatting>
  <conditionalFormatting sqref="C536">
    <cfRule type="cellIs" dxfId="968" priority="1603" stopIfTrue="1" operator="equal">
      <formula>"1 Modify"</formula>
    </cfRule>
  </conditionalFormatting>
  <conditionalFormatting sqref="C536">
    <cfRule type="cellIs" dxfId="967" priority="1604" stopIfTrue="1" operator="equal">
      <formula>"2 Add"</formula>
    </cfRule>
  </conditionalFormatting>
  <conditionalFormatting sqref="C536">
    <cfRule type="cellIs" dxfId="966" priority="1605" stopIfTrue="1" operator="equal">
      <formula>"3 Delete"</formula>
    </cfRule>
  </conditionalFormatting>
  <conditionalFormatting sqref="C537">
    <cfRule type="cellIs" dxfId="965" priority="1606" stopIfTrue="1" operator="equal">
      <formula>"1 Modify"</formula>
    </cfRule>
  </conditionalFormatting>
  <conditionalFormatting sqref="C537">
    <cfRule type="cellIs" dxfId="964" priority="1607" stopIfTrue="1" operator="equal">
      <formula>"2 Add"</formula>
    </cfRule>
  </conditionalFormatting>
  <conditionalFormatting sqref="C537">
    <cfRule type="cellIs" dxfId="963" priority="1608" stopIfTrue="1" operator="equal">
      <formula>"3 Delete"</formula>
    </cfRule>
  </conditionalFormatting>
  <conditionalFormatting sqref="C538">
    <cfRule type="cellIs" dxfId="962" priority="1609" stopIfTrue="1" operator="equal">
      <formula>"1 Modify"</formula>
    </cfRule>
  </conditionalFormatting>
  <conditionalFormatting sqref="C538">
    <cfRule type="cellIs" dxfId="961" priority="1610" stopIfTrue="1" operator="equal">
      <formula>"2 Add"</formula>
    </cfRule>
  </conditionalFormatting>
  <conditionalFormatting sqref="C538">
    <cfRule type="cellIs" dxfId="960" priority="1611" stopIfTrue="1" operator="equal">
      <formula>"3 Delete"</formula>
    </cfRule>
  </conditionalFormatting>
  <conditionalFormatting sqref="C539">
    <cfRule type="cellIs" dxfId="959" priority="1612" stopIfTrue="1" operator="equal">
      <formula>"1 Modify"</formula>
    </cfRule>
  </conditionalFormatting>
  <conditionalFormatting sqref="C539">
    <cfRule type="cellIs" dxfId="958" priority="1613" stopIfTrue="1" operator="equal">
      <formula>"2 Add"</formula>
    </cfRule>
  </conditionalFormatting>
  <conditionalFormatting sqref="C539">
    <cfRule type="cellIs" dxfId="957" priority="1614" stopIfTrue="1" operator="equal">
      <formula>"3 Delete"</formula>
    </cfRule>
  </conditionalFormatting>
  <conditionalFormatting sqref="C540">
    <cfRule type="cellIs" dxfId="956" priority="1615" stopIfTrue="1" operator="equal">
      <formula>"1 Modify"</formula>
    </cfRule>
  </conditionalFormatting>
  <conditionalFormatting sqref="C540">
    <cfRule type="cellIs" dxfId="955" priority="1616" stopIfTrue="1" operator="equal">
      <formula>"2 Add"</formula>
    </cfRule>
  </conditionalFormatting>
  <conditionalFormatting sqref="C540">
    <cfRule type="cellIs" dxfId="954" priority="1617" stopIfTrue="1" operator="equal">
      <formula>"3 Delete"</formula>
    </cfRule>
  </conditionalFormatting>
  <conditionalFormatting sqref="C541">
    <cfRule type="cellIs" dxfId="953" priority="1618" stopIfTrue="1" operator="equal">
      <formula>"1 Modify"</formula>
    </cfRule>
  </conditionalFormatting>
  <conditionalFormatting sqref="C541">
    <cfRule type="cellIs" dxfId="952" priority="1619" stopIfTrue="1" operator="equal">
      <formula>"2 Add"</formula>
    </cfRule>
  </conditionalFormatting>
  <conditionalFormatting sqref="C541">
    <cfRule type="cellIs" dxfId="951" priority="1620" stopIfTrue="1" operator="equal">
      <formula>"3 Delete"</formula>
    </cfRule>
  </conditionalFormatting>
  <conditionalFormatting sqref="C542">
    <cfRule type="cellIs" dxfId="950" priority="1621" stopIfTrue="1" operator="equal">
      <formula>"1 Modify"</formula>
    </cfRule>
  </conditionalFormatting>
  <conditionalFormatting sqref="C542">
    <cfRule type="cellIs" dxfId="949" priority="1622" stopIfTrue="1" operator="equal">
      <formula>"2 Add"</formula>
    </cfRule>
  </conditionalFormatting>
  <conditionalFormatting sqref="C542">
    <cfRule type="cellIs" dxfId="948" priority="1623" stopIfTrue="1" operator="equal">
      <formula>"3 Delete"</formula>
    </cfRule>
  </conditionalFormatting>
  <conditionalFormatting sqref="C543">
    <cfRule type="cellIs" dxfId="947" priority="1624" stopIfTrue="1" operator="equal">
      <formula>"1 Modify"</formula>
    </cfRule>
  </conditionalFormatting>
  <conditionalFormatting sqref="C543">
    <cfRule type="cellIs" dxfId="946" priority="1625" stopIfTrue="1" operator="equal">
      <formula>"2 Add"</formula>
    </cfRule>
  </conditionalFormatting>
  <conditionalFormatting sqref="C543">
    <cfRule type="cellIs" dxfId="945" priority="1626" stopIfTrue="1" operator="equal">
      <formula>"3 Delete"</formula>
    </cfRule>
  </conditionalFormatting>
  <conditionalFormatting sqref="C544">
    <cfRule type="cellIs" dxfId="944" priority="1627" stopIfTrue="1" operator="equal">
      <formula>"1 Modify"</formula>
    </cfRule>
  </conditionalFormatting>
  <conditionalFormatting sqref="C544">
    <cfRule type="cellIs" dxfId="943" priority="1628" stopIfTrue="1" operator="equal">
      <formula>"2 Add"</formula>
    </cfRule>
  </conditionalFormatting>
  <conditionalFormatting sqref="C544">
    <cfRule type="cellIs" dxfId="942" priority="1629" stopIfTrue="1" operator="equal">
      <formula>"3 Delete"</formula>
    </cfRule>
  </conditionalFormatting>
  <conditionalFormatting sqref="C545">
    <cfRule type="cellIs" dxfId="941" priority="1630" stopIfTrue="1" operator="equal">
      <formula>"1 Modify"</formula>
    </cfRule>
  </conditionalFormatting>
  <conditionalFormatting sqref="C545">
    <cfRule type="cellIs" dxfId="940" priority="1631" stopIfTrue="1" operator="equal">
      <formula>"2 Add"</formula>
    </cfRule>
  </conditionalFormatting>
  <conditionalFormatting sqref="C545">
    <cfRule type="cellIs" dxfId="939" priority="1632" stopIfTrue="1" operator="equal">
      <formula>"3 Delete"</formula>
    </cfRule>
  </conditionalFormatting>
  <conditionalFormatting sqref="C546">
    <cfRule type="cellIs" dxfId="938" priority="1633" stopIfTrue="1" operator="equal">
      <formula>"1 Modify"</formula>
    </cfRule>
  </conditionalFormatting>
  <conditionalFormatting sqref="C546">
    <cfRule type="cellIs" dxfId="937" priority="1634" stopIfTrue="1" operator="equal">
      <formula>"2 Add"</formula>
    </cfRule>
  </conditionalFormatting>
  <conditionalFormatting sqref="C546">
    <cfRule type="cellIs" dxfId="936" priority="1635" stopIfTrue="1" operator="equal">
      <formula>"3 Delete"</formula>
    </cfRule>
  </conditionalFormatting>
  <conditionalFormatting sqref="C547">
    <cfRule type="cellIs" dxfId="935" priority="1636" stopIfTrue="1" operator="equal">
      <formula>"1 Modify"</formula>
    </cfRule>
  </conditionalFormatting>
  <conditionalFormatting sqref="C547">
    <cfRule type="cellIs" dxfId="934" priority="1637" stopIfTrue="1" operator="equal">
      <formula>"2 Add"</formula>
    </cfRule>
  </conditionalFormatting>
  <conditionalFormatting sqref="C547">
    <cfRule type="cellIs" dxfId="933" priority="1638" stopIfTrue="1" operator="equal">
      <formula>"3 Delete"</formula>
    </cfRule>
  </conditionalFormatting>
  <conditionalFormatting sqref="C548">
    <cfRule type="cellIs" dxfId="932" priority="1639" stopIfTrue="1" operator="equal">
      <formula>"1 Modify"</formula>
    </cfRule>
  </conditionalFormatting>
  <conditionalFormatting sqref="C548">
    <cfRule type="cellIs" dxfId="931" priority="1640" stopIfTrue="1" operator="equal">
      <formula>"2 Add"</formula>
    </cfRule>
  </conditionalFormatting>
  <conditionalFormatting sqref="C548">
    <cfRule type="cellIs" dxfId="930" priority="1641" stopIfTrue="1" operator="equal">
      <formula>"3 Delete"</formula>
    </cfRule>
  </conditionalFormatting>
  <conditionalFormatting sqref="C549">
    <cfRule type="cellIs" dxfId="929" priority="1642" stopIfTrue="1" operator="equal">
      <formula>"1 Modify"</formula>
    </cfRule>
  </conditionalFormatting>
  <conditionalFormatting sqref="C549">
    <cfRule type="cellIs" dxfId="928" priority="1643" stopIfTrue="1" operator="equal">
      <formula>"2 Add"</formula>
    </cfRule>
  </conditionalFormatting>
  <conditionalFormatting sqref="C549">
    <cfRule type="cellIs" dxfId="927" priority="1644" stopIfTrue="1" operator="equal">
      <formula>"3 Delete"</formula>
    </cfRule>
  </conditionalFormatting>
  <conditionalFormatting sqref="C550">
    <cfRule type="cellIs" dxfId="926" priority="1645" stopIfTrue="1" operator="equal">
      <formula>"1 Modify"</formula>
    </cfRule>
  </conditionalFormatting>
  <conditionalFormatting sqref="C550">
    <cfRule type="cellIs" dxfId="925" priority="1646" stopIfTrue="1" operator="equal">
      <formula>"2 Add"</formula>
    </cfRule>
  </conditionalFormatting>
  <conditionalFormatting sqref="C550">
    <cfRule type="cellIs" dxfId="924" priority="1647" stopIfTrue="1" operator="equal">
      <formula>"3 Delete"</formula>
    </cfRule>
  </conditionalFormatting>
  <conditionalFormatting sqref="C551">
    <cfRule type="cellIs" dxfId="923" priority="1648" stopIfTrue="1" operator="equal">
      <formula>"1 Modify"</formula>
    </cfRule>
  </conditionalFormatting>
  <conditionalFormatting sqref="C551">
    <cfRule type="cellIs" dxfId="922" priority="1649" stopIfTrue="1" operator="equal">
      <formula>"2 Add"</formula>
    </cfRule>
  </conditionalFormatting>
  <conditionalFormatting sqref="C551">
    <cfRule type="cellIs" dxfId="921" priority="1650" stopIfTrue="1" operator="equal">
      <formula>"3 Delete"</formula>
    </cfRule>
  </conditionalFormatting>
  <conditionalFormatting sqref="C552">
    <cfRule type="cellIs" dxfId="920" priority="1651" stopIfTrue="1" operator="equal">
      <formula>"1 Modify"</formula>
    </cfRule>
  </conditionalFormatting>
  <conditionalFormatting sqref="C552">
    <cfRule type="cellIs" dxfId="919" priority="1652" stopIfTrue="1" operator="equal">
      <formula>"2 Add"</formula>
    </cfRule>
  </conditionalFormatting>
  <conditionalFormatting sqref="C552">
    <cfRule type="cellIs" dxfId="918" priority="1653" stopIfTrue="1" operator="equal">
      <formula>"3 Delete"</formula>
    </cfRule>
  </conditionalFormatting>
  <conditionalFormatting sqref="C553">
    <cfRule type="cellIs" dxfId="917" priority="1654" stopIfTrue="1" operator="equal">
      <formula>"1 Modify"</formula>
    </cfRule>
  </conditionalFormatting>
  <conditionalFormatting sqref="C553">
    <cfRule type="cellIs" dxfId="916" priority="1655" stopIfTrue="1" operator="equal">
      <formula>"2 Add"</formula>
    </cfRule>
  </conditionalFormatting>
  <conditionalFormatting sqref="C553">
    <cfRule type="cellIs" dxfId="915" priority="1656" stopIfTrue="1" operator="equal">
      <formula>"3 Delete"</formula>
    </cfRule>
  </conditionalFormatting>
  <conditionalFormatting sqref="C554">
    <cfRule type="cellIs" dxfId="914" priority="1657" stopIfTrue="1" operator="equal">
      <formula>"1 Modify"</formula>
    </cfRule>
  </conditionalFormatting>
  <conditionalFormatting sqref="C554">
    <cfRule type="cellIs" dxfId="913" priority="1658" stopIfTrue="1" operator="equal">
      <formula>"2 Add"</formula>
    </cfRule>
  </conditionalFormatting>
  <conditionalFormatting sqref="C554">
    <cfRule type="cellIs" dxfId="912" priority="1659" stopIfTrue="1" operator="equal">
      <formula>"3 Delete"</formula>
    </cfRule>
  </conditionalFormatting>
  <conditionalFormatting sqref="C555">
    <cfRule type="cellIs" dxfId="911" priority="1660" stopIfTrue="1" operator="equal">
      <formula>"1 Modify"</formula>
    </cfRule>
  </conditionalFormatting>
  <conditionalFormatting sqref="C555">
    <cfRule type="cellIs" dxfId="910" priority="1661" stopIfTrue="1" operator="equal">
      <formula>"2 Add"</formula>
    </cfRule>
  </conditionalFormatting>
  <conditionalFormatting sqref="C555">
    <cfRule type="cellIs" dxfId="909" priority="1662" stopIfTrue="1" operator="equal">
      <formula>"3 Delete"</formula>
    </cfRule>
  </conditionalFormatting>
  <conditionalFormatting sqref="C556">
    <cfRule type="cellIs" dxfId="908" priority="1663" stopIfTrue="1" operator="equal">
      <formula>"1 Modify"</formula>
    </cfRule>
  </conditionalFormatting>
  <conditionalFormatting sqref="C556">
    <cfRule type="cellIs" dxfId="907" priority="1664" stopIfTrue="1" operator="equal">
      <formula>"2 Add"</formula>
    </cfRule>
  </conditionalFormatting>
  <conditionalFormatting sqref="C556">
    <cfRule type="cellIs" dxfId="906" priority="1665" stopIfTrue="1" operator="equal">
      <formula>"3 Delete"</formula>
    </cfRule>
  </conditionalFormatting>
  <conditionalFormatting sqref="C557">
    <cfRule type="cellIs" dxfId="905" priority="1666" stopIfTrue="1" operator="equal">
      <formula>"1 Modify"</formula>
    </cfRule>
  </conditionalFormatting>
  <conditionalFormatting sqref="C557">
    <cfRule type="cellIs" dxfId="904" priority="1667" stopIfTrue="1" operator="equal">
      <formula>"2 Add"</formula>
    </cfRule>
  </conditionalFormatting>
  <conditionalFormatting sqref="C557">
    <cfRule type="cellIs" dxfId="903" priority="1668" stopIfTrue="1" operator="equal">
      <formula>"3 Delete"</formula>
    </cfRule>
  </conditionalFormatting>
  <conditionalFormatting sqref="C558">
    <cfRule type="cellIs" dxfId="902" priority="1669" stopIfTrue="1" operator="equal">
      <formula>"1 Modify"</formula>
    </cfRule>
  </conditionalFormatting>
  <conditionalFormatting sqref="C558">
    <cfRule type="cellIs" dxfId="901" priority="1670" stopIfTrue="1" operator="equal">
      <formula>"2 Add"</formula>
    </cfRule>
  </conditionalFormatting>
  <conditionalFormatting sqref="C558">
    <cfRule type="cellIs" dxfId="900" priority="1671" stopIfTrue="1" operator="equal">
      <formula>"3 Delete"</formula>
    </cfRule>
  </conditionalFormatting>
  <conditionalFormatting sqref="C559">
    <cfRule type="cellIs" dxfId="899" priority="1672" stopIfTrue="1" operator="equal">
      <formula>"1 Modify"</formula>
    </cfRule>
  </conditionalFormatting>
  <conditionalFormatting sqref="C559">
    <cfRule type="cellIs" dxfId="898" priority="1673" stopIfTrue="1" operator="equal">
      <formula>"2 Add"</formula>
    </cfRule>
  </conditionalFormatting>
  <conditionalFormatting sqref="C559">
    <cfRule type="cellIs" dxfId="897" priority="1674" stopIfTrue="1" operator="equal">
      <formula>"3 Delete"</formula>
    </cfRule>
  </conditionalFormatting>
  <conditionalFormatting sqref="C560">
    <cfRule type="cellIs" dxfId="896" priority="1675" stopIfTrue="1" operator="equal">
      <formula>"1 Modify"</formula>
    </cfRule>
  </conditionalFormatting>
  <conditionalFormatting sqref="C560">
    <cfRule type="cellIs" dxfId="895" priority="1676" stopIfTrue="1" operator="equal">
      <formula>"2 Add"</formula>
    </cfRule>
  </conditionalFormatting>
  <conditionalFormatting sqref="C560">
    <cfRule type="cellIs" dxfId="894" priority="1677" stopIfTrue="1" operator="equal">
      <formula>"3 Delete"</formula>
    </cfRule>
  </conditionalFormatting>
  <conditionalFormatting sqref="C561">
    <cfRule type="cellIs" dxfId="893" priority="1678" stopIfTrue="1" operator="equal">
      <formula>"1 Modify"</formula>
    </cfRule>
  </conditionalFormatting>
  <conditionalFormatting sqref="C561">
    <cfRule type="cellIs" dxfId="892" priority="1679" stopIfTrue="1" operator="equal">
      <formula>"2 Add"</formula>
    </cfRule>
  </conditionalFormatting>
  <conditionalFormatting sqref="C561">
    <cfRule type="cellIs" dxfId="891" priority="1680" stopIfTrue="1" operator="equal">
      <formula>"3 Delete"</formula>
    </cfRule>
  </conditionalFormatting>
  <conditionalFormatting sqref="C562">
    <cfRule type="cellIs" dxfId="890" priority="1681" stopIfTrue="1" operator="equal">
      <formula>"1 Modify"</formula>
    </cfRule>
  </conditionalFormatting>
  <conditionalFormatting sqref="C562">
    <cfRule type="cellIs" dxfId="889" priority="1682" stopIfTrue="1" operator="equal">
      <formula>"2 Add"</formula>
    </cfRule>
  </conditionalFormatting>
  <conditionalFormatting sqref="C562">
    <cfRule type="cellIs" dxfId="888" priority="1683" stopIfTrue="1" operator="equal">
      <formula>"3 Delete"</formula>
    </cfRule>
  </conditionalFormatting>
  <conditionalFormatting sqref="C563">
    <cfRule type="cellIs" dxfId="887" priority="1684" stopIfTrue="1" operator="equal">
      <formula>"1 Modify"</formula>
    </cfRule>
  </conditionalFormatting>
  <conditionalFormatting sqref="C563">
    <cfRule type="cellIs" dxfId="886" priority="1685" stopIfTrue="1" operator="equal">
      <formula>"2 Add"</formula>
    </cfRule>
  </conditionalFormatting>
  <conditionalFormatting sqref="C563">
    <cfRule type="cellIs" dxfId="885" priority="1686" stopIfTrue="1" operator="equal">
      <formula>"3 Delete"</formula>
    </cfRule>
  </conditionalFormatting>
  <conditionalFormatting sqref="C564">
    <cfRule type="cellIs" dxfId="884" priority="1687" stopIfTrue="1" operator="equal">
      <formula>"1 Modify"</formula>
    </cfRule>
  </conditionalFormatting>
  <conditionalFormatting sqref="C564">
    <cfRule type="cellIs" dxfId="883" priority="1688" stopIfTrue="1" operator="equal">
      <formula>"2 Add"</formula>
    </cfRule>
  </conditionalFormatting>
  <conditionalFormatting sqref="C564">
    <cfRule type="cellIs" dxfId="882" priority="1689" stopIfTrue="1" operator="equal">
      <formula>"3 Delete"</formula>
    </cfRule>
  </conditionalFormatting>
  <conditionalFormatting sqref="C565">
    <cfRule type="cellIs" dxfId="881" priority="1690" stopIfTrue="1" operator="equal">
      <formula>"1 Modify"</formula>
    </cfRule>
  </conditionalFormatting>
  <conditionalFormatting sqref="C565">
    <cfRule type="cellIs" dxfId="880" priority="1691" stopIfTrue="1" operator="equal">
      <formula>"2 Add"</formula>
    </cfRule>
  </conditionalFormatting>
  <conditionalFormatting sqref="C565">
    <cfRule type="cellIs" dxfId="879" priority="1692" stopIfTrue="1" operator="equal">
      <formula>"3 Delete"</formula>
    </cfRule>
  </conditionalFormatting>
  <conditionalFormatting sqref="C566">
    <cfRule type="cellIs" dxfId="878" priority="1693" stopIfTrue="1" operator="equal">
      <formula>"1 Modify"</formula>
    </cfRule>
  </conditionalFormatting>
  <conditionalFormatting sqref="C566">
    <cfRule type="cellIs" dxfId="877" priority="1694" stopIfTrue="1" operator="equal">
      <formula>"2 Add"</formula>
    </cfRule>
  </conditionalFormatting>
  <conditionalFormatting sqref="C566">
    <cfRule type="cellIs" dxfId="876" priority="1695" stopIfTrue="1" operator="equal">
      <formula>"3 Delete"</formula>
    </cfRule>
  </conditionalFormatting>
  <conditionalFormatting sqref="C567">
    <cfRule type="cellIs" dxfId="875" priority="1696" stopIfTrue="1" operator="equal">
      <formula>"1 Modify"</formula>
    </cfRule>
  </conditionalFormatting>
  <conditionalFormatting sqref="C567">
    <cfRule type="cellIs" dxfId="874" priority="1697" stopIfTrue="1" operator="equal">
      <formula>"2 Add"</formula>
    </cfRule>
  </conditionalFormatting>
  <conditionalFormatting sqref="C567">
    <cfRule type="cellIs" dxfId="873" priority="1698" stopIfTrue="1" operator="equal">
      <formula>"3 Delete"</formula>
    </cfRule>
  </conditionalFormatting>
  <conditionalFormatting sqref="C568">
    <cfRule type="cellIs" dxfId="872" priority="1699" stopIfTrue="1" operator="equal">
      <formula>"1 Modify"</formula>
    </cfRule>
  </conditionalFormatting>
  <conditionalFormatting sqref="C568">
    <cfRule type="cellIs" dxfId="871" priority="1700" stopIfTrue="1" operator="equal">
      <formula>"2 Add"</formula>
    </cfRule>
  </conditionalFormatting>
  <conditionalFormatting sqref="C568">
    <cfRule type="cellIs" dxfId="870" priority="1701" stopIfTrue="1" operator="equal">
      <formula>"3 Delete"</formula>
    </cfRule>
  </conditionalFormatting>
  <conditionalFormatting sqref="C569">
    <cfRule type="cellIs" dxfId="869" priority="1702" stopIfTrue="1" operator="equal">
      <formula>"1 Modify"</formula>
    </cfRule>
  </conditionalFormatting>
  <conditionalFormatting sqref="C569">
    <cfRule type="cellIs" dxfId="868" priority="1703" stopIfTrue="1" operator="equal">
      <formula>"2 Add"</formula>
    </cfRule>
  </conditionalFormatting>
  <conditionalFormatting sqref="C569">
    <cfRule type="cellIs" dxfId="867" priority="1704" stopIfTrue="1" operator="equal">
      <formula>"3 Delete"</formula>
    </cfRule>
  </conditionalFormatting>
  <conditionalFormatting sqref="C570">
    <cfRule type="cellIs" dxfId="866" priority="1705" stopIfTrue="1" operator="equal">
      <formula>"1 Modify"</formula>
    </cfRule>
  </conditionalFormatting>
  <conditionalFormatting sqref="C570">
    <cfRule type="cellIs" dxfId="865" priority="1706" stopIfTrue="1" operator="equal">
      <formula>"2 Add"</formula>
    </cfRule>
  </conditionalFormatting>
  <conditionalFormatting sqref="C570">
    <cfRule type="cellIs" dxfId="864" priority="1707" stopIfTrue="1" operator="equal">
      <formula>"3 Delete"</formula>
    </cfRule>
  </conditionalFormatting>
  <conditionalFormatting sqref="C571">
    <cfRule type="cellIs" dxfId="863" priority="1708" stopIfTrue="1" operator="equal">
      <formula>"1 Modify"</formula>
    </cfRule>
  </conditionalFormatting>
  <conditionalFormatting sqref="C571">
    <cfRule type="cellIs" dxfId="862" priority="1709" stopIfTrue="1" operator="equal">
      <formula>"2 Add"</formula>
    </cfRule>
  </conditionalFormatting>
  <conditionalFormatting sqref="C571">
    <cfRule type="cellIs" dxfId="861" priority="1710" stopIfTrue="1" operator="equal">
      <formula>"3 Delete"</formula>
    </cfRule>
  </conditionalFormatting>
  <conditionalFormatting sqref="C572">
    <cfRule type="cellIs" dxfId="860" priority="1711" stopIfTrue="1" operator="equal">
      <formula>"1 Modify"</formula>
    </cfRule>
  </conditionalFormatting>
  <conditionalFormatting sqref="C572">
    <cfRule type="cellIs" dxfId="859" priority="1712" stopIfTrue="1" operator="equal">
      <formula>"2 Add"</formula>
    </cfRule>
  </conditionalFormatting>
  <conditionalFormatting sqref="C572">
    <cfRule type="cellIs" dxfId="858" priority="1713" stopIfTrue="1" operator="equal">
      <formula>"3 Delete"</formula>
    </cfRule>
  </conditionalFormatting>
  <conditionalFormatting sqref="C573">
    <cfRule type="cellIs" dxfId="857" priority="1714" stopIfTrue="1" operator="equal">
      <formula>"1 Modify"</formula>
    </cfRule>
  </conditionalFormatting>
  <conditionalFormatting sqref="C573">
    <cfRule type="cellIs" dxfId="856" priority="1715" stopIfTrue="1" operator="equal">
      <formula>"2 Add"</formula>
    </cfRule>
  </conditionalFormatting>
  <conditionalFormatting sqref="C573">
    <cfRule type="cellIs" dxfId="855" priority="1716" stopIfTrue="1" operator="equal">
      <formula>"3 Delete"</formula>
    </cfRule>
  </conditionalFormatting>
  <conditionalFormatting sqref="C574">
    <cfRule type="cellIs" dxfId="854" priority="1717" stopIfTrue="1" operator="equal">
      <formula>"1 Modify"</formula>
    </cfRule>
  </conditionalFormatting>
  <conditionalFormatting sqref="C574">
    <cfRule type="cellIs" dxfId="853" priority="1718" stopIfTrue="1" operator="equal">
      <formula>"2 Add"</formula>
    </cfRule>
  </conditionalFormatting>
  <conditionalFormatting sqref="C574">
    <cfRule type="cellIs" dxfId="852" priority="1719" stopIfTrue="1" operator="equal">
      <formula>"3 Delete"</formula>
    </cfRule>
  </conditionalFormatting>
  <conditionalFormatting sqref="C575">
    <cfRule type="cellIs" dxfId="851" priority="1720" stopIfTrue="1" operator="equal">
      <formula>"1 Modify"</formula>
    </cfRule>
  </conditionalFormatting>
  <conditionalFormatting sqref="C575">
    <cfRule type="cellIs" dxfId="850" priority="1721" stopIfTrue="1" operator="equal">
      <formula>"2 Add"</formula>
    </cfRule>
  </conditionalFormatting>
  <conditionalFormatting sqref="C575">
    <cfRule type="cellIs" dxfId="849" priority="1722" stopIfTrue="1" operator="equal">
      <formula>"3 Delete"</formula>
    </cfRule>
  </conditionalFormatting>
  <conditionalFormatting sqref="C576">
    <cfRule type="cellIs" dxfId="848" priority="1723" stopIfTrue="1" operator="equal">
      <formula>"1 Modify"</formula>
    </cfRule>
  </conditionalFormatting>
  <conditionalFormatting sqref="C576">
    <cfRule type="cellIs" dxfId="847" priority="1724" stopIfTrue="1" operator="equal">
      <formula>"2 Add"</formula>
    </cfRule>
  </conditionalFormatting>
  <conditionalFormatting sqref="C576">
    <cfRule type="cellIs" dxfId="846" priority="1725" stopIfTrue="1" operator="equal">
      <formula>"3 Delete"</formula>
    </cfRule>
  </conditionalFormatting>
  <conditionalFormatting sqref="C577">
    <cfRule type="cellIs" dxfId="845" priority="1726" stopIfTrue="1" operator="equal">
      <formula>"1 Modify"</formula>
    </cfRule>
  </conditionalFormatting>
  <conditionalFormatting sqref="C577">
    <cfRule type="cellIs" dxfId="844" priority="1727" stopIfTrue="1" operator="equal">
      <formula>"2 Add"</formula>
    </cfRule>
  </conditionalFormatting>
  <conditionalFormatting sqref="C577">
    <cfRule type="cellIs" dxfId="843" priority="1728" stopIfTrue="1" operator="equal">
      <formula>"3 Delete"</formula>
    </cfRule>
  </conditionalFormatting>
  <conditionalFormatting sqref="C578">
    <cfRule type="cellIs" dxfId="842" priority="1729" stopIfTrue="1" operator="equal">
      <formula>"1 Modify"</formula>
    </cfRule>
  </conditionalFormatting>
  <conditionalFormatting sqref="C578">
    <cfRule type="cellIs" dxfId="841" priority="1730" stopIfTrue="1" operator="equal">
      <formula>"2 Add"</formula>
    </cfRule>
  </conditionalFormatting>
  <conditionalFormatting sqref="C578">
    <cfRule type="cellIs" dxfId="840" priority="1731" stopIfTrue="1" operator="equal">
      <formula>"3 Delete"</formula>
    </cfRule>
  </conditionalFormatting>
  <conditionalFormatting sqref="C579">
    <cfRule type="cellIs" dxfId="839" priority="1732" stopIfTrue="1" operator="equal">
      <formula>"1 Modify"</formula>
    </cfRule>
  </conditionalFormatting>
  <conditionalFormatting sqref="C579">
    <cfRule type="cellIs" dxfId="838" priority="1733" stopIfTrue="1" operator="equal">
      <formula>"2 Add"</formula>
    </cfRule>
  </conditionalFormatting>
  <conditionalFormatting sqref="C579">
    <cfRule type="cellIs" dxfId="837" priority="1734" stopIfTrue="1" operator="equal">
      <formula>"3 Delete"</formula>
    </cfRule>
  </conditionalFormatting>
  <conditionalFormatting sqref="C580">
    <cfRule type="cellIs" dxfId="836" priority="1735" stopIfTrue="1" operator="equal">
      <formula>"1 Modify"</formula>
    </cfRule>
  </conditionalFormatting>
  <conditionalFormatting sqref="C580">
    <cfRule type="cellIs" dxfId="835" priority="1736" stopIfTrue="1" operator="equal">
      <formula>"2 Add"</formula>
    </cfRule>
  </conditionalFormatting>
  <conditionalFormatting sqref="C580">
    <cfRule type="cellIs" dxfId="834" priority="1737" stopIfTrue="1" operator="equal">
      <formula>"3 Delete"</formula>
    </cfRule>
  </conditionalFormatting>
  <conditionalFormatting sqref="C581">
    <cfRule type="cellIs" dxfId="833" priority="1738" stopIfTrue="1" operator="equal">
      <formula>"1 Modify"</formula>
    </cfRule>
  </conditionalFormatting>
  <conditionalFormatting sqref="C581">
    <cfRule type="cellIs" dxfId="832" priority="1739" stopIfTrue="1" operator="equal">
      <formula>"2 Add"</formula>
    </cfRule>
  </conditionalFormatting>
  <conditionalFormatting sqref="C581">
    <cfRule type="cellIs" dxfId="831" priority="1740" stopIfTrue="1" operator="equal">
      <formula>"3 Delete"</formula>
    </cfRule>
  </conditionalFormatting>
  <conditionalFormatting sqref="C582">
    <cfRule type="cellIs" dxfId="830" priority="1741" stopIfTrue="1" operator="equal">
      <formula>"1 Modify"</formula>
    </cfRule>
  </conditionalFormatting>
  <conditionalFormatting sqref="C582">
    <cfRule type="cellIs" dxfId="829" priority="1742" stopIfTrue="1" operator="equal">
      <formula>"2 Add"</formula>
    </cfRule>
  </conditionalFormatting>
  <conditionalFormatting sqref="C582">
    <cfRule type="cellIs" dxfId="828" priority="1743" stopIfTrue="1" operator="equal">
      <formula>"3 Delete"</formula>
    </cfRule>
  </conditionalFormatting>
  <conditionalFormatting sqref="C583">
    <cfRule type="cellIs" dxfId="827" priority="1744" stopIfTrue="1" operator="equal">
      <formula>"1 Modify"</formula>
    </cfRule>
  </conditionalFormatting>
  <conditionalFormatting sqref="C583">
    <cfRule type="cellIs" dxfId="826" priority="1745" stopIfTrue="1" operator="equal">
      <formula>"2 Add"</formula>
    </cfRule>
  </conditionalFormatting>
  <conditionalFormatting sqref="C583">
    <cfRule type="cellIs" dxfId="825" priority="1746" stopIfTrue="1" operator="equal">
      <formula>"3 Delete"</formula>
    </cfRule>
  </conditionalFormatting>
  <conditionalFormatting sqref="C584">
    <cfRule type="cellIs" dxfId="824" priority="1747" stopIfTrue="1" operator="equal">
      <formula>"1 Modify"</formula>
    </cfRule>
  </conditionalFormatting>
  <conditionalFormatting sqref="C584">
    <cfRule type="cellIs" dxfId="823" priority="1748" stopIfTrue="1" operator="equal">
      <formula>"2 Add"</formula>
    </cfRule>
  </conditionalFormatting>
  <conditionalFormatting sqref="C584">
    <cfRule type="cellIs" dxfId="822" priority="1749" stopIfTrue="1" operator="equal">
      <formula>"3 Delete"</formula>
    </cfRule>
  </conditionalFormatting>
  <conditionalFormatting sqref="C585">
    <cfRule type="cellIs" dxfId="821" priority="1750" stopIfTrue="1" operator="equal">
      <formula>"1 Modify"</formula>
    </cfRule>
  </conditionalFormatting>
  <conditionalFormatting sqref="C585">
    <cfRule type="cellIs" dxfId="820" priority="1751" stopIfTrue="1" operator="equal">
      <formula>"2 Add"</formula>
    </cfRule>
  </conditionalFormatting>
  <conditionalFormatting sqref="C585">
    <cfRule type="cellIs" dxfId="819" priority="1752" stopIfTrue="1" operator="equal">
      <formula>"3 Delete"</formula>
    </cfRule>
  </conditionalFormatting>
  <conditionalFormatting sqref="C586">
    <cfRule type="cellIs" dxfId="818" priority="1753" stopIfTrue="1" operator="equal">
      <formula>"1 Modify"</formula>
    </cfRule>
  </conditionalFormatting>
  <conditionalFormatting sqref="C586">
    <cfRule type="cellIs" dxfId="817" priority="1754" stopIfTrue="1" operator="equal">
      <formula>"2 Add"</formula>
    </cfRule>
  </conditionalFormatting>
  <conditionalFormatting sqref="C586">
    <cfRule type="cellIs" dxfId="816" priority="1755" stopIfTrue="1" operator="equal">
      <formula>"3 Delete"</formula>
    </cfRule>
  </conditionalFormatting>
  <conditionalFormatting sqref="C587">
    <cfRule type="cellIs" dxfId="815" priority="1756" stopIfTrue="1" operator="equal">
      <formula>"1 Modify"</formula>
    </cfRule>
  </conditionalFormatting>
  <conditionalFormatting sqref="C587">
    <cfRule type="cellIs" dxfId="814" priority="1757" stopIfTrue="1" operator="equal">
      <formula>"2 Add"</formula>
    </cfRule>
  </conditionalFormatting>
  <conditionalFormatting sqref="C587">
    <cfRule type="cellIs" dxfId="813" priority="1758" stopIfTrue="1" operator="equal">
      <formula>"3 Delete"</formula>
    </cfRule>
  </conditionalFormatting>
  <conditionalFormatting sqref="C588">
    <cfRule type="cellIs" dxfId="812" priority="1759" stopIfTrue="1" operator="equal">
      <formula>"1 Modify"</formula>
    </cfRule>
  </conditionalFormatting>
  <conditionalFormatting sqref="C588">
    <cfRule type="cellIs" dxfId="811" priority="1760" stopIfTrue="1" operator="equal">
      <formula>"2 Add"</formula>
    </cfRule>
  </conditionalFormatting>
  <conditionalFormatting sqref="C588">
    <cfRule type="cellIs" dxfId="810" priority="1761" stopIfTrue="1" operator="equal">
      <formula>"3 Delete"</formula>
    </cfRule>
  </conditionalFormatting>
  <conditionalFormatting sqref="C589">
    <cfRule type="cellIs" dxfId="809" priority="1762" stopIfTrue="1" operator="equal">
      <formula>"1 Modify"</formula>
    </cfRule>
  </conditionalFormatting>
  <conditionalFormatting sqref="C589">
    <cfRule type="cellIs" dxfId="808" priority="1763" stopIfTrue="1" operator="equal">
      <formula>"2 Add"</formula>
    </cfRule>
  </conditionalFormatting>
  <conditionalFormatting sqref="C589">
    <cfRule type="cellIs" dxfId="807" priority="1764" stopIfTrue="1" operator="equal">
      <formula>"3 Delete"</formula>
    </cfRule>
  </conditionalFormatting>
  <conditionalFormatting sqref="C590">
    <cfRule type="cellIs" dxfId="806" priority="1765" stopIfTrue="1" operator="equal">
      <formula>"1 Modify"</formula>
    </cfRule>
  </conditionalFormatting>
  <conditionalFormatting sqref="C590">
    <cfRule type="cellIs" dxfId="805" priority="1766" stopIfTrue="1" operator="equal">
      <formula>"2 Add"</formula>
    </cfRule>
  </conditionalFormatting>
  <conditionalFormatting sqref="C590">
    <cfRule type="cellIs" dxfId="804" priority="1767" stopIfTrue="1" operator="equal">
      <formula>"3 Delete"</formula>
    </cfRule>
  </conditionalFormatting>
  <conditionalFormatting sqref="C591">
    <cfRule type="cellIs" dxfId="803" priority="1768" stopIfTrue="1" operator="equal">
      <formula>"1 Modify"</formula>
    </cfRule>
  </conditionalFormatting>
  <conditionalFormatting sqref="C591">
    <cfRule type="cellIs" dxfId="802" priority="1769" stopIfTrue="1" operator="equal">
      <formula>"2 Add"</formula>
    </cfRule>
  </conditionalFormatting>
  <conditionalFormatting sqref="C591">
    <cfRule type="cellIs" dxfId="801" priority="1770" stopIfTrue="1" operator="equal">
      <formula>"3 Delete"</formula>
    </cfRule>
  </conditionalFormatting>
  <conditionalFormatting sqref="C592">
    <cfRule type="cellIs" dxfId="800" priority="1771" stopIfTrue="1" operator="equal">
      <formula>"1 Modify"</formula>
    </cfRule>
  </conditionalFormatting>
  <conditionalFormatting sqref="C592">
    <cfRule type="cellIs" dxfId="799" priority="1772" stopIfTrue="1" operator="equal">
      <formula>"2 Add"</formula>
    </cfRule>
  </conditionalFormatting>
  <conditionalFormatting sqref="C592">
    <cfRule type="cellIs" dxfId="798" priority="1773" stopIfTrue="1" operator="equal">
      <formula>"3 Delete"</formula>
    </cfRule>
  </conditionalFormatting>
  <conditionalFormatting sqref="C593">
    <cfRule type="cellIs" dxfId="797" priority="1774" stopIfTrue="1" operator="equal">
      <formula>"1 Modify"</formula>
    </cfRule>
  </conditionalFormatting>
  <conditionalFormatting sqref="C593">
    <cfRule type="cellIs" dxfId="796" priority="1775" stopIfTrue="1" operator="equal">
      <formula>"2 Add"</formula>
    </cfRule>
  </conditionalFormatting>
  <conditionalFormatting sqref="C593">
    <cfRule type="cellIs" dxfId="795" priority="1776" stopIfTrue="1" operator="equal">
      <formula>"3 Delete"</formula>
    </cfRule>
  </conditionalFormatting>
  <conditionalFormatting sqref="C594">
    <cfRule type="cellIs" dxfId="794" priority="1777" stopIfTrue="1" operator="equal">
      <formula>"1 Modify"</formula>
    </cfRule>
  </conditionalFormatting>
  <conditionalFormatting sqref="C594">
    <cfRule type="cellIs" dxfId="793" priority="1778" stopIfTrue="1" operator="equal">
      <formula>"2 Add"</formula>
    </cfRule>
  </conditionalFormatting>
  <conditionalFormatting sqref="C594">
    <cfRule type="cellIs" dxfId="792" priority="1779" stopIfTrue="1" operator="equal">
      <formula>"3 Delete"</formula>
    </cfRule>
  </conditionalFormatting>
  <conditionalFormatting sqref="C595">
    <cfRule type="cellIs" dxfId="791" priority="1780" stopIfTrue="1" operator="equal">
      <formula>"1 Modify"</formula>
    </cfRule>
  </conditionalFormatting>
  <conditionalFormatting sqref="C595">
    <cfRule type="cellIs" dxfId="790" priority="1781" stopIfTrue="1" operator="equal">
      <formula>"2 Add"</formula>
    </cfRule>
  </conditionalFormatting>
  <conditionalFormatting sqref="C595">
    <cfRule type="cellIs" dxfId="789" priority="1782" stopIfTrue="1" operator="equal">
      <formula>"3 Delete"</formula>
    </cfRule>
  </conditionalFormatting>
  <conditionalFormatting sqref="C596">
    <cfRule type="cellIs" dxfId="788" priority="1783" stopIfTrue="1" operator="equal">
      <formula>"1 Modify"</formula>
    </cfRule>
  </conditionalFormatting>
  <conditionalFormatting sqref="C596">
    <cfRule type="cellIs" dxfId="787" priority="1784" stopIfTrue="1" operator="equal">
      <formula>"2 Add"</formula>
    </cfRule>
  </conditionalFormatting>
  <conditionalFormatting sqref="C596">
    <cfRule type="cellIs" dxfId="786" priority="1785" stopIfTrue="1" operator="equal">
      <formula>"3 Delete"</formula>
    </cfRule>
  </conditionalFormatting>
  <conditionalFormatting sqref="C597">
    <cfRule type="cellIs" dxfId="785" priority="1786" stopIfTrue="1" operator="equal">
      <formula>"1 Modify"</formula>
    </cfRule>
  </conditionalFormatting>
  <conditionalFormatting sqref="C597">
    <cfRule type="cellIs" dxfId="784" priority="1787" stopIfTrue="1" operator="equal">
      <formula>"2 Add"</formula>
    </cfRule>
  </conditionalFormatting>
  <conditionalFormatting sqref="C597">
    <cfRule type="cellIs" dxfId="783" priority="1788" stopIfTrue="1" operator="equal">
      <formula>"3 Delete"</formula>
    </cfRule>
  </conditionalFormatting>
  <conditionalFormatting sqref="C598">
    <cfRule type="cellIs" dxfId="782" priority="1789" stopIfTrue="1" operator="equal">
      <formula>"1 Modify"</formula>
    </cfRule>
  </conditionalFormatting>
  <conditionalFormatting sqref="C598">
    <cfRule type="cellIs" dxfId="781" priority="1790" stopIfTrue="1" operator="equal">
      <formula>"2 Add"</formula>
    </cfRule>
  </conditionalFormatting>
  <conditionalFormatting sqref="C598">
    <cfRule type="cellIs" dxfId="780" priority="1791" stopIfTrue="1" operator="equal">
      <formula>"3 Delete"</formula>
    </cfRule>
  </conditionalFormatting>
  <conditionalFormatting sqref="C599">
    <cfRule type="cellIs" dxfId="779" priority="1792" stopIfTrue="1" operator="equal">
      <formula>"1 Modify"</formula>
    </cfRule>
  </conditionalFormatting>
  <conditionalFormatting sqref="C599">
    <cfRule type="cellIs" dxfId="778" priority="1793" stopIfTrue="1" operator="equal">
      <formula>"2 Add"</formula>
    </cfRule>
  </conditionalFormatting>
  <conditionalFormatting sqref="C599">
    <cfRule type="cellIs" dxfId="777" priority="1794" stopIfTrue="1" operator="equal">
      <formula>"3 Delete"</formula>
    </cfRule>
  </conditionalFormatting>
  <conditionalFormatting sqref="C600">
    <cfRule type="cellIs" dxfId="776" priority="1795" stopIfTrue="1" operator="equal">
      <formula>"1 Modify"</formula>
    </cfRule>
  </conditionalFormatting>
  <conditionalFormatting sqref="C600">
    <cfRule type="cellIs" dxfId="775" priority="1796" stopIfTrue="1" operator="equal">
      <formula>"2 Add"</formula>
    </cfRule>
  </conditionalFormatting>
  <conditionalFormatting sqref="C600">
    <cfRule type="cellIs" dxfId="774" priority="1797" stopIfTrue="1" operator="equal">
      <formula>"3 Delete"</formula>
    </cfRule>
  </conditionalFormatting>
  <conditionalFormatting sqref="C601">
    <cfRule type="cellIs" dxfId="773" priority="1798" stopIfTrue="1" operator="equal">
      <formula>"1 Modify"</formula>
    </cfRule>
  </conditionalFormatting>
  <conditionalFormatting sqref="C601">
    <cfRule type="cellIs" dxfId="772" priority="1799" stopIfTrue="1" operator="equal">
      <formula>"2 Add"</formula>
    </cfRule>
  </conditionalFormatting>
  <conditionalFormatting sqref="C601">
    <cfRule type="cellIs" dxfId="771" priority="1800" stopIfTrue="1" operator="equal">
      <formula>"3 Delete"</formula>
    </cfRule>
  </conditionalFormatting>
  <conditionalFormatting sqref="C602">
    <cfRule type="cellIs" dxfId="770" priority="1801" stopIfTrue="1" operator="equal">
      <formula>"1 Modify"</formula>
    </cfRule>
  </conditionalFormatting>
  <conditionalFormatting sqref="C602">
    <cfRule type="cellIs" dxfId="769" priority="1802" stopIfTrue="1" operator="equal">
      <formula>"2 Add"</formula>
    </cfRule>
  </conditionalFormatting>
  <conditionalFormatting sqref="C602">
    <cfRule type="cellIs" dxfId="768" priority="1803" stopIfTrue="1" operator="equal">
      <formula>"3 Delete"</formula>
    </cfRule>
  </conditionalFormatting>
  <conditionalFormatting sqref="C603">
    <cfRule type="cellIs" dxfId="767" priority="1804" stopIfTrue="1" operator="equal">
      <formula>"1 Modify"</formula>
    </cfRule>
  </conditionalFormatting>
  <conditionalFormatting sqref="C603">
    <cfRule type="cellIs" dxfId="766" priority="1805" stopIfTrue="1" operator="equal">
      <formula>"2 Add"</formula>
    </cfRule>
  </conditionalFormatting>
  <conditionalFormatting sqref="C603">
    <cfRule type="cellIs" dxfId="765" priority="1806" stopIfTrue="1" operator="equal">
      <formula>"3 Delete"</formula>
    </cfRule>
  </conditionalFormatting>
  <conditionalFormatting sqref="C604">
    <cfRule type="cellIs" dxfId="764" priority="1807" stopIfTrue="1" operator="equal">
      <formula>"1 Modify"</formula>
    </cfRule>
  </conditionalFormatting>
  <conditionalFormatting sqref="C604">
    <cfRule type="cellIs" dxfId="763" priority="1808" stopIfTrue="1" operator="equal">
      <formula>"2 Add"</formula>
    </cfRule>
  </conditionalFormatting>
  <conditionalFormatting sqref="C604">
    <cfRule type="cellIs" dxfId="762" priority="1809" stopIfTrue="1" operator="equal">
      <formula>"3 Delete"</formula>
    </cfRule>
  </conditionalFormatting>
  <conditionalFormatting sqref="C605">
    <cfRule type="cellIs" dxfId="761" priority="1810" stopIfTrue="1" operator="equal">
      <formula>"1 Modify"</formula>
    </cfRule>
  </conditionalFormatting>
  <conditionalFormatting sqref="C605">
    <cfRule type="cellIs" dxfId="760" priority="1811" stopIfTrue="1" operator="equal">
      <formula>"2 Add"</formula>
    </cfRule>
  </conditionalFormatting>
  <conditionalFormatting sqref="C605">
    <cfRule type="cellIs" dxfId="759" priority="1812" stopIfTrue="1" operator="equal">
      <formula>"3 Delete"</formula>
    </cfRule>
  </conditionalFormatting>
  <conditionalFormatting sqref="C606">
    <cfRule type="cellIs" dxfId="758" priority="1813" stopIfTrue="1" operator="equal">
      <formula>"1 Modify"</formula>
    </cfRule>
  </conditionalFormatting>
  <conditionalFormatting sqref="C606">
    <cfRule type="cellIs" dxfId="757" priority="1814" stopIfTrue="1" operator="equal">
      <formula>"2 Add"</formula>
    </cfRule>
  </conditionalFormatting>
  <conditionalFormatting sqref="C606">
    <cfRule type="cellIs" dxfId="756" priority="1815" stopIfTrue="1" operator="equal">
      <formula>"3 Delete"</formula>
    </cfRule>
  </conditionalFormatting>
  <conditionalFormatting sqref="C607">
    <cfRule type="cellIs" dxfId="755" priority="1816" stopIfTrue="1" operator="equal">
      <formula>"1 Modify"</formula>
    </cfRule>
  </conditionalFormatting>
  <conditionalFormatting sqref="C607">
    <cfRule type="cellIs" dxfId="754" priority="1817" stopIfTrue="1" operator="equal">
      <formula>"2 Add"</formula>
    </cfRule>
  </conditionalFormatting>
  <conditionalFormatting sqref="C607">
    <cfRule type="cellIs" dxfId="753" priority="1818" stopIfTrue="1" operator="equal">
      <formula>"3 Delete"</formula>
    </cfRule>
  </conditionalFormatting>
  <conditionalFormatting sqref="C608">
    <cfRule type="cellIs" dxfId="752" priority="1819" stopIfTrue="1" operator="equal">
      <formula>"1 Modify"</formula>
    </cfRule>
  </conditionalFormatting>
  <conditionalFormatting sqref="C608">
    <cfRule type="cellIs" dxfId="751" priority="1820" stopIfTrue="1" operator="equal">
      <formula>"2 Add"</formula>
    </cfRule>
  </conditionalFormatting>
  <conditionalFormatting sqref="C608">
    <cfRule type="cellIs" dxfId="750" priority="1821" stopIfTrue="1" operator="equal">
      <formula>"3 Delete"</formula>
    </cfRule>
  </conditionalFormatting>
  <conditionalFormatting sqref="C609">
    <cfRule type="cellIs" dxfId="749" priority="1822" stopIfTrue="1" operator="equal">
      <formula>"1 Modify"</formula>
    </cfRule>
  </conditionalFormatting>
  <conditionalFormatting sqref="C609">
    <cfRule type="cellIs" dxfId="748" priority="1823" stopIfTrue="1" operator="equal">
      <formula>"2 Add"</formula>
    </cfRule>
  </conditionalFormatting>
  <conditionalFormatting sqref="C609">
    <cfRule type="cellIs" dxfId="747" priority="1824" stopIfTrue="1" operator="equal">
      <formula>"3 Delete"</formula>
    </cfRule>
  </conditionalFormatting>
  <conditionalFormatting sqref="C610">
    <cfRule type="cellIs" dxfId="746" priority="1825" stopIfTrue="1" operator="equal">
      <formula>"1 Modify"</formula>
    </cfRule>
  </conditionalFormatting>
  <conditionalFormatting sqref="C610">
    <cfRule type="cellIs" dxfId="745" priority="1826" stopIfTrue="1" operator="equal">
      <formula>"2 Add"</formula>
    </cfRule>
  </conditionalFormatting>
  <conditionalFormatting sqref="C610">
    <cfRule type="cellIs" dxfId="744" priority="1827" stopIfTrue="1" operator="equal">
      <formula>"3 Delete"</formula>
    </cfRule>
  </conditionalFormatting>
  <conditionalFormatting sqref="C611">
    <cfRule type="cellIs" dxfId="743" priority="1828" stopIfTrue="1" operator="equal">
      <formula>"1 Modify"</formula>
    </cfRule>
  </conditionalFormatting>
  <conditionalFormatting sqref="C611">
    <cfRule type="cellIs" dxfId="742" priority="1829" stopIfTrue="1" operator="equal">
      <formula>"2 Add"</formula>
    </cfRule>
  </conditionalFormatting>
  <conditionalFormatting sqref="C611">
    <cfRule type="cellIs" dxfId="741" priority="1830" stopIfTrue="1" operator="equal">
      <formula>"3 Delete"</formula>
    </cfRule>
  </conditionalFormatting>
  <conditionalFormatting sqref="C612">
    <cfRule type="cellIs" dxfId="740" priority="1831" stopIfTrue="1" operator="equal">
      <formula>"1 Modify"</formula>
    </cfRule>
  </conditionalFormatting>
  <conditionalFormatting sqref="C612">
    <cfRule type="cellIs" dxfId="739" priority="1832" stopIfTrue="1" operator="equal">
      <formula>"2 Add"</formula>
    </cfRule>
  </conditionalFormatting>
  <conditionalFormatting sqref="C612">
    <cfRule type="cellIs" dxfId="738" priority="1833" stopIfTrue="1" operator="equal">
      <formula>"3 Delete"</formula>
    </cfRule>
  </conditionalFormatting>
  <conditionalFormatting sqref="C613">
    <cfRule type="cellIs" dxfId="737" priority="1834" stopIfTrue="1" operator="equal">
      <formula>"1 Modify"</formula>
    </cfRule>
  </conditionalFormatting>
  <conditionalFormatting sqref="C613">
    <cfRule type="cellIs" dxfId="736" priority="1835" stopIfTrue="1" operator="equal">
      <formula>"2 Add"</formula>
    </cfRule>
  </conditionalFormatting>
  <conditionalFormatting sqref="C613">
    <cfRule type="cellIs" dxfId="735" priority="1836" stopIfTrue="1" operator="equal">
      <formula>"3 Delete"</formula>
    </cfRule>
  </conditionalFormatting>
  <conditionalFormatting sqref="C614">
    <cfRule type="cellIs" dxfId="734" priority="1837" stopIfTrue="1" operator="equal">
      <formula>"1 Modify"</formula>
    </cfRule>
  </conditionalFormatting>
  <conditionalFormatting sqref="C614">
    <cfRule type="cellIs" dxfId="733" priority="1838" stopIfTrue="1" operator="equal">
      <formula>"2 Add"</formula>
    </cfRule>
  </conditionalFormatting>
  <conditionalFormatting sqref="C614">
    <cfRule type="cellIs" dxfId="732" priority="1839" stopIfTrue="1" operator="equal">
      <formula>"3 Delete"</formula>
    </cfRule>
  </conditionalFormatting>
  <conditionalFormatting sqref="C615">
    <cfRule type="cellIs" dxfId="731" priority="1840" stopIfTrue="1" operator="equal">
      <formula>"1 Modify"</formula>
    </cfRule>
  </conditionalFormatting>
  <conditionalFormatting sqref="C615">
    <cfRule type="cellIs" dxfId="730" priority="1841" stopIfTrue="1" operator="equal">
      <formula>"2 Add"</formula>
    </cfRule>
  </conditionalFormatting>
  <conditionalFormatting sqref="C615">
    <cfRule type="cellIs" dxfId="729" priority="1842" stopIfTrue="1" operator="equal">
      <formula>"3 Delete"</formula>
    </cfRule>
  </conditionalFormatting>
  <conditionalFormatting sqref="C616">
    <cfRule type="cellIs" dxfId="728" priority="1843" stopIfTrue="1" operator="equal">
      <formula>"1 Modify"</formula>
    </cfRule>
  </conditionalFormatting>
  <conditionalFormatting sqref="C616">
    <cfRule type="cellIs" dxfId="727" priority="1844" stopIfTrue="1" operator="equal">
      <formula>"2 Add"</formula>
    </cfRule>
  </conditionalFormatting>
  <conditionalFormatting sqref="C616">
    <cfRule type="cellIs" dxfId="726" priority="1845" stopIfTrue="1" operator="equal">
      <formula>"3 Delete"</formula>
    </cfRule>
  </conditionalFormatting>
  <conditionalFormatting sqref="C617">
    <cfRule type="cellIs" dxfId="725" priority="1846" stopIfTrue="1" operator="equal">
      <formula>"1 Modify"</formula>
    </cfRule>
  </conditionalFormatting>
  <conditionalFormatting sqref="C617">
    <cfRule type="cellIs" dxfId="724" priority="1847" stopIfTrue="1" operator="equal">
      <formula>"2 Add"</formula>
    </cfRule>
  </conditionalFormatting>
  <conditionalFormatting sqref="C617">
    <cfRule type="cellIs" dxfId="723" priority="1848" stopIfTrue="1" operator="equal">
      <formula>"3 Delete"</formula>
    </cfRule>
  </conditionalFormatting>
  <conditionalFormatting sqref="C618">
    <cfRule type="cellIs" dxfId="722" priority="1849" stopIfTrue="1" operator="equal">
      <formula>"1 Modify"</formula>
    </cfRule>
  </conditionalFormatting>
  <conditionalFormatting sqref="C618">
    <cfRule type="cellIs" dxfId="721" priority="1850" stopIfTrue="1" operator="equal">
      <formula>"2 Add"</formula>
    </cfRule>
  </conditionalFormatting>
  <conditionalFormatting sqref="C618">
    <cfRule type="cellIs" dxfId="720" priority="1851" stopIfTrue="1" operator="equal">
      <formula>"3 Delete"</formula>
    </cfRule>
  </conditionalFormatting>
  <conditionalFormatting sqref="C619">
    <cfRule type="cellIs" dxfId="719" priority="1852" stopIfTrue="1" operator="equal">
      <formula>"1 Modify"</formula>
    </cfRule>
  </conditionalFormatting>
  <conditionalFormatting sqref="C619">
    <cfRule type="cellIs" dxfId="718" priority="1853" stopIfTrue="1" operator="equal">
      <formula>"2 Add"</formula>
    </cfRule>
  </conditionalFormatting>
  <conditionalFormatting sqref="C619">
    <cfRule type="cellIs" dxfId="717" priority="1854" stopIfTrue="1" operator="equal">
      <formula>"3 Delete"</formula>
    </cfRule>
  </conditionalFormatting>
  <conditionalFormatting sqref="C620">
    <cfRule type="cellIs" dxfId="716" priority="1855" stopIfTrue="1" operator="equal">
      <formula>"1 Modify"</formula>
    </cfRule>
  </conditionalFormatting>
  <conditionalFormatting sqref="C620">
    <cfRule type="cellIs" dxfId="715" priority="1856" stopIfTrue="1" operator="equal">
      <formula>"2 Add"</formula>
    </cfRule>
  </conditionalFormatting>
  <conditionalFormatting sqref="C620">
    <cfRule type="cellIs" dxfId="714" priority="1857" stopIfTrue="1" operator="equal">
      <formula>"3 Delete"</formula>
    </cfRule>
  </conditionalFormatting>
  <conditionalFormatting sqref="C621">
    <cfRule type="cellIs" dxfId="713" priority="1858" stopIfTrue="1" operator="equal">
      <formula>"1 Modify"</formula>
    </cfRule>
  </conditionalFormatting>
  <conditionalFormatting sqref="C621">
    <cfRule type="cellIs" dxfId="712" priority="1859" stopIfTrue="1" operator="equal">
      <formula>"2 Add"</formula>
    </cfRule>
  </conditionalFormatting>
  <conditionalFormatting sqref="C621">
    <cfRule type="cellIs" dxfId="711" priority="1860" stopIfTrue="1" operator="equal">
      <formula>"3 Delete"</formula>
    </cfRule>
  </conditionalFormatting>
  <conditionalFormatting sqref="C622">
    <cfRule type="cellIs" dxfId="710" priority="1861" stopIfTrue="1" operator="equal">
      <formula>"1 Modify"</formula>
    </cfRule>
  </conditionalFormatting>
  <conditionalFormatting sqref="C622">
    <cfRule type="cellIs" dxfId="709" priority="1862" stopIfTrue="1" operator="equal">
      <formula>"2 Add"</formula>
    </cfRule>
  </conditionalFormatting>
  <conditionalFormatting sqref="C622">
    <cfRule type="cellIs" dxfId="708" priority="1863" stopIfTrue="1" operator="equal">
      <formula>"3 Delete"</formula>
    </cfRule>
  </conditionalFormatting>
  <conditionalFormatting sqref="C623">
    <cfRule type="cellIs" dxfId="707" priority="1864" stopIfTrue="1" operator="equal">
      <formula>"1 Modify"</formula>
    </cfRule>
  </conditionalFormatting>
  <conditionalFormatting sqref="C623">
    <cfRule type="cellIs" dxfId="706" priority="1865" stopIfTrue="1" operator="equal">
      <formula>"2 Add"</formula>
    </cfRule>
  </conditionalFormatting>
  <conditionalFormatting sqref="C623">
    <cfRule type="cellIs" dxfId="705" priority="1866" stopIfTrue="1" operator="equal">
      <formula>"3 Delete"</formula>
    </cfRule>
  </conditionalFormatting>
  <conditionalFormatting sqref="C624">
    <cfRule type="cellIs" dxfId="704" priority="1867" stopIfTrue="1" operator="equal">
      <formula>"1 Modify"</formula>
    </cfRule>
  </conditionalFormatting>
  <conditionalFormatting sqref="C624">
    <cfRule type="cellIs" dxfId="703" priority="1868" stopIfTrue="1" operator="equal">
      <formula>"2 Add"</formula>
    </cfRule>
  </conditionalFormatting>
  <conditionalFormatting sqref="C624">
    <cfRule type="cellIs" dxfId="702" priority="1869" stopIfTrue="1" operator="equal">
      <formula>"3 Delete"</formula>
    </cfRule>
  </conditionalFormatting>
  <conditionalFormatting sqref="C625">
    <cfRule type="cellIs" dxfId="701" priority="1870" stopIfTrue="1" operator="equal">
      <formula>"1 Modify"</formula>
    </cfRule>
  </conditionalFormatting>
  <conditionalFormatting sqref="C625">
    <cfRule type="cellIs" dxfId="700" priority="1871" stopIfTrue="1" operator="equal">
      <formula>"2 Add"</formula>
    </cfRule>
  </conditionalFormatting>
  <conditionalFormatting sqref="C625">
    <cfRule type="cellIs" dxfId="699" priority="1872" stopIfTrue="1" operator="equal">
      <formula>"3 Delete"</formula>
    </cfRule>
  </conditionalFormatting>
  <conditionalFormatting sqref="C626">
    <cfRule type="cellIs" dxfId="698" priority="1873" stopIfTrue="1" operator="equal">
      <formula>"1 Modify"</formula>
    </cfRule>
  </conditionalFormatting>
  <conditionalFormatting sqref="C626">
    <cfRule type="cellIs" dxfId="697" priority="1874" stopIfTrue="1" operator="equal">
      <formula>"2 Add"</formula>
    </cfRule>
  </conditionalFormatting>
  <conditionalFormatting sqref="C626">
    <cfRule type="cellIs" dxfId="696" priority="1875" stopIfTrue="1" operator="equal">
      <formula>"3 Delete"</formula>
    </cfRule>
  </conditionalFormatting>
  <conditionalFormatting sqref="C627">
    <cfRule type="cellIs" dxfId="695" priority="1876" stopIfTrue="1" operator="equal">
      <formula>"1 Modify"</formula>
    </cfRule>
  </conditionalFormatting>
  <conditionalFormatting sqref="C627">
    <cfRule type="cellIs" dxfId="694" priority="1877" stopIfTrue="1" operator="equal">
      <formula>"2 Add"</formula>
    </cfRule>
  </conditionalFormatting>
  <conditionalFormatting sqref="C627">
    <cfRule type="cellIs" dxfId="693" priority="1878" stopIfTrue="1" operator="equal">
      <formula>"3 Delete"</formula>
    </cfRule>
  </conditionalFormatting>
  <conditionalFormatting sqref="C628">
    <cfRule type="cellIs" dxfId="692" priority="1879" stopIfTrue="1" operator="equal">
      <formula>"1 Modify"</formula>
    </cfRule>
  </conditionalFormatting>
  <conditionalFormatting sqref="C628">
    <cfRule type="cellIs" dxfId="691" priority="1880" stopIfTrue="1" operator="equal">
      <formula>"2 Add"</formula>
    </cfRule>
  </conditionalFormatting>
  <conditionalFormatting sqref="C628">
    <cfRule type="cellIs" dxfId="690" priority="1881" stopIfTrue="1" operator="equal">
      <formula>"3 Delete"</formula>
    </cfRule>
  </conditionalFormatting>
  <conditionalFormatting sqref="C629">
    <cfRule type="cellIs" dxfId="689" priority="1882" stopIfTrue="1" operator="equal">
      <formula>"1 Modify"</formula>
    </cfRule>
  </conditionalFormatting>
  <conditionalFormatting sqref="C629">
    <cfRule type="cellIs" dxfId="688" priority="1883" stopIfTrue="1" operator="equal">
      <formula>"2 Add"</formula>
    </cfRule>
  </conditionalFormatting>
  <conditionalFormatting sqref="C629">
    <cfRule type="cellIs" dxfId="687" priority="1884" stopIfTrue="1" operator="equal">
      <formula>"3 Delete"</formula>
    </cfRule>
  </conditionalFormatting>
  <conditionalFormatting sqref="C630">
    <cfRule type="cellIs" dxfId="686" priority="1885" stopIfTrue="1" operator="equal">
      <formula>"1 Modify"</formula>
    </cfRule>
  </conditionalFormatting>
  <conditionalFormatting sqref="C630">
    <cfRule type="cellIs" dxfId="685" priority="1886" stopIfTrue="1" operator="equal">
      <formula>"2 Add"</formula>
    </cfRule>
  </conditionalFormatting>
  <conditionalFormatting sqref="C630">
    <cfRule type="cellIs" dxfId="684" priority="1887" stopIfTrue="1" operator="equal">
      <formula>"3 Delete"</formula>
    </cfRule>
  </conditionalFormatting>
  <conditionalFormatting sqref="C631">
    <cfRule type="cellIs" dxfId="683" priority="1888" stopIfTrue="1" operator="equal">
      <formula>"1 Modify"</formula>
    </cfRule>
  </conditionalFormatting>
  <conditionalFormatting sqref="C631">
    <cfRule type="cellIs" dxfId="682" priority="1889" stopIfTrue="1" operator="equal">
      <formula>"2 Add"</formula>
    </cfRule>
  </conditionalFormatting>
  <conditionalFormatting sqref="C631">
    <cfRule type="cellIs" dxfId="681" priority="1890" stopIfTrue="1" operator="equal">
      <formula>"3 Delete"</formula>
    </cfRule>
  </conditionalFormatting>
  <conditionalFormatting sqref="C632">
    <cfRule type="cellIs" dxfId="680" priority="1891" stopIfTrue="1" operator="equal">
      <formula>"1 Modify"</formula>
    </cfRule>
  </conditionalFormatting>
  <conditionalFormatting sqref="C632">
    <cfRule type="cellIs" dxfId="679" priority="1892" stopIfTrue="1" operator="equal">
      <formula>"2 Add"</formula>
    </cfRule>
  </conditionalFormatting>
  <conditionalFormatting sqref="C632">
    <cfRule type="cellIs" dxfId="678" priority="1893" stopIfTrue="1" operator="equal">
      <formula>"3 Delete"</formula>
    </cfRule>
  </conditionalFormatting>
  <conditionalFormatting sqref="C633">
    <cfRule type="cellIs" dxfId="677" priority="1894" stopIfTrue="1" operator="equal">
      <formula>"1 Modify"</formula>
    </cfRule>
  </conditionalFormatting>
  <conditionalFormatting sqref="C633">
    <cfRule type="cellIs" dxfId="676" priority="1895" stopIfTrue="1" operator="equal">
      <formula>"2 Add"</formula>
    </cfRule>
  </conditionalFormatting>
  <conditionalFormatting sqref="C633">
    <cfRule type="cellIs" dxfId="675" priority="1896" stopIfTrue="1" operator="equal">
      <formula>"3 Delete"</formula>
    </cfRule>
  </conditionalFormatting>
  <conditionalFormatting sqref="C634">
    <cfRule type="cellIs" dxfId="674" priority="1897" stopIfTrue="1" operator="equal">
      <formula>"1 Modify"</formula>
    </cfRule>
  </conditionalFormatting>
  <conditionalFormatting sqref="C634">
    <cfRule type="cellIs" dxfId="673" priority="1898" stopIfTrue="1" operator="equal">
      <formula>"2 Add"</formula>
    </cfRule>
  </conditionalFormatting>
  <conditionalFormatting sqref="C634">
    <cfRule type="cellIs" dxfId="672" priority="1899" stopIfTrue="1" operator="equal">
      <formula>"3 Delete"</formula>
    </cfRule>
  </conditionalFormatting>
  <conditionalFormatting sqref="C635">
    <cfRule type="cellIs" dxfId="671" priority="1900" stopIfTrue="1" operator="equal">
      <formula>"1 Modify"</formula>
    </cfRule>
  </conditionalFormatting>
  <conditionalFormatting sqref="C635">
    <cfRule type="cellIs" dxfId="670" priority="1901" stopIfTrue="1" operator="equal">
      <formula>"2 Add"</formula>
    </cfRule>
  </conditionalFormatting>
  <conditionalFormatting sqref="C635">
    <cfRule type="cellIs" dxfId="669" priority="1902" stopIfTrue="1" operator="equal">
      <formula>"3 Delete"</formula>
    </cfRule>
  </conditionalFormatting>
  <conditionalFormatting sqref="C636">
    <cfRule type="cellIs" dxfId="668" priority="1903" stopIfTrue="1" operator="equal">
      <formula>"1 Modify"</formula>
    </cfRule>
  </conditionalFormatting>
  <conditionalFormatting sqref="C636">
    <cfRule type="cellIs" dxfId="667" priority="1904" stopIfTrue="1" operator="equal">
      <formula>"2 Add"</formula>
    </cfRule>
  </conditionalFormatting>
  <conditionalFormatting sqref="C636">
    <cfRule type="cellIs" dxfId="666" priority="1905" stopIfTrue="1" operator="equal">
      <formula>"3 Delete"</formula>
    </cfRule>
  </conditionalFormatting>
  <conditionalFormatting sqref="C637">
    <cfRule type="cellIs" dxfId="665" priority="1906" stopIfTrue="1" operator="equal">
      <formula>"1 Modify"</formula>
    </cfRule>
  </conditionalFormatting>
  <conditionalFormatting sqref="C637">
    <cfRule type="cellIs" dxfId="664" priority="1907" stopIfTrue="1" operator="equal">
      <formula>"2 Add"</formula>
    </cfRule>
  </conditionalFormatting>
  <conditionalFormatting sqref="C637">
    <cfRule type="cellIs" dxfId="663" priority="1908" stopIfTrue="1" operator="equal">
      <formula>"3 Delete"</formula>
    </cfRule>
  </conditionalFormatting>
  <conditionalFormatting sqref="C638">
    <cfRule type="cellIs" dxfId="662" priority="1909" stopIfTrue="1" operator="equal">
      <formula>"1 Modify"</formula>
    </cfRule>
  </conditionalFormatting>
  <conditionalFormatting sqref="C638">
    <cfRule type="cellIs" dxfId="661" priority="1910" stopIfTrue="1" operator="equal">
      <formula>"2 Add"</formula>
    </cfRule>
  </conditionalFormatting>
  <conditionalFormatting sqref="C638">
    <cfRule type="cellIs" dxfId="660" priority="1911" stopIfTrue="1" operator="equal">
      <formula>"3 Delete"</formula>
    </cfRule>
  </conditionalFormatting>
  <conditionalFormatting sqref="C639">
    <cfRule type="cellIs" dxfId="659" priority="1912" stopIfTrue="1" operator="equal">
      <formula>"1 Modify"</formula>
    </cfRule>
  </conditionalFormatting>
  <conditionalFormatting sqref="C639">
    <cfRule type="cellIs" dxfId="658" priority="1913" stopIfTrue="1" operator="equal">
      <formula>"2 Add"</formula>
    </cfRule>
  </conditionalFormatting>
  <conditionalFormatting sqref="C639">
    <cfRule type="cellIs" dxfId="657" priority="1914" stopIfTrue="1" operator="equal">
      <formula>"3 Delete"</formula>
    </cfRule>
  </conditionalFormatting>
  <conditionalFormatting sqref="C640">
    <cfRule type="cellIs" dxfId="656" priority="1915" stopIfTrue="1" operator="equal">
      <formula>"1 Modify"</formula>
    </cfRule>
  </conditionalFormatting>
  <conditionalFormatting sqref="C640">
    <cfRule type="cellIs" dxfId="655" priority="1916" stopIfTrue="1" operator="equal">
      <formula>"2 Add"</formula>
    </cfRule>
  </conditionalFormatting>
  <conditionalFormatting sqref="C640">
    <cfRule type="cellIs" dxfId="654" priority="1917" stopIfTrue="1" operator="equal">
      <formula>"3 Delete"</formula>
    </cfRule>
  </conditionalFormatting>
  <conditionalFormatting sqref="C641">
    <cfRule type="cellIs" dxfId="653" priority="1918" stopIfTrue="1" operator="equal">
      <formula>"1 Modify"</formula>
    </cfRule>
  </conditionalFormatting>
  <conditionalFormatting sqref="C641">
    <cfRule type="cellIs" dxfId="652" priority="1919" stopIfTrue="1" operator="equal">
      <formula>"2 Add"</formula>
    </cfRule>
  </conditionalFormatting>
  <conditionalFormatting sqref="C641">
    <cfRule type="cellIs" dxfId="651" priority="1920" stopIfTrue="1" operator="equal">
      <formula>"3 Delete"</formula>
    </cfRule>
  </conditionalFormatting>
  <conditionalFormatting sqref="C642">
    <cfRule type="cellIs" dxfId="650" priority="1921" stopIfTrue="1" operator="equal">
      <formula>"1 Modify"</formula>
    </cfRule>
  </conditionalFormatting>
  <conditionalFormatting sqref="C642">
    <cfRule type="cellIs" dxfId="649" priority="1922" stopIfTrue="1" operator="equal">
      <formula>"2 Add"</formula>
    </cfRule>
  </conditionalFormatting>
  <conditionalFormatting sqref="C642">
    <cfRule type="cellIs" dxfId="648" priority="1923" stopIfTrue="1" operator="equal">
      <formula>"3 Delete"</formula>
    </cfRule>
  </conditionalFormatting>
  <conditionalFormatting sqref="C643">
    <cfRule type="cellIs" dxfId="647" priority="1924" stopIfTrue="1" operator="equal">
      <formula>"1 Modify"</formula>
    </cfRule>
  </conditionalFormatting>
  <conditionalFormatting sqref="C643">
    <cfRule type="cellIs" dxfId="646" priority="1925" stopIfTrue="1" operator="equal">
      <formula>"2 Add"</formula>
    </cfRule>
  </conditionalFormatting>
  <conditionalFormatting sqref="C643">
    <cfRule type="cellIs" dxfId="645" priority="1926" stopIfTrue="1" operator="equal">
      <formula>"3 Delete"</formula>
    </cfRule>
  </conditionalFormatting>
  <conditionalFormatting sqref="C644">
    <cfRule type="cellIs" dxfId="644" priority="1927" stopIfTrue="1" operator="equal">
      <formula>"1 Modify"</formula>
    </cfRule>
  </conditionalFormatting>
  <conditionalFormatting sqref="C644">
    <cfRule type="cellIs" dxfId="643" priority="1928" stopIfTrue="1" operator="equal">
      <formula>"2 Add"</formula>
    </cfRule>
  </conditionalFormatting>
  <conditionalFormatting sqref="C644">
    <cfRule type="cellIs" dxfId="642" priority="1929" stopIfTrue="1" operator="equal">
      <formula>"3 Delete"</formula>
    </cfRule>
  </conditionalFormatting>
  <conditionalFormatting sqref="C645">
    <cfRule type="cellIs" dxfId="641" priority="1930" stopIfTrue="1" operator="equal">
      <formula>"1 Modify"</formula>
    </cfRule>
  </conditionalFormatting>
  <conditionalFormatting sqref="C645">
    <cfRule type="cellIs" dxfId="640" priority="1931" stopIfTrue="1" operator="equal">
      <formula>"2 Add"</formula>
    </cfRule>
  </conditionalFormatting>
  <conditionalFormatting sqref="C645">
    <cfRule type="cellIs" dxfId="639" priority="1932" stopIfTrue="1" operator="equal">
      <formula>"3 Delete"</formula>
    </cfRule>
  </conditionalFormatting>
  <conditionalFormatting sqref="C646">
    <cfRule type="cellIs" dxfId="638" priority="1933" stopIfTrue="1" operator="equal">
      <formula>"1 Modify"</formula>
    </cfRule>
  </conditionalFormatting>
  <conditionalFormatting sqref="C646">
    <cfRule type="cellIs" dxfId="637" priority="1934" stopIfTrue="1" operator="equal">
      <formula>"2 Add"</formula>
    </cfRule>
  </conditionalFormatting>
  <conditionalFormatting sqref="C646">
    <cfRule type="cellIs" dxfId="636" priority="1935" stopIfTrue="1" operator="equal">
      <formula>"3 Delete"</formula>
    </cfRule>
  </conditionalFormatting>
  <conditionalFormatting sqref="C647">
    <cfRule type="cellIs" dxfId="635" priority="1936" stopIfTrue="1" operator="equal">
      <formula>"1 Modify"</formula>
    </cfRule>
  </conditionalFormatting>
  <conditionalFormatting sqref="C647">
    <cfRule type="cellIs" dxfId="634" priority="1937" stopIfTrue="1" operator="equal">
      <formula>"2 Add"</formula>
    </cfRule>
  </conditionalFormatting>
  <conditionalFormatting sqref="C647">
    <cfRule type="cellIs" dxfId="633" priority="1938" stopIfTrue="1" operator="equal">
      <formula>"3 Delete"</formula>
    </cfRule>
  </conditionalFormatting>
  <conditionalFormatting sqref="C648">
    <cfRule type="cellIs" dxfId="632" priority="1939" stopIfTrue="1" operator="equal">
      <formula>"1 Modify"</formula>
    </cfRule>
  </conditionalFormatting>
  <conditionalFormatting sqref="C648">
    <cfRule type="cellIs" dxfId="631" priority="1940" stopIfTrue="1" operator="equal">
      <formula>"2 Add"</formula>
    </cfRule>
  </conditionalFormatting>
  <conditionalFormatting sqref="C648">
    <cfRule type="cellIs" dxfId="630" priority="1941" stopIfTrue="1" operator="equal">
      <formula>"3 Delete"</formula>
    </cfRule>
  </conditionalFormatting>
  <conditionalFormatting sqref="C649">
    <cfRule type="cellIs" dxfId="629" priority="1942" stopIfTrue="1" operator="equal">
      <formula>"1 Modify"</formula>
    </cfRule>
  </conditionalFormatting>
  <conditionalFormatting sqref="C649">
    <cfRule type="cellIs" dxfId="628" priority="1943" stopIfTrue="1" operator="equal">
      <formula>"2 Add"</formula>
    </cfRule>
  </conditionalFormatting>
  <conditionalFormatting sqref="C649">
    <cfRule type="cellIs" dxfId="627" priority="1944" stopIfTrue="1" operator="equal">
      <formula>"3 Delete"</formula>
    </cfRule>
  </conditionalFormatting>
  <conditionalFormatting sqref="C650">
    <cfRule type="cellIs" dxfId="626" priority="1945" stopIfTrue="1" operator="equal">
      <formula>"1 Modify"</formula>
    </cfRule>
  </conditionalFormatting>
  <conditionalFormatting sqref="C650">
    <cfRule type="cellIs" dxfId="625" priority="1946" stopIfTrue="1" operator="equal">
      <formula>"2 Add"</formula>
    </cfRule>
  </conditionalFormatting>
  <conditionalFormatting sqref="C650">
    <cfRule type="cellIs" dxfId="624" priority="1947" stopIfTrue="1" operator="equal">
      <formula>"3 Delete"</formula>
    </cfRule>
  </conditionalFormatting>
  <conditionalFormatting sqref="C651">
    <cfRule type="cellIs" dxfId="623" priority="1948" stopIfTrue="1" operator="equal">
      <formula>"1 Modify"</formula>
    </cfRule>
  </conditionalFormatting>
  <conditionalFormatting sqref="C651">
    <cfRule type="cellIs" dxfId="622" priority="1949" stopIfTrue="1" operator="equal">
      <formula>"2 Add"</formula>
    </cfRule>
  </conditionalFormatting>
  <conditionalFormatting sqref="C651">
    <cfRule type="cellIs" dxfId="621" priority="1950" stopIfTrue="1" operator="equal">
      <formula>"3 Delete"</formula>
    </cfRule>
  </conditionalFormatting>
  <conditionalFormatting sqref="C652">
    <cfRule type="cellIs" dxfId="620" priority="1951" stopIfTrue="1" operator="equal">
      <formula>"1 Modify"</formula>
    </cfRule>
  </conditionalFormatting>
  <conditionalFormatting sqref="C652">
    <cfRule type="cellIs" dxfId="619" priority="1952" stopIfTrue="1" operator="equal">
      <formula>"2 Add"</formula>
    </cfRule>
  </conditionalFormatting>
  <conditionalFormatting sqref="C652">
    <cfRule type="cellIs" dxfId="618" priority="1953" stopIfTrue="1" operator="equal">
      <formula>"3 Delete"</formula>
    </cfRule>
  </conditionalFormatting>
  <conditionalFormatting sqref="C653">
    <cfRule type="cellIs" dxfId="617" priority="1954" stopIfTrue="1" operator="equal">
      <formula>"1 Modify"</formula>
    </cfRule>
  </conditionalFormatting>
  <conditionalFormatting sqref="C653">
    <cfRule type="cellIs" dxfId="616" priority="1955" stopIfTrue="1" operator="equal">
      <formula>"2 Add"</formula>
    </cfRule>
  </conditionalFormatting>
  <conditionalFormatting sqref="C653">
    <cfRule type="cellIs" dxfId="615" priority="1956" stopIfTrue="1" operator="equal">
      <formula>"3 Delete"</formula>
    </cfRule>
  </conditionalFormatting>
  <conditionalFormatting sqref="C654">
    <cfRule type="cellIs" dxfId="614" priority="1957" stopIfTrue="1" operator="equal">
      <formula>"1 Modify"</formula>
    </cfRule>
  </conditionalFormatting>
  <conditionalFormatting sqref="C654">
    <cfRule type="cellIs" dxfId="613" priority="1958" stopIfTrue="1" operator="equal">
      <formula>"2 Add"</formula>
    </cfRule>
  </conditionalFormatting>
  <conditionalFormatting sqref="C654">
    <cfRule type="cellIs" dxfId="612" priority="1959" stopIfTrue="1" operator="equal">
      <formula>"3 Delete"</formula>
    </cfRule>
  </conditionalFormatting>
  <conditionalFormatting sqref="C655">
    <cfRule type="cellIs" dxfId="611" priority="1960" stopIfTrue="1" operator="equal">
      <formula>"1 Modify"</formula>
    </cfRule>
  </conditionalFormatting>
  <conditionalFormatting sqref="C655">
    <cfRule type="cellIs" dxfId="610" priority="1961" stopIfTrue="1" operator="equal">
      <formula>"2 Add"</formula>
    </cfRule>
  </conditionalFormatting>
  <conditionalFormatting sqref="C655">
    <cfRule type="cellIs" dxfId="609" priority="1962" stopIfTrue="1" operator="equal">
      <formula>"3 Delete"</formula>
    </cfRule>
  </conditionalFormatting>
  <conditionalFormatting sqref="C656">
    <cfRule type="cellIs" dxfId="608" priority="1963" stopIfTrue="1" operator="equal">
      <formula>"1 Modify"</formula>
    </cfRule>
  </conditionalFormatting>
  <conditionalFormatting sqref="C656">
    <cfRule type="cellIs" dxfId="607" priority="1964" stopIfTrue="1" operator="equal">
      <formula>"2 Add"</formula>
    </cfRule>
  </conditionalFormatting>
  <conditionalFormatting sqref="C656">
    <cfRule type="cellIs" dxfId="606" priority="1965" stopIfTrue="1" operator="equal">
      <formula>"3 Delete"</formula>
    </cfRule>
  </conditionalFormatting>
  <conditionalFormatting sqref="C657">
    <cfRule type="cellIs" dxfId="605" priority="1966" stopIfTrue="1" operator="equal">
      <formula>"1 Modify"</formula>
    </cfRule>
  </conditionalFormatting>
  <conditionalFormatting sqref="C657">
    <cfRule type="cellIs" dxfId="604" priority="1967" stopIfTrue="1" operator="equal">
      <formula>"2 Add"</formula>
    </cfRule>
  </conditionalFormatting>
  <conditionalFormatting sqref="C657">
    <cfRule type="cellIs" dxfId="603" priority="1968" stopIfTrue="1" operator="equal">
      <formula>"3 Delete"</formula>
    </cfRule>
  </conditionalFormatting>
  <conditionalFormatting sqref="C658">
    <cfRule type="cellIs" dxfId="602" priority="1969" stopIfTrue="1" operator="equal">
      <formula>"1 Modify"</formula>
    </cfRule>
  </conditionalFormatting>
  <conditionalFormatting sqref="C658">
    <cfRule type="cellIs" dxfId="601" priority="1970" stopIfTrue="1" operator="equal">
      <formula>"2 Add"</formula>
    </cfRule>
  </conditionalFormatting>
  <conditionalFormatting sqref="C658">
    <cfRule type="cellIs" dxfId="600" priority="1971" stopIfTrue="1" operator="equal">
      <formula>"3 Delete"</formula>
    </cfRule>
  </conditionalFormatting>
  <conditionalFormatting sqref="C659">
    <cfRule type="cellIs" dxfId="599" priority="1972" stopIfTrue="1" operator="equal">
      <formula>"1 Modify"</formula>
    </cfRule>
  </conditionalFormatting>
  <conditionalFormatting sqref="C659">
    <cfRule type="cellIs" dxfId="598" priority="1973" stopIfTrue="1" operator="equal">
      <formula>"2 Add"</formula>
    </cfRule>
  </conditionalFormatting>
  <conditionalFormatting sqref="C659">
    <cfRule type="cellIs" dxfId="597" priority="1974" stopIfTrue="1" operator="equal">
      <formula>"3 Delete"</formula>
    </cfRule>
  </conditionalFormatting>
  <conditionalFormatting sqref="C660">
    <cfRule type="cellIs" dxfId="596" priority="1975" stopIfTrue="1" operator="equal">
      <formula>"1 Modify"</formula>
    </cfRule>
  </conditionalFormatting>
  <conditionalFormatting sqref="C660">
    <cfRule type="cellIs" dxfId="595" priority="1976" stopIfTrue="1" operator="equal">
      <formula>"2 Add"</formula>
    </cfRule>
  </conditionalFormatting>
  <conditionalFormatting sqref="C660">
    <cfRule type="cellIs" dxfId="594" priority="1977" stopIfTrue="1" operator="equal">
      <formula>"3 Delete"</formula>
    </cfRule>
  </conditionalFormatting>
  <conditionalFormatting sqref="C661">
    <cfRule type="cellIs" dxfId="593" priority="1978" stopIfTrue="1" operator="equal">
      <formula>"1 Modify"</formula>
    </cfRule>
  </conditionalFormatting>
  <conditionalFormatting sqref="C661">
    <cfRule type="cellIs" dxfId="592" priority="1979" stopIfTrue="1" operator="equal">
      <formula>"2 Add"</formula>
    </cfRule>
  </conditionalFormatting>
  <conditionalFormatting sqref="C661">
    <cfRule type="cellIs" dxfId="591" priority="1980" stopIfTrue="1" operator="equal">
      <formula>"3 Delete"</formula>
    </cfRule>
  </conditionalFormatting>
  <conditionalFormatting sqref="C662">
    <cfRule type="cellIs" dxfId="590" priority="1981" stopIfTrue="1" operator="equal">
      <formula>"1 Modify"</formula>
    </cfRule>
  </conditionalFormatting>
  <conditionalFormatting sqref="C662">
    <cfRule type="cellIs" dxfId="589" priority="1982" stopIfTrue="1" operator="equal">
      <formula>"2 Add"</formula>
    </cfRule>
  </conditionalFormatting>
  <conditionalFormatting sqref="C662">
    <cfRule type="cellIs" dxfId="588" priority="1983" stopIfTrue="1" operator="equal">
      <formula>"3 Delete"</formula>
    </cfRule>
  </conditionalFormatting>
  <conditionalFormatting sqref="C663">
    <cfRule type="cellIs" dxfId="587" priority="1984" stopIfTrue="1" operator="equal">
      <formula>"1 Modify"</formula>
    </cfRule>
  </conditionalFormatting>
  <conditionalFormatting sqref="C663">
    <cfRule type="cellIs" dxfId="586" priority="1985" stopIfTrue="1" operator="equal">
      <formula>"2 Add"</formula>
    </cfRule>
  </conditionalFormatting>
  <conditionalFormatting sqref="C663">
    <cfRule type="cellIs" dxfId="585" priority="1986" stopIfTrue="1" operator="equal">
      <formula>"3 Delete"</formula>
    </cfRule>
  </conditionalFormatting>
  <conditionalFormatting sqref="C664">
    <cfRule type="cellIs" dxfId="584" priority="1987" stopIfTrue="1" operator="equal">
      <formula>"1 Modify"</formula>
    </cfRule>
  </conditionalFormatting>
  <conditionalFormatting sqref="C664">
    <cfRule type="cellIs" dxfId="583" priority="1988" stopIfTrue="1" operator="equal">
      <formula>"2 Add"</formula>
    </cfRule>
  </conditionalFormatting>
  <conditionalFormatting sqref="C664">
    <cfRule type="cellIs" dxfId="582" priority="1989" stopIfTrue="1" operator="equal">
      <formula>"3 Delete"</formula>
    </cfRule>
  </conditionalFormatting>
  <conditionalFormatting sqref="C665">
    <cfRule type="cellIs" dxfId="581" priority="1990" stopIfTrue="1" operator="equal">
      <formula>"1 Modify"</formula>
    </cfRule>
  </conditionalFormatting>
  <conditionalFormatting sqref="C665">
    <cfRule type="cellIs" dxfId="580" priority="1991" stopIfTrue="1" operator="equal">
      <formula>"2 Add"</formula>
    </cfRule>
  </conditionalFormatting>
  <conditionalFormatting sqref="C665">
    <cfRule type="cellIs" dxfId="579" priority="1992" stopIfTrue="1" operator="equal">
      <formula>"3 Delete"</formula>
    </cfRule>
  </conditionalFormatting>
  <conditionalFormatting sqref="C666">
    <cfRule type="cellIs" dxfId="578" priority="1993" stopIfTrue="1" operator="equal">
      <formula>"1 Modify"</formula>
    </cfRule>
  </conditionalFormatting>
  <conditionalFormatting sqref="C666">
    <cfRule type="cellIs" dxfId="577" priority="1994" stopIfTrue="1" operator="equal">
      <formula>"2 Add"</formula>
    </cfRule>
  </conditionalFormatting>
  <conditionalFormatting sqref="C666">
    <cfRule type="cellIs" dxfId="576" priority="1995" stopIfTrue="1" operator="equal">
      <formula>"3 Delete"</formula>
    </cfRule>
  </conditionalFormatting>
  <conditionalFormatting sqref="C667">
    <cfRule type="cellIs" dxfId="575" priority="1996" stopIfTrue="1" operator="equal">
      <formula>"1 Modify"</formula>
    </cfRule>
  </conditionalFormatting>
  <conditionalFormatting sqref="C667">
    <cfRule type="cellIs" dxfId="574" priority="1997" stopIfTrue="1" operator="equal">
      <formula>"2 Add"</formula>
    </cfRule>
  </conditionalFormatting>
  <conditionalFormatting sqref="C667">
    <cfRule type="cellIs" dxfId="573" priority="1998" stopIfTrue="1" operator="equal">
      <formula>"3 Delete"</formula>
    </cfRule>
  </conditionalFormatting>
  <conditionalFormatting sqref="C668">
    <cfRule type="cellIs" dxfId="572" priority="1999" stopIfTrue="1" operator="equal">
      <formula>"1 Modify"</formula>
    </cfRule>
  </conditionalFormatting>
  <conditionalFormatting sqref="C668">
    <cfRule type="cellIs" dxfId="571" priority="2000" stopIfTrue="1" operator="equal">
      <formula>"2 Add"</formula>
    </cfRule>
  </conditionalFormatting>
  <conditionalFormatting sqref="C668">
    <cfRule type="cellIs" dxfId="570" priority="2001" stopIfTrue="1" operator="equal">
      <formula>"3 Delete"</formula>
    </cfRule>
  </conditionalFormatting>
  <conditionalFormatting sqref="C669">
    <cfRule type="cellIs" dxfId="569" priority="2002" stopIfTrue="1" operator="equal">
      <formula>"1 Modify"</formula>
    </cfRule>
  </conditionalFormatting>
  <conditionalFormatting sqref="C669">
    <cfRule type="cellIs" dxfId="568" priority="2003" stopIfTrue="1" operator="equal">
      <formula>"2 Add"</formula>
    </cfRule>
  </conditionalFormatting>
  <conditionalFormatting sqref="C669">
    <cfRule type="cellIs" dxfId="567" priority="2004" stopIfTrue="1" operator="equal">
      <formula>"3 Delete"</formula>
    </cfRule>
  </conditionalFormatting>
  <conditionalFormatting sqref="C670">
    <cfRule type="cellIs" dxfId="566" priority="2005" stopIfTrue="1" operator="equal">
      <formula>"1 Modify"</formula>
    </cfRule>
  </conditionalFormatting>
  <conditionalFormatting sqref="C670">
    <cfRule type="cellIs" dxfId="565" priority="2006" stopIfTrue="1" operator="equal">
      <formula>"2 Add"</formula>
    </cfRule>
  </conditionalFormatting>
  <conditionalFormatting sqref="C670">
    <cfRule type="cellIs" dxfId="564" priority="2007" stopIfTrue="1" operator="equal">
      <formula>"3 Delete"</formula>
    </cfRule>
  </conditionalFormatting>
  <conditionalFormatting sqref="C671">
    <cfRule type="cellIs" dxfId="563" priority="2008" stopIfTrue="1" operator="equal">
      <formula>"1 Modify"</formula>
    </cfRule>
  </conditionalFormatting>
  <conditionalFormatting sqref="C671">
    <cfRule type="cellIs" dxfId="562" priority="2009" stopIfTrue="1" operator="equal">
      <formula>"2 Add"</formula>
    </cfRule>
  </conditionalFormatting>
  <conditionalFormatting sqref="C671">
    <cfRule type="cellIs" dxfId="561" priority="2010" stopIfTrue="1" operator="equal">
      <formula>"3 Delete"</formula>
    </cfRule>
  </conditionalFormatting>
  <conditionalFormatting sqref="C672">
    <cfRule type="cellIs" dxfId="560" priority="2011" stopIfTrue="1" operator="equal">
      <formula>"1 Modify"</formula>
    </cfRule>
  </conditionalFormatting>
  <conditionalFormatting sqref="C672">
    <cfRule type="cellIs" dxfId="559" priority="2012" stopIfTrue="1" operator="equal">
      <formula>"2 Add"</formula>
    </cfRule>
  </conditionalFormatting>
  <conditionalFormatting sqref="C672">
    <cfRule type="cellIs" dxfId="558" priority="2013" stopIfTrue="1" operator="equal">
      <formula>"3 Delete"</formula>
    </cfRule>
  </conditionalFormatting>
  <conditionalFormatting sqref="C673">
    <cfRule type="cellIs" dxfId="557" priority="2014" stopIfTrue="1" operator="equal">
      <formula>"1 Modify"</formula>
    </cfRule>
  </conditionalFormatting>
  <conditionalFormatting sqref="C673">
    <cfRule type="cellIs" dxfId="556" priority="2015" stopIfTrue="1" operator="equal">
      <formula>"2 Add"</formula>
    </cfRule>
  </conditionalFormatting>
  <conditionalFormatting sqref="C673">
    <cfRule type="cellIs" dxfId="555" priority="2016" stopIfTrue="1" operator="equal">
      <formula>"3 Delete"</formula>
    </cfRule>
  </conditionalFormatting>
  <conditionalFormatting sqref="C674">
    <cfRule type="cellIs" dxfId="554" priority="2017" stopIfTrue="1" operator="equal">
      <formula>"1 Modify"</formula>
    </cfRule>
  </conditionalFormatting>
  <conditionalFormatting sqref="C674">
    <cfRule type="cellIs" dxfId="553" priority="2018" stopIfTrue="1" operator="equal">
      <formula>"2 Add"</formula>
    </cfRule>
  </conditionalFormatting>
  <conditionalFormatting sqref="C674">
    <cfRule type="cellIs" dxfId="552" priority="2019" stopIfTrue="1" operator="equal">
      <formula>"3 Delete"</formula>
    </cfRule>
  </conditionalFormatting>
  <conditionalFormatting sqref="C675">
    <cfRule type="cellIs" dxfId="551" priority="2020" stopIfTrue="1" operator="equal">
      <formula>"1 Modify"</formula>
    </cfRule>
  </conditionalFormatting>
  <conditionalFormatting sqref="C675">
    <cfRule type="cellIs" dxfId="550" priority="2021" stopIfTrue="1" operator="equal">
      <formula>"2 Add"</formula>
    </cfRule>
  </conditionalFormatting>
  <conditionalFormatting sqref="C675">
    <cfRule type="cellIs" dxfId="549" priority="2022" stopIfTrue="1" operator="equal">
      <formula>"3 Delete"</formula>
    </cfRule>
  </conditionalFormatting>
  <conditionalFormatting sqref="C676">
    <cfRule type="cellIs" dxfId="548" priority="2023" stopIfTrue="1" operator="equal">
      <formula>"1 Modify"</formula>
    </cfRule>
  </conditionalFormatting>
  <conditionalFormatting sqref="C676">
    <cfRule type="cellIs" dxfId="547" priority="2024" stopIfTrue="1" operator="equal">
      <formula>"2 Add"</formula>
    </cfRule>
  </conditionalFormatting>
  <conditionalFormatting sqref="C676">
    <cfRule type="cellIs" dxfId="546" priority="2025" stopIfTrue="1" operator="equal">
      <formula>"3 Delete"</formula>
    </cfRule>
  </conditionalFormatting>
  <conditionalFormatting sqref="C677">
    <cfRule type="cellIs" dxfId="545" priority="2026" stopIfTrue="1" operator="equal">
      <formula>"1 Modify"</formula>
    </cfRule>
  </conditionalFormatting>
  <conditionalFormatting sqref="C677">
    <cfRule type="cellIs" dxfId="544" priority="2027" stopIfTrue="1" operator="equal">
      <formula>"2 Add"</formula>
    </cfRule>
  </conditionalFormatting>
  <conditionalFormatting sqref="C677">
    <cfRule type="cellIs" dxfId="543" priority="2028" stopIfTrue="1" operator="equal">
      <formula>"3 Delete"</formula>
    </cfRule>
  </conditionalFormatting>
  <conditionalFormatting sqref="C678">
    <cfRule type="cellIs" dxfId="542" priority="2029" stopIfTrue="1" operator="equal">
      <formula>"1 Modify"</formula>
    </cfRule>
  </conditionalFormatting>
  <conditionalFormatting sqref="C678">
    <cfRule type="cellIs" dxfId="541" priority="2030" stopIfTrue="1" operator="equal">
      <formula>"2 Add"</formula>
    </cfRule>
  </conditionalFormatting>
  <conditionalFormatting sqref="C678">
    <cfRule type="cellIs" dxfId="540" priority="2031" stopIfTrue="1" operator="equal">
      <formula>"3 Delete"</formula>
    </cfRule>
  </conditionalFormatting>
  <conditionalFormatting sqref="C679">
    <cfRule type="cellIs" dxfId="539" priority="2032" stopIfTrue="1" operator="equal">
      <formula>"1 Modify"</formula>
    </cfRule>
  </conditionalFormatting>
  <conditionalFormatting sqref="C679">
    <cfRule type="cellIs" dxfId="538" priority="2033" stopIfTrue="1" operator="equal">
      <formula>"2 Add"</formula>
    </cfRule>
  </conditionalFormatting>
  <conditionalFormatting sqref="C679">
    <cfRule type="cellIs" dxfId="537" priority="2034" stopIfTrue="1" operator="equal">
      <formula>"3 Delete"</formula>
    </cfRule>
  </conditionalFormatting>
  <conditionalFormatting sqref="C680">
    <cfRule type="cellIs" dxfId="536" priority="2035" stopIfTrue="1" operator="equal">
      <formula>"1 Modify"</formula>
    </cfRule>
  </conditionalFormatting>
  <conditionalFormatting sqref="C680">
    <cfRule type="cellIs" dxfId="535" priority="2036" stopIfTrue="1" operator="equal">
      <formula>"2 Add"</formula>
    </cfRule>
  </conditionalFormatting>
  <conditionalFormatting sqref="C680">
    <cfRule type="cellIs" dxfId="534" priority="2037" stopIfTrue="1" operator="equal">
      <formula>"3 Delete"</formula>
    </cfRule>
  </conditionalFormatting>
  <conditionalFormatting sqref="C681">
    <cfRule type="cellIs" dxfId="533" priority="2038" stopIfTrue="1" operator="equal">
      <formula>"1 Modify"</formula>
    </cfRule>
  </conditionalFormatting>
  <conditionalFormatting sqref="C681">
    <cfRule type="cellIs" dxfId="532" priority="2039" stopIfTrue="1" operator="equal">
      <formula>"2 Add"</formula>
    </cfRule>
  </conditionalFormatting>
  <conditionalFormatting sqref="C681">
    <cfRule type="cellIs" dxfId="531" priority="2040" stopIfTrue="1" operator="equal">
      <formula>"3 Delete"</formula>
    </cfRule>
  </conditionalFormatting>
  <conditionalFormatting sqref="C682">
    <cfRule type="cellIs" dxfId="530" priority="2041" stopIfTrue="1" operator="equal">
      <formula>"1 Modify"</formula>
    </cfRule>
  </conditionalFormatting>
  <conditionalFormatting sqref="C682">
    <cfRule type="cellIs" dxfId="529" priority="2042" stopIfTrue="1" operator="equal">
      <formula>"2 Add"</formula>
    </cfRule>
  </conditionalFormatting>
  <conditionalFormatting sqref="C682">
    <cfRule type="cellIs" dxfId="528" priority="2043" stopIfTrue="1" operator="equal">
      <formula>"3 Delete"</formula>
    </cfRule>
  </conditionalFormatting>
  <conditionalFormatting sqref="C683">
    <cfRule type="cellIs" dxfId="527" priority="2044" stopIfTrue="1" operator="equal">
      <formula>"1 Modify"</formula>
    </cfRule>
  </conditionalFormatting>
  <conditionalFormatting sqref="C683">
    <cfRule type="cellIs" dxfId="526" priority="2045" stopIfTrue="1" operator="equal">
      <formula>"2 Add"</formula>
    </cfRule>
  </conditionalFormatting>
  <conditionalFormatting sqref="C683">
    <cfRule type="cellIs" dxfId="525" priority="2046" stopIfTrue="1" operator="equal">
      <formula>"3 Delete"</formula>
    </cfRule>
  </conditionalFormatting>
  <conditionalFormatting sqref="C684">
    <cfRule type="cellIs" dxfId="524" priority="2047" stopIfTrue="1" operator="equal">
      <formula>"1 Modify"</formula>
    </cfRule>
  </conditionalFormatting>
  <conditionalFormatting sqref="C684">
    <cfRule type="cellIs" dxfId="523" priority="2048" stopIfTrue="1" operator="equal">
      <formula>"2 Add"</formula>
    </cfRule>
  </conditionalFormatting>
  <conditionalFormatting sqref="C684">
    <cfRule type="cellIs" dxfId="522" priority="2049" stopIfTrue="1" operator="equal">
      <formula>"3 Delete"</formula>
    </cfRule>
  </conditionalFormatting>
  <conditionalFormatting sqref="C685">
    <cfRule type="cellIs" dxfId="521" priority="2050" stopIfTrue="1" operator="equal">
      <formula>"1 Modify"</formula>
    </cfRule>
  </conditionalFormatting>
  <conditionalFormatting sqref="C685">
    <cfRule type="cellIs" dxfId="520" priority="2051" stopIfTrue="1" operator="equal">
      <formula>"2 Add"</formula>
    </cfRule>
  </conditionalFormatting>
  <conditionalFormatting sqref="C685">
    <cfRule type="cellIs" dxfId="519" priority="2052" stopIfTrue="1" operator="equal">
      <formula>"3 Delete"</formula>
    </cfRule>
  </conditionalFormatting>
  <conditionalFormatting sqref="C686">
    <cfRule type="cellIs" dxfId="518" priority="2053" stopIfTrue="1" operator="equal">
      <formula>"1 Modify"</formula>
    </cfRule>
  </conditionalFormatting>
  <conditionalFormatting sqref="C686">
    <cfRule type="cellIs" dxfId="517" priority="2054" stopIfTrue="1" operator="equal">
      <formula>"2 Add"</formula>
    </cfRule>
  </conditionalFormatting>
  <conditionalFormatting sqref="C686">
    <cfRule type="cellIs" dxfId="516" priority="2055" stopIfTrue="1" operator="equal">
      <formula>"3 Delete"</formula>
    </cfRule>
  </conditionalFormatting>
  <conditionalFormatting sqref="C687">
    <cfRule type="cellIs" dxfId="515" priority="2056" stopIfTrue="1" operator="equal">
      <formula>"1 Modify"</formula>
    </cfRule>
  </conditionalFormatting>
  <conditionalFormatting sqref="C687">
    <cfRule type="cellIs" dxfId="514" priority="2057" stopIfTrue="1" operator="equal">
      <formula>"2 Add"</formula>
    </cfRule>
  </conditionalFormatting>
  <conditionalFormatting sqref="C687">
    <cfRule type="cellIs" dxfId="513" priority="2058" stopIfTrue="1" operator="equal">
      <formula>"3 Delete"</formula>
    </cfRule>
  </conditionalFormatting>
  <conditionalFormatting sqref="C688">
    <cfRule type="cellIs" dxfId="512" priority="2059" stopIfTrue="1" operator="equal">
      <formula>"1 Modify"</formula>
    </cfRule>
  </conditionalFormatting>
  <conditionalFormatting sqref="C688">
    <cfRule type="cellIs" dxfId="511" priority="2060" stopIfTrue="1" operator="equal">
      <formula>"2 Add"</formula>
    </cfRule>
  </conditionalFormatting>
  <conditionalFormatting sqref="C688">
    <cfRule type="cellIs" dxfId="510" priority="2061" stopIfTrue="1" operator="equal">
      <formula>"3 Delete"</formula>
    </cfRule>
  </conditionalFormatting>
  <conditionalFormatting sqref="C689">
    <cfRule type="cellIs" dxfId="509" priority="2062" stopIfTrue="1" operator="equal">
      <formula>"1 Modify"</formula>
    </cfRule>
  </conditionalFormatting>
  <conditionalFormatting sqref="C689">
    <cfRule type="cellIs" dxfId="508" priority="2063" stopIfTrue="1" operator="equal">
      <formula>"2 Add"</formula>
    </cfRule>
  </conditionalFormatting>
  <conditionalFormatting sqref="C689">
    <cfRule type="cellIs" dxfId="507" priority="2064" stopIfTrue="1" operator="equal">
      <formula>"3 Delete"</formula>
    </cfRule>
  </conditionalFormatting>
  <conditionalFormatting sqref="C690">
    <cfRule type="cellIs" dxfId="506" priority="2065" stopIfTrue="1" operator="equal">
      <formula>"1 Modify"</formula>
    </cfRule>
  </conditionalFormatting>
  <conditionalFormatting sqref="C690">
    <cfRule type="cellIs" dxfId="505" priority="2066" stopIfTrue="1" operator="equal">
      <formula>"2 Add"</formula>
    </cfRule>
  </conditionalFormatting>
  <conditionalFormatting sqref="C690">
    <cfRule type="cellIs" dxfId="504" priority="2067" stopIfTrue="1" operator="equal">
      <formula>"3 Delete"</formula>
    </cfRule>
  </conditionalFormatting>
  <conditionalFormatting sqref="C691">
    <cfRule type="cellIs" dxfId="503" priority="2068" stopIfTrue="1" operator="equal">
      <formula>"1 Modify"</formula>
    </cfRule>
  </conditionalFormatting>
  <conditionalFormatting sqref="C691">
    <cfRule type="cellIs" dxfId="502" priority="2069" stopIfTrue="1" operator="equal">
      <formula>"2 Add"</formula>
    </cfRule>
  </conditionalFormatting>
  <conditionalFormatting sqref="C691">
    <cfRule type="cellIs" dxfId="501" priority="2070" stopIfTrue="1" operator="equal">
      <formula>"3 Delete"</formula>
    </cfRule>
  </conditionalFormatting>
  <conditionalFormatting sqref="C692">
    <cfRule type="cellIs" dxfId="500" priority="2071" stopIfTrue="1" operator="equal">
      <formula>"1 Modify"</formula>
    </cfRule>
  </conditionalFormatting>
  <conditionalFormatting sqref="C692">
    <cfRule type="cellIs" dxfId="499" priority="2072" stopIfTrue="1" operator="equal">
      <formula>"2 Add"</formula>
    </cfRule>
  </conditionalFormatting>
  <conditionalFormatting sqref="C692">
    <cfRule type="cellIs" dxfId="498" priority="2073" stopIfTrue="1" operator="equal">
      <formula>"3 Delete"</formula>
    </cfRule>
  </conditionalFormatting>
  <conditionalFormatting sqref="C693">
    <cfRule type="cellIs" dxfId="497" priority="2074" stopIfTrue="1" operator="equal">
      <formula>"1 Modify"</formula>
    </cfRule>
  </conditionalFormatting>
  <conditionalFormatting sqref="C693">
    <cfRule type="cellIs" dxfId="496" priority="2075" stopIfTrue="1" operator="equal">
      <formula>"2 Add"</formula>
    </cfRule>
  </conditionalFormatting>
  <conditionalFormatting sqref="C693">
    <cfRule type="cellIs" dxfId="495" priority="2076" stopIfTrue="1" operator="equal">
      <formula>"3 Delete"</formula>
    </cfRule>
  </conditionalFormatting>
  <conditionalFormatting sqref="C694">
    <cfRule type="cellIs" dxfId="494" priority="2077" stopIfTrue="1" operator="equal">
      <formula>"1 Modify"</formula>
    </cfRule>
  </conditionalFormatting>
  <conditionalFormatting sqref="C694">
    <cfRule type="cellIs" dxfId="493" priority="2078" stopIfTrue="1" operator="equal">
      <formula>"2 Add"</formula>
    </cfRule>
  </conditionalFormatting>
  <conditionalFormatting sqref="C694">
    <cfRule type="cellIs" dxfId="492" priority="2079" stopIfTrue="1" operator="equal">
      <formula>"3 Delete"</formula>
    </cfRule>
  </conditionalFormatting>
  <conditionalFormatting sqref="C695">
    <cfRule type="cellIs" dxfId="491" priority="2080" stopIfTrue="1" operator="equal">
      <formula>"1 Modify"</formula>
    </cfRule>
  </conditionalFormatting>
  <conditionalFormatting sqref="C695">
    <cfRule type="cellIs" dxfId="490" priority="2081" stopIfTrue="1" operator="equal">
      <formula>"2 Add"</formula>
    </cfRule>
  </conditionalFormatting>
  <conditionalFormatting sqref="C695">
    <cfRule type="cellIs" dxfId="489" priority="2082" stopIfTrue="1" operator="equal">
      <formula>"3 Delete"</formula>
    </cfRule>
  </conditionalFormatting>
  <conditionalFormatting sqref="C696">
    <cfRule type="cellIs" dxfId="488" priority="2083" stopIfTrue="1" operator="equal">
      <formula>"1 Modify"</formula>
    </cfRule>
  </conditionalFormatting>
  <conditionalFormatting sqref="C696">
    <cfRule type="cellIs" dxfId="487" priority="2084" stopIfTrue="1" operator="equal">
      <formula>"2 Add"</formula>
    </cfRule>
  </conditionalFormatting>
  <conditionalFormatting sqref="C696">
    <cfRule type="cellIs" dxfId="486" priority="2085" stopIfTrue="1" operator="equal">
      <formula>"3 Delete"</formula>
    </cfRule>
  </conditionalFormatting>
  <conditionalFormatting sqref="C697">
    <cfRule type="cellIs" dxfId="485" priority="2086" stopIfTrue="1" operator="equal">
      <formula>"1 Modify"</formula>
    </cfRule>
  </conditionalFormatting>
  <conditionalFormatting sqref="C697">
    <cfRule type="cellIs" dxfId="484" priority="2087" stopIfTrue="1" operator="equal">
      <formula>"2 Add"</formula>
    </cfRule>
  </conditionalFormatting>
  <conditionalFormatting sqref="C697">
    <cfRule type="cellIs" dxfId="483" priority="2088" stopIfTrue="1" operator="equal">
      <formula>"3 Delete"</formula>
    </cfRule>
  </conditionalFormatting>
  <conditionalFormatting sqref="C698">
    <cfRule type="cellIs" dxfId="482" priority="2089" stopIfTrue="1" operator="equal">
      <formula>"1 Modify"</formula>
    </cfRule>
  </conditionalFormatting>
  <conditionalFormatting sqref="C698">
    <cfRule type="cellIs" dxfId="481" priority="2090" stopIfTrue="1" operator="equal">
      <formula>"2 Add"</formula>
    </cfRule>
  </conditionalFormatting>
  <conditionalFormatting sqref="C698">
    <cfRule type="cellIs" dxfId="480" priority="2091" stopIfTrue="1" operator="equal">
      <formula>"3 Delete"</formula>
    </cfRule>
  </conditionalFormatting>
  <conditionalFormatting sqref="C699">
    <cfRule type="cellIs" dxfId="479" priority="2092" stopIfTrue="1" operator="equal">
      <formula>"1 Modify"</formula>
    </cfRule>
  </conditionalFormatting>
  <conditionalFormatting sqref="C699">
    <cfRule type="cellIs" dxfId="478" priority="2093" stopIfTrue="1" operator="equal">
      <formula>"2 Add"</formula>
    </cfRule>
  </conditionalFormatting>
  <conditionalFormatting sqref="C699">
    <cfRule type="cellIs" dxfId="477" priority="2094" stopIfTrue="1" operator="equal">
      <formula>"3 Delete"</formula>
    </cfRule>
  </conditionalFormatting>
  <conditionalFormatting sqref="C700">
    <cfRule type="cellIs" dxfId="476" priority="2095" stopIfTrue="1" operator="equal">
      <formula>"1 Modify"</formula>
    </cfRule>
  </conditionalFormatting>
  <conditionalFormatting sqref="C700">
    <cfRule type="cellIs" dxfId="475" priority="2096" stopIfTrue="1" operator="equal">
      <formula>"2 Add"</formula>
    </cfRule>
  </conditionalFormatting>
  <conditionalFormatting sqref="C700">
    <cfRule type="cellIs" dxfId="474" priority="2097" stopIfTrue="1" operator="equal">
      <formula>"3 Delete"</formula>
    </cfRule>
  </conditionalFormatting>
  <conditionalFormatting sqref="C701">
    <cfRule type="cellIs" dxfId="473" priority="2098" stopIfTrue="1" operator="equal">
      <formula>"1 Modify"</formula>
    </cfRule>
  </conditionalFormatting>
  <conditionalFormatting sqref="C701">
    <cfRule type="cellIs" dxfId="472" priority="2099" stopIfTrue="1" operator="equal">
      <formula>"2 Add"</formula>
    </cfRule>
  </conditionalFormatting>
  <conditionalFormatting sqref="C701">
    <cfRule type="cellIs" dxfId="471" priority="2100" stopIfTrue="1" operator="equal">
      <formula>"3 Delete"</formula>
    </cfRule>
  </conditionalFormatting>
  <conditionalFormatting sqref="C702">
    <cfRule type="cellIs" dxfId="470" priority="2101" stopIfTrue="1" operator="equal">
      <formula>"1 Modify"</formula>
    </cfRule>
  </conditionalFormatting>
  <conditionalFormatting sqref="C702">
    <cfRule type="cellIs" dxfId="469" priority="2102" stopIfTrue="1" operator="equal">
      <formula>"2 Add"</formula>
    </cfRule>
  </conditionalFormatting>
  <conditionalFormatting sqref="C702">
    <cfRule type="cellIs" dxfId="468" priority="2103" stopIfTrue="1" operator="equal">
      <formula>"3 Delete"</formula>
    </cfRule>
  </conditionalFormatting>
  <conditionalFormatting sqref="C703">
    <cfRule type="cellIs" dxfId="467" priority="2104" stopIfTrue="1" operator="equal">
      <formula>"1 Modify"</formula>
    </cfRule>
  </conditionalFormatting>
  <conditionalFormatting sqref="C703">
    <cfRule type="cellIs" dxfId="466" priority="2105" stopIfTrue="1" operator="equal">
      <formula>"2 Add"</formula>
    </cfRule>
  </conditionalFormatting>
  <conditionalFormatting sqref="C703">
    <cfRule type="cellIs" dxfId="465" priority="2106" stopIfTrue="1" operator="equal">
      <formula>"3 Delete"</formula>
    </cfRule>
  </conditionalFormatting>
  <conditionalFormatting sqref="C704">
    <cfRule type="cellIs" dxfId="464" priority="2107" stopIfTrue="1" operator="equal">
      <formula>"1 Modify"</formula>
    </cfRule>
  </conditionalFormatting>
  <conditionalFormatting sqref="C704">
    <cfRule type="cellIs" dxfId="463" priority="2108" stopIfTrue="1" operator="equal">
      <formula>"2 Add"</formula>
    </cfRule>
  </conditionalFormatting>
  <conditionalFormatting sqref="C704">
    <cfRule type="cellIs" dxfId="462" priority="2109" stopIfTrue="1" operator="equal">
      <formula>"3 Delete"</formula>
    </cfRule>
  </conditionalFormatting>
  <conditionalFormatting sqref="C705">
    <cfRule type="cellIs" dxfId="461" priority="2110" stopIfTrue="1" operator="equal">
      <formula>"1 Modify"</formula>
    </cfRule>
  </conditionalFormatting>
  <conditionalFormatting sqref="C705">
    <cfRule type="cellIs" dxfId="460" priority="2111" stopIfTrue="1" operator="equal">
      <formula>"2 Add"</formula>
    </cfRule>
  </conditionalFormatting>
  <conditionalFormatting sqref="C705">
    <cfRule type="cellIs" dxfId="459" priority="2112" stopIfTrue="1" operator="equal">
      <formula>"3 Delete"</formula>
    </cfRule>
  </conditionalFormatting>
  <conditionalFormatting sqref="C706">
    <cfRule type="cellIs" dxfId="458" priority="2113" stopIfTrue="1" operator="equal">
      <formula>"1 Modify"</formula>
    </cfRule>
  </conditionalFormatting>
  <conditionalFormatting sqref="C706">
    <cfRule type="cellIs" dxfId="457" priority="2114" stopIfTrue="1" operator="equal">
      <formula>"2 Add"</formula>
    </cfRule>
  </conditionalFormatting>
  <conditionalFormatting sqref="C706">
    <cfRule type="cellIs" dxfId="456" priority="2115" stopIfTrue="1" operator="equal">
      <formula>"3 Delete"</formula>
    </cfRule>
  </conditionalFormatting>
  <conditionalFormatting sqref="C707">
    <cfRule type="cellIs" dxfId="455" priority="2116" stopIfTrue="1" operator="equal">
      <formula>"1 Modify"</formula>
    </cfRule>
  </conditionalFormatting>
  <conditionalFormatting sqref="C707">
    <cfRule type="cellIs" dxfId="454" priority="2117" stopIfTrue="1" operator="equal">
      <formula>"2 Add"</formula>
    </cfRule>
  </conditionalFormatting>
  <conditionalFormatting sqref="C707">
    <cfRule type="cellIs" dxfId="453" priority="2118" stopIfTrue="1" operator="equal">
      <formula>"3 Delete"</formula>
    </cfRule>
  </conditionalFormatting>
  <conditionalFormatting sqref="C708">
    <cfRule type="cellIs" dxfId="452" priority="2119" stopIfTrue="1" operator="equal">
      <formula>"1 Modify"</formula>
    </cfRule>
  </conditionalFormatting>
  <conditionalFormatting sqref="C708">
    <cfRule type="cellIs" dxfId="451" priority="2120" stopIfTrue="1" operator="equal">
      <formula>"2 Add"</formula>
    </cfRule>
  </conditionalFormatting>
  <conditionalFormatting sqref="C708">
    <cfRule type="cellIs" dxfId="450" priority="2121" stopIfTrue="1" operator="equal">
      <formula>"3 Delete"</formula>
    </cfRule>
  </conditionalFormatting>
  <conditionalFormatting sqref="C709">
    <cfRule type="cellIs" dxfId="449" priority="2122" stopIfTrue="1" operator="equal">
      <formula>"1 Modify"</formula>
    </cfRule>
  </conditionalFormatting>
  <conditionalFormatting sqref="C709">
    <cfRule type="cellIs" dxfId="448" priority="2123" stopIfTrue="1" operator="equal">
      <formula>"2 Add"</formula>
    </cfRule>
  </conditionalFormatting>
  <conditionalFormatting sqref="C709">
    <cfRule type="cellIs" dxfId="447" priority="2124" stopIfTrue="1" operator="equal">
      <formula>"3 Delete"</formula>
    </cfRule>
  </conditionalFormatting>
  <conditionalFormatting sqref="C710">
    <cfRule type="cellIs" dxfId="446" priority="2125" stopIfTrue="1" operator="equal">
      <formula>"1 Modify"</formula>
    </cfRule>
  </conditionalFormatting>
  <conditionalFormatting sqref="C710">
    <cfRule type="cellIs" dxfId="445" priority="2126" stopIfTrue="1" operator="equal">
      <formula>"2 Add"</formula>
    </cfRule>
  </conditionalFormatting>
  <conditionalFormatting sqref="C710">
    <cfRule type="cellIs" dxfId="444" priority="2127" stopIfTrue="1" operator="equal">
      <formula>"3 Delete"</formula>
    </cfRule>
  </conditionalFormatting>
  <conditionalFormatting sqref="C711">
    <cfRule type="cellIs" dxfId="443" priority="2128" stopIfTrue="1" operator="equal">
      <formula>"1 Modify"</formula>
    </cfRule>
  </conditionalFormatting>
  <conditionalFormatting sqref="C711">
    <cfRule type="cellIs" dxfId="442" priority="2129" stopIfTrue="1" operator="equal">
      <formula>"2 Add"</formula>
    </cfRule>
  </conditionalFormatting>
  <conditionalFormatting sqref="C711">
    <cfRule type="cellIs" dxfId="441" priority="2130" stopIfTrue="1" operator="equal">
      <formula>"3 Delete"</formula>
    </cfRule>
  </conditionalFormatting>
  <conditionalFormatting sqref="C712">
    <cfRule type="cellIs" dxfId="440" priority="2131" stopIfTrue="1" operator="equal">
      <formula>"1 Modify"</formula>
    </cfRule>
  </conditionalFormatting>
  <conditionalFormatting sqref="C712">
    <cfRule type="cellIs" dxfId="439" priority="2132" stopIfTrue="1" operator="equal">
      <formula>"2 Add"</formula>
    </cfRule>
  </conditionalFormatting>
  <conditionalFormatting sqref="C712">
    <cfRule type="cellIs" dxfId="438" priority="2133" stopIfTrue="1" operator="equal">
      <formula>"3 Delete"</formula>
    </cfRule>
  </conditionalFormatting>
  <conditionalFormatting sqref="C713">
    <cfRule type="cellIs" dxfId="437" priority="2134" stopIfTrue="1" operator="equal">
      <formula>"1 Modify"</formula>
    </cfRule>
  </conditionalFormatting>
  <conditionalFormatting sqref="C713">
    <cfRule type="cellIs" dxfId="436" priority="2135" stopIfTrue="1" operator="equal">
      <formula>"2 Add"</formula>
    </cfRule>
  </conditionalFormatting>
  <conditionalFormatting sqref="C713">
    <cfRule type="cellIs" dxfId="435" priority="2136" stopIfTrue="1" operator="equal">
      <formula>"3 Delete"</formula>
    </cfRule>
  </conditionalFormatting>
  <conditionalFormatting sqref="C714">
    <cfRule type="cellIs" dxfId="434" priority="2137" stopIfTrue="1" operator="equal">
      <formula>"1 Modify"</formula>
    </cfRule>
  </conditionalFormatting>
  <conditionalFormatting sqref="C714">
    <cfRule type="cellIs" dxfId="433" priority="2138" stopIfTrue="1" operator="equal">
      <formula>"2 Add"</formula>
    </cfRule>
  </conditionalFormatting>
  <conditionalFormatting sqref="C714">
    <cfRule type="cellIs" dxfId="432" priority="2139" stopIfTrue="1" operator="equal">
      <formula>"3 Delete"</formula>
    </cfRule>
  </conditionalFormatting>
  <conditionalFormatting sqref="C715">
    <cfRule type="cellIs" dxfId="431" priority="2140" stopIfTrue="1" operator="equal">
      <formula>"1 Modify"</formula>
    </cfRule>
  </conditionalFormatting>
  <conditionalFormatting sqref="C715">
    <cfRule type="cellIs" dxfId="430" priority="2141" stopIfTrue="1" operator="equal">
      <formula>"2 Add"</formula>
    </cfRule>
  </conditionalFormatting>
  <conditionalFormatting sqref="C715">
    <cfRule type="cellIs" dxfId="429" priority="2142" stopIfTrue="1" operator="equal">
      <formula>"3 Delete"</formula>
    </cfRule>
  </conditionalFormatting>
  <conditionalFormatting sqref="C716">
    <cfRule type="cellIs" dxfId="428" priority="2143" stopIfTrue="1" operator="equal">
      <formula>"1 Modify"</formula>
    </cfRule>
  </conditionalFormatting>
  <conditionalFormatting sqref="C716">
    <cfRule type="cellIs" dxfId="427" priority="2144" stopIfTrue="1" operator="equal">
      <formula>"2 Add"</formula>
    </cfRule>
  </conditionalFormatting>
  <conditionalFormatting sqref="C716">
    <cfRule type="cellIs" dxfId="426" priority="2145" stopIfTrue="1" operator="equal">
      <formula>"3 Delete"</formula>
    </cfRule>
  </conditionalFormatting>
  <conditionalFormatting sqref="C717">
    <cfRule type="cellIs" dxfId="425" priority="2146" stopIfTrue="1" operator="equal">
      <formula>"1 Modify"</formula>
    </cfRule>
  </conditionalFormatting>
  <conditionalFormatting sqref="C717">
    <cfRule type="cellIs" dxfId="424" priority="2147" stopIfTrue="1" operator="equal">
      <formula>"2 Add"</formula>
    </cfRule>
  </conditionalFormatting>
  <conditionalFormatting sqref="C717">
    <cfRule type="cellIs" dxfId="423" priority="2148" stopIfTrue="1" operator="equal">
      <formula>"3 Delete"</formula>
    </cfRule>
  </conditionalFormatting>
  <conditionalFormatting sqref="C718">
    <cfRule type="cellIs" dxfId="422" priority="2149" stopIfTrue="1" operator="equal">
      <formula>"1 Modify"</formula>
    </cfRule>
  </conditionalFormatting>
  <conditionalFormatting sqref="C718">
    <cfRule type="cellIs" dxfId="421" priority="2150" stopIfTrue="1" operator="equal">
      <formula>"2 Add"</formula>
    </cfRule>
  </conditionalFormatting>
  <conditionalFormatting sqref="C718">
    <cfRule type="cellIs" dxfId="420" priority="2151" stopIfTrue="1" operator="equal">
      <formula>"3 Delete"</formula>
    </cfRule>
  </conditionalFormatting>
  <conditionalFormatting sqref="C719">
    <cfRule type="cellIs" dxfId="419" priority="2152" stopIfTrue="1" operator="equal">
      <formula>"1 Modify"</formula>
    </cfRule>
  </conditionalFormatting>
  <conditionalFormatting sqref="C719">
    <cfRule type="cellIs" dxfId="418" priority="2153" stopIfTrue="1" operator="equal">
      <formula>"2 Add"</formula>
    </cfRule>
  </conditionalFormatting>
  <conditionalFormatting sqref="C719">
    <cfRule type="cellIs" dxfId="417" priority="2154" stopIfTrue="1" operator="equal">
      <formula>"3 Delete"</formula>
    </cfRule>
  </conditionalFormatting>
  <conditionalFormatting sqref="C720">
    <cfRule type="cellIs" dxfId="416" priority="2155" stopIfTrue="1" operator="equal">
      <formula>"1 Modify"</formula>
    </cfRule>
  </conditionalFormatting>
  <conditionalFormatting sqref="C720">
    <cfRule type="cellIs" dxfId="415" priority="2156" stopIfTrue="1" operator="equal">
      <formula>"2 Add"</formula>
    </cfRule>
  </conditionalFormatting>
  <conditionalFormatting sqref="C720">
    <cfRule type="cellIs" dxfId="414" priority="2157" stopIfTrue="1" operator="equal">
      <formula>"3 Delete"</formula>
    </cfRule>
  </conditionalFormatting>
  <conditionalFormatting sqref="C721">
    <cfRule type="cellIs" dxfId="413" priority="2158" stopIfTrue="1" operator="equal">
      <formula>"1 Modify"</formula>
    </cfRule>
  </conditionalFormatting>
  <conditionalFormatting sqref="C721">
    <cfRule type="cellIs" dxfId="412" priority="2159" stopIfTrue="1" operator="equal">
      <formula>"2 Add"</formula>
    </cfRule>
  </conditionalFormatting>
  <conditionalFormatting sqref="C721">
    <cfRule type="cellIs" dxfId="411" priority="2160" stopIfTrue="1" operator="equal">
      <formula>"3 Delete"</formula>
    </cfRule>
  </conditionalFormatting>
  <conditionalFormatting sqref="C722">
    <cfRule type="cellIs" dxfId="410" priority="2161" stopIfTrue="1" operator="equal">
      <formula>"1 Modify"</formula>
    </cfRule>
  </conditionalFormatting>
  <conditionalFormatting sqref="C722">
    <cfRule type="cellIs" dxfId="409" priority="2162" stopIfTrue="1" operator="equal">
      <formula>"2 Add"</formula>
    </cfRule>
  </conditionalFormatting>
  <conditionalFormatting sqref="C722">
    <cfRule type="cellIs" dxfId="408" priority="2163" stopIfTrue="1" operator="equal">
      <formula>"3 Delete"</formula>
    </cfRule>
  </conditionalFormatting>
  <conditionalFormatting sqref="C723">
    <cfRule type="cellIs" dxfId="407" priority="2164" stopIfTrue="1" operator="equal">
      <formula>"1 Modify"</formula>
    </cfRule>
  </conditionalFormatting>
  <conditionalFormatting sqref="C723">
    <cfRule type="cellIs" dxfId="406" priority="2165" stopIfTrue="1" operator="equal">
      <formula>"2 Add"</formula>
    </cfRule>
  </conditionalFormatting>
  <conditionalFormatting sqref="C723">
    <cfRule type="cellIs" dxfId="405" priority="2166" stopIfTrue="1" operator="equal">
      <formula>"3 Delete"</formula>
    </cfRule>
  </conditionalFormatting>
  <conditionalFormatting sqref="C724">
    <cfRule type="cellIs" dxfId="404" priority="2167" stopIfTrue="1" operator="equal">
      <formula>"1 Modify"</formula>
    </cfRule>
  </conditionalFormatting>
  <conditionalFormatting sqref="C724">
    <cfRule type="cellIs" dxfId="403" priority="2168" stopIfTrue="1" operator="equal">
      <formula>"2 Add"</formula>
    </cfRule>
  </conditionalFormatting>
  <conditionalFormatting sqref="C724">
    <cfRule type="cellIs" dxfId="402" priority="2169" stopIfTrue="1" operator="equal">
      <formula>"3 Delete"</formula>
    </cfRule>
  </conditionalFormatting>
  <conditionalFormatting sqref="C725">
    <cfRule type="cellIs" dxfId="401" priority="2170" stopIfTrue="1" operator="equal">
      <formula>"1 Modify"</formula>
    </cfRule>
  </conditionalFormatting>
  <conditionalFormatting sqref="C725">
    <cfRule type="cellIs" dxfId="400" priority="2171" stopIfTrue="1" operator="equal">
      <formula>"2 Add"</formula>
    </cfRule>
  </conditionalFormatting>
  <conditionalFormatting sqref="C725">
    <cfRule type="cellIs" dxfId="399" priority="2172" stopIfTrue="1" operator="equal">
      <formula>"3 Delete"</formula>
    </cfRule>
  </conditionalFormatting>
  <conditionalFormatting sqref="C726">
    <cfRule type="cellIs" dxfId="398" priority="2173" stopIfTrue="1" operator="equal">
      <formula>"1 Modify"</formula>
    </cfRule>
  </conditionalFormatting>
  <conditionalFormatting sqref="C726">
    <cfRule type="cellIs" dxfId="397" priority="2174" stopIfTrue="1" operator="equal">
      <formula>"2 Add"</formula>
    </cfRule>
  </conditionalFormatting>
  <conditionalFormatting sqref="C726">
    <cfRule type="cellIs" dxfId="396" priority="2175" stopIfTrue="1" operator="equal">
      <formula>"3 Delete"</formula>
    </cfRule>
  </conditionalFormatting>
  <conditionalFormatting sqref="C727">
    <cfRule type="cellIs" dxfId="395" priority="2176" stopIfTrue="1" operator="equal">
      <formula>"1 Modify"</formula>
    </cfRule>
  </conditionalFormatting>
  <conditionalFormatting sqref="C727">
    <cfRule type="cellIs" dxfId="394" priority="2177" stopIfTrue="1" operator="equal">
      <formula>"2 Add"</formula>
    </cfRule>
  </conditionalFormatting>
  <conditionalFormatting sqref="C727">
    <cfRule type="cellIs" dxfId="393" priority="2178" stopIfTrue="1" operator="equal">
      <formula>"3 Delete"</formula>
    </cfRule>
  </conditionalFormatting>
  <conditionalFormatting sqref="C728">
    <cfRule type="cellIs" dxfId="392" priority="2179" stopIfTrue="1" operator="equal">
      <formula>"1 Modify"</formula>
    </cfRule>
  </conditionalFormatting>
  <conditionalFormatting sqref="C728">
    <cfRule type="cellIs" dxfId="391" priority="2180" stopIfTrue="1" operator="equal">
      <formula>"2 Add"</formula>
    </cfRule>
  </conditionalFormatting>
  <conditionalFormatting sqref="C728">
    <cfRule type="cellIs" dxfId="390" priority="2181" stopIfTrue="1" operator="equal">
      <formula>"3 Delete"</formula>
    </cfRule>
  </conditionalFormatting>
  <conditionalFormatting sqref="C729">
    <cfRule type="cellIs" dxfId="389" priority="2182" stopIfTrue="1" operator="equal">
      <formula>"1 Modify"</formula>
    </cfRule>
  </conditionalFormatting>
  <conditionalFormatting sqref="C729">
    <cfRule type="cellIs" dxfId="388" priority="2183" stopIfTrue="1" operator="equal">
      <formula>"2 Add"</formula>
    </cfRule>
  </conditionalFormatting>
  <conditionalFormatting sqref="C729">
    <cfRule type="cellIs" dxfId="387" priority="2184" stopIfTrue="1" operator="equal">
      <formula>"3 Delete"</formula>
    </cfRule>
  </conditionalFormatting>
  <conditionalFormatting sqref="C730">
    <cfRule type="cellIs" dxfId="386" priority="2185" stopIfTrue="1" operator="equal">
      <formula>"1 Modify"</formula>
    </cfRule>
  </conditionalFormatting>
  <conditionalFormatting sqref="C730">
    <cfRule type="cellIs" dxfId="385" priority="2186" stopIfTrue="1" operator="equal">
      <formula>"2 Add"</formula>
    </cfRule>
  </conditionalFormatting>
  <conditionalFormatting sqref="C730">
    <cfRule type="cellIs" dxfId="384" priority="2187" stopIfTrue="1" operator="equal">
      <formula>"3 Delete"</formula>
    </cfRule>
  </conditionalFormatting>
  <conditionalFormatting sqref="C731">
    <cfRule type="cellIs" dxfId="383" priority="2188" stopIfTrue="1" operator="equal">
      <formula>"1 Modify"</formula>
    </cfRule>
  </conditionalFormatting>
  <conditionalFormatting sqref="C731">
    <cfRule type="cellIs" dxfId="382" priority="2189" stopIfTrue="1" operator="equal">
      <formula>"2 Add"</formula>
    </cfRule>
  </conditionalFormatting>
  <conditionalFormatting sqref="C731">
    <cfRule type="cellIs" dxfId="381" priority="2190" stopIfTrue="1" operator="equal">
      <formula>"3 Delete"</formula>
    </cfRule>
  </conditionalFormatting>
  <conditionalFormatting sqref="C732">
    <cfRule type="cellIs" dxfId="380" priority="2191" stopIfTrue="1" operator="equal">
      <formula>"1 Modify"</formula>
    </cfRule>
  </conditionalFormatting>
  <conditionalFormatting sqref="C732">
    <cfRule type="cellIs" dxfId="379" priority="2192" stopIfTrue="1" operator="equal">
      <formula>"2 Add"</formula>
    </cfRule>
  </conditionalFormatting>
  <conditionalFormatting sqref="C732">
    <cfRule type="cellIs" dxfId="378" priority="2193" stopIfTrue="1" operator="equal">
      <formula>"3 Delete"</formula>
    </cfRule>
  </conditionalFormatting>
  <conditionalFormatting sqref="C733">
    <cfRule type="cellIs" dxfId="377" priority="2194" stopIfTrue="1" operator="equal">
      <formula>"1 Modify"</formula>
    </cfRule>
  </conditionalFormatting>
  <conditionalFormatting sqref="C733">
    <cfRule type="cellIs" dxfId="376" priority="2195" stopIfTrue="1" operator="equal">
      <formula>"2 Add"</formula>
    </cfRule>
  </conditionalFormatting>
  <conditionalFormatting sqref="C733">
    <cfRule type="cellIs" dxfId="375" priority="2196" stopIfTrue="1" operator="equal">
      <formula>"3 Delete"</formula>
    </cfRule>
  </conditionalFormatting>
  <conditionalFormatting sqref="C734">
    <cfRule type="cellIs" dxfId="374" priority="2197" stopIfTrue="1" operator="equal">
      <formula>"1 Modify"</formula>
    </cfRule>
  </conditionalFormatting>
  <conditionalFormatting sqref="C734">
    <cfRule type="cellIs" dxfId="373" priority="2198" stopIfTrue="1" operator="equal">
      <formula>"2 Add"</formula>
    </cfRule>
  </conditionalFormatting>
  <conditionalFormatting sqref="C734">
    <cfRule type="cellIs" dxfId="372" priority="2199" stopIfTrue="1" operator="equal">
      <formula>"3 Delete"</formula>
    </cfRule>
  </conditionalFormatting>
  <conditionalFormatting sqref="C735">
    <cfRule type="cellIs" dxfId="371" priority="2200" stopIfTrue="1" operator="equal">
      <formula>"1 Modify"</formula>
    </cfRule>
  </conditionalFormatting>
  <conditionalFormatting sqref="C735">
    <cfRule type="cellIs" dxfId="370" priority="2201" stopIfTrue="1" operator="equal">
      <formula>"2 Add"</formula>
    </cfRule>
  </conditionalFormatting>
  <conditionalFormatting sqref="C735">
    <cfRule type="cellIs" dxfId="369" priority="2202" stopIfTrue="1" operator="equal">
      <formula>"3 Delete"</formula>
    </cfRule>
  </conditionalFormatting>
  <conditionalFormatting sqref="C736">
    <cfRule type="cellIs" dxfId="368" priority="2203" stopIfTrue="1" operator="equal">
      <formula>"1 Modify"</formula>
    </cfRule>
  </conditionalFormatting>
  <conditionalFormatting sqref="C736">
    <cfRule type="cellIs" dxfId="367" priority="2204" stopIfTrue="1" operator="equal">
      <formula>"2 Add"</formula>
    </cfRule>
  </conditionalFormatting>
  <conditionalFormatting sqref="C736">
    <cfRule type="cellIs" dxfId="366" priority="2205" stopIfTrue="1" operator="equal">
      <formula>"3 Delete"</formula>
    </cfRule>
  </conditionalFormatting>
  <conditionalFormatting sqref="C737">
    <cfRule type="cellIs" dxfId="365" priority="2206" stopIfTrue="1" operator="equal">
      <formula>"1 Modify"</formula>
    </cfRule>
  </conditionalFormatting>
  <conditionalFormatting sqref="C737">
    <cfRule type="cellIs" dxfId="364" priority="2207" stopIfTrue="1" operator="equal">
      <formula>"2 Add"</formula>
    </cfRule>
  </conditionalFormatting>
  <conditionalFormatting sqref="C737">
    <cfRule type="cellIs" dxfId="363" priority="2208" stopIfTrue="1" operator="equal">
      <formula>"3 Delete"</formula>
    </cfRule>
  </conditionalFormatting>
  <conditionalFormatting sqref="C738">
    <cfRule type="cellIs" dxfId="362" priority="2209" stopIfTrue="1" operator="equal">
      <formula>"1 Modify"</formula>
    </cfRule>
  </conditionalFormatting>
  <conditionalFormatting sqref="C738">
    <cfRule type="cellIs" dxfId="361" priority="2210" stopIfTrue="1" operator="equal">
      <formula>"2 Add"</formula>
    </cfRule>
  </conditionalFormatting>
  <conditionalFormatting sqref="C738">
    <cfRule type="cellIs" dxfId="360" priority="2211" stopIfTrue="1" operator="equal">
      <formula>"3 Delete"</formula>
    </cfRule>
  </conditionalFormatting>
  <conditionalFormatting sqref="C739">
    <cfRule type="cellIs" dxfId="359" priority="2212" stopIfTrue="1" operator="equal">
      <formula>"1 Modify"</formula>
    </cfRule>
  </conditionalFormatting>
  <conditionalFormatting sqref="C739">
    <cfRule type="cellIs" dxfId="358" priority="2213" stopIfTrue="1" operator="equal">
      <formula>"2 Add"</formula>
    </cfRule>
  </conditionalFormatting>
  <conditionalFormatting sqref="C739">
    <cfRule type="cellIs" dxfId="357" priority="2214" stopIfTrue="1" operator="equal">
      <formula>"3 Delete"</formula>
    </cfRule>
  </conditionalFormatting>
  <conditionalFormatting sqref="C740">
    <cfRule type="cellIs" dxfId="356" priority="2215" stopIfTrue="1" operator="equal">
      <formula>"1 Modify"</formula>
    </cfRule>
  </conditionalFormatting>
  <conditionalFormatting sqref="C740">
    <cfRule type="cellIs" dxfId="355" priority="2216" stopIfTrue="1" operator="equal">
      <formula>"2 Add"</formula>
    </cfRule>
  </conditionalFormatting>
  <conditionalFormatting sqref="C740">
    <cfRule type="cellIs" dxfId="354" priority="2217" stopIfTrue="1" operator="equal">
      <formula>"3 Delete"</formula>
    </cfRule>
  </conditionalFormatting>
  <conditionalFormatting sqref="C741">
    <cfRule type="cellIs" dxfId="353" priority="2218" stopIfTrue="1" operator="equal">
      <formula>"1 Modify"</formula>
    </cfRule>
  </conditionalFormatting>
  <conditionalFormatting sqref="C741">
    <cfRule type="cellIs" dxfId="352" priority="2219" stopIfTrue="1" operator="equal">
      <formula>"2 Add"</formula>
    </cfRule>
  </conditionalFormatting>
  <conditionalFormatting sqref="C741">
    <cfRule type="cellIs" dxfId="351" priority="2220" stopIfTrue="1" operator="equal">
      <formula>"3 Delete"</formula>
    </cfRule>
  </conditionalFormatting>
  <conditionalFormatting sqref="C742">
    <cfRule type="cellIs" dxfId="350" priority="2221" stopIfTrue="1" operator="equal">
      <formula>"1 Modify"</formula>
    </cfRule>
  </conditionalFormatting>
  <conditionalFormatting sqref="C742">
    <cfRule type="cellIs" dxfId="349" priority="2222" stopIfTrue="1" operator="equal">
      <formula>"2 Add"</formula>
    </cfRule>
  </conditionalFormatting>
  <conditionalFormatting sqref="C742">
    <cfRule type="cellIs" dxfId="348" priority="2223" stopIfTrue="1" operator="equal">
      <formula>"3 Delete"</formula>
    </cfRule>
  </conditionalFormatting>
  <conditionalFormatting sqref="C743">
    <cfRule type="cellIs" dxfId="347" priority="2224" stopIfTrue="1" operator="equal">
      <formula>"1 Modify"</formula>
    </cfRule>
  </conditionalFormatting>
  <conditionalFormatting sqref="C743">
    <cfRule type="cellIs" dxfId="346" priority="2225" stopIfTrue="1" operator="equal">
      <formula>"2 Add"</formula>
    </cfRule>
  </conditionalFormatting>
  <conditionalFormatting sqref="C743">
    <cfRule type="cellIs" dxfId="345" priority="2226" stopIfTrue="1" operator="equal">
      <formula>"3 Delete"</formula>
    </cfRule>
  </conditionalFormatting>
  <conditionalFormatting sqref="C744">
    <cfRule type="cellIs" dxfId="344" priority="2227" stopIfTrue="1" operator="equal">
      <formula>"1 Modify"</formula>
    </cfRule>
  </conditionalFormatting>
  <conditionalFormatting sqref="C744">
    <cfRule type="cellIs" dxfId="343" priority="2228" stopIfTrue="1" operator="equal">
      <formula>"2 Add"</formula>
    </cfRule>
  </conditionalFormatting>
  <conditionalFormatting sqref="C744">
    <cfRule type="cellIs" dxfId="342" priority="2229" stopIfTrue="1" operator="equal">
      <formula>"3 Delete"</formula>
    </cfRule>
  </conditionalFormatting>
  <conditionalFormatting sqref="C745">
    <cfRule type="cellIs" dxfId="341" priority="2230" stopIfTrue="1" operator="equal">
      <formula>"1 Modify"</formula>
    </cfRule>
  </conditionalFormatting>
  <conditionalFormatting sqref="C745">
    <cfRule type="cellIs" dxfId="340" priority="2231" stopIfTrue="1" operator="equal">
      <formula>"2 Add"</formula>
    </cfRule>
  </conditionalFormatting>
  <conditionalFormatting sqref="C745">
    <cfRule type="cellIs" dxfId="339" priority="2232" stopIfTrue="1" operator="equal">
      <formula>"3 Delete"</formula>
    </cfRule>
  </conditionalFormatting>
  <conditionalFormatting sqref="C746">
    <cfRule type="cellIs" dxfId="338" priority="2233" stopIfTrue="1" operator="equal">
      <formula>"1 Modify"</formula>
    </cfRule>
  </conditionalFormatting>
  <conditionalFormatting sqref="C746">
    <cfRule type="cellIs" dxfId="337" priority="2234" stopIfTrue="1" operator="equal">
      <formula>"2 Add"</formula>
    </cfRule>
  </conditionalFormatting>
  <conditionalFormatting sqref="C746">
    <cfRule type="cellIs" dxfId="336" priority="2235" stopIfTrue="1" operator="equal">
      <formula>"3 Delete"</formula>
    </cfRule>
  </conditionalFormatting>
  <conditionalFormatting sqref="C747">
    <cfRule type="cellIs" dxfId="335" priority="2236" stopIfTrue="1" operator="equal">
      <formula>"1 Modify"</formula>
    </cfRule>
  </conditionalFormatting>
  <conditionalFormatting sqref="C747">
    <cfRule type="cellIs" dxfId="334" priority="2237" stopIfTrue="1" operator="equal">
      <formula>"2 Add"</formula>
    </cfRule>
  </conditionalFormatting>
  <conditionalFormatting sqref="C747">
    <cfRule type="cellIs" dxfId="333" priority="2238" stopIfTrue="1" operator="equal">
      <formula>"3 Delete"</formula>
    </cfRule>
  </conditionalFormatting>
  <conditionalFormatting sqref="C748">
    <cfRule type="cellIs" dxfId="332" priority="2239" stopIfTrue="1" operator="equal">
      <formula>"1 Modify"</formula>
    </cfRule>
  </conditionalFormatting>
  <conditionalFormatting sqref="C748">
    <cfRule type="cellIs" dxfId="331" priority="2240" stopIfTrue="1" operator="equal">
      <formula>"2 Add"</formula>
    </cfRule>
  </conditionalFormatting>
  <conditionalFormatting sqref="C748">
    <cfRule type="cellIs" dxfId="330" priority="2241" stopIfTrue="1" operator="equal">
      <formula>"3 Delete"</formula>
    </cfRule>
  </conditionalFormatting>
  <conditionalFormatting sqref="C749">
    <cfRule type="cellIs" dxfId="329" priority="2242" stopIfTrue="1" operator="equal">
      <formula>"1 Modify"</formula>
    </cfRule>
  </conditionalFormatting>
  <conditionalFormatting sqref="C749">
    <cfRule type="cellIs" dxfId="328" priority="2243" stopIfTrue="1" operator="equal">
      <formula>"2 Add"</formula>
    </cfRule>
  </conditionalFormatting>
  <conditionalFormatting sqref="C749">
    <cfRule type="cellIs" dxfId="327" priority="2244" stopIfTrue="1" operator="equal">
      <formula>"3 Delete"</formula>
    </cfRule>
  </conditionalFormatting>
  <conditionalFormatting sqref="C750">
    <cfRule type="cellIs" dxfId="326" priority="2245" stopIfTrue="1" operator="equal">
      <formula>"1 Modify"</formula>
    </cfRule>
  </conditionalFormatting>
  <conditionalFormatting sqref="C750">
    <cfRule type="cellIs" dxfId="325" priority="2246" stopIfTrue="1" operator="equal">
      <formula>"2 Add"</formula>
    </cfRule>
  </conditionalFormatting>
  <conditionalFormatting sqref="C750">
    <cfRule type="cellIs" dxfId="324" priority="2247" stopIfTrue="1" operator="equal">
      <formula>"3 Delete"</formula>
    </cfRule>
  </conditionalFormatting>
  <conditionalFormatting sqref="C751">
    <cfRule type="cellIs" dxfId="323" priority="2248" stopIfTrue="1" operator="equal">
      <formula>"1 Modify"</formula>
    </cfRule>
  </conditionalFormatting>
  <conditionalFormatting sqref="C751">
    <cfRule type="cellIs" dxfId="322" priority="2249" stopIfTrue="1" operator="equal">
      <formula>"2 Add"</formula>
    </cfRule>
  </conditionalFormatting>
  <conditionalFormatting sqref="C751">
    <cfRule type="cellIs" dxfId="321" priority="2250" stopIfTrue="1" operator="equal">
      <formula>"3 Delete"</formula>
    </cfRule>
  </conditionalFormatting>
  <conditionalFormatting sqref="C752">
    <cfRule type="cellIs" dxfId="320" priority="2251" stopIfTrue="1" operator="equal">
      <formula>"1 Modify"</formula>
    </cfRule>
  </conditionalFormatting>
  <conditionalFormatting sqref="C752">
    <cfRule type="cellIs" dxfId="319" priority="2252" stopIfTrue="1" operator="equal">
      <formula>"2 Add"</formula>
    </cfRule>
  </conditionalFormatting>
  <conditionalFormatting sqref="C752">
    <cfRule type="cellIs" dxfId="318" priority="2253" stopIfTrue="1" operator="equal">
      <formula>"3 Delete"</formula>
    </cfRule>
  </conditionalFormatting>
  <conditionalFormatting sqref="C753">
    <cfRule type="cellIs" dxfId="317" priority="2254" stopIfTrue="1" operator="equal">
      <formula>"1 Modify"</formula>
    </cfRule>
  </conditionalFormatting>
  <conditionalFormatting sqref="C753">
    <cfRule type="cellIs" dxfId="316" priority="2255" stopIfTrue="1" operator="equal">
      <formula>"2 Add"</formula>
    </cfRule>
  </conditionalFormatting>
  <conditionalFormatting sqref="C753">
    <cfRule type="cellIs" dxfId="315" priority="2256" stopIfTrue="1" operator="equal">
      <formula>"3 Delete"</formula>
    </cfRule>
  </conditionalFormatting>
  <conditionalFormatting sqref="C754">
    <cfRule type="cellIs" dxfId="314" priority="2257" stopIfTrue="1" operator="equal">
      <formula>"1 Modify"</formula>
    </cfRule>
  </conditionalFormatting>
  <conditionalFormatting sqref="C754">
    <cfRule type="cellIs" dxfId="313" priority="2258" stopIfTrue="1" operator="equal">
      <formula>"2 Add"</formula>
    </cfRule>
  </conditionalFormatting>
  <conditionalFormatting sqref="C754">
    <cfRule type="cellIs" dxfId="312" priority="2259" stopIfTrue="1" operator="equal">
      <formula>"3 Delete"</formula>
    </cfRule>
  </conditionalFormatting>
  <conditionalFormatting sqref="C755">
    <cfRule type="cellIs" dxfId="311" priority="2260" stopIfTrue="1" operator="equal">
      <formula>"1 Modify"</formula>
    </cfRule>
  </conditionalFormatting>
  <conditionalFormatting sqref="C755">
    <cfRule type="cellIs" dxfId="310" priority="2261" stopIfTrue="1" operator="equal">
      <formula>"2 Add"</formula>
    </cfRule>
  </conditionalFormatting>
  <conditionalFormatting sqref="C755">
    <cfRule type="cellIs" dxfId="309" priority="2262" stopIfTrue="1" operator="equal">
      <formula>"3 Delete"</formula>
    </cfRule>
  </conditionalFormatting>
  <conditionalFormatting sqref="C756">
    <cfRule type="cellIs" dxfId="308" priority="2263" stopIfTrue="1" operator="equal">
      <formula>"1 Modify"</formula>
    </cfRule>
  </conditionalFormatting>
  <conditionalFormatting sqref="C756">
    <cfRule type="cellIs" dxfId="307" priority="2264" stopIfTrue="1" operator="equal">
      <formula>"2 Add"</formula>
    </cfRule>
  </conditionalFormatting>
  <conditionalFormatting sqref="C756">
    <cfRule type="cellIs" dxfId="306" priority="2265" stopIfTrue="1" operator="equal">
      <formula>"3 Delete"</formula>
    </cfRule>
  </conditionalFormatting>
  <conditionalFormatting sqref="C757">
    <cfRule type="cellIs" dxfId="305" priority="2266" stopIfTrue="1" operator="equal">
      <formula>"1 Modify"</formula>
    </cfRule>
  </conditionalFormatting>
  <conditionalFormatting sqref="C757">
    <cfRule type="cellIs" dxfId="304" priority="2267" stopIfTrue="1" operator="equal">
      <formula>"2 Add"</formula>
    </cfRule>
  </conditionalFormatting>
  <conditionalFormatting sqref="C757">
    <cfRule type="cellIs" dxfId="303" priority="2268" stopIfTrue="1" operator="equal">
      <formula>"3 Delete"</formula>
    </cfRule>
  </conditionalFormatting>
  <conditionalFormatting sqref="C758">
    <cfRule type="cellIs" dxfId="302" priority="2269" stopIfTrue="1" operator="equal">
      <formula>"1 Modify"</formula>
    </cfRule>
  </conditionalFormatting>
  <conditionalFormatting sqref="C758">
    <cfRule type="cellIs" dxfId="301" priority="2270" stopIfTrue="1" operator="equal">
      <formula>"2 Add"</formula>
    </cfRule>
  </conditionalFormatting>
  <conditionalFormatting sqref="C758">
    <cfRule type="cellIs" dxfId="300" priority="2271" stopIfTrue="1" operator="equal">
      <formula>"3 Delete"</formula>
    </cfRule>
  </conditionalFormatting>
  <conditionalFormatting sqref="C759">
    <cfRule type="cellIs" dxfId="299" priority="2272" stopIfTrue="1" operator="equal">
      <formula>"1 Modify"</formula>
    </cfRule>
  </conditionalFormatting>
  <conditionalFormatting sqref="C759">
    <cfRule type="cellIs" dxfId="298" priority="2273" stopIfTrue="1" operator="equal">
      <formula>"2 Add"</formula>
    </cfRule>
  </conditionalFormatting>
  <conditionalFormatting sqref="C759">
    <cfRule type="cellIs" dxfId="297" priority="2274" stopIfTrue="1" operator="equal">
      <formula>"3 Delete"</formula>
    </cfRule>
  </conditionalFormatting>
  <conditionalFormatting sqref="C760">
    <cfRule type="cellIs" dxfId="296" priority="2275" stopIfTrue="1" operator="equal">
      <formula>"1 Modify"</formula>
    </cfRule>
  </conditionalFormatting>
  <conditionalFormatting sqref="C760">
    <cfRule type="cellIs" dxfId="295" priority="2276" stopIfTrue="1" operator="equal">
      <formula>"2 Add"</formula>
    </cfRule>
  </conditionalFormatting>
  <conditionalFormatting sqref="C760">
    <cfRule type="cellIs" dxfId="294" priority="2277" stopIfTrue="1" operator="equal">
      <formula>"3 Delete"</formula>
    </cfRule>
  </conditionalFormatting>
  <conditionalFormatting sqref="C761">
    <cfRule type="cellIs" dxfId="293" priority="2278" stopIfTrue="1" operator="equal">
      <formula>"1 Modify"</formula>
    </cfRule>
  </conditionalFormatting>
  <conditionalFormatting sqref="C761">
    <cfRule type="cellIs" dxfId="292" priority="2279" stopIfTrue="1" operator="equal">
      <formula>"2 Add"</formula>
    </cfRule>
  </conditionalFormatting>
  <conditionalFormatting sqref="C761">
    <cfRule type="cellIs" dxfId="291" priority="2280" stopIfTrue="1" operator="equal">
      <formula>"3 Delete"</formula>
    </cfRule>
  </conditionalFormatting>
  <conditionalFormatting sqref="C762">
    <cfRule type="cellIs" dxfId="290" priority="2281" stopIfTrue="1" operator="equal">
      <formula>"1 Modify"</formula>
    </cfRule>
  </conditionalFormatting>
  <conditionalFormatting sqref="C762">
    <cfRule type="cellIs" dxfId="289" priority="2282" stopIfTrue="1" operator="equal">
      <formula>"2 Add"</formula>
    </cfRule>
  </conditionalFormatting>
  <conditionalFormatting sqref="C762">
    <cfRule type="cellIs" dxfId="288" priority="2283" stopIfTrue="1" operator="equal">
      <formula>"3 Delete"</formula>
    </cfRule>
  </conditionalFormatting>
  <conditionalFormatting sqref="C763">
    <cfRule type="cellIs" dxfId="287" priority="2284" stopIfTrue="1" operator="equal">
      <formula>"1 Modify"</formula>
    </cfRule>
  </conditionalFormatting>
  <conditionalFormatting sqref="C763">
    <cfRule type="cellIs" dxfId="286" priority="2285" stopIfTrue="1" operator="equal">
      <formula>"2 Add"</formula>
    </cfRule>
  </conditionalFormatting>
  <conditionalFormatting sqref="C763">
    <cfRule type="cellIs" dxfId="285" priority="2286" stopIfTrue="1" operator="equal">
      <formula>"3 Delete"</formula>
    </cfRule>
  </conditionalFormatting>
  <conditionalFormatting sqref="C764">
    <cfRule type="cellIs" dxfId="284" priority="2287" stopIfTrue="1" operator="equal">
      <formula>"1 Modify"</formula>
    </cfRule>
  </conditionalFormatting>
  <conditionalFormatting sqref="C764">
    <cfRule type="cellIs" dxfId="283" priority="2288" stopIfTrue="1" operator="equal">
      <formula>"2 Add"</formula>
    </cfRule>
  </conditionalFormatting>
  <conditionalFormatting sqref="C764">
    <cfRule type="cellIs" dxfId="282" priority="2289" stopIfTrue="1" operator="equal">
      <formula>"3 Delete"</formula>
    </cfRule>
  </conditionalFormatting>
  <conditionalFormatting sqref="C765">
    <cfRule type="cellIs" dxfId="281" priority="2290" stopIfTrue="1" operator="equal">
      <formula>"1 Modify"</formula>
    </cfRule>
  </conditionalFormatting>
  <conditionalFormatting sqref="C765">
    <cfRule type="cellIs" dxfId="280" priority="2291" stopIfTrue="1" operator="equal">
      <formula>"2 Add"</formula>
    </cfRule>
  </conditionalFormatting>
  <conditionalFormatting sqref="C765">
    <cfRule type="cellIs" dxfId="279" priority="2292" stopIfTrue="1" operator="equal">
      <formula>"3 Delete"</formula>
    </cfRule>
  </conditionalFormatting>
  <conditionalFormatting sqref="C766">
    <cfRule type="cellIs" dxfId="278" priority="2293" stopIfTrue="1" operator="equal">
      <formula>"1 Modify"</formula>
    </cfRule>
  </conditionalFormatting>
  <conditionalFormatting sqref="C766">
    <cfRule type="cellIs" dxfId="277" priority="2294" stopIfTrue="1" operator="equal">
      <formula>"2 Add"</formula>
    </cfRule>
  </conditionalFormatting>
  <conditionalFormatting sqref="C766">
    <cfRule type="cellIs" dxfId="276" priority="2295" stopIfTrue="1" operator="equal">
      <formula>"3 Delete"</formula>
    </cfRule>
  </conditionalFormatting>
  <conditionalFormatting sqref="C767">
    <cfRule type="cellIs" dxfId="275" priority="2296" stopIfTrue="1" operator="equal">
      <formula>"1 Modify"</formula>
    </cfRule>
  </conditionalFormatting>
  <conditionalFormatting sqref="C767">
    <cfRule type="cellIs" dxfId="274" priority="2297" stopIfTrue="1" operator="equal">
      <formula>"2 Add"</formula>
    </cfRule>
  </conditionalFormatting>
  <conditionalFormatting sqref="C767">
    <cfRule type="cellIs" dxfId="273" priority="2298" stopIfTrue="1" operator="equal">
      <formula>"3 Delete"</formula>
    </cfRule>
  </conditionalFormatting>
  <conditionalFormatting sqref="C768">
    <cfRule type="cellIs" dxfId="272" priority="2299" stopIfTrue="1" operator="equal">
      <formula>"1 Modify"</formula>
    </cfRule>
  </conditionalFormatting>
  <conditionalFormatting sqref="C768">
    <cfRule type="cellIs" dxfId="271" priority="2300" stopIfTrue="1" operator="equal">
      <formula>"2 Add"</formula>
    </cfRule>
  </conditionalFormatting>
  <conditionalFormatting sqref="C768">
    <cfRule type="cellIs" dxfId="270" priority="2301" stopIfTrue="1" operator="equal">
      <formula>"3 Delete"</formula>
    </cfRule>
  </conditionalFormatting>
  <conditionalFormatting sqref="C769">
    <cfRule type="cellIs" dxfId="269" priority="2302" stopIfTrue="1" operator="equal">
      <formula>"1 Modify"</formula>
    </cfRule>
  </conditionalFormatting>
  <conditionalFormatting sqref="C769">
    <cfRule type="cellIs" dxfId="268" priority="2303" stopIfTrue="1" operator="equal">
      <formula>"2 Add"</formula>
    </cfRule>
  </conditionalFormatting>
  <conditionalFormatting sqref="C769">
    <cfRule type="cellIs" dxfId="267" priority="2304" stopIfTrue="1" operator="equal">
      <formula>"3 Delete"</formula>
    </cfRule>
  </conditionalFormatting>
  <conditionalFormatting sqref="C770">
    <cfRule type="cellIs" dxfId="266" priority="2305" stopIfTrue="1" operator="equal">
      <formula>"1 Modify"</formula>
    </cfRule>
  </conditionalFormatting>
  <conditionalFormatting sqref="C770">
    <cfRule type="cellIs" dxfId="265" priority="2306" stopIfTrue="1" operator="equal">
      <formula>"2 Add"</formula>
    </cfRule>
  </conditionalFormatting>
  <conditionalFormatting sqref="C770">
    <cfRule type="cellIs" dxfId="264" priority="2307" stopIfTrue="1" operator="equal">
      <formula>"3 Delete"</formula>
    </cfRule>
  </conditionalFormatting>
  <conditionalFormatting sqref="C771">
    <cfRule type="cellIs" dxfId="263" priority="2308" stopIfTrue="1" operator="equal">
      <formula>"1 Modify"</formula>
    </cfRule>
  </conditionalFormatting>
  <conditionalFormatting sqref="C771">
    <cfRule type="cellIs" dxfId="262" priority="2309" stopIfTrue="1" operator="equal">
      <formula>"2 Add"</formula>
    </cfRule>
  </conditionalFormatting>
  <conditionalFormatting sqref="C771">
    <cfRule type="cellIs" dxfId="261" priority="2310" stopIfTrue="1" operator="equal">
      <formula>"3 Delete"</formula>
    </cfRule>
  </conditionalFormatting>
  <conditionalFormatting sqref="C772">
    <cfRule type="cellIs" dxfId="260" priority="2311" stopIfTrue="1" operator="equal">
      <formula>"1 Modify"</formula>
    </cfRule>
  </conditionalFormatting>
  <conditionalFormatting sqref="C772">
    <cfRule type="cellIs" dxfId="259" priority="2312" stopIfTrue="1" operator="equal">
      <formula>"2 Add"</formula>
    </cfRule>
  </conditionalFormatting>
  <conditionalFormatting sqref="C772">
    <cfRule type="cellIs" dxfId="258" priority="2313" stopIfTrue="1" operator="equal">
      <formula>"3 Delete"</formula>
    </cfRule>
  </conditionalFormatting>
  <conditionalFormatting sqref="C773">
    <cfRule type="cellIs" dxfId="257" priority="2314" stopIfTrue="1" operator="equal">
      <formula>"1 Modify"</formula>
    </cfRule>
  </conditionalFormatting>
  <conditionalFormatting sqref="C773">
    <cfRule type="cellIs" dxfId="256" priority="2315" stopIfTrue="1" operator="equal">
      <formula>"2 Add"</formula>
    </cfRule>
  </conditionalFormatting>
  <conditionalFormatting sqref="C773">
    <cfRule type="cellIs" dxfId="255" priority="2316" stopIfTrue="1" operator="equal">
      <formula>"3 Delete"</formula>
    </cfRule>
  </conditionalFormatting>
  <conditionalFormatting sqref="C774">
    <cfRule type="cellIs" dxfId="254" priority="2317" stopIfTrue="1" operator="equal">
      <formula>"1 Modify"</formula>
    </cfRule>
  </conditionalFormatting>
  <conditionalFormatting sqref="C774">
    <cfRule type="cellIs" dxfId="253" priority="2318" stopIfTrue="1" operator="equal">
      <formula>"2 Add"</formula>
    </cfRule>
  </conditionalFormatting>
  <conditionalFormatting sqref="C774">
    <cfRule type="cellIs" dxfId="252" priority="2319" stopIfTrue="1" operator="equal">
      <formula>"3 Delete"</formula>
    </cfRule>
  </conditionalFormatting>
  <conditionalFormatting sqref="C775">
    <cfRule type="cellIs" dxfId="251" priority="2320" stopIfTrue="1" operator="equal">
      <formula>"1 Modify"</formula>
    </cfRule>
  </conditionalFormatting>
  <conditionalFormatting sqref="C775">
    <cfRule type="cellIs" dxfId="250" priority="2321" stopIfTrue="1" operator="equal">
      <formula>"2 Add"</formula>
    </cfRule>
  </conditionalFormatting>
  <conditionalFormatting sqref="C775">
    <cfRule type="cellIs" dxfId="249" priority="2322" stopIfTrue="1" operator="equal">
      <formula>"3 Delete"</formula>
    </cfRule>
  </conditionalFormatting>
  <conditionalFormatting sqref="C776">
    <cfRule type="cellIs" dxfId="248" priority="2323" stopIfTrue="1" operator="equal">
      <formula>"1 Modify"</formula>
    </cfRule>
  </conditionalFormatting>
  <conditionalFormatting sqref="C776">
    <cfRule type="cellIs" dxfId="247" priority="2324" stopIfTrue="1" operator="equal">
      <formula>"2 Add"</formula>
    </cfRule>
  </conditionalFormatting>
  <conditionalFormatting sqref="C776">
    <cfRule type="cellIs" dxfId="246" priority="2325" stopIfTrue="1" operator="equal">
      <formula>"3 Delete"</formula>
    </cfRule>
  </conditionalFormatting>
  <conditionalFormatting sqref="C777">
    <cfRule type="cellIs" dxfId="245" priority="2326" stopIfTrue="1" operator="equal">
      <formula>"1 Modify"</formula>
    </cfRule>
  </conditionalFormatting>
  <conditionalFormatting sqref="C777">
    <cfRule type="cellIs" dxfId="244" priority="2327" stopIfTrue="1" operator="equal">
      <formula>"2 Add"</formula>
    </cfRule>
  </conditionalFormatting>
  <conditionalFormatting sqref="C777">
    <cfRule type="cellIs" dxfId="243" priority="2328" stopIfTrue="1" operator="equal">
      <formula>"3 Delete"</formula>
    </cfRule>
  </conditionalFormatting>
  <conditionalFormatting sqref="C778">
    <cfRule type="cellIs" dxfId="242" priority="2329" stopIfTrue="1" operator="equal">
      <formula>"1 Modify"</formula>
    </cfRule>
  </conditionalFormatting>
  <conditionalFormatting sqref="C778">
    <cfRule type="cellIs" dxfId="241" priority="2330" stopIfTrue="1" operator="equal">
      <formula>"2 Add"</formula>
    </cfRule>
  </conditionalFormatting>
  <conditionalFormatting sqref="C778">
    <cfRule type="cellIs" dxfId="240" priority="2331" stopIfTrue="1" operator="equal">
      <formula>"3 Delete"</formula>
    </cfRule>
  </conditionalFormatting>
  <conditionalFormatting sqref="C779">
    <cfRule type="cellIs" dxfId="239" priority="2332" stopIfTrue="1" operator="equal">
      <formula>"1 Modify"</formula>
    </cfRule>
  </conditionalFormatting>
  <conditionalFormatting sqref="C779">
    <cfRule type="cellIs" dxfId="238" priority="2333" stopIfTrue="1" operator="equal">
      <formula>"2 Add"</formula>
    </cfRule>
  </conditionalFormatting>
  <conditionalFormatting sqref="C779">
    <cfRule type="cellIs" dxfId="237" priority="2334" stopIfTrue="1" operator="equal">
      <formula>"3 Delete"</formula>
    </cfRule>
  </conditionalFormatting>
  <conditionalFormatting sqref="C780">
    <cfRule type="cellIs" dxfId="236" priority="2335" stopIfTrue="1" operator="equal">
      <formula>"1 Modify"</formula>
    </cfRule>
  </conditionalFormatting>
  <conditionalFormatting sqref="C780">
    <cfRule type="cellIs" dxfId="235" priority="2336" stopIfTrue="1" operator="equal">
      <formula>"2 Add"</formula>
    </cfRule>
  </conditionalFormatting>
  <conditionalFormatting sqref="C780">
    <cfRule type="cellIs" dxfId="234" priority="2337" stopIfTrue="1" operator="equal">
      <formula>"3 Delete"</formula>
    </cfRule>
  </conditionalFormatting>
  <conditionalFormatting sqref="C781">
    <cfRule type="cellIs" dxfId="233" priority="2338" stopIfTrue="1" operator="equal">
      <formula>"1 Modify"</formula>
    </cfRule>
  </conditionalFormatting>
  <conditionalFormatting sqref="C781">
    <cfRule type="cellIs" dxfId="232" priority="2339" stopIfTrue="1" operator="equal">
      <formula>"2 Add"</formula>
    </cfRule>
  </conditionalFormatting>
  <conditionalFormatting sqref="C781">
    <cfRule type="cellIs" dxfId="231" priority="2340" stopIfTrue="1" operator="equal">
      <formula>"3 Delete"</formula>
    </cfRule>
  </conditionalFormatting>
  <conditionalFormatting sqref="C782">
    <cfRule type="cellIs" dxfId="230" priority="2341" stopIfTrue="1" operator="equal">
      <formula>"1 Modify"</formula>
    </cfRule>
  </conditionalFormatting>
  <conditionalFormatting sqref="C782">
    <cfRule type="cellIs" dxfId="229" priority="2342" stopIfTrue="1" operator="equal">
      <formula>"2 Add"</formula>
    </cfRule>
  </conditionalFormatting>
  <conditionalFormatting sqref="C782">
    <cfRule type="cellIs" dxfId="228" priority="2343" stopIfTrue="1" operator="equal">
      <formula>"3 Delete"</formula>
    </cfRule>
  </conditionalFormatting>
  <conditionalFormatting sqref="C783">
    <cfRule type="cellIs" dxfId="227" priority="2344" stopIfTrue="1" operator="equal">
      <formula>"1 Modify"</formula>
    </cfRule>
  </conditionalFormatting>
  <conditionalFormatting sqref="C783">
    <cfRule type="cellIs" dxfId="226" priority="2345" stopIfTrue="1" operator="equal">
      <formula>"2 Add"</formula>
    </cfRule>
  </conditionalFormatting>
  <conditionalFormatting sqref="C783">
    <cfRule type="cellIs" dxfId="225" priority="2346" stopIfTrue="1" operator="equal">
      <formula>"3 Delete"</formula>
    </cfRule>
  </conditionalFormatting>
  <conditionalFormatting sqref="C784">
    <cfRule type="cellIs" dxfId="224" priority="2347" stopIfTrue="1" operator="equal">
      <formula>"1 Modify"</formula>
    </cfRule>
  </conditionalFormatting>
  <conditionalFormatting sqref="C784">
    <cfRule type="cellIs" dxfId="223" priority="2348" stopIfTrue="1" operator="equal">
      <formula>"2 Add"</formula>
    </cfRule>
  </conditionalFormatting>
  <conditionalFormatting sqref="C784">
    <cfRule type="cellIs" dxfId="222" priority="2349" stopIfTrue="1" operator="equal">
      <formula>"3 Delete"</formula>
    </cfRule>
  </conditionalFormatting>
  <conditionalFormatting sqref="C785">
    <cfRule type="cellIs" dxfId="221" priority="2350" stopIfTrue="1" operator="equal">
      <formula>"1 Modify"</formula>
    </cfRule>
  </conditionalFormatting>
  <conditionalFormatting sqref="C785">
    <cfRule type="cellIs" dxfId="220" priority="2351" stopIfTrue="1" operator="equal">
      <formula>"2 Add"</formula>
    </cfRule>
  </conditionalFormatting>
  <conditionalFormatting sqref="C785">
    <cfRule type="cellIs" dxfId="219" priority="2352" stopIfTrue="1" operator="equal">
      <formula>"3 Delete"</formula>
    </cfRule>
  </conditionalFormatting>
  <conditionalFormatting sqref="C786">
    <cfRule type="cellIs" dxfId="218" priority="2353" stopIfTrue="1" operator="equal">
      <formula>"1 Modify"</formula>
    </cfRule>
  </conditionalFormatting>
  <conditionalFormatting sqref="C786">
    <cfRule type="cellIs" dxfId="217" priority="2354" stopIfTrue="1" operator="equal">
      <formula>"2 Add"</formula>
    </cfRule>
  </conditionalFormatting>
  <conditionalFormatting sqref="C786">
    <cfRule type="cellIs" dxfId="216" priority="2355" stopIfTrue="1" operator="equal">
      <formula>"3 Delete"</formula>
    </cfRule>
  </conditionalFormatting>
  <conditionalFormatting sqref="C787">
    <cfRule type="cellIs" dxfId="215" priority="2356" stopIfTrue="1" operator="equal">
      <formula>"1 Modify"</formula>
    </cfRule>
  </conditionalFormatting>
  <conditionalFormatting sqref="C787">
    <cfRule type="cellIs" dxfId="214" priority="2357" stopIfTrue="1" operator="equal">
      <formula>"2 Add"</formula>
    </cfRule>
  </conditionalFormatting>
  <conditionalFormatting sqref="C787">
    <cfRule type="cellIs" dxfId="213" priority="2358" stopIfTrue="1" operator="equal">
      <formula>"3 Delete"</formula>
    </cfRule>
  </conditionalFormatting>
  <conditionalFormatting sqref="C788">
    <cfRule type="cellIs" dxfId="212" priority="2359" stopIfTrue="1" operator="equal">
      <formula>"1 Modify"</formula>
    </cfRule>
  </conditionalFormatting>
  <conditionalFormatting sqref="C788">
    <cfRule type="cellIs" dxfId="211" priority="2360" stopIfTrue="1" operator="equal">
      <formula>"2 Add"</formula>
    </cfRule>
  </conditionalFormatting>
  <conditionalFormatting sqref="C788">
    <cfRule type="cellIs" dxfId="210" priority="2361" stopIfTrue="1" operator="equal">
      <formula>"3 Delete"</formula>
    </cfRule>
  </conditionalFormatting>
  <conditionalFormatting sqref="C789">
    <cfRule type="cellIs" dxfId="209" priority="2362" stopIfTrue="1" operator="equal">
      <formula>"1 Modify"</formula>
    </cfRule>
  </conditionalFormatting>
  <conditionalFormatting sqref="C789">
    <cfRule type="cellIs" dxfId="208" priority="2363" stopIfTrue="1" operator="equal">
      <formula>"2 Add"</formula>
    </cfRule>
  </conditionalFormatting>
  <conditionalFormatting sqref="C789">
    <cfRule type="cellIs" dxfId="207" priority="2364" stopIfTrue="1" operator="equal">
      <formula>"3 Delete"</formula>
    </cfRule>
  </conditionalFormatting>
  <conditionalFormatting sqref="C790">
    <cfRule type="cellIs" dxfId="206" priority="2365" stopIfTrue="1" operator="equal">
      <formula>"1 Modify"</formula>
    </cfRule>
  </conditionalFormatting>
  <conditionalFormatting sqref="C790">
    <cfRule type="cellIs" dxfId="205" priority="2366" stopIfTrue="1" operator="equal">
      <formula>"2 Add"</formula>
    </cfRule>
  </conditionalFormatting>
  <conditionalFormatting sqref="C790">
    <cfRule type="cellIs" dxfId="204" priority="2367" stopIfTrue="1" operator="equal">
      <formula>"3 Delete"</formula>
    </cfRule>
  </conditionalFormatting>
  <conditionalFormatting sqref="C791">
    <cfRule type="cellIs" dxfId="203" priority="2368" stopIfTrue="1" operator="equal">
      <formula>"1 Modify"</formula>
    </cfRule>
  </conditionalFormatting>
  <conditionalFormatting sqref="C791">
    <cfRule type="cellIs" dxfId="202" priority="2369" stopIfTrue="1" operator="equal">
      <formula>"2 Add"</formula>
    </cfRule>
  </conditionalFormatting>
  <conditionalFormatting sqref="C791">
    <cfRule type="cellIs" dxfId="201" priority="2370" stopIfTrue="1" operator="equal">
      <formula>"3 Delete"</formula>
    </cfRule>
  </conditionalFormatting>
  <conditionalFormatting sqref="C792">
    <cfRule type="cellIs" dxfId="200" priority="2371" stopIfTrue="1" operator="equal">
      <formula>"1 Modify"</formula>
    </cfRule>
  </conditionalFormatting>
  <conditionalFormatting sqref="C792">
    <cfRule type="cellIs" dxfId="199" priority="2372" stopIfTrue="1" operator="equal">
      <formula>"2 Add"</formula>
    </cfRule>
  </conditionalFormatting>
  <conditionalFormatting sqref="C792">
    <cfRule type="cellIs" dxfId="198" priority="2373" stopIfTrue="1" operator="equal">
      <formula>"3 Delete"</formula>
    </cfRule>
  </conditionalFormatting>
  <conditionalFormatting sqref="C793">
    <cfRule type="cellIs" dxfId="197" priority="2374" stopIfTrue="1" operator="equal">
      <formula>"1 Modify"</formula>
    </cfRule>
  </conditionalFormatting>
  <conditionalFormatting sqref="C793">
    <cfRule type="cellIs" dxfId="196" priority="2375" stopIfTrue="1" operator="equal">
      <formula>"2 Add"</formula>
    </cfRule>
  </conditionalFormatting>
  <conditionalFormatting sqref="C793">
    <cfRule type="cellIs" dxfId="195" priority="2376" stopIfTrue="1" operator="equal">
      <formula>"3 Delete"</formula>
    </cfRule>
  </conditionalFormatting>
  <conditionalFormatting sqref="C794">
    <cfRule type="cellIs" dxfId="194" priority="2377" stopIfTrue="1" operator="equal">
      <formula>"1 Modify"</formula>
    </cfRule>
  </conditionalFormatting>
  <conditionalFormatting sqref="C794">
    <cfRule type="cellIs" dxfId="193" priority="2378" stopIfTrue="1" operator="equal">
      <formula>"2 Add"</formula>
    </cfRule>
  </conditionalFormatting>
  <conditionalFormatting sqref="C794">
    <cfRule type="cellIs" dxfId="192" priority="2379" stopIfTrue="1" operator="equal">
      <formula>"3 Delete"</formula>
    </cfRule>
  </conditionalFormatting>
  <conditionalFormatting sqref="C795">
    <cfRule type="cellIs" dxfId="191" priority="2380" stopIfTrue="1" operator="equal">
      <formula>"1 Modify"</formula>
    </cfRule>
  </conditionalFormatting>
  <conditionalFormatting sqref="C795">
    <cfRule type="cellIs" dxfId="190" priority="2381" stopIfTrue="1" operator="equal">
      <formula>"2 Add"</formula>
    </cfRule>
  </conditionalFormatting>
  <conditionalFormatting sqref="C795">
    <cfRule type="cellIs" dxfId="189" priority="2382" stopIfTrue="1" operator="equal">
      <formula>"3 Delete"</formula>
    </cfRule>
  </conditionalFormatting>
  <conditionalFormatting sqref="C796">
    <cfRule type="cellIs" dxfId="188" priority="2383" stopIfTrue="1" operator="equal">
      <formula>"1 Modify"</formula>
    </cfRule>
  </conditionalFormatting>
  <conditionalFormatting sqref="C796">
    <cfRule type="cellIs" dxfId="187" priority="2384" stopIfTrue="1" operator="equal">
      <formula>"2 Add"</formula>
    </cfRule>
  </conditionalFormatting>
  <conditionalFormatting sqref="C796">
    <cfRule type="cellIs" dxfId="186" priority="2385" stopIfTrue="1" operator="equal">
      <formula>"3 Delete"</formula>
    </cfRule>
  </conditionalFormatting>
  <conditionalFormatting sqref="C797">
    <cfRule type="cellIs" dxfId="185" priority="2386" stopIfTrue="1" operator="equal">
      <formula>"1 Modify"</formula>
    </cfRule>
  </conditionalFormatting>
  <conditionalFormatting sqref="C797">
    <cfRule type="cellIs" dxfId="184" priority="2387" stopIfTrue="1" operator="equal">
      <formula>"2 Add"</formula>
    </cfRule>
  </conditionalFormatting>
  <conditionalFormatting sqref="C797">
    <cfRule type="cellIs" dxfId="183" priority="2388" stopIfTrue="1" operator="equal">
      <formula>"3 Delete"</formula>
    </cfRule>
  </conditionalFormatting>
  <conditionalFormatting sqref="C798">
    <cfRule type="cellIs" dxfId="182" priority="2389" stopIfTrue="1" operator="equal">
      <formula>"1 Modify"</formula>
    </cfRule>
  </conditionalFormatting>
  <conditionalFormatting sqref="C798">
    <cfRule type="cellIs" dxfId="181" priority="2390" stopIfTrue="1" operator="equal">
      <formula>"2 Add"</formula>
    </cfRule>
  </conditionalFormatting>
  <conditionalFormatting sqref="C798">
    <cfRule type="cellIs" dxfId="180" priority="2391" stopIfTrue="1" operator="equal">
      <formula>"3 Delete"</formula>
    </cfRule>
  </conditionalFormatting>
  <conditionalFormatting sqref="C799">
    <cfRule type="cellIs" dxfId="179" priority="2392" stopIfTrue="1" operator="equal">
      <formula>"1 Modify"</formula>
    </cfRule>
  </conditionalFormatting>
  <conditionalFormatting sqref="C799">
    <cfRule type="cellIs" dxfId="178" priority="2393" stopIfTrue="1" operator="equal">
      <formula>"2 Add"</formula>
    </cfRule>
  </conditionalFormatting>
  <conditionalFormatting sqref="C799">
    <cfRule type="cellIs" dxfId="177" priority="2394" stopIfTrue="1" operator="equal">
      <formula>"3 Delete"</formula>
    </cfRule>
  </conditionalFormatting>
  <conditionalFormatting sqref="C800">
    <cfRule type="cellIs" dxfId="176" priority="2395" stopIfTrue="1" operator="equal">
      <formula>"1 Modify"</formula>
    </cfRule>
  </conditionalFormatting>
  <conditionalFormatting sqref="C800">
    <cfRule type="cellIs" dxfId="175" priority="2396" stopIfTrue="1" operator="equal">
      <formula>"2 Add"</formula>
    </cfRule>
  </conditionalFormatting>
  <conditionalFormatting sqref="C800">
    <cfRule type="cellIs" dxfId="174" priority="2397" stopIfTrue="1" operator="equal">
      <formula>"3 Delete"</formula>
    </cfRule>
  </conditionalFormatting>
  <conditionalFormatting sqref="C801">
    <cfRule type="cellIs" dxfId="173" priority="2398" stopIfTrue="1" operator="equal">
      <formula>"1 Modify"</formula>
    </cfRule>
  </conditionalFormatting>
  <conditionalFormatting sqref="C801">
    <cfRule type="cellIs" dxfId="172" priority="2399" stopIfTrue="1" operator="equal">
      <formula>"2 Add"</formula>
    </cfRule>
  </conditionalFormatting>
  <conditionalFormatting sqref="C801">
    <cfRule type="cellIs" dxfId="171" priority="2400" stopIfTrue="1" operator="equal">
      <formula>"3 Delete"</formula>
    </cfRule>
  </conditionalFormatting>
  <conditionalFormatting sqref="C802">
    <cfRule type="cellIs" dxfId="170" priority="2401" stopIfTrue="1" operator="equal">
      <formula>"1 Modify"</formula>
    </cfRule>
  </conditionalFormatting>
  <conditionalFormatting sqref="C802">
    <cfRule type="cellIs" dxfId="169" priority="2402" stopIfTrue="1" operator="equal">
      <formula>"2 Add"</formula>
    </cfRule>
  </conditionalFormatting>
  <conditionalFormatting sqref="C802">
    <cfRule type="cellIs" dxfId="168" priority="2403" stopIfTrue="1" operator="equal">
      <formula>"3 Delete"</formula>
    </cfRule>
  </conditionalFormatting>
  <conditionalFormatting sqref="C803">
    <cfRule type="cellIs" dxfId="167" priority="2404" stopIfTrue="1" operator="equal">
      <formula>"1 Modify"</formula>
    </cfRule>
  </conditionalFormatting>
  <conditionalFormatting sqref="C803">
    <cfRule type="cellIs" dxfId="166" priority="2405" stopIfTrue="1" operator="equal">
      <formula>"2 Add"</formula>
    </cfRule>
  </conditionalFormatting>
  <conditionalFormatting sqref="C803">
    <cfRule type="cellIs" dxfId="165" priority="2406" stopIfTrue="1" operator="equal">
      <formula>"3 Delete"</formula>
    </cfRule>
  </conditionalFormatting>
  <conditionalFormatting sqref="C804">
    <cfRule type="cellIs" dxfId="164" priority="2407" stopIfTrue="1" operator="equal">
      <formula>"1 Modify"</formula>
    </cfRule>
  </conditionalFormatting>
  <conditionalFormatting sqref="C804">
    <cfRule type="cellIs" dxfId="163" priority="2408" stopIfTrue="1" operator="equal">
      <formula>"2 Add"</formula>
    </cfRule>
  </conditionalFormatting>
  <conditionalFormatting sqref="C804">
    <cfRule type="cellIs" dxfId="162" priority="2409" stopIfTrue="1" operator="equal">
      <formula>"3 Delete"</formula>
    </cfRule>
  </conditionalFormatting>
  <conditionalFormatting sqref="C805">
    <cfRule type="cellIs" dxfId="161" priority="2410" stopIfTrue="1" operator="equal">
      <formula>"1 Modify"</formula>
    </cfRule>
  </conditionalFormatting>
  <conditionalFormatting sqref="C805">
    <cfRule type="cellIs" dxfId="160" priority="2411" stopIfTrue="1" operator="equal">
      <formula>"2 Add"</formula>
    </cfRule>
  </conditionalFormatting>
  <conditionalFormatting sqref="C805">
    <cfRule type="cellIs" dxfId="159" priority="2412" stopIfTrue="1" operator="equal">
      <formula>"3 Delete"</formula>
    </cfRule>
  </conditionalFormatting>
  <conditionalFormatting sqref="C806">
    <cfRule type="cellIs" dxfId="158" priority="2413" stopIfTrue="1" operator="equal">
      <formula>"1 Modify"</formula>
    </cfRule>
  </conditionalFormatting>
  <conditionalFormatting sqref="C806">
    <cfRule type="cellIs" dxfId="157" priority="2414" stopIfTrue="1" operator="equal">
      <formula>"2 Add"</formula>
    </cfRule>
  </conditionalFormatting>
  <conditionalFormatting sqref="C806">
    <cfRule type="cellIs" dxfId="156" priority="2415" stopIfTrue="1" operator="equal">
      <formula>"3 Delete"</formula>
    </cfRule>
  </conditionalFormatting>
  <conditionalFormatting sqref="C807">
    <cfRule type="cellIs" dxfId="155" priority="2416" stopIfTrue="1" operator="equal">
      <formula>"1 Modify"</formula>
    </cfRule>
  </conditionalFormatting>
  <conditionalFormatting sqref="C807">
    <cfRule type="cellIs" dxfId="154" priority="2417" stopIfTrue="1" operator="equal">
      <formula>"2 Add"</formula>
    </cfRule>
  </conditionalFormatting>
  <conditionalFormatting sqref="C807">
    <cfRule type="cellIs" dxfId="153" priority="2418" stopIfTrue="1" operator="equal">
      <formula>"3 Delete"</formula>
    </cfRule>
  </conditionalFormatting>
  <conditionalFormatting sqref="C808">
    <cfRule type="cellIs" dxfId="152" priority="2419" stopIfTrue="1" operator="equal">
      <formula>"1 Modify"</formula>
    </cfRule>
  </conditionalFormatting>
  <conditionalFormatting sqref="C808">
    <cfRule type="cellIs" dxfId="151" priority="2420" stopIfTrue="1" operator="equal">
      <formula>"2 Add"</formula>
    </cfRule>
  </conditionalFormatting>
  <conditionalFormatting sqref="C808">
    <cfRule type="cellIs" dxfId="150" priority="2421" stopIfTrue="1" operator="equal">
      <formula>"3 Delete"</formula>
    </cfRule>
  </conditionalFormatting>
  <conditionalFormatting sqref="C809">
    <cfRule type="cellIs" dxfId="149" priority="2422" stopIfTrue="1" operator="equal">
      <formula>"1 Modify"</formula>
    </cfRule>
  </conditionalFormatting>
  <conditionalFormatting sqref="C809">
    <cfRule type="cellIs" dxfId="148" priority="2423" stopIfTrue="1" operator="equal">
      <formula>"2 Add"</formula>
    </cfRule>
  </conditionalFormatting>
  <conditionalFormatting sqref="C809">
    <cfRule type="cellIs" dxfId="147" priority="2424" stopIfTrue="1" operator="equal">
      <formula>"3 Delete"</formula>
    </cfRule>
  </conditionalFormatting>
  <conditionalFormatting sqref="C810">
    <cfRule type="cellIs" dxfId="146" priority="2425" stopIfTrue="1" operator="equal">
      <formula>"1 Modify"</formula>
    </cfRule>
  </conditionalFormatting>
  <conditionalFormatting sqref="C810">
    <cfRule type="cellIs" dxfId="145" priority="2426" stopIfTrue="1" operator="equal">
      <formula>"2 Add"</formula>
    </cfRule>
  </conditionalFormatting>
  <conditionalFormatting sqref="C810">
    <cfRule type="cellIs" dxfId="144" priority="2427" stopIfTrue="1" operator="equal">
      <formula>"3 Delete"</formula>
    </cfRule>
  </conditionalFormatting>
  <conditionalFormatting sqref="C811">
    <cfRule type="cellIs" dxfId="143" priority="2428" stopIfTrue="1" operator="equal">
      <formula>"1 Modify"</formula>
    </cfRule>
  </conditionalFormatting>
  <conditionalFormatting sqref="C811">
    <cfRule type="cellIs" dxfId="142" priority="2429" stopIfTrue="1" operator="equal">
      <formula>"2 Add"</formula>
    </cfRule>
  </conditionalFormatting>
  <conditionalFormatting sqref="C811">
    <cfRule type="cellIs" dxfId="141" priority="2430" stopIfTrue="1" operator="equal">
      <formula>"3 Delete"</formula>
    </cfRule>
  </conditionalFormatting>
  <conditionalFormatting sqref="C812">
    <cfRule type="cellIs" dxfId="140" priority="2431" stopIfTrue="1" operator="equal">
      <formula>"1 Modify"</formula>
    </cfRule>
  </conditionalFormatting>
  <conditionalFormatting sqref="C812">
    <cfRule type="cellIs" dxfId="139" priority="2432" stopIfTrue="1" operator="equal">
      <formula>"2 Add"</formula>
    </cfRule>
  </conditionalFormatting>
  <conditionalFormatting sqref="C812">
    <cfRule type="cellIs" dxfId="138" priority="2433" stopIfTrue="1" operator="equal">
      <formula>"3 Delete"</formula>
    </cfRule>
  </conditionalFormatting>
  <conditionalFormatting sqref="C813">
    <cfRule type="cellIs" dxfId="137" priority="2434" stopIfTrue="1" operator="equal">
      <formula>"1 Modify"</formula>
    </cfRule>
  </conditionalFormatting>
  <conditionalFormatting sqref="C813">
    <cfRule type="cellIs" dxfId="136" priority="2435" stopIfTrue="1" operator="equal">
      <formula>"2 Add"</formula>
    </cfRule>
  </conditionalFormatting>
  <conditionalFormatting sqref="C813">
    <cfRule type="cellIs" dxfId="135" priority="2436" stopIfTrue="1" operator="equal">
      <formula>"3 Delete"</formula>
    </cfRule>
  </conditionalFormatting>
  <conditionalFormatting sqref="C814">
    <cfRule type="cellIs" dxfId="134" priority="2437" stopIfTrue="1" operator="equal">
      <formula>"1 Modify"</formula>
    </cfRule>
  </conditionalFormatting>
  <conditionalFormatting sqref="C814">
    <cfRule type="cellIs" dxfId="133" priority="2438" stopIfTrue="1" operator="equal">
      <formula>"2 Add"</formula>
    </cfRule>
  </conditionalFormatting>
  <conditionalFormatting sqref="C814">
    <cfRule type="cellIs" dxfId="132" priority="2439" stopIfTrue="1" operator="equal">
      <formula>"3 Delete"</formula>
    </cfRule>
  </conditionalFormatting>
  <conditionalFormatting sqref="C815">
    <cfRule type="cellIs" dxfId="131" priority="2440" stopIfTrue="1" operator="equal">
      <formula>"1 Modify"</formula>
    </cfRule>
  </conditionalFormatting>
  <conditionalFormatting sqref="C815">
    <cfRule type="cellIs" dxfId="130" priority="2441" stopIfTrue="1" operator="equal">
      <formula>"2 Add"</formula>
    </cfRule>
  </conditionalFormatting>
  <conditionalFormatting sqref="C815">
    <cfRule type="cellIs" dxfId="129" priority="2442" stopIfTrue="1" operator="equal">
      <formula>"3 Delete"</formula>
    </cfRule>
  </conditionalFormatting>
  <conditionalFormatting sqref="C816">
    <cfRule type="cellIs" dxfId="128" priority="2443" stopIfTrue="1" operator="equal">
      <formula>"1 Modify"</formula>
    </cfRule>
  </conditionalFormatting>
  <conditionalFormatting sqref="C816">
    <cfRule type="cellIs" dxfId="127" priority="2444" stopIfTrue="1" operator="equal">
      <formula>"2 Add"</formula>
    </cfRule>
  </conditionalFormatting>
  <conditionalFormatting sqref="C816">
    <cfRule type="cellIs" dxfId="126" priority="2445" stopIfTrue="1" operator="equal">
      <formula>"3 Delete"</formula>
    </cfRule>
  </conditionalFormatting>
  <conditionalFormatting sqref="C817">
    <cfRule type="cellIs" dxfId="125" priority="2446" stopIfTrue="1" operator="equal">
      <formula>"1 Modify"</formula>
    </cfRule>
  </conditionalFormatting>
  <conditionalFormatting sqref="C817">
    <cfRule type="cellIs" dxfId="124" priority="2447" stopIfTrue="1" operator="equal">
      <formula>"2 Add"</formula>
    </cfRule>
  </conditionalFormatting>
  <conditionalFormatting sqref="C817">
    <cfRule type="cellIs" dxfId="123" priority="2448" stopIfTrue="1" operator="equal">
      <formula>"3 Delete"</formula>
    </cfRule>
  </conditionalFormatting>
  <conditionalFormatting sqref="C818">
    <cfRule type="cellIs" dxfId="122" priority="2449" stopIfTrue="1" operator="equal">
      <formula>"1 Modify"</formula>
    </cfRule>
  </conditionalFormatting>
  <conditionalFormatting sqref="C818">
    <cfRule type="cellIs" dxfId="121" priority="2450" stopIfTrue="1" operator="equal">
      <formula>"2 Add"</formula>
    </cfRule>
  </conditionalFormatting>
  <conditionalFormatting sqref="C818">
    <cfRule type="cellIs" dxfId="120" priority="2451" stopIfTrue="1" operator="equal">
      <formula>"3 Delete"</formula>
    </cfRule>
  </conditionalFormatting>
  <conditionalFormatting sqref="C819">
    <cfRule type="cellIs" dxfId="119" priority="2452" stopIfTrue="1" operator="equal">
      <formula>"1 Modify"</formula>
    </cfRule>
  </conditionalFormatting>
  <conditionalFormatting sqref="C819">
    <cfRule type="cellIs" dxfId="118" priority="2453" stopIfTrue="1" operator="equal">
      <formula>"2 Add"</formula>
    </cfRule>
  </conditionalFormatting>
  <conditionalFormatting sqref="C819">
    <cfRule type="cellIs" dxfId="117" priority="2454" stopIfTrue="1" operator="equal">
      <formula>"3 Delete"</formula>
    </cfRule>
  </conditionalFormatting>
  <conditionalFormatting sqref="C820">
    <cfRule type="cellIs" dxfId="116" priority="2455" stopIfTrue="1" operator="equal">
      <formula>"1 Modify"</formula>
    </cfRule>
  </conditionalFormatting>
  <conditionalFormatting sqref="C820">
    <cfRule type="cellIs" dxfId="115" priority="2456" stopIfTrue="1" operator="equal">
      <formula>"2 Add"</formula>
    </cfRule>
  </conditionalFormatting>
  <conditionalFormatting sqref="C820">
    <cfRule type="cellIs" dxfId="114" priority="2457" stopIfTrue="1" operator="equal">
      <formula>"3 Delete"</formula>
    </cfRule>
  </conditionalFormatting>
  <conditionalFormatting sqref="C821">
    <cfRule type="cellIs" dxfId="113" priority="2458" stopIfTrue="1" operator="equal">
      <formula>"1 Modify"</formula>
    </cfRule>
  </conditionalFormatting>
  <conditionalFormatting sqref="C821">
    <cfRule type="cellIs" dxfId="112" priority="2459" stopIfTrue="1" operator="equal">
      <formula>"2 Add"</formula>
    </cfRule>
  </conditionalFormatting>
  <conditionalFormatting sqref="C821">
    <cfRule type="cellIs" dxfId="111" priority="2460" stopIfTrue="1" operator="equal">
      <formula>"3 Delete"</formula>
    </cfRule>
  </conditionalFormatting>
  <conditionalFormatting sqref="C822">
    <cfRule type="cellIs" dxfId="110" priority="2461" stopIfTrue="1" operator="equal">
      <formula>"1 Modify"</formula>
    </cfRule>
  </conditionalFormatting>
  <conditionalFormatting sqref="C822">
    <cfRule type="cellIs" dxfId="109" priority="2462" stopIfTrue="1" operator="equal">
      <formula>"2 Add"</formula>
    </cfRule>
  </conditionalFormatting>
  <conditionalFormatting sqref="C822">
    <cfRule type="cellIs" dxfId="108" priority="2463" stopIfTrue="1" operator="equal">
      <formula>"3 Delete"</formula>
    </cfRule>
  </conditionalFormatting>
  <conditionalFormatting sqref="C823">
    <cfRule type="cellIs" dxfId="107" priority="2464" stopIfTrue="1" operator="equal">
      <formula>"1 Modify"</formula>
    </cfRule>
  </conditionalFormatting>
  <conditionalFormatting sqref="C823">
    <cfRule type="cellIs" dxfId="106" priority="2465" stopIfTrue="1" operator="equal">
      <formula>"2 Add"</formula>
    </cfRule>
  </conditionalFormatting>
  <conditionalFormatting sqref="C823">
    <cfRule type="cellIs" dxfId="105" priority="2466" stopIfTrue="1" operator="equal">
      <formula>"3 Delete"</formula>
    </cfRule>
  </conditionalFormatting>
  <conditionalFormatting sqref="C824">
    <cfRule type="cellIs" dxfId="104" priority="2467" stopIfTrue="1" operator="equal">
      <formula>"1 Modify"</formula>
    </cfRule>
  </conditionalFormatting>
  <conditionalFormatting sqref="C824">
    <cfRule type="cellIs" dxfId="103" priority="2468" stopIfTrue="1" operator="equal">
      <formula>"2 Add"</formula>
    </cfRule>
  </conditionalFormatting>
  <conditionalFormatting sqref="C824">
    <cfRule type="cellIs" dxfId="102" priority="2469" stopIfTrue="1" operator="equal">
      <formula>"3 Delete"</formula>
    </cfRule>
  </conditionalFormatting>
  <conditionalFormatting sqref="C825">
    <cfRule type="cellIs" dxfId="101" priority="2470" stopIfTrue="1" operator="equal">
      <formula>"1 Modify"</formula>
    </cfRule>
  </conditionalFormatting>
  <conditionalFormatting sqref="C825">
    <cfRule type="cellIs" dxfId="100" priority="2471" stopIfTrue="1" operator="equal">
      <formula>"2 Add"</formula>
    </cfRule>
  </conditionalFormatting>
  <conditionalFormatting sqref="C825">
    <cfRule type="cellIs" dxfId="99" priority="2472" stopIfTrue="1" operator="equal">
      <formula>"3 Delete"</formula>
    </cfRule>
  </conditionalFormatting>
  <conditionalFormatting sqref="C826">
    <cfRule type="cellIs" dxfId="98" priority="2473" stopIfTrue="1" operator="equal">
      <formula>"1 Modify"</formula>
    </cfRule>
  </conditionalFormatting>
  <conditionalFormatting sqref="C826">
    <cfRule type="cellIs" dxfId="97" priority="2474" stopIfTrue="1" operator="equal">
      <formula>"2 Add"</formula>
    </cfRule>
  </conditionalFormatting>
  <conditionalFormatting sqref="C826">
    <cfRule type="cellIs" dxfId="96" priority="2475" stopIfTrue="1" operator="equal">
      <formula>"3 Delete"</formula>
    </cfRule>
  </conditionalFormatting>
  <conditionalFormatting sqref="C827">
    <cfRule type="cellIs" dxfId="95" priority="2476" stopIfTrue="1" operator="equal">
      <formula>"1 Modify"</formula>
    </cfRule>
  </conditionalFormatting>
  <conditionalFormatting sqref="C827">
    <cfRule type="cellIs" dxfId="94" priority="2477" stopIfTrue="1" operator="equal">
      <formula>"2 Add"</formula>
    </cfRule>
  </conditionalFormatting>
  <conditionalFormatting sqref="C827">
    <cfRule type="cellIs" dxfId="93" priority="2478" stopIfTrue="1" operator="equal">
      <formula>"3 Delete"</formula>
    </cfRule>
  </conditionalFormatting>
  <conditionalFormatting sqref="C828">
    <cfRule type="cellIs" dxfId="92" priority="2479" stopIfTrue="1" operator="equal">
      <formula>"1 Modify"</formula>
    </cfRule>
  </conditionalFormatting>
  <conditionalFormatting sqref="C828">
    <cfRule type="cellIs" dxfId="91" priority="2480" stopIfTrue="1" operator="equal">
      <formula>"2 Add"</formula>
    </cfRule>
  </conditionalFormatting>
  <conditionalFormatting sqref="C828">
    <cfRule type="cellIs" dxfId="90" priority="2481" stopIfTrue="1" operator="equal">
      <formula>"3 Delete"</formula>
    </cfRule>
  </conditionalFormatting>
  <conditionalFormatting sqref="C829">
    <cfRule type="cellIs" dxfId="89" priority="2482" stopIfTrue="1" operator="equal">
      <formula>"1 Modify"</formula>
    </cfRule>
  </conditionalFormatting>
  <conditionalFormatting sqref="C829">
    <cfRule type="cellIs" dxfId="88" priority="2483" stopIfTrue="1" operator="equal">
      <formula>"2 Add"</formula>
    </cfRule>
  </conditionalFormatting>
  <conditionalFormatting sqref="C829">
    <cfRule type="cellIs" dxfId="87" priority="2484" stopIfTrue="1" operator="equal">
      <formula>"3 Delete"</formula>
    </cfRule>
  </conditionalFormatting>
  <conditionalFormatting sqref="C830">
    <cfRule type="cellIs" dxfId="86" priority="2485" stopIfTrue="1" operator="equal">
      <formula>"1 Modify"</formula>
    </cfRule>
  </conditionalFormatting>
  <conditionalFormatting sqref="C830">
    <cfRule type="cellIs" dxfId="85" priority="2486" stopIfTrue="1" operator="equal">
      <formula>"2 Add"</formula>
    </cfRule>
  </conditionalFormatting>
  <conditionalFormatting sqref="C830">
    <cfRule type="cellIs" dxfId="84" priority="2487" stopIfTrue="1" operator="equal">
      <formula>"3 Delete"</formula>
    </cfRule>
  </conditionalFormatting>
  <conditionalFormatting sqref="C831">
    <cfRule type="cellIs" dxfId="83" priority="2488" stopIfTrue="1" operator="equal">
      <formula>"1 Modify"</formula>
    </cfRule>
  </conditionalFormatting>
  <conditionalFormatting sqref="C831">
    <cfRule type="cellIs" dxfId="82" priority="2489" stopIfTrue="1" operator="equal">
      <formula>"2 Add"</formula>
    </cfRule>
  </conditionalFormatting>
  <conditionalFormatting sqref="C831">
    <cfRule type="cellIs" dxfId="81" priority="2490" stopIfTrue="1" operator="equal">
      <formula>"3 Delete"</formula>
    </cfRule>
  </conditionalFormatting>
  <conditionalFormatting sqref="C832">
    <cfRule type="cellIs" dxfId="80" priority="2491" stopIfTrue="1" operator="equal">
      <formula>"1 Modify"</formula>
    </cfRule>
  </conditionalFormatting>
  <conditionalFormatting sqref="C832">
    <cfRule type="cellIs" dxfId="79" priority="2492" stopIfTrue="1" operator="equal">
      <formula>"2 Add"</formula>
    </cfRule>
  </conditionalFormatting>
  <conditionalFormatting sqref="C832">
    <cfRule type="cellIs" dxfId="78" priority="2493" stopIfTrue="1" operator="equal">
      <formula>"3 Delete"</formula>
    </cfRule>
  </conditionalFormatting>
  <conditionalFormatting sqref="C833">
    <cfRule type="cellIs" dxfId="77" priority="2494" stopIfTrue="1" operator="equal">
      <formula>"1 Modify"</formula>
    </cfRule>
  </conditionalFormatting>
  <conditionalFormatting sqref="C833">
    <cfRule type="cellIs" dxfId="76" priority="2495" stopIfTrue="1" operator="equal">
      <formula>"2 Add"</formula>
    </cfRule>
  </conditionalFormatting>
  <conditionalFormatting sqref="C833">
    <cfRule type="cellIs" dxfId="75" priority="2496" stopIfTrue="1" operator="equal">
      <formula>"3 Delete"</formula>
    </cfRule>
  </conditionalFormatting>
  <conditionalFormatting sqref="C834">
    <cfRule type="cellIs" dxfId="74" priority="2497" stopIfTrue="1" operator="equal">
      <formula>"1 Modify"</formula>
    </cfRule>
  </conditionalFormatting>
  <conditionalFormatting sqref="C834">
    <cfRule type="cellIs" dxfId="73" priority="2498" stopIfTrue="1" operator="equal">
      <formula>"2 Add"</formula>
    </cfRule>
  </conditionalFormatting>
  <conditionalFormatting sqref="C834">
    <cfRule type="cellIs" dxfId="72" priority="2499" stopIfTrue="1" operator="equal">
      <formula>"3 Delete"</formula>
    </cfRule>
  </conditionalFormatting>
  <conditionalFormatting sqref="C835">
    <cfRule type="cellIs" dxfId="71" priority="2500" stopIfTrue="1" operator="equal">
      <formula>"1 Modify"</formula>
    </cfRule>
  </conditionalFormatting>
  <conditionalFormatting sqref="C835">
    <cfRule type="cellIs" dxfId="70" priority="2501" stopIfTrue="1" operator="equal">
      <formula>"2 Add"</formula>
    </cfRule>
  </conditionalFormatting>
  <conditionalFormatting sqref="C835">
    <cfRule type="cellIs" dxfId="69" priority="2502" stopIfTrue="1" operator="equal">
      <formula>"3 Delete"</formula>
    </cfRule>
  </conditionalFormatting>
  <conditionalFormatting sqref="C836">
    <cfRule type="cellIs" dxfId="68" priority="2503" stopIfTrue="1" operator="equal">
      <formula>"1 Modify"</formula>
    </cfRule>
  </conditionalFormatting>
  <conditionalFormatting sqref="C836">
    <cfRule type="cellIs" dxfId="67" priority="2504" stopIfTrue="1" operator="equal">
      <formula>"2 Add"</formula>
    </cfRule>
  </conditionalFormatting>
  <conditionalFormatting sqref="C836">
    <cfRule type="cellIs" dxfId="66" priority="2505" stopIfTrue="1" operator="equal">
      <formula>"3 Delete"</formula>
    </cfRule>
  </conditionalFormatting>
  <conditionalFormatting sqref="C837">
    <cfRule type="cellIs" dxfId="65" priority="2506" stopIfTrue="1" operator="equal">
      <formula>"1 Modify"</formula>
    </cfRule>
  </conditionalFormatting>
  <conditionalFormatting sqref="C837">
    <cfRule type="cellIs" dxfId="64" priority="2507" stopIfTrue="1" operator="equal">
      <formula>"2 Add"</formula>
    </cfRule>
  </conditionalFormatting>
  <conditionalFormatting sqref="C837">
    <cfRule type="cellIs" dxfId="63" priority="2508" stopIfTrue="1" operator="equal">
      <formula>"3 Delete"</formula>
    </cfRule>
  </conditionalFormatting>
  <conditionalFormatting sqref="C838">
    <cfRule type="cellIs" dxfId="62" priority="2509" stopIfTrue="1" operator="equal">
      <formula>"1 Modify"</formula>
    </cfRule>
  </conditionalFormatting>
  <conditionalFormatting sqref="C838">
    <cfRule type="cellIs" dxfId="61" priority="2510" stopIfTrue="1" operator="equal">
      <formula>"2 Add"</formula>
    </cfRule>
  </conditionalFormatting>
  <conditionalFormatting sqref="C838">
    <cfRule type="cellIs" dxfId="60" priority="2511" stopIfTrue="1" operator="equal">
      <formula>"3 Delete"</formula>
    </cfRule>
  </conditionalFormatting>
  <conditionalFormatting sqref="C839">
    <cfRule type="cellIs" dxfId="59" priority="2512" stopIfTrue="1" operator="equal">
      <formula>"1 Modify"</formula>
    </cfRule>
  </conditionalFormatting>
  <conditionalFormatting sqref="C839">
    <cfRule type="cellIs" dxfId="58" priority="2513" stopIfTrue="1" operator="equal">
      <formula>"2 Add"</formula>
    </cfRule>
  </conditionalFormatting>
  <conditionalFormatting sqref="C839">
    <cfRule type="cellIs" dxfId="57" priority="2514" stopIfTrue="1" operator="equal">
      <formula>"3 Delete"</formula>
    </cfRule>
  </conditionalFormatting>
  <conditionalFormatting sqref="C840">
    <cfRule type="cellIs" dxfId="56" priority="2515" stopIfTrue="1" operator="equal">
      <formula>"1 Modify"</formula>
    </cfRule>
  </conditionalFormatting>
  <conditionalFormatting sqref="C840">
    <cfRule type="cellIs" dxfId="55" priority="2516" stopIfTrue="1" operator="equal">
      <formula>"2 Add"</formula>
    </cfRule>
  </conditionalFormatting>
  <conditionalFormatting sqref="C840">
    <cfRule type="cellIs" dxfId="54" priority="2517" stopIfTrue="1" operator="equal">
      <formula>"3 Delete"</formula>
    </cfRule>
  </conditionalFormatting>
  <conditionalFormatting sqref="C841">
    <cfRule type="cellIs" dxfId="53" priority="2518" stopIfTrue="1" operator="equal">
      <formula>"1 Modify"</formula>
    </cfRule>
  </conditionalFormatting>
  <conditionalFormatting sqref="C841">
    <cfRule type="cellIs" dxfId="52" priority="2519" stopIfTrue="1" operator="equal">
      <formula>"2 Add"</formula>
    </cfRule>
  </conditionalFormatting>
  <conditionalFormatting sqref="C841">
    <cfRule type="cellIs" dxfId="51" priority="2520" stopIfTrue="1" operator="equal">
      <formula>"3 Delete"</formula>
    </cfRule>
  </conditionalFormatting>
  <conditionalFormatting sqref="C842">
    <cfRule type="cellIs" dxfId="50" priority="2521" stopIfTrue="1" operator="equal">
      <formula>"1 Modify"</formula>
    </cfRule>
  </conditionalFormatting>
  <conditionalFormatting sqref="C842">
    <cfRule type="cellIs" dxfId="49" priority="2522" stopIfTrue="1" operator="equal">
      <formula>"2 Add"</formula>
    </cfRule>
  </conditionalFormatting>
  <conditionalFormatting sqref="C842">
    <cfRule type="cellIs" dxfId="48" priority="2523" stopIfTrue="1" operator="equal">
      <formula>"3 Delete"</formula>
    </cfRule>
  </conditionalFormatting>
  <conditionalFormatting sqref="C843">
    <cfRule type="cellIs" dxfId="47" priority="2524" stopIfTrue="1" operator="equal">
      <formula>"1 Modify"</formula>
    </cfRule>
  </conditionalFormatting>
  <conditionalFormatting sqref="C843">
    <cfRule type="cellIs" dxfId="46" priority="2525" stopIfTrue="1" operator="equal">
      <formula>"2 Add"</formula>
    </cfRule>
  </conditionalFormatting>
  <conditionalFormatting sqref="C843">
    <cfRule type="cellIs" dxfId="45" priority="2526" stopIfTrue="1" operator="equal">
      <formula>"3 Delete"</formula>
    </cfRule>
  </conditionalFormatting>
  <conditionalFormatting sqref="C844">
    <cfRule type="cellIs" dxfId="44" priority="2527" stopIfTrue="1" operator="equal">
      <formula>"1 Modify"</formula>
    </cfRule>
  </conditionalFormatting>
  <conditionalFormatting sqref="C844">
    <cfRule type="cellIs" dxfId="43" priority="2528" stopIfTrue="1" operator="equal">
      <formula>"2 Add"</formula>
    </cfRule>
  </conditionalFormatting>
  <conditionalFormatting sqref="C844">
    <cfRule type="cellIs" dxfId="42" priority="2529" stopIfTrue="1" operator="equal">
      <formula>"3 Delete"</formula>
    </cfRule>
  </conditionalFormatting>
  <conditionalFormatting sqref="C845">
    <cfRule type="cellIs" dxfId="41" priority="2530" stopIfTrue="1" operator="equal">
      <formula>"1 Modify"</formula>
    </cfRule>
  </conditionalFormatting>
  <conditionalFormatting sqref="C845">
    <cfRule type="cellIs" dxfId="40" priority="2531" stopIfTrue="1" operator="equal">
      <formula>"2 Add"</formula>
    </cfRule>
  </conditionalFormatting>
  <conditionalFormatting sqref="C845">
    <cfRule type="cellIs" dxfId="39" priority="2532" stopIfTrue="1" operator="equal">
      <formula>"3 Delete"</formula>
    </cfRule>
  </conditionalFormatting>
  <conditionalFormatting sqref="C846">
    <cfRule type="cellIs" dxfId="38" priority="2533" stopIfTrue="1" operator="equal">
      <formula>"1 Modify"</formula>
    </cfRule>
  </conditionalFormatting>
  <conditionalFormatting sqref="C846">
    <cfRule type="cellIs" dxfId="37" priority="2534" stopIfTrue="1" operator="equal">
      <formula>"2 Add"</formula>
    </cfRule>
  </conditionalFormatting>
  <conditionalFormatting sqref="C846">
    <cfRule type="cellIs" dxfId="36" priority="2535" stopIfTrue="1" operator="equal">
      <formula>"3 Delete"</formula>
    </cfRule>
  </conditionalFormatting>
  <conditionalFormatting sqref="C847">
    <cfRule type="cellIs" dxfId="35" priority="2536" stopIfTrue="1" operator="equal">
      <formula>"1 Modify"</formula>
    </cfRule>
  </conditionalFormatting>
  <conditionalFormatting sqref="C847">
    <cfRule type="cellIs" dxfId="34" priority="2537" stopIfTrue="1" operator="equal">
      <formula>"2 Add"</formula>
    </cfRule>
  </conditionalFormatting>
  <conditionalFormatting sqref="C847">
    <cfRule type="cellIs" dxfId="33" priority="2538" stopIfTrue="1" operator="equal">
      <formula>"3 Delete"</formula>
    </cfRule>
  </conditionalFormatting>
  <conditionalFormatting sqref="C848">
    <cfRule type="cellIs" dxfId="32" priority="2539" stopIfTrue="1" operator="equal">
      <formula>"1 Modify"</formula>
    </cfRule>
  </conditionalFormatting>
  <conditionalFormatting sqref="C848">
    <cfRule type="cellIs" dxfId="31" priority="2540" stopIfTrue="1" operator="equal">
      <formula>"2 Add"</formula>
    </cfRule>
  </conditionalFormatting>
  <conditionalFormatting sqref="C848">
    <cfRule type="cellIs" dxfId="30" priority="2541" stopIfTrue="1" operator="equal">
      <formula>"3 Delete"</formula>
    </cfRule>
  </conditionalFormatting>
  <conditionalFormatting sqref="C849">
    <cfRule type="cellIs" dxfId="29" priority="2542" stopIfTrue="1" operator="equal">
      <formula>"1 Modify"</formula>
    </cfRule>
  </conditionalFormatting>
  <conditionalFormatting sqref="C849">
    <cfRule type="cellIs" dxfId="28" priority="2543" stopIfTrue="1" operator="equal">
      <formula>"2 Add"</formula>
    </cfRule>
  </conditionalFormatting>
  <conditionalFormatting sqref="C849">
    <cfRule type="cellIs" dxfId="27" priority="2544" stopIfTrue="1" operator="equal">
      <formula>"3 Delete"</formula>
    </cfRule>
  </conditionalFormatting>
  <conditionalFormatting sqref="C850">
    <cfRule type="cellIs" dxfId="26" priority="2545" stopIfTrue="1" operator="equal">
      <formula>"1 Modify"</formula>
    </cfRule>
  </conditionalFormatting>
  <conditionalFormatting sqref="C850">
    <cfRule type="cellIs" dxfId="25" priority="2546" stopIfTrue="1" operator="equal">
      <formula>"2 Add"</formula>
    </cfRule>
  </conditionalFormatting>
  <conditionalFormatting sqref="C850">
    <cfRule type="cellIs" dxfId="24" priority="2547" stopIfTrue="1" operator="equal">
      <formula>"3 Delete"</formula>
    </cfRule>
  </conditionalFormatting>
  <conditionalFormatting sqref="C851">
    <cfRule type="cellIs" dxfId="23" priority="2548" stopIfTrue="1" operator="equal">
      <formula>"1 Modify"</formula>
    </cfRule>
  </conditionalFormatting>
  <conditionalFormatting sqref="C851">
    <cfRule type="cellIs" dxfId="22" priority="2549" stopIfTrue="1" operator="equal">
      <formula>"2 Add"</formula>
    </cfRule>
  </conditionalFormatting>
  <conditionalFormatting sqref="C851">
    <cfRule type="cellIs" dxfId="21" priority="2550" stopIfTrue="1" operator="equal">
      <formula>"3 Delete"</formula>
    </cfRule>
  </conditionalFormatting>
  <conditionalFormatting sqref="C852">
    <cfRule type="cellIs" dxfId="20" priority="2551" stopIfTrue="1" operator="equal">
      <formula>"1 Modify"</formula>
    </cfRule>
  </conditionalFormatting>
  <conditionalFormatting sqref="C852">
    <cfRule type="cellIs" dxfId="19" priority="2552" stopIfTrue="1" operator="equal">
      <formula>"2 Add"</formula>
    </cfRule>
  </conditionalFormatting>
  <conditionalFormatting sqref="C852">
    <cfRule type="cellIs" dxfId="18" priority="2553" stopIfTrue="1" operator="equal">
      <formula>"3 Delete"</formula>
    </cfRule>
  </conditionalFormatting>
  <conditionalFormatting sqref="C853">
    <cfRule type="cellIs" dxfId="17" priority="2554" stopIfTrue="1" operator="equal">
      <formula>"1 Modify"</formula>
    </cfRule>
  </conditionalFormatting>
  <conditionalFormatting sqref="C853">
    <cfRule type="cellIs" dxfId="16" priority="2555" stopIfTrue="1" operator="equal">
      <formula>"2 Add"</formula>
    </cfRule>
  </conditionalFormatting>
  <conditionalFormatting sqref="C853">
    <cfRule type="cellIs" dxfId="15" priority="2556" stopIfTrue="1" operator="equal">
      <formula>"3 Delete"</formula>
    </cfRule>
  </conditionalFormatting>
  <conditionalFormatting sqref="C854">
    <cfRule type="cellIs" dxfId="14" priority="2557" stopIfTrue="1" operator="equal">
      <formula>"1 Modify"</formula>
    </cfRule>
  </conditionalFormatting>
  <conditionalFormatting sqref="C854">
    <cfRule type="cellIs" dxfId="13" priority="2558" stopIfTrue="1" operator="equal">
      <formula>"2 Add"</formula>
    </cfRule>
  </conditionalFormatting>
  <conditionalFormatting sqref="C854">
    <cfRule type="cellIs" dxfId="12" priority="2559" stopIfTrue="1" operator="equal">
      <formula>"3 Delete"</formula>
    </cfRule>
  </conditionalFormatting>
  <conditionalFormatting sqref="C855">
    <cfRule type="cellIs" dxfId="11" priority="2560" stopIfTrue="1" operator="equal">
      <formula>"1 Modify"</formula>
    </cfRule>
  </conditionalFormatting>
  <conditionalFormatting sqref="C855">
    <cfRule type="cellIs" dxfId="10" priority="2561" stopIfTrue="1" operator="equal">
      <formula>"2 Add"</formula>
    </cfRule>
  </conditionalFormatting>
  <conditionalFormatting sqref="C855">
    <cfRule type="cellIs" dxfId="9" priority="2562" stopIfTrue="1" operator="equal">
      <formula>"3 Delete"</formula>
    </cfRule>
  </conditionalFormatting>
  <conditionalFormatting sqref="C856">
    <cfRule type="cellIs" dxfId="8" priority="2563" stopIfTrue="1" operator="equal">
      <formula>"1 Modify"</formula>
    </cfRule>
  </conditionalFormatting>
  <conditionalFormatting sqref="C856">
    <cfRule type="cellIs" dxfId="7" priority="2564" stopIfTrue="1" operator="equal">
      <formula>"2 Add"</formula>
    </cfRule>
  </conditionalFormatting>
  <conditionalFormatting sqref="C856">
    <cfRule type="cellIs" dxfId="6" priority="2565" stopIfTrue="1" operator="equal">
      <formula>"3 Delete"</formula>
    </cfRule>
  </conditionalFormatting>
  <conditionalFormatting sqref="C857">
    <cfRule type="cellIs" dxfId="5" priority="2566" stopIfTrue="1" operator="equal">
      <formula>"1 Modify"</formula>
    </cfRule>
  </conditionalFormatting>
  <conditionalFormatting sqref="C857">
    <cfRule type="cellIs" dxfId="4" priority="2567" stopIfTrue="1" operator="equal">
      <formula>"2 Add"</formula>
    </cfRule>
  </conditionalFormatting>
  <conditionalFormatting sqref="C857">
    <cfRule type="cellIs" dxfId="3" priority="2568" stopIfTrue="1" operator="equal">
      <formula>"3 Delete"</formula>
    </cfRule>
  </conditionalFormatting>
  <conditionalFormatting sqref="C858">
    <cfRule type="cellIs" dxfId="2" priority="2569" stopIfTrue="1" operator="equal">
      <formula>"1 Modify"</formula>
    </cfRule>
  </conditionalFormatting>
  <conditionalFormatting sqref="C858">
    <cfRule type="cellIs" dxfId="1" priority="2570" stopIfTrue="1" operator="equal">
      <formula>"2 Add"</formula>
    </cfRule>
  </conditionalFormatting>
  <conditionalFormatting sqref="C858">
    <cfRule type="cellIs" dxfId="0" priority="2571" stopIfTrue="1" operator="equal">
      <formula>"3 Delete"</formula>
    </cfRule>
  </conditionalFormatting>
  <dataValidations count="6">
    <dataValidation type="custom" allowBlank="1" showInputMessage="1" showErrorMessage="1" error="Column is read-only" sqref="M2:M1048576 J2:K1048576 C2:E1048576">
      <formula1>FALSE</formula1>
    </dataValidation>
    <dataValidation type="custom" allowBlank="1" showInputMessage="1" showErrorMessage="1" error="Column Headers are read-only" sqref="A1 C1:N1">
      <formula1>FALSE</formula1>
    </dataValidation>
    <dataValidation type="list" allowBlank="1" showInputMessage="1" showErrorMessage="1" error="Value is a foreign key" sqref="F2:F1048576">
      <formula1>Options__order_id</formula1>
    </dataValidation>
    <dataValidation type="list" allowBlank="1" showInputMessage="1" showErrorMessage="1" error="Value is a foreign key" sqref="G2:G1048576">
      <formula1>Options__sandwich_id</formula1>
    </dataValidation>
    <dataValidation type="decimal" operator="greaterThan" allowBlank="1" showInputMessage="1" showErrorMessage="1" error="Value must be a Decimal Number" sqref="H2:H1048576">
      <formula1>-999999</formula1>
    </dataValidation>
    <dataValidation type="whole" operator="greaterThan" allowBlank="1" showInputMessage="1" showErrorMessage="1" error="Value must be an Integer" sqref="I2:I1048576">
      <formula1>-999999</formula1>
    </dataValidation>
  </dataValidations>
  <hyperlinks>
    <hyperlink ref="A2" tooltip="macro:ShowLoadRefreshSheet" display="Load"/>
    <hyperlink ref="A3" tooltip="macro:ShowSaveActiveSheet" display="Save"/>
  </hyperlink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7"/>
  <sheetViews>
    <sheetView workbookViewId="0">
      <selection activeCell="H5" sqref="H5"/>
    </sheetView>
  </sheetViews>
  <sheetFormatPr defaultColWidth="11.42578125" defaultRowHeight="15" x14ac:dyDescent="0.25"/>
  <cols>
    <col min="1" max="1" width="24.5703125" customWidth="1"/>
    <col min="2" max="2" width="16.28515625" customWidth="1"/>
    <col min="3" max="3" width="8" customWidth="1"/>
    <col min="4" max="6" width="8" bestFit="1" customWidth="1"/>
    <col min="7" max="7" width="7.7109375" customWidth="1"/>
    <col min="8" max="9" width="11.28515625" customWidth="1"/>
    <col min="10" max="10" width="11.28515625" bestFit="1" customWidth="1"/>
    <col min="11" max="14" width="8" bestFit="1" customWidth="1"/>
    <col min="15" max="15" width="11.28515625" bestFit="1" customWidth="1"/>
    <col min="16" max="25" width="8" bestFit="1" customWidth="1"/>
    <col min="26" max="26" width="11.28515625" bestFit="1" customWidth="1"/>
  </cols>
  <sheetData>
    <row r="1" spans="1:8" x14ac:dyDescent="0.25">
      <c r="A1" s="15" t="s">
        <v>975</v>
      </c>
      <c r="B1" s="15" t="s">
        <v>982</v>
      </c>
    </row>
    <row r="2" spans="1:8" x14ac:dyDescent="0.25">
      <c r="A2" s="15" t="s">
        <v>983</v>
      </c>
      <c r="B2" t="s">
        <v>976</v>
      </c>
      <c r="C2" t="s">
        <v>977</v>
      </c>
      <c r="D2" t="s">
        <v>978</v>
      </c>
      <c r="E2" t="s">
        <v>979</v>
      </c>
      <c r="F2" t="s">
        <v>980</v>
      </c>
      <c r="G2" t="s">
        <v>981</v>
      </c>
      <c r="H2" t="s">
        <v>984</v>
      </c>
    </row>
    <row r="3" spans="1:8" x14ac:dyDescent="0.25">
      <c r="A3" s="13" t="s">
        <v>304</v>
      </c>
      <c r="B3" s="14"/>
      <c r="C3" s="14"/>
      <c r="D3" s="14"/>
      <c r="E3" s="14"/>
      <c r="F3" s="14">
        <v>19.97</v>
      </c>
      <c r="G3" s="14"/>
      <c r="H3" s="14">
        <v>19.97</v>
      </c>
    </row>
    <row r="4" spans="1:8" x14ac:dyDescent="0.25">
      <c r="A4" s="13" t="s">
        <v>88</v>
      </c>
      <c r="B4" s="14"/>
      <c r="C4" s="14"/>
      <c r="D4" s="14"/>
      <c r="E4" s="14"/>
      <c r="F4" s="14">
        <v>45.95</v>
      </c>
      <c r="G4" s="14"/>
      <c r="H4" s="14">
        <v>45.95</v>
      </c>
    </row>
    <row r="5" spans="1:8" x14ac:dyDescent="0.25">
      <c r="A5" s="13" t="s">
        <v>136</v>
      </c>
      <c r="B5" s="14">
        <v>36.950000000000003</v>
      </c>
      <c r="C5" s="14"/>
      <c r="D5" s="14"/>
      <c r="E5" s="14">
        <v>17.98</v>
      </c>
      <c r="F5" s="14">
        <v>55.93</v>
      </c>
      <c r="G5" s="14"/>
      <c r="H5" s="14">
        <v>110.86000000000001</v>
      </c>
    </row>
    <row r="6" spans="1:8" x14ac:dyDescent="0.25">
      <c r="A6" s="13" t="s">
        <v>367</v>
      </c>
      <c r="B6" s="14"/>
      <c r="C6" s="14"/>
      <c r="D6" s="14">
        <v>55.93</v>
      </c>
      <c r="E6" s="14"/>
      <c r="F6" s="14">
        <v>25.97</v>
      </c>
      <c r="G6" s="14"/>
      <c r="H6" s="14">
        <v>81.900000000000006</v>
      </c>
    </row>
    <row r="7" spans="1:8" x14ac:dyDescent="0.25">
      <c r="A7" s="13" t="s">
        <v>217</v>
      </c>
      <c r="B7" s="14"/>
      <c r="C7" s="14">
        <v>114.85</v>
      </c>
      <c r="D7" s="14">
        <v>62.92</v>
      </c>
      <c r="E7" s="14"/>
      <c r="F7" s="14">
        <v>44.94</v>
      </c>
      <c r="G7" s="14"/>
      <c r="H7" s="14">
        <v>222.70999999999998</v>
      </c>
    </row>
    <row r="8" spans="1:8" x14ac:dyDescent="0.25">
      <c r="A8" s="13" t="s">
        <v>307</v>
      </c>
      <c r="B8" s="14">
        <v>13.98</v>
      </c>
      <c r="C8" s="14">
        <v>85.9</v>
      </c>
      <c r="D8" s="14">
        <v>63.92</v>
      </c>
      <c r="E8" s="14"/>
      <c r="F8" s="14">
        <v>7.99</v>
      </c>
      <c r="G8" s="14"/>
      <c r="H8" s="14">
        <v>171.79000000000002</v>
      </c>
    </row>
    <row r="9" spans="1:8" x14ac:dyDescent="0.25">
      <c r="A9" s="13" t="s">
        <v>175</v>
      </c>
      <c r="B9" s="14"/>
      <c r="C9" s="14"/>
      <c r="D9" s="14">
        <v>24.97</v>
      </c>
      <c r="E9" s="14"/>
      <c r="F9" s="14"/>
      <c r="G9" s="14">
        <v>33.96</v>
      </c>
      <c r="H9" s="14">
        <v>58.93</v>
      </c>
    </row>
    <row r="10" spans="1:8" x14ac:dyDescent="0.25">
      <c r="A10" s="13" t="s">
        <v>112</v>
      </c>
      <c r="B10" s="14"/>
      <c r="C10" s="14"/>
      <c r="D10" s="14">
        <v>45.94</v>
      </c>
      <c r="E10" s="14"/>
      <c r="F10" s="14">
        <v>5.99</v>
      </c>
      <c r="G10" s="14"/>
      <c r="H10" s="14">
        <v>51.93</v>
      </c>
    </row>
    <row r="11" spans="1:8" x14ac:dyDescent="0.25">
      <c r="A11" s="13" t="s">
        <v>313</v>
      </c>
      <c r="B11" s="14">
        <v>138.82999999999998</v>
      </c>
      <c r="C11" s="14"/>
      <c r="D11" s="14"/>
      <c r="E11" s="14">
        <v>26.97</v>
      </c>
      <c r="F11" s="14"/>
      <c r="G11" s="14"/>
      <c r="H11" s="14">
        <v>165.79999999999998</v>
      </c>
    </row>
    <row r="12" spans="1:8" x14ac:dyDescent="0.25">
      <c r="A12" s="13" t="s">
        <v>328</v>
      </c>
      <c r="B12" s="14"/>
      <c r="C12" s="14"/>
      <c r="D12" s="14">
        <v>45.95</v>
      </c>
      <c r="E12" s="14"/>
      <c r="F12" s="14">
        <v>197.76000000000002</v>
      </c>
      <c r="G12" s="14"/>
      <c r="H12" s="14">
        <v>243.71000000000004</v>
      </c>
    </row>
    <row r="13" spans="1:8" x14ac:dyDescent="0.25">
      <c r="A13" s="13" t="s">
        <v>148</v>
      </c>
      <c r="B13" s="14">
        <v>90.87</v>
      </c>
      <c r="C13" s="14">
        <v>128.84</v>
      </c>
      <c r="D13" s="14">
        <v>168.79999999999998</v>
      </c>
      <c r="E13" s="14">
        <v>143.82999999999998</v>
      </c>
      <c r="F13" s="14">
        <v>152.82</v>
      </c>
      <c r="G13" s="14"/>
      <c r="H13" s="14">
        <v>685.15999999999985</v>
      </c>
    </row>
    <row r="14" spans="1:8" x14ac:dyDescent="0.25">
      <c r="A14" s="13" t="s">
        <v>109</v>
      </c>
      <c r="B14" s="14">
        <v>162.81</v>
      </c>
      <c r="C14" s="14"/>
      <c r="D14" s="14">
        <v>9.99</v>
      </c>
      <c r="E14" s="14">
        <v>36.96</v>
      </c>
      <c r="F14" s="14">
        <v>103.87</v>
      </c>
      <c r="G14" s="14"/>
      <c r="H14" s="14">
        <v>313.63</v>
      </c>
    </row>
    <row r="15" spans="1:8" x14ac:dyDescent="0.25">
      <c r="A15" s="13" t="s">
        <v>331</v>
      </c>
      <c r="B15" s="14"/>
      <c r="C15" s="14"/>
      <c r="D15" s="14"/>
      <c r="E15" s="14">
        <v>23.97</v>
      </c>
      <c r="F15" s="14"/>
      <c r="G15" s="14"/>
      <c r="H15" s="14">
        <v>23.97</v>
      </c>
    </row>
    <row r="16" spans="1:8" x14ac:dyDescent="0.25">
      <c r="A16" s="13" t="s">
        <v>265</v>
      </c>
      <c r="B16" s="14"/>
      <c r="C16" s="14"/>
      <c r="D16" s="14">
        <v>95.89</v>
      </c>
      <c r="E16" s="14"/>
      <c r="F16" s="14">
        <v>37.950000000000003</v>
      </c>
      <c r="G16" s="14"/>
      <c r="H16" s="14">
        <v>133.84</v>
      </c>
    </row>
    <row r="17" spans="1:8" x14ac:dyDescent="0.25">
      <c r="A17" s="13" t="s">
        <v>310</v>
      </c>
      <c r="B17" s="14">
        <v>21.97</v>
      </c>
      <c r="C17" s="14"/>
      <c r="D17" s="14"/>
      <c r="E17" s="14"/>
      <c r="F17" s="14"/>
      <c r="G17" s="14"/>
      <c r="H17" s="14">
        <v>21.97</v>
      </c>
    </row>
    <row r="18" spans="1:8" x14ac:dyDescent="0.25">
      <c r="A18" s="13" t="s">
        <v>220</v>
      </c>
      <c r="B18" s="14"/>
      <c r="C18" s="14">
        <v>29.96</v>
      </c>
      <c r="D18" s="14">
        <v>29.96</v>
      </c>
      <c r="E18" s="14"/>
      <c r="F18" s="14">
        <v>34.94</v>
      </c>
      <c r="G18" s="14"/>
      <c r="H18" s="14">
        <v>94.86</v>
      </c>
    </row>
    <row r="19" spans="1:8" x14ac:dyDescent="0.25">
      <c r="A19" s="13" t="s">
        <v>79</v>
      </c>
      <c r="B19" s="14"/>
      <c r="C19" s="14"/>
      <c r="D19" s="14">
        <v>33.950000000000003</v>
      </c>
      <c r="E19" s="14">
        <v>24.97</v>
      </c>
      <c r="F19" s="14"/>
      <c r="G19" s="14"/>
      <c r="H19" s="14">
        <v>58.92</v>
      </c>
    </row>
    <row r="20" spans="1:8" x14ac:dyDescent="0.25">
      <c r="A20" s="13" t="s">
        <v>205</v>
      </c>
      <c r="B20" s="14"/>
      <c r="C20" s="14"/>
      <c r="D20" s="14">
        <v>59.92</v>
      </c>
      <c r="E20" s="14"/>
      <c r="F20" s="14"/>
      <c r="G20" s="14"/>
      <c r="H20" s="14">
        <v>59.92</v>
      </c>
    </row>
    <row r="21" spans="1:8" x14ac:dyDescent="0.25">
      <c r="A21" s="13" t="s">
        <v>319</v>
      </c>
      <c r="B21" s="14">
        <v>4.99</v>
      </c>
      <c r="C21" s="14"/>
      <c r="D21" s="14"/>
      <c r="E21" s="14">
        <v>55.93</v>
      </c>
      <c r="F21" s="14">
        <v>18.98</v>
      </c>
      <c r="G21" s="14"/>
      <c r="H21" s="14">
        <v>79.900000000000006</v>
      </c>
    </row>
    <row r="22" spans="1:8" x14ac:dyDescent="0.25">
      <c r="A22" s="13" t="s">
        <v>301</v>
      </c>
      <c r="B22" s="14"/>
      <c r="C22" s="14">
        <v>17.98</v>
      </c>
      <c r="D22" s="14"/>
      <c r="E22" s="14"/>
      <c r="F22" s="14"/>
      <c r="G22" s="14"/>
      <c r="H22" s="14">
        <v>17.98</v>
      </c>
    </row>
    <row r="23" spans="1:8" x14ac:dyDescent="0.25">
      <c r="A23" s="13" t="s">
        <v>340</v>
      </c>
      <c r="B23" s="14"/>
      <c r="C23" s="14"/>
      <c r="D23" s="14">
        <v>42.95</v>
      </c>
      <c r="E23" s="14"/>
      <c r="F23" s="14"/>
      <c r="G23" s="14"/>
      <c r="H23" s="14">
        <v>42.95</v>
      </c>
    </row>
    <row r="24" spans="1:8" x14ac:dyDescent="0.25">
      <c r="A24" s="13" t="s">
        <v>208</v>
      </c>
      <c r="B24" s="14">
        <v>117.86000000000001</v>
      </c>
      <c r="C24" s="14">
        <v>259.68</v>
      </c>
      <c r="D24" s="14">
        <v>110.86</v>
      </c>
      <c r="E24" s="14"/>
      <c r="F24" s="14">
        <v>121.86000000000001</v>
      </c>
      <c r="G24" s="14"/>
      <c r="H24" s="14">
        <v>610.26</v>
      </c>
    </row>
    <row r="25" spans="1:8" x14ac:dyDescent="0.25">
      <c r="A25" s="13" t="s">
        <v>202</v>
      </c>
      <c r="B25" s="14"/>
      <c r="C25" s="14"/>
      <c r="D25" s="14">
        <v>4.99</v>
      </c>
      <c r="E25" s="14"/>
      <c r="F25" s="14"/>
      <c r="G25" s="14"/>
      <c r="H25" s="14">
        <v>4.99</v>
      </c>
    </row>
    <row r="26" spans="1:8" x14ac:dyDescent="0.25">
      <c r="A26" s="13" t="s">
        <v>271</v>
      </c>
      <c r="B26" s="14">
        <v>56.93</v>
      </c>
      <c r="C26" s="14">
        <v>65.92</v>
      </c>
      <c r="D26" s="14">
        <v>46.93</v>
      </c>
      <c r="E26" s="14">
        <v>47.94</v>
      </c>
      <c r="F26" s="14">
        <v>22.96</v>
      </c>
      <c r="G26" s="14"/>
      <c r="H26" s="14">
        <v>240.68</v>
      </c>
    </row>
    <row r="27" spans="1:8" x14ac:dyDescent="0.25">
      <c r="A27" s="13" t="s">
        <v>121</v>
      </c>
      <c r="B27" s="14"/>
      <c r="C27" s="14">
        <v>10.98</v>
      </c>
      <c r="D27" s="14"/>
      <c r="E27" s="14">
        <v>5.99</v>
      </c>
      <c r="F27" s="14"/>
      <c r="G27" s="14"/>
      <c r="H27" s="14">
        <v>16.97</v>
      </c>
    </row>
    <row r="28" spans="1:8" x14ac:dyDescent="0.25">
      <c r="A28" s="13" t="s">
        <v>160</v>
      </c>
      <c r="B28" s="14">
        <v>209.76999999999998</v>
      </c>
      <c r="C28" s="14">
        <v>48.94</v>
      </c>
      <c r="D28" s="14">
        <v>79.899999999999991</v>
      </c>
      <c r="E28" s="14">
        <v>109.87</v>
      </c>
      <c r="F28" s="14">
        <v>119.85000000000001</v>
      </c>
      <c r="G28" s="14"/>
      <c r="H28" s="14">
        <v>568.32999999999993</v>
      </c>
    </row>
    <row r="29" spans="1:8" x14ac:dyDescent="0.25">
      <c r="A29" s="13" t="s">
        <v>178</v>
      </c>
      <c r="B29" s="14"/>
      <c r="C29" s="14">
        <v>21.97</v>
      </c>
      <c r="D29" s="14"/>
      <c r="E29" s="14"/>
      <c r="F29" s="14"/>
      <c r="G29" s="14"/>
      <c r="H29" s="14">
        <v>21.97</v>
      </c>
    </row>
    <row r="30" spans="1:8" x14ac:dyDescent="0.25">
      <c r="A30" s="13" t="s">
        <v>241</v>
      </c>
      <c r="B30" s="14">
        <v>25.97</v>
      </c>
      <c r="C30" s="14"/>
      <c r="D30" s="14"/>
      <c r="E30" s="14"/>
      <c r="F30" s="14"/>
      <c r="G30" s="14"/>
      <c r="H30" s="14">
        <v>25.97</v>
      </c>
    </row>
    <row r="31" spans="1:8" x14ac:dyDescent="0.25">
      <c r="A31" s="13" t="s">
        <v>163</v>
      </c>
      <c r="B31" s="14">
        <v>61.91</v>
      </c>
      <c r="C31" s="14"/>
      <c r="D31" s="14"/>
      <c r="E31" s="14"/>
      <c r="F31" s="14">
        <v>59.92</v>
      </c>
      <c r="G31" s="14"/>
      <c r="H31" s="14">
        <v>121.83</v>
      </c>
    </row>
    <row r="32" spans="1:8" x14ac:dyDescent="0.25">
      <c r="A32" s="13" t="s">
        <v>280</v>
      </c>
      <c r="B32" s="14">
        <v>49.94</v>
      </c>
      <c r="C32" s="14">
        <v>148.82999999999998</v>
      </c>
      <c r="D32" s="14">
        <v>57.92</v>
      </c>
      <c r="E32" s="14">
        <v>62.92</v>
      </c>
      <c r="F32" s="14">
        <v>26.96</v>
      </c>
      <c r="G32" s="14"/>
      <c r="H32" s="14">
        <v>346.57</v>
      </c>
    </row>
    <row r="33" spans="1:8" x14ac:dyDescent="0.25">
      <c r="A33" s="13" t="s">
        <v>262</v>
      </c>
      <c r="B33" s="14"/>
      <c r="C33" s="14"/>
      <c r="D33" s="14"/>
      <c r="E33" s="14"/>
      <c r="F33" s="14">
        <v>8.99</v>
      </c>
      <c r="G33" s="14"/>
      <c r="H33" s="14">
        <v>8.99</v>
      </c>
    </row>
    <row r="34" spans="1:8" x14ac:dyDescent="0.25">
      <c r="A34" s="13" t="s">
        <v>187</v>
      </c>
      <c r="B34" s="14">
        <v>163.79000000000002</v>
      </c>
      <c r="C34" s="14">
        <v>108.87</v>
      </c>
      <c r="D34" s="14">
        <v>43.95</v>
      </c>
      <c r="E34" s="14"/>
      <c r="F34" s="14">
        <v>93.89</v>
      </c>
      <c r="G34" s="14"/>
      <c r="H34" s="14">
        <v>410.5</v>
      </c>
    </row>
    <row r="35" spans="1:8" x14ac:dyDescent="0.25">
      <c r="A35" s="13" t="s">
        <v>130</v>
      </c>
      <c r="B35" s="14"/>
      <c r="C35" s="14"/>
      <c r="D35" s="14">
        <v>21.97</v>
      </c>
      <c r="E35" s="14"/>
      <c r="F35" s="14">
        <v>19.97</v>
      </c>
      <c r="G35" s="14"/>
      <c r="H35" s="14">
        <v>41.94</v>
      </c>
    </row>
    <row r="36" spans="1:8" x14ac:dyDescent="0.25">
      <c r="A36" s="13" t="s">
        <v>346</v>
      </c>
      <c r="B36" s="14"/>
      <c r="C36" s="14"/>
      <c r="D36" s="14">
        <v>11.98</v>
      </c>
      <c r="E36" s="14"/>
      <c r="F36" s="14">
        <v>30.96</v>
      </c>
      <c r="G36" s="14"/>
      <c r="H36" s="14">
        <v>42.94</v>
      </c>
    </row>
    <row r="37" spans="1:8" x14ac:dyDescent="0.25">
      <c r="A37" s="13" t="s">
        <v>229</v>
      </c>
      <c r="B37" s="14">
        <v>18.98</v>
      </c>
      <c r="C37" s="14">
        <v>15.98</v>
      </c>
      <c r="D37" s="14"/>
      <c r="E37" s="14">
        <v>28.96</v>
      </c>
      <c r="F37" s="14">
        <v>20.97</v>
      </c>
      <c r="G37" s="14"/>
      <c r="H37" s="14">
        <v>84.89</v>
      </c>
    </row>
    <row r="38" spans="1:8" x14ac:dyDescent="0.25">
      <c r="A38" s="13" t="s">
        <v>352</v>
      </c>
      <c r="B38" s="14">
        <v>16.98</v>
      </c>
      <c r="C38" s="14">
        <v>94.87</v>
      </c>
      <c r="D38" s="14"/>
      <c r="E38" s="14">
        <v>6.99</v>
      </c>
      <c r="F38" s="14">
        <v>23.97</v>
      </c>
      <c r="G38" s="14"/>
      <c r="H38" s="14">
        <v>142.81</v>
      </c>
    </row>
    <row r="39" spans="1:8" x14ac:dyDescent="0.25">
      <c r="A39" s="13" t="s">
        <v>256</v>
      </c>
      <c r="B39" s="14"/>
      <c r="C39" s="14">
        <v>24.97</v>
      </c>
      <c r="D39" s="14">
        <v>118.86</v>
      </c>
      <c r="E39" s="14">
        <v>23.97</v>
      </c>
      <c r="F39" s="14">
        <v>45.92</v>
      </c>
      <c r="G39" s="14"/>
      <c r="H39" s="14">
        <v>213.71999999999997</v>
      </c>
    </row>
    <row r="40" spans="1:8" x14ac:dyDescent="0.25">
      <c r="A40" s="13" t="s">
        <v>199</v>
      </c>
      <c r="B40" s="14">
        <v>9.99</v>
      </c>
      <c r="C40" s="14"/>
      <c r="D40" s="14"/>
      <c r="E40" s="14"/>
      <c r="F40" s="14"/>
      <c r="G40" s="14"/>
      <c r="H40" s="14">
        <v>9.99</v>
      </c>
    </row>
    <row r="41" spans="1:8" x14ac:dyDescent="0.25">
      <c r="A41" s="13" t="s">
        <v>343</v>
      </c>
      <c r="B41" s="14">
        <v>41.95</v>
      </c>
      <c r="C41" s="14">
        <v>104.87</v>
      </c>
      <c r="D41" s="14">
        <v>37.96</v>
      </c>
      <c r="E41" s="14">
        <v>25.97</v>
      </c>
      <c r="F41" s="14"/>
      <c r="G41" s="14"/>
      <c r="H41" s="14">
        <v>210.75</v>
      </c>
    </row>
    <row r="42" spans="1:8" x14ac:dyDescent="0.25">
      <c r="A42" s="13" t="s">
        <v>292</v>
      </c>
      <c r="B42" s="14"/>
      <c r="C42" s="14"/>
      <c r="D42" s="14">
        <v>67.900000000000006</v>
      </c>
      <c r="E42" s="14">
        <v>9.98</v>
      </c>
      <c r="F42" s="14">
        <v>51.930000000000007</v>
      </c>
      <c r="G42" s="14"/>
      <c r="H42" s="14">
        <v>129.81</v>
      </c>
    </row>
    <row r="43" spans="1:8" x14ac:dyDescent="0.25">
      <c r="A43" s="13" t="s">
        <v>169</v>
      </c>
      <c r="B43" s="14">
        <v>152.82</v>
      </c>
      <c r="C43" s="14">
        <v>153.82</v>
      </c>
      <c r="D43" s="14">
        <v>70.92</v>
      </c>
      <c r="E43" s="14">
        <v>127.83</v>
      </c>
      <c r="F43" s="14">
        <v>85.89</v>
      </c>
      <c r="G43" s="14"/>
      <c r="H43" s="14">
        <v>591.28</v>
      </c>
    </row>
    <row r="44" spans="1:8" x14ac:dyDescent="0.25">
      <c r="A44" s="13" t="s">
        <v>235</v>
      </c>
      <c r="B44" s="14"/>
      <c r="C44" s="14">
        <v>47.94</v>
      </c>
      <c r="D44" s="14">
        <v>42.94</v>
      </c>
      <c r="E44" s="14"/>
      <c r="F44" s="14">
        <v>34.96</v>
      </c>
      <c r="G44" s="14"/>
      <c r="H44" s="14">
        <v>125.84</v>
      </c>
    </row>
    <row r="45" spans="1:8" x14ac:dyDescent="0.25">
      <c r="A45" s="13" t="s">
        <v>361</v>
      </c>
      <c r="B45" s="14"/>
      <c r="C45" s="14"/>
      <c r="D45" s="14">
        <v>62.92</v>
      </c>
      <c r="E45" s="14"/>
      <c r="F45" s="14"/>
      <c r="G45" s="14"/>
      <c r="H45" s="14">
        <v>62.92</v>
      </c>
    </row>
    <row r="46" spans="1:8" x14ac:dyDescent="0.25">
      <c r="A46" s="13" t="s">
        <v>214</v>
      </c>
      <c r="B46" s="14">
        <v>17.98</v>
      </c>
      <c r="C46" s="14"/>
      <c r="D46" s="14"/>
      <c r="E46" s="14"/>
      <c r="F46" s="14"/>
      <c r="G46" s="14"/>
      <c r="H46" s="14">
        <v>17.98</v>
      </c>
    </row>
    <row r="47" spans="1:8" x14ac:dyDescent="0.25">
      <c r="A47" s="13" t="s">
        <v>100</v>
      </c>
      <c r="B47" s="14">
        <v>8.99</v>
      </c>
      <c r="C47" s="14"/>
      <c r="D47" s="14"/>
      <c r="E47" s="14"/>
      <c r="F47" s="14">
        <v>18.97</v>
      </c>
      <c r="G47" s="14"/>
      <c r="H47" s="14">
        <v>27.96</v>
      </c>
    </row>
    <row r="48" spans="1:8" x14ac:dyDescent="0.25">
      <c r="A48" s="13" t="s">
        <v>190</v>
      </c>
      <c r="B48" s="14"/>
      <c r="C48" s="14">
        <v>58.92</v>
      </c>
      <c r="D48" s="14">
        <v>17.98</v>
      </c>
      <c r="E48" s="14"/>
      <c r="F48" s="14"/>
      <c r="G48" s="14"/>
      <c r="H48" s="14">
        <v>76.900000000000006</v>
      </c>
    </row>
    <row r="49" spans="1:8" x14ac:dyDescent="0.25">
      <c r="A49" s="13" t="s">
        <v>139</v>
      </c>
      <c r="B49" s="14"/>
      <c r="C49" s="14">
        <v>55.94</v>
      </c>
      <c r="D49" s="14">
        <v>95.88</v>
      </c>
      <c r="E49" s="14">
        <v>58.92</v>
      </c>
      <c r="F49" s="14">
        <v>20.97</v>
      </c>
      <c r="G49" s="14"/>
      <c r="H49" s="14">
        <v>231.71</v>
      </c>
    </row>
    <row r="50" spans="1:8" x14ac:dyDescent="0.25">
      <c r="A50" s="13" t="s">
        <v>103</v>
      </c>
      <c r="B50" s="14"/>
      <c r="C50" s="14">
        <v>28.97</v>
      </c>
      <c r="D50" s="14"/>
      <c r="E50" s="14"/>
      <c r="F50" s="14"/>
      <c r="G50" s="14"/>
      <c r="H50" s="14">
        <v>28.97</v>
      </c>
    </row>
    <row r="51" spans="1:8" x14ac:dyDescent="0.25">
      <c r="A51" s="13" t="s">
        <v>76</v>
      </c>
      <c r="B51" s="14">
        <v>21.97</v>
      </c>
      <c r="C51" s="14">
        <v>47.95</v>
      </c>
      <c r="D51" s="14">
        <v>22.97</v>
      </c>
      <c r="E51" s="14">
        <v>151.82000000000002</v>
      </c>
      <c r="F51" s="14">
        <v>15.98</v>
      </c>
      <c r="G51" s="14"/>
      <c r="H51" s="14">
        <v>260.69000000000005</v>
      </c>
    </row>
    <row r="52" spans="1:8" x14ac:dyDescent="0.25">
      <c r="A52" s="13" t="s">
        <v>157</v>
      </c>
      <c r="B52" s="14">
        <v>30.96</v>
      </c>
      <c r="C52" s="14">
        <v>150.79999999999998</v>
      </c>
      <c r="D52" s="14"/>
      <c r="E52" s="14">
        <v>46.930000000000007</v>
      </c>
      <c r="F52" s="14"/>
      <c r="G52" s="14"/>
      <c r="H52" s="14">
        <v>228.69</v>
      </c>
    </row>
    <row r="53" spans="1:8" x14ac:dyDescent="0.25">
      <c r="A53" s="13" t="s">
        <v>316</v>
      </c>
      <c r="B53" s="14"/>
      <c r="C53" s="14">
        <v>16.97</v>
      </c>
      <c r="D53" s="14">
        <v>24.97</v>
      </c>
      <c r="E53" s="14"/>
      <c r="F53" s="14"/>
      <c r="G53" s="14"/>
      <c r="H53" s="14">
        <v>41.94</v>
      </c>
    </row>
    <row r="54" spans="1:8" x14ac:dyDescent="0.25">
      <c r="A54" s="13" t="s">
        <v>91</v>
      </c>
      <c r="B54" s="14">
        <v>16.98</v>
      </c>
      <c r="C54" s="14"/>
      <c r="D54" s="14">
        <v>51.93</v>
      </c>
      <c r="E54" s="14"/>
      <c r="F54" s="14">
        <v>31.96</v>
      </c>
      <c r="G54" s="14"/>
      <c r="H54" s="14">
        <v>100.87</v>
      </c>
    </row>
    <row r="55" spans="1:8" x14ac:dyDescent="0.25">
      <c r="A55" s="13" t="s">
        <v>253</v>
      </c>
      <c r="B55" s="14">
        <v>73.92</v>
      </c>
      <c r="C55" s="14"/>
      <c r="D55" s="14"/>
      <c r="E55" s="14"/>
      <c r="F55" s="14">
        <v>47.95</v>
      </c>
      <c r="G55" s="14"/>
      <c r="H55" s="14">
        <v>121.87</v>
      </c>
    </row>
    <row r="56" spans="1:8" x14ac:dyDescent="0.25">
      <c r="A56" s="13" t="s">
        <v>118</v>
      </c>
      <c r="B56" s="14">
        <v>140.82999999999998</v>
      </c>
      <c r="C56" s="14"/>
      <c r="D56" s="14">
        <v>61.93</v>
      </c>
      <c r="E56" s="14">
        <v>82.9</v>
      </c>
      <c r="F56" s="14">
        <v>43.940000000000005</v>
      </c>
      <c r="G56" s="14"/>
      <c r="H56" s="14">
        <v>329.59999999999997</v>
      </c>
    </row>
    <row r="57" spans="1:8" x14ac:dyDescent="0.25">
      <c r="A57" s="13" t="s">
        <v>115</v>
      </c>
      <c r="B57" s="14">
        <v>6.99</v>
      </c>
      <c r="C57" s="14"/>
      <c r="D57" s="14"/>
      <c r="E57" s="14">
        <v>27.97</v>
      </c>
      <c r="F57" s="14"/>
      <c r="G57" s="14"/>
      <c r="H57" s="14">
        <v>34.96</v>
      </c>
    </row>
    <row r="58" spans="1:8" x14ac:dyDescent="0.25">
      <c r="A58" s="13" t="s">
        <v>289</v>
      </c>
      <c r="B58" s="14">
        <v>82.9</v>
      </c>
      <c r="C58" s="14">
        <v>36.950000000000003</v>
      </c>
      <c r="D58" s="14">
        <v>20.97</v>
      </c>
      <c r="E58" s="14">
        <v>54.94</v>
      </c>
      <c r="F58" s="14"/>
      <c r="G58" s="14"/>
      <c r="H58" s="14">
        <v>195.76</v>
      </c>
    </row>
    <row r="59" spans="1:8" x14ac:dyDescent="0.25">
      <c r="A59" s="13" t="s">
        <v>73</v>
      </c>
      <c r="B59" s="14">
        <v>83.9</v>
      </c>
      <c r="C59" s="14"/>
      <c r="D59" s="14">
        <v>23.97</v>
      </c>
      <c r="E59" s="14"/>
      <c r="F59" s="14"/>
      <c r="G59" s="14"/>
      <c r="H59" s="14">
        <v>107.87</v>
      </c>
    </row>
    <row r="60" spans="1:8" x14ac:dyDescent="0.25">
      <c r="A60" s="13" t="s">
        <v>94</v>
      </c>
      <c r="B60" s="14"/>
      <c r="C60" s="14"/>
      <c r="D60" s="14">
        <v>30.96</v>
      </c>
      <c r="E60" s="14"/>
      <c r="F60" s="14">
        <v>13.98</v>
      </c>
      <c r="G60" s="14"/>
      <c r="H60" s="14">
        <v>44.94</v>
      </c>
    </row>
    <row r="61" spans="1:8" x14ac:dyDescent="0.25">
      <c r="A61" s="13" t="s">
        <v>295</v>
      </c>
      <c r="B61" s="14">
        <v>45.95</v>
      </c>
      <c r="C61" s="14"/>
      <c r="D61" s="14"/>
      <c r="E61" s="14"/>
      <c r="F61" s="14"/>
      <c r="G61" s="14"/>
      <c r="H61" s="14">
        <v>45.95</v>
      </c>
    </row>
    <row r="62" spans="1:8" x14ac:dyDescent="0.25">
      <c r="A62" s="13" t="s">
        <v>286</v>
      </c>
      <c r="B62" s="14">
        <v>19.97</v>
      </c>
      <c r="C62" s="14"/>
      <c r="D62" s="14"/>
      <c r="E62" s="14">
        <v>78.900000000000006</v>
      </c>
      <c r="F62" s="14"/>
      <c r="G62" s="14"/>
      <c r="H62" s="14">
        <v>98.87</v>
      </c>
    </row>
    <row r="63" spans="1:8" x14ac:dyDescent="0.25">
      <c r="A63" s="13" t="s">
        <v>364</v>
      </c>
      <c r="B63" s="14"/>
      <c r="C63" s="14">
        <v>35.950000000000003</v>
      </c>
      <c r="D63" s="14">
        <v>32.96</v>
      </c>
      <c r="E63" s="14">
        <v>32.950000000000003</v>
      </c>
      <c r="F63" s="14"/>
      <c r="G63" s="14"/>
      <c r="H63" s="14">
        <v>101.86</v>
      </c>
    </row>
    <row r="64" spans="1:8" x14ac:dyDescent="0.25">
      <c r="A64" s="13" t="s">
        <v>334</v>
      </c>
      <c r="B64" s="14">
        <v>39.96</v>
      </c>
      <c r="C64" s="14"/>
      <c r="D64" s="14"/>
      <c r="E64" s="14">
        <v>12.98</v>
      </c>
      <c r="F64" s="14"/>
      <c r="G64" s="14"/>
      <c r="H64" s="14">
        <v>52.94</v>
      </c>
    </row>
    <row r="65" spans="1:8" x14ac:dyDescent="0.25">
      <c r="A65" s="13" t="s">
        <v>145</v>
      </c>
      <c r="B65" s="14"/>
      <c r="C65" s="14"/>
      <c r="D65" s="14">
        <v>61.93</v>
      </c>
      <c r="E65" s="14"/>
      <c r="F65" s="14"/>
      <c r="G65" s="14"/>
      <c r="H65" s="14">
        <v>61.93</v>
      </c>
    </row>
    <row r="66" spans="1:8" x14ac:dyDescent="0.25">
      <c r="A66" s="13" t="s">
        <v>322</v>
      </c>
      <c r="B66" s="14"/>
      <c r="C66" s="14"/>
      <c r="D66" s="14">
        <v>48.92</v>
      </c>
      <c r="E66" s="14"/>
      <c r="F66" s="14"/>
      <c r="G66" s="14"/>
      <c r="H66" s="14">
        <v>48.92</v>
      </c>
    </row>
    <row r="67" spans="1:8" x14ac:dyDescent="0.25">
      <c r="A67" s="13" t="s">
        <v>984</v>
      </c>
      <c r="B67" s="14">
        <v>1988.5900000000004</v>
      </c>
      <c r="C67" s="14">
        <v>1917.6200000000001</v>
      </c>
      <c r="D67" s="14">
        <v>2016.4600000000007</v>
      </c>
      <c r="E67" s="14">
        <v>1329.3400000000004</v>
      </c>
      <c r="F67" s="14">
        <v>1715.8100000000009</v>
      </c>
      <c r="G67" s="14">
        <v>33.96</v>
      </c>
      <c r="H67" s="14">
        <v>9001.7800000000025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8"/>
  <sheetViews>
    <sheetView workbookViewId="0"/>
  </sheetViews>
  <sheetFormatPr defaultRowHeight="15" x14ac:dyDescent="0.25"/>
  <cols>
    <col min="1" max="1" width="38.85546875" customWidth="1"/>
    <col min="2" max="2" width="16.28515625" customWidth="1"/>
    <col min="3" max="6" width="8" customWidth="1"/>
    <col min="7" max="7" width="7.7109375" customWidth="1"/>
    <col min="8" max="8" width="11.28515625" customWidth="1"/>
    <col min="9" max="9" width="7.28515625" customWidth="1"/>
    <col min="10" max="10" width="11.28515625" customWidth="1"/>
    <col min="11" max="15" width="6" customWidth="1"/>
    <col min="16" max="16" width="7.28515625" customWidth="1"/>
    <col min="17" max="17" width="11.28515625" bestFit="1" customWidth="1"/>
  </cols>
  <sheetData>
    <row r="1" spans="1:8" x14ac:dyDescent="0.25">
      <c r="A1" s="15" t="s">
        <v>2104</v>
      </c>
      <c r="B1" s="15" t="s">
        <v>982</v>
      </c>
    </row>
    <row r="2" spans="1:8" x14ac:dyDescent="0.25">
      <c r="A2" s="15" t="s">
        <v>983</v>
      </c>
      <c r="B2" t="s">
        <v>976</v>
      </c>
      <c r="C2" t="s">
        <v>977</v>
      </c>
      <c r="D2" t="s">
        <v>978</v>
      </c>
      <c r="E2" t="s">
        <v>979</v>
      </c>
      <c r="F2" t="s">
        <v>980</v>
      </c>
      <c r="G2" t="s">
        <v>981</v>
      </c>
      <c r="H2" t="s">
        <v>984</v>
      </c>
    </row>
    <row r="3" spans="1:8" x14ac:dyDescent="0.25">
      <c r="A3" s="13" t="s">
        <v>375</v>
      </c>
      <c r="B3" s="14"/>
      <c r="C3" s="14"/>
      <c r="D3" s="14"/>
      <c r="E3" s="14">
        <v>5.99</v>
      </c>
      <c r="F3" s="14"/>
      <c r="G3" s="14"/>
      <c r="H3" s="14">
        <v>5.99</v>
      </c>
    </row>
    <row r="4" spans="1:8" x14ac:dyDescent="0.25">
      <c r="A4" s="13" t="s">
        <v>379</v>
      </c>
      <c r="B4" s="14"/>
      <c r="C4" s="14"/>
      <c r="D4" s="14">
        <v>17.98</v>
      </c>
      <c r="E4" s="14"/>
      <c r="F4" s="14"/>
      <c r="G4" s="14"/>
      <c r="H4" s="14">
        <v>17.98</v>
      </c>
    </row>
    <row r="5" spans="1:8" x14ac:dyDescent="0.25">
      <c r="A5" s="13" t="s">
        <v>383</v>
      </c>
      <c r="B5" s="14"/>
      <c r="C5" s="14"/>
      <c r="D5" s="14"/>
      <c r="E5" s="14">
        <v>9.99</v>
      </c>
      <c r="F5" s="14"/>
      <c r="G5" s="14"/>
      <c r="H5" s="14">
        <v>9.99</v>
      </c>
    </row>
    <row r="6" spans="1:8" x14ac:dyDescent="0.25">
      <c r="A6" s="13" t="s">
        <v>390</v>
      </c>
      <c r="B6" s="14">
        <v>4.99</v>
      </c>
      <c r="C6" s="14"/>
      <c r="D6" s="14"/>
      <c r="E6" s="14"/>
      <c r="F6" s="14">
        <v>19.96</v>
      </c>
      <c r="G6" s="14"/>
      <c r="H6" s="14">
        <v>24.950000000000003</v>
      </c>
    </row>
    <row r="7" spans="1:8" x14ac:dyDescent="0.25">
      <c r="A7" s="13" t="s">
        <v>393</v>
      </c>
      <c r="B7" s="14"/>
      <c r="C7" s="14">
        <v>13.98</v>
      </c>
      <c r="D7" s="14"/>
      <c r="E7" s="14">
        <v>6.99</v>
      </c>
      <c r="F7" s="14">
        <v>13.98</v>
      </c>
      <c r="G7" s="14"/>
      <c r="H7" s="14">
        <v>34.950000000000003</v>
      </c>
    </row>
    <row r="8" spans="1:8" x14ac:dyDescent="0.25">
      <c r="A8" s="13" t="s">
        <v>397</v>
      </c>
      <c r="B8" s="14">
        <v>5.99</v>
      </c>
      <c r="C8" s="14">
        <v>5.99</v>
      </c>
      <c r="D8" s="14">
        <v>17.97</v>
      </c>
      <c r="E8" s="14"/>
      <c r="F8" s="14">
        <v>35.94</v>
      </c>
      <c r="G8" s="14"/>
      <c r="H8" s="14">
        <v>65.89</v>
      </c>
    </row>
    <row r="9" spans="1:8" x14ac:dyDescent="0.25">
      <c r="A9" s="13" t="s">
        <v>400</v>
      </c>
      <c r="B9" s="14">
        <v>111.84</v>
      </c>
      <c r="C9" s="14">
        <v>90.87</v>
      </c>
      <c r="D9" s="14">
        <v>83.88000000000001</v>
      </c>
      <c r="E9" s="14">
        <v>48.930000000000007</v>
      </c>
      <c r="F9" s="14">
        <v>34.950000000000003</v>
      </c>
      <c r="G9" s="14"/>
      <c r="H9" s="14">
        <v>370.47</v>
      </c>
    </row>
    <row r="10" spans="1:8" x14ac:dyDescent="0.25">
      <c r="A10" s="13" t="s">
        <v>407</v>
      </c>
      <c r="B10" s="14">
        <v>19.98</v>
      </c>
      <c r="C10" s="14">
        <v>29.97</v>
      </c>
      <c r="D10" s="14">
        <v>19.98</v>
      </c>
      <c r="E10" s="14"/>
      <c r="F10" s="14">
        <v>19.98</v>
      </c>
      <c r="G10" s="14"/>
      <c r="H10" s="14">
        <v>89.910000000000011</v>
      </c>
    </row>
    <row r="11" spans="1:8" x14ac:dyDescent="0.25">
      <c r="A11" s="13" t="s">
        <v>410</v>
      </c>
      <c r="B11" s="14"/>
      <c r="C11" s="14"/>
      <c r="D11" s="14"/>
      <c r="E11" s="14"/>
      <c r="F11" s="14">
        <v>9.99</v>
      </c>
      <c r="G11" s="14"/>
      <c r="H11" s="14">
        <v>9.99</v>
      </c>
    </row>
    <row r="12" spans="1:8" x14ac:dyDescent="0.25">
      <c r="A12" s="13" t="s">
        <v>413</v>
      </c>
      <c r="B12" s="14"/>
      <c r="C12" s="14"/>
      <c r="D12" s="14">
        <v>5.99</v>
      </c>
      <c r="E12" s="14"/>
      <c r="F12" s="14"/>
      <c r="G12" s="14"/>
      <c r="H12" s="14">
        <v>5.99</v>
      </c>
    </row>
    <row r="13" spans="1:8" x14ac:dyDescent="0.25">
      <c r="A13" s="13" t="s">
        <v>417</v>
      </c>
      <c r="B13" s="14">
        <v>17.98</v>
      </c>
      <c r="C13" s="14"/>
      <c r="D13" s="14"/>
      <c r="E13" s="14"/>
      <c r="F13" s="14"/>
      <c r="G13" s="14"/>
      <c r="H13" s="14">
        <v>17.98</v>
      </c>
    </row>
    <row r="14" spans="1:8" x14ac:dyDescent="0.25">
      <c r="A14" s="13" t="s">
        <v>424</v>
      </c>
      <c r="B14" s="14"/>
      <c r="C14" s="14"/>
      <c r="D14" s="14">
        <v>6.99</v>
      </c>
      <c r="E14" s="14"/>
      <c r="F14" s="14"/>
      <c r="G14" s="14"/>
      <c r="H14" s="14">
        <v>6.99</v>
      </c>
    </row>
    <row r="15" spans="1:8" x14ac:dyDescent="0.25">
      <c r="A15" s="13" t="s">
        <v>427</v>
      </c>
      <c r="B15" s="14"/>
      <c r="C15" s="14"/>
      <c r="D15" s="14">
        <v>5.99</v>
      </c>
      <c r="E15" s="14"/>
      <c r="F15" s="14"/>
      <c r="G15" s="14"/>
      <c r="H15" s="14">
        <v>5.99</v>
      </c>
    </row>
    <row r="16" spans="1:8" x14ac:dyDescent="0.25">
      <c r="A16" s="13" t="s">
        <v>435</v>
      </c>
      <c r="B16" s="14">
        <v>8.99</v>
      </c>
      <c r="C16" s="14">
        <v>8.99</v>
      </c>
      <c r="D16" s="14">
        <v>8.99</v>
      </c>
      <c r="E16" s="14">
        <v>17.98</v>
      </c>
      <c r="F16" s="14">
        <v>26.97</v>
      </c>
      <c r="G16" s="14"/>
      <c r="H16" s="14">
        <v>71.92</v>
      </c>
    </row>
    <row r="17" spans="1:8" x14ac:dyDescent="0.25">
      <c r="A17" s="13" t="s">
        <v>443</v>
      </c>
      <c r="B17" s="14"/>
      <c r="C17" s="14">
        <v>20.97</v>
      </c>
      <c r="D17" s="14">
        <v>41.940000000000005</v>
      </c>
      <c r="E17" s="14">
        <v>13.98</v>
      </c>
      <c r="F17" s="14">
        <v>6.99</v>
      </c>
      <c r="G17" s="14"/>
      <c r="H17" s="14">
        <v>83.88</v>
      </c>
    </row>
    <row r="18" spans="1:8" x14ac:dyDescent="0.25">
      <c r="A18" s="13" t="s">
        <v>446</v>
      </c>
      <c r="B18" s="14">
        <v>15.98</v>
      </c>
      <c r="C18" s="14"/>
      <c r="D18" s="14">
        <v>15.98</v>
      </c>
      <c r="E18" s="14">
        <v>7.99</v>
      </c>
      <c r="F18" s="14">
        <v>31.96</v>
      </c>
      <c r="G18" s="14"/>
      <c r="H18" s="14">
        <v>71.91</v>
      </c>
    </row>
    <row r="19" spans="1:8" x14ac:dyDescent="0.25">
      <c r="A19" s="13" t="s">
        <v>450</v>
      </c>
      <c r="B19" s="14">
        <v>17.98</v>
      </c>
      <c r="C19" s="14">
        <v>17.98</v>
      </c>
      <c r="D19" s="14">
        <v>44.95</v>
      </c>
      <c r="E19" s="14">
        <v>17.98</v>
      </c>
      <c r="F19" s="14">
        <v>26.97</v>
      </c>
      <c r="G19" s="14"/>
      <c r="H19" s="14">
        <v>125.86</v>
      </c>
    </row>
    <row r="20" spans="1:8" x14ac:dyDescent="0.25">
      <c r="A20" s="13" t="s">
        <v>453</v>
      </c>
      <c r="B20" s="14">
        <v>116.87</v>
      </c>
      <c r="C20" s="14">
        <v>107.88</v>
      </c>
      <c r="D20" s="14">
        <v>170.81000000000003</v>
      </c>
      <c r="E20" s="14">
        <v>89.899999999999991</v>
      </c>
      <c r="F20" s="14">
        <v>98.890000000000015</v>
      </c>
      <c r="G20" s="14"/>
      <c r="H20" s="14">
        <v>584.35</v>
      </c>
    </row>
    <row r="21" spans="1:8" x14ac:dyDescent="0.25">
      <c r="A21" s="13" t="s">
        <v>457</v>
      </c>
      <c r="B21" s="14">
        <v>5.99</v>
      </c>
      <c r="C21" s="14">
        <v>23.96</v>
      </c>
      <c r="D21" s="14">
        <v>5.99</v>
      </c>
      <c r="E21" s="14"/>
      <c r="F21" s="14">
        <v>5.99</v>
      </c>
      <c r="G21" s="14"/>
      <c r="H21" s="14">
        <v>41.930000000000007</v>
      </c>
    </row>
    <row r="22" spans="1:8" x14ac:dyDescent="0.25">
      <c r="A22" s="13" t="s">
        <v>460</v>
      </c>
      <c r="B22" s="14"/>
      <c r="C22" s="14"/>
      <c r="D22" s="14">
        <v>19.96</v>
      </c>
      <c r="E22" s="14"/>
      <c r="F22" s="14"/>
      <c r="G22" s="14"/>
      <c r="H22" s="14">
        <v>19.96</v>
      </c>
    </row>
    <row r="23" spans="1:8" x14ac:dyDescent="0.25">
      <c r="A23" s="13" t="s">
        <v>467</v>
      </c>
      <c r="B23" s="14"/>
      <c r="C23" s="14"/>
      <c r="D23" s="14">
        <v>8.99</v>
      </c>
      <c r="E23" s="14">
        <v>26.97</v>
      </c>
      <c r="F23" s="14"/>
      <c r="G23" s="14"/>
      <c r="H23" s="14">
        <v>35.96</v>
      </c>
    </row>
    <row r="24" spans="1:8" x14ac:dyDescent="0.25">
      <c r="A24" s="13" t="s">
        <v>470</v>
      </c>
      <c r="B24" s="14">
        <v>17.98</v>
      </c>
      <c r="C24" s="14"/>
      <c r="D24" s="14"/>
      <c r="E24" s="14"/>
      <c r="F24" s="14"/>
      <c r="G24" s="14"/>
      <c r="H24" s="14">
        <v>17.98</v>
      </c>
    </row>
    <row r="25" spans="1:8" x14ac:dyDescent="0.25">
      <c r="A25" s="13" t="s">
        <v>473</v>
      </c>
      <c r="B25" s="14"/>
      <c r="C25" s="14"/>
      <c r="D25" s="14"/>
      <c r="E25" s="14">
        <v>4.99</v>
      </c>
      <c r="F25" s="14"/>
      <c r="G25" s="14"/>
      <c r="H25" s="14">
        <v>4.99</v>
      </c>
    </row>
    <row r="26" spans="1:8" x14ac:dyDescent="0.25">
      <c r="A26" s="13" t="s">
        <v>480</v>
      </c>
      <c r="B26" s="14">
        <v>8.99</v>
      </c>
      <c r="C26" s="14"/>
      <c r="D26" s="14"/>
      <c r="E26" s="14"/>
      <c r="F26" s="14"/>
      <c r="G26" s="14"/>
      <c r="H26" s="14">
        <v>8.99</v>
      </c>
    </row>
    <row r="27" spans="1:8" x14ac:dyDescent="0.25">
      <c r="A27" s="13" t="s">
        <v>484</v>
      </c>
      <c r="B27" s="14">
        <v>6.99</v>
      </c>
      <c r="C27" s="14"/>
      <c r="D27" s="14">
        <v>13.98</v>
      </c>
      <c r="E27" s="14">
        <v>48.93</v>
      </c>
      <c r="F27" s="14">
        <v>6.99</v>
      </c>
      <c r="G27" s="14"/>
      <c r="H27" s="14">
        <v>76.89</v>
      </c>
    </row>
    <row r="28" spans="1:8" x14ac:dyDescent="0.25">
      <c r="A28" s="13" t="s">
        <v>494</v>
      </c>
      <c r="B28" s="14"/>
      <c r="C28" s="14"/>
      <c r="D28" s="14">
        <v>17.98</v>
      </c>
      <c r="E28" s="14"/>
      <c r="F28" s="14"/>
      <c r="G28" s="14"/>
      <c r="H28" s="14">
        <v>17.98</v>
      </c>
    </row>
    <row r="29" spans="1:8" x14ac:dyDescent="0.25">
      <c r="A29" s="13" t="s">
        <v>500</v>
      </c>
      <c r="B29" s="14"/>
      <c r="C29" s="14">
        <v>4.99</v>
      </c>
      <c r="D29" s="14">
        <v>9.98</v>
      </c>
      <c r="E29" s="14"/>
      <c r="F29" s="14"/>
      <c r="G29" s="14"/>
      <c r="H29" s="14">
        <v>14.97</v>
      </c>
    </row>
    <row r="30" spans="1:8" x14ac:dyDescent="0.25">
      <c r="A30" s="13" t="s">
        <v>507</v>
      </c>
      <c r="B30" s="14"/>
      <c r="C30" s="14"/>
      <c r="D30" s="14">
        <v>15.98</v>
      </c>
      <c r="E30" s="14">
        <v>7.99</v>
      </c>
      <c r="F30" s="14"/>
      <c r="G30" s="14"/>
      <c r="H30" s="14">
        <v>23.97</v>
      </c>
    </row>
    <row r="31" spans="1:8" x14ac:dyDescent="0.25">
      <c r="A31" s="13" t="s">
        <v>503</v>
      </c>
      <c r="B31" s="14"/>
      <c r="C31" s="14"/>
      <c r="D31" s="14">
        <v>4.99</v>
      </c>
      <c r="E31" s="14"/>
      <c r="F31" s="14"/>
      <c r="G31" s="14"/>
      <c r="H31" s="14">
        <v>4.99</v>
      </c>
    </row>
    <row r="32" spans="1:8" x14ac:dyDescent="0.25">
      <c r="A32" s="13" t="s">
        <v>510</v>
      </c>
      <c r="B32" s="14"/>
      <c r="C32" s="14"/>
      <c r="D32" s="14">
        <v>11.98</v>
      </c>
      <c r="E32" s="14"/>
      <c r="F32" s="14"/>
      <c r="G32" s="14"/>
      <c r="H32" s="14">
        <v>11.98</v>
      </c>
    </row>
    <row r="33" spans="1:8" x14ac:dyDescent="0.25">
      <c r="A33" s="13" t="s">
        <v>840</v>
      </c>
      <c r="B33" s="14">
        <v>19.98</v>
      </c>
      <c r="C33" s="14">
        <v>19.98</v>
      </c>
      <c r="D33" s="14"/>
      <c r="E33" s="14">
        <v>19.98</v>
      </c>
      <c r="F33" s="14">
        <v>9.99</v>
      </c>
      <c r="G33" s="14">
        <v>9.99</v>
      </c>
      <c r="H33" s="14">
        <v>79.919999999999987</v>
      </c>
    </row>
    <row r="34" spans="1:8" x14ac:dyDescent="0.25">
      <c r="A34" s="13" t="s">
        <v>524</v>
      </c>
      <c r="B34" s="14">
        <v>9.99</v>
      </c>
      <c r="C34" s="14"/>
      <c r="D34" s="14"/>
      <c r="E34" s="14"/>
      <c r="F34" s="14"/>
      <c r="G34" s="14"/>
      <c r="H34" s="14">
        <v>9.99</v>
      </c>
    </row>
    <row r="35" spans="1:8" x14ac:dyDescent="0.25">
      <c r="A35" s="13" t="s">
        <v>530</v>
      </c>
      <c r="B35" s="14"/>
      <c r="C35" s="14"/>
      <c r="D35" s="14">
        <v>11.98</v>
      </c>
      <c r="E35" s="14">
        <v>11.98</v>
      </c>
      <c r="F35" s="14"/>
      <c r="G35" s="14"/>
      <c r="H35" s="14">
        <v>23.96</v>
      </c>
    </row>
    <row r="36" spans="1:8" x14ac:dyDescent="0.25">
      <c r="A36" s="13" t="s">
        <v>534</v>
      </c>
      <c r="B36" s="14"/>
      <c r="C36" s="14"/>
      <c r="D36" s="14"/>
      <c r="E36" s="14">
        <v>7.99</v>
      </c>
      <c r="F36" s="14"/>
      <c r="G36" s="14"/>
      <c r="H36" s="14">
        <v>7.99</v>
      </c>
    </row>
    <row r="37" spans="1:8" x14ac:dyDescent="0.25">
      <c r="A37" s="13" t="s">
        <v>546</v>
      </c>
      <c r="B37" s="14"/>
      <c r="C37" s="14"/>
      <c r="D37" s="14"/>
      <c r="E37" s="14">
        <v>7.99</v>
      </c>
      <c r="F37" s="14"/>
      <c r="G37" s="14"/>
      <c r="H37" s="14">
        <v>7.99</v>
      </c>
    </row>
    <row r="38" spans="1:8" x14ac:dyDescent="0.25">
      <c r="A38" s="13" t="s">
        <v>553</v>
      </c>
      <c r="B38" s="14"/>
      <c r="C38" s="14">
        <v>9.99</v>
      </c>
      <c r="D38" s="14">
        <v>59.940000000000005</v>
      </c>
      <c r="E38" s="14">
        <v>9.99</v>
      </c>
      <c r="F38" s="14">
        <v>29.97</v>
      </c>
      <c r="G38" s="14"/>
      <c r="H38" s="14">
        <v>109.89</v>
      </c>
    </row>
    <row r="39" spans="1:8" x14ac:dyDescent="0.25">
      <c r="A39" s="13" t="s">
        <v>550</v>
      </c>
      <c r="B39" s="14"/>
      <c r="C39" s="14">
        <v>17.98</v>
      </c>
      <c r="D39" s="14">
        <v>26.97</v>
      </c>
      <c r="E39" s="14">
        <v>17.98</v>
      </c>
      <c r="F39" s="14">
        <v>53.94</v>
      </c>
      <c r="G39" s="14">
        <v>8.99</v>
      </c>
      <c r="H39" s="14">
        <v>125.86</v>
      </c>
    </row>
    <row r="40" spans="1:8" x14ac:dyDescent="0.25">
      <c r="A40" s="13" t="s">
        <v>561</v>
      </c>
      <c r="B40" s="14"/>
      <c r="C40" s="14">
        <v>11.98</v>
      </c>
      <c r="D40" s="14"/>
      <c r="E40" s="14"/>
      <c r="F40" s="14"/>
      <c r="G40" s="14"/>
      <c r="H40" s="14">
        <v>11.98</v>
      </c>
    </row>
    <row r="41" spans="1:8" x14ac:dyDescent="0.25">
      <c r="A41" s="13" t="s">
        <v>565</v>
      </c>
      <c r="B41" s="14">
        <v>101.83</v>
      </c>
      <c r="C41" s="14">
        <v>53.910000000000004</v>
      </c>
      <c r="D41" s="14">
        <v>17.97</v>
      </c>
      <c r="E41" s="14">
        <v>65.89</v>
      </c>
      <c r="F41" s="14">
        <v>113.80999999999999</v>
      </c>
      <c r="G41" s="14"/>
      <c r="H41" s="14">
        <v>353.41</v>
      </c>
    </row>
    <row r="42" spans="1:8" x14ac:dyDescent="0.25">
      <c r="A42" s="13" t="s">
        <v>572</v>
      </c>
      <c r="B42" s="14"/>
      <c r="C42" s="14"/>
      <c r="D42" s="14"/>
      <c r="E42" s="14"/>
      <c r="F42" s="14">
        <v>5.99</v>
      </c>
      <c r="G42" s="14"/>
      <c r="H42" s="14">
        <v>5.99</v>
      </c>
    </row>
    <row r="43" spans="1:8" x14ac:dyDescent="0.25">
      <c r="A43" s="13" t="s">
        <v>568</v>
      </c>
      <c r="B43" s="14"/>
      <c r="C43" s="14"/>
      <c r="D43" s="14">
        <v>4.99</v>
      </c>
      <c r="E43" s="14"/>
      <c r="F43" s="14"/>
      <c r="G43" s="14"/>
      <c r="H43" s="14">
        <v>4.99</v>
      </c>
    </row>
    <row r="44" spans="1:8" x14ac:dyDescent="0.25">
      <c r="A44" s="13" t="s">
        <v>579</v>
      </c>
      <c r="B44" s="14"/>
      <c r="C44" s="14"/>
      <c r="D44" s="14">
        <v>13.98</v>
      </c>
      <c r="E44" s="14"/>
      <c r="F44" s="14"/>
      <c r="G44" s="14"/>
      <c r="H44" s="14">
        <v>13.98</v>
      </c>
    </row>
    <row r="45" spans="1:8" x14ac:dyDescent="0.25">
      <c r="A45" s="13" t="s">
        <v>582</v>
      </c>
      <c r="B45" s="14">
        <v>19.98</v>
      </c>
      <c r="C45" s="14">
        <v>19.98</v>
      </c>
      <c r="D45" s="14"/>
      <c r="E45" s="14"/>
      <c r="F45" s="14">
        <v>19.98</v>
      </c>
      <c r="G45" s="14"/>
      <c r="H45" s="14">
        <v>59.94</v>
      </c>
    </row>
    <row r="46" spans="1:8" x14ac:dyDescent="0.25">
      <c r="A46" s="13" t="s">
        <v>585</v>
      </c>
      <c r="B46" s="14"/>
      <c r="C46" s="14">
        <v>8.99</v>
      </c>
      <c r="D46" s="14"/>
      <c r="E46" s="14"/>
      <c r="F46" s="14"/>
      <c r="G46" s="14"/>
      <c r="H46" s="14">
        <v>8.99</v>
      </c>
    </row>
    <row r="47" spans="1:8" x14ac:dyDescent="0.25">
      <c r="A47" s="13" t="s">
        <v>588</v>
      </c>
      <c r="B47" s="14"/>
      <c r="C47" s="14"/>
      <c r="D47" s="14">
        <v>5.99</v>
      </c>
      <c r="E47" s="14"/>
      <c r="F47" s="14"/>
      <c r="G47" s="14"/>
      <c r="H47" s="14">
        <v>5.99</v>
      </c>
    </row>
    <row r="48" spans="1:8" x14ac:dyDescent="0.25">
      <c r="A48" s="13" t="s">
        <v>596</v>
      </c>
      <c r="B48" s="14"/>
      <c r="C48" s="14"/>
      <c r="D48" s="14"/>
      <c r="E48" s="14"/>
      <c r="F48" s="14">
        <v>11.98</v>
      </c>
      <c r="G48" s="14"/>
      <c r="H48" s="14">
        <v>11.98</v>
      </c>
    </row>
    <row r="49" spans="1:8" x14ac:dyDescent="0.25">
      <c r="A49" s="13" t="s">
        <v>600</v>
      </c>
      <c r="B49" s="14">
        <v>7.99</v>
      </c>
      <c r="C49" s="14">
        <v>55.930000000000007</v>
      </c>
      <c r="D49" s="14">
        <v>23.97</v>
      </c>
      <c r="E49" s="14">
        <v>15.98</v>
      </c>
      <c r="F49" s="14">
        <v>7.99</v>
      </c>
      <c r="G49" s="14"/>
      <c r="H49" s="14">
        <v>111.86000000000001</v>
      </c>
    </row>
    <row r="50" spans="1:8" x14ac:dyDescent="0.25">
      <c r="A50" s="13" t="s">
        <v>604</v>
      </c>
      <c r="B50" s="14">
        <v>15.98</v>
      </c>
      <c r="C50" s="14">
        <v>15.98</v>
      </c>
      <c r="D50" s="14">
        <v>15.98</v>
      </c>
      <c r="E50" s="14">
        <v>7.99</v>
      </c>
      <c r="F50" s="14">
        <v>7.99</v>
      </c>
      <c r="G50" s="14"/>
      <c r="H50" s="14">
        <v>63.92</v>
      </c>
    </row>
    <row r="51" spans="1:8" x14ac:dyDescent="0.25">
      <c r="A51" s="13" t="s">
        <v>612</v>
      </c>
      <c r="B51" s="14">
        <v>4.99</v>
      </c>
      <c r="C51" s="14"/>
      <c r="D51" s="14"/>
      <c r="E51" s="14"/>
      <c r="F51" s="14"/>
      <c r="G51" s="14"/>
      <c r="H51" s="14">
        <v>4.99</v>
      </c>
    </row>
    <row r="52" spans="1:8" x14ac:dyDescent="0.25">
      <c r="A52" s="13" t="s">
        <v>615</v>
      </c>
      <c r="B52" s="14">
        <v>19.98</v>
      </c>
      <c r="C52" s="14"/>
      <c r="D52" s="14"/>
      <c r="E52" s="14"/>
      <c r="F52" s="14"/>
      <c r="G52" s="14"/>
      <c r="H52" s="14">
        <v>19.98</v>
      </c>
    </row>
    <row r="53" spans="1:8" x14ac:dyDescent="0.25">
      <c r="A53" s="13" t="s">
        <v>618</v>
      </c>
      <c r="B53" s="14"/>
      <c r="C53" s="14"/>
      <c r="D53" s="14">
        <v>8.99</v>
      </c>
      <c r="E53" s="14"/>
      <c r="F53" s="14"/>
      <c r="G53" s="14"/>
      <c r="H53" s="14">
        <v>8.99</v>
      </c>
    </row>
    <row r="54" spans="1:8" x14ac:dyDescent="0.25">
      <c r="A54" s="13" t="s">
        <v>621</v>
      </c>
      <c r="B54" s="14">
        <v>4.99</v>
      </c>
      <c r="C54" s="14"/>
      <c r="D54" s="14"/>
      <c r="E54" s="14"/>
      <c r="F54" s="14"/>
      <c r="G54" s="14"/>
      <c r="H54" s="14">
        <v>4.99</v>
      </c>
    </row>
    <row r="55" spans="1:8" x14ac:dyDescent="0.25">
      <c r="A55" s="13" t="s">
        <v>625</v>
      </c>
      <c r="B55" s="14">
        <v>6.99</v>
      </c>
      <c r="C55" s="14"/>
      <c r="D55" s="14"/>
      <c r="E55" s="14"/>
      <c r="F55" s="14"/>
      <c r="G55" s="14"/>
      <c r="H55" s="14">
        <v>6.99</v>
      </c>
    </row>
    <row r="56" spans="1:8" x14ac:dyDescent="0.25">
      <c r="A56" s="13" t="s">
        <v>631</v>
      </c>
      <c r="B56" s="14"/>
      <c r="C56" s="14"/>
      <c r="D56" s="14">
        <v>8.99</v>
      </c>
      <c r="E56" s="14">
        <v>71.92</v>
      </c>
      <c r="F56" s="14">
        <v>44.95</v>
      </c>
      <c r="G56" s="14"/>
      <c r="H56" s="14">
        <v>125.86</v>
      </c>
    </row>
    <row r="57" spans="1:8" x14ac:dyDescent="0.25">
      <c r="A57" s="13" t="s">
        <v>635</v>
      </c>
      <c r="B57" s="14">
        <v>4.99</v>
      </c>
      <c r="C57" s="14"/>
      <c r="D57" s="14"/>
      <c r="E57" s="14"/>
      <c r="F57" s="14"/>
      <c r="G57" s="14"/>
      <c r="H57" s="14">
        <v>4.99</v>
      </c>
    </row>
    <row r="58" spans="1:8" x14ac:dyDescent="0.25">
      <c r="A58" s="13" t="s">
        <v>639</v>
      </c>
      <c r="B58" s="14"/>
      <c r="C58" s="14"/>
      <c r="D58" s="14"/>
      <c r="E58" s="14">
        <v>7.99</v>
      </c>
      <c r="F58" s="14"/>
      <c r="G58" s="14"/>
      <c r="H58" s="14">
        <v>7.99</v>
      </c>
    </row>
    <row r="59" spans="1:8" x14ac:dyDescent="0.25">
      <c r="A59" s="13" t="s">
        <v>643</v>
      </c>
      <c r="B59" s="14">
        <v>4.99</v>
      </c>
      <c r="C59" s="14">
        <v>4.99</v>
      </c>
      <c r="D59" s="14"/>
      <c r="E59" s="14">
        <v>9.98</v>
      </c>
      <c r="F59" s="14">
        <v>9.98</v>
      </c>
      <c r="G59" s="14"/>
      <c r="H59" s="14">
        <v>29.94</v>
      </c>
    </row>
    <row r="60" spans="1:8" x14ac:dyDescent="0.25">
      <c r="A60" s="13" t="s">
        <v>646</v>
      </c>
      <c r="B60" s="14"/>
      <c r="C60" s="14"/>
      <c r="D60" s="14">
        <v>7.99</v>
      </c>
      <c r="E60" s="14"/>
      <c r="F60" s="14"/>
      <c r="G60" s="14"/>
      <c r="H60" s="14">
        <v>7.99</v>
      </c>
    </row>
    <row r="61" spans="1:8" x14ac:dyDescent="0.25">
      <c r="A61" s="13" t="s">
        <v>649</v>
      </c>
      <c r="B61" s="14">
        <v>17.97</v>
      </c>
      <c r="C61" s="14">
        <v>5.99</v>
      </c>
      <c r="D61" s="14">
        <v>29.950000000000003</v>
      </c>
      <c r="E61" s="14"/>
      <c r="F61" s="14">
        <v>23.96</v>
      </c>
      <c r="G61" s="14"/>
      <c r="H61" s="14">
        <v>77.87</v>
      </c>
    </row>
    <row r="62" spans="1:8" x14ac:dyDescent="0.25">
      <c r="A62" s="13" t="s">
        <v>653</v>
      </c>
      <c r="B62" s="14"/>
      <c r="C62" s="14">
        <v>23.97</v>
      </c>
      <c r="D62" s="14"/>
      <c r="E62" s="14">
        <v>23.97</v>
      </c>
      <c r="F62" s="14"/>
      <c r="G62" s="14"/>
      <c r="H62" s="14">
        <v>47.94</v>
      </c>
    </row>
    <row r="63" spans="1:8" x14ac:dyDescent="0.25">
      <c r="A63" s="13" t="s">
        <v>659</v>
      </c>
      <c r="B63" s="14">
        <v>39.96</v>
      </c>
      <c r="C63" s="14">
        <v>49.95</v>
      </c>
      <c r="D63" s="14">
        <v>19.98</v>
      </c>
      <c r="E63" s="14"/>
      <c r="F63" s="14">
        <v>19.98</v>
      </c>
      <c r="G63" s="14"/>
      <c r="H63" s="14">
        <v>129.87</v>
      </c>
    </row>
    <row r="64" spans="1:8" x14ac:dyDescent="0.25">
      <c r="A64" s="13" t="s">
        <v>665</v>
      </c>
      <c r="B64" s="14"/>
      <c r="C64" s="14"/>
      <c r="D64" s="14">
        <v>8.99</v>
      </c>
      <c r="E64" s="14"/>
      <c r="F64" s="14"/>
      <c r="G64" s="14"/>
      <c r="H64" s="14">
        <v>8.99</v>
      </c>
    </row>
    <row r="65" spans="1:8" x14ac:dyDescent="0.25">
      <c r="A65" s="13" t="s">
        <v>673</v>
      </c>
      <c r="B65" s="14">
        <v>17.97</v>
      </c>
      <c r="C65" s="14">
        <v>11.98</v>
      </c>
      <c r="D65" s="14">
        <v>5.99</v>
      </c>
      <c r="E65" s="14"/>
      <c r="F65" s="14">
        <v>5.99</v>
      </c>
      <c r="G65" s="14"/>
      <c r="H65" s="14">
        <v>41.93</v>
      </c>
    </row>
    <row r="66" spans="1:8" x14ac:dyDescent="0.25">
      <c r="A66" s="13" t="s">
        <v>676</v>
      </c>
      <c r="B66" s="14">
        <v>13.98</v>
      </c>
      <c r="C66" s="14"/>
      <c r="D66" s="14">
        <v>6.99</v>
      </c>
      <c r="E66" s="14"/>
      <c r="F66" s="14"/>
      <c r="G66" s="14"/>
      <c r="H66" s="14">
        <v>20.97</v>
      </c>
    </row>
    <row r="67" spans="1:8" x14ac:dyDescent="0.25">
      <c r="A67" s="13" t="s">
        <v>683</v>
      </c>
      <c r="B67" s="14"/>
      <c r="C67" s="14"/>
      <c r="D67" s="14">
        <v>7.99</v>
      </c>
      <c r="E67" s="14"/>
      <c r="F67" s="14"/>
      <c r="G67" s="14"/>
      <c r="H67" s="14">
        <v>7.99</v>
      </c>
    </row>
    <row r="68" spans="1:8" x14ac:dyDescent="0.25">
      <c r="A68" s="13" t="s">
        <v>686</v>
      </c>
      <c r="B68" s="14"/>
      <c r="C68" s="14">
        <v>80.91</v>
      </c>
      <c r="D68" s="14">
        <v>8.99</v>
      </c>
      <c r="E68" s="14"/>
      <c r="F68" s="14">
        <v>8.99</v>
      </c>
      <c r="G68" s="14"/>
      <c r="H68" s="14">
        <v>98.889999999999986</v>
      </c>
    </row>
    <row r="69" spans="1:8" x14ac:dyDescent="0.25">
      <c r="A69" s="13" t="s">
        <v>689</v>
      </c>
      <c r="B69" s="14">
        <v>9.99</v>
      </c>
      <c r="C69" s="14"/>
      <c r="D69" s="14"/>
      <c r="E69" s="14"/>
      <c r="F69" s="14"/>
      <c r="G69" s="14"/>
      <c r="H69" s="14">
        <v>9.99</v>
      </c>
    </row>
    <row r="70" spans="1:8" x14ac:dyDescent="0.25">
      <c r="A70" s="13" t="s">
        <v>696</v>
      </c>
      <c r="B70" s="14">
        <v>19.96</v>
      </c>
      <c r="C70" s="14">
        <v>19.96</v>
      </c>
      <c r="D70" s="14">
        <v>14.97</v>
      </c>
      <c r="E70" s="14">
        <v>4.99</v>
      </c>
      <c r="F70" s="14">
        <v>4.99</v>
      </c>
      <c r="G70" s="14"/>
      <c r="H70" s="14">
        <v>64.87</v>
      </c>
    </row>
    <row r="71" spans="1:8" x14ac:dyDescent="0.25">
      <c r="A71" s="13" t="s">
        <v>699</v>
      </c>
      <c r="B71" s="14"/>
      <c r="C71" s="14"/>
      <c r="D71" s="14"/>
      <c r="E71" s="14"/>
      <c r="F71" s="14">
        <v>13.98</v>
      </c>
      <c r="G71" s="14"/>
      <c r="H71" s="14">
        <v>13.98</v>
      </c>
    </row>
    <row r="72" spans="1:8" x14ac:dyDescent="0.25">
      <c r="A72" s="13" t="s">
        <v>702</v>
      </c>
      <c r="B72" s="14">
        <v>63.920000000000009</v>
      </c>
      <c r="C72" s="14">
        <v>119.84999999999998</v>
      </c>
      <c r="D72" s="14">
        <v>63.92</v>
      </c>
      <c r="E72" s="14">
        <v>63.920000000000009</v>
      </c>
      <c r="F72" s="14">
        <v>47.94</v>
      </c>
      <c r="G72" s="14"/>
      <c r="H72" s="14">
        <v>359.55</v>
      </c>
    </row>
    <row r="73" spans="1:8" x14ac:dyDescent="0.25">
      <c r="A73" s="13" t="s">
        <v>706</v>
      </c>
      <c r="B73" s="14">
        <v>29.97</v>
      </c>
      <c r="C73" s="14">
        <v>29.97</v>
      </c>
      <c r="D73" s="14">
        <v>59.94</v>
      </c>
      <c r="E73" s="14"/>
      <c r="F73" s="14">
        <v>9.99</v>
      </c>
      <c r="G73" s="14"/>
      <c r="H73" s="14">
        <v>129.87</v>
      </c>
    </row>
    <row r="74" spans="1:8" x14ac:dyDescent="0.25">
      <c r="A74" s="13" t="s">
        <v>709</v>
      </c>
      <c r="B74" s="14">
        <v>6.99</v>
      </c>
      <c r="C74" s="14">
        <v>6.99</v>
      </c>
      <c r="D74" s="14">
        <v>27.96</v>
      </c>
      <c r="E74" s="14"/>
      <c r="F74" s="14">
        <v>13.98</v>
      </c>
      <c r="G74" s="14"/>
      <c r="H74" s="14">
        <v>55.92</v>
      </c>
    </row>
    <row r="75" spans="1:8" x14ac:dyDescent="0.25">
      <c r="A75" s="13" t="s">
        <v>713</v>
      </c>
      <c r="B75" s="14">
        <v>13.98</v>
      </c>
      <c r="C75" s="14"/>
      <c r="D75" s="14">
        <v>27.96</v>
      </c>
      <c r="E75" s="14"/>
      <c r="F75" s="14">
        <v>27.96</v>
      </c>
      <c r="G75" s="14"/>
      <c r="H75" s="14">
        <v>69.900000000000006</v>
      </c>
    </row>
    <row r="76" spans="1:8" x14ac:dyDescent="0.25">
      <c r="A76" s="13" t="s">
        <v>730</v>
      </c>
      <c r="B76" s="14">
        <v>9.99</v>
      </c>
      <c r="C76" s="14"/>
      <c r="D76" s="14">
        <v>49.95</v>
      </c>
      <c r="E76" s="14"/>
      <c r="F76" s="14">
        <v>9.99</v>
      </c>
      <c r="G76" s="14"/>
      <c r="H76" s="14">
        <v>69.930000000000007</v>
      </c>
    </row>
    <row r="77" spans="1:8" x14ac:dyDescent="0.25">
      <c r="A77" s="13" t="s">
        <v>733</v>
      </c>
      <c r="B77" s="14">
        <v>19.98</v>
      </c>
      <c r="C77" s="14">
        <v>29.97</v>
      </c>
      <c r="D77" s="14">
        <v>29.97</v>
      </c>
      <c r="E77" s="14">
        <v>49.95</v>
      </c>
      <c r="F77" s="14"/>
      <c r="G77" s="14"/>
      <c r="H77" s="14">
        <v>129.87</v>
      </c>
    </row>
    <row r="78" spans="1:8" x14ac:dyDescent="0.25">
      <c r="A78" s="13" t="s">
        <v>737</v>
      </c>
      <c r="B78" s="14">
        <v>49.95</v>
      </c>
      <c r="C78" s="14">
        <v>19.98</v>
      </c>
      <c r="D78" s="14">
        <v>19.98</v>
      </c>
      <c r="E78" s="14">
        <v>19.98</v>
      </c>
      <c r="F78" s="14">
        <v>9.99</v>
      </c>
      <c r="G78" s="14"/>
      <c r="H78" s="14">
        <v>119.88000000000001</v>
      </c>
    </row>
    <row r="79" spans="1:8" x14ac:dyDescent="0.25">
      <c r="A79" s="13" t="s">
        <v>743</v>
      </c>
      <c r="B79" s="14">
        <v>9.99</v>
      </c>
      <c r="C79" s="14"/>
      <c r="D79" s="14">
        <v>19.98</v>
      </c>
      <c r="E79" s="14">
        <v>39.96</v>
      </c>
      <c r="F79" s="14">
        <v>59.940000000000005</v>
      </c>
      <c r="G79" s="14"/>
      <c r="H79" s="14">
        <v>129.87</v>
      </c>
    </row>
    <row r="80" spans="1:8" x14ac:dyDescent="0.25">
      <c r="A80" s="13" t="s">
        <v>746</v>
      </c>
      <c r="B80" s="14"/>
      <c r="C80" s="14"/>
      <c r="D80" s="14">
        <v>5.99</v>
      </c>
      <c r="E80" s="14">
        <v>5.99</v>
      </c>
      <c r="F80" s="14"/>
      <c r="G80" s="14"/>
      <c r="H80" s="14">
        <v>11.98</v>
      </c>
    </row>
    <row r="81" spans="1:8" x14ac:dyDescent="0.25">
      <c r="A81" s="13" t="s">
        <v>749</v>
      </c>
      <c r="B81" s="14">
        <v>15.98</v>
      </c>
      <c r="C81" s="14"/>
      <c r="D81" s="14"/>
      <c r="E81" s="14"/>
      <c r="F81" s="14"/>
      <c r="G81" s="14"/>
      <c r="H81" s="14">
        <v>15.98</v>
      </c>
    </row>
    <row r="82" spans="1:8" x14ac:dyDescent="0.25">
      <c r="A82" s="13" t="s">
        <v>759</v>
      </c>
      <c r="B82" s="14"/>
      <c r="C82" s="14"/>
      <c r="D82" s="14">
        <v>19.98</v>
      </c>
      <c r="E82" s="14"/>
      <c r="F82" s="14"/>
      <c r="G82" s="14"/>
      <c r="H82" s="14">
        <v>19.98</v>
      </c>
    </row>
    <row r="83" spans="1:8" x14ac:dyDescent="0.25">
      <c r="A83" s="13" t="s">
        <v>765</v>
      </c>
      <c r="B83" s="14">
        <v>9.99</v>
      </c>
      <c r="C83" s="14"/>
      <c r="D83" s="14">
        <v>9.99</v>
      </c>
      <c r="E83" s="14"/>
      <c r="F83" s="14"/>
      <c r="G83" s="14"/>
      <c r="H83" s="14">
        <v>19.98</v>
      </c>
    </row>
    <row r="84" spans="1:8" x14ac:dyDescent="0.25">
      <c r="A84" s="13" t="s">
        <v>768</v>
      </c>
      <c r="B84" s="14">
        <v>27.96</v>
      </c>
      <c r="C84" s="14">
        <v>13.98</v>
      </c>
      <c r="D84" s="14">
        <v>20.97</v>
      </c>
      <c r="E84" s="14">
        <v>13.98</v>
      </c>
      <c r="F84" s="14">
        <v>6.99</v>
      </c>
      <c r="G84" s="14"/>
      <c r="H84" s="14">
        <v>83.88</v>
      </c>
    </row>
    <row r="85" spans="1:8" x14ac:dyDescent="0.25">
      <c r="A85" s="13" t="s">
        <v>772</v>
      </c>
      <c r="B85" s="14">
        <v>4.99</v>
      </c>
      <c r="C85" s="14">
        <v>19.96</v>
      </c>
      <c r="D85" s="14">
        <v>4.99</v>
      </c>
      <c r="E85" s="14">
        <v>4.99</v>
      </c>
      <c r="F85" s="14">
        <v>4.99</v>
      </c>
      <c r="G85" s="14"/>
      <c r="H85" s="14">
        <v>39.920000000000009</v>
      </c>
    </row>
    <row r="86" spans="1:8" x14ac:dyDescent="0.25">
      <c r="A86" s="13" t="s">
        <v>779</v>
      </c>
      <c r="B86" s="14"/>
      <c r="C86" s="14"/>
      <c r="D86" s="14">
        <v>6.99</v>
      </c>
      <c r="E86" s="14"/>
      <c r="F86" s="14"/>
      <c r="G86" s="14"/>
      <c r="H86" s="14">
        <v>6.99</v>
      </c>
    </row>
    <row r="87" spans="1:8" x14ac:dyDescent="0.25">
      <c r="A87" s="13" t="s">
        <v>783</v>
      </c>
      <c r="B87" s="14"/>
      <c r="C87" s="14">
        <v>6.99</v>
      </c>
      <c r="D87" s="14"/>
      <c r="E87" s="14"/>
      <c r="F87" s="14"/>
      <c r="G87" s="14"/>
      <c r="H87" s="14">
        <v>6.99</v>
      </c>
    </row>
    <row r="88" spans="1:8" x14ac:dyDescent="0.25">
      <c r="A88" s="13" t="s">
        <v>786</v>
      </c>
      <c r="B88" s="14"/>
      <c r="C88" s="14">
        <v>8.99</v>
      </c>
      <c r="D88" s="14">
        <v>17.98</v>
      </c>
      <c r="E88" s="14"/>
      <c r="F88" s="14"/>
      <c r="G88" s="14"/>
      <c r="H88" s="14">
        <v>26.97</v>
      </c>
    </row>
    <row r="89" spans="1:8" x14ac:dyDescent="0.25">
      <c r="A89" s="13" t="s">
        <v>793</v>
      </c>
      <c r="B89" s="14"/>
      <c r="C89" s="14"/>
      <c r="D89" s="14">
        <v>6.99</v>
      </c>
      <c r="E89" s="14"/>
      <c r="F89" s="14"/>
      <c r="G89" s="14"/>
      <c r="H89" s="14">
        <v>6.99</v>
      </c>
    </row>
    <row r="90" spans="1:8" x14ac:dyDescent="0.25">
      <c r="A90" s="13" t="s">
        <v>797</v>
      </c>
      <c r="B90" s="14">
        <v>11.98</v>
      </c>
      <c r="C90" s="14"/>
      <c r="D90" s="14">
        <v>17.97</v>
      </c>
      <c r="E90" s="14">
        <v>11.98</v>
      </c>
      <c r="F90" s="14">
        <v>35.94</v>
      </c>
      <c r="G90" s="14"/>
      <c r="H90" s="14">
        <v>77.87</v>
      </c>
    </row>
    <row r="91" spans="1:8" x14ac:dyDescent="0.25">
      <c r="A91" s="13" t="s">
        <v>801</v>
      </c>
      <c r="B91" s="14"/>
      <c r="C91" s="14">
        <v>6.99</v>
      </c>
      <c r="D91" s="14">
        <v>6.99</v>
      </c>
      <c r="E91" s="14"/>
      <c r="F91" s="14"/>
      <c r="G91" s="14"/>
      <c r="H91" s="14">
        <v>13.98</v>
      </c>
    </row>
    <row r="92" spans="1:8" x14ac:dyDescent="0.25">
      <c r="A92" s="13" t="s">
        <v>804</v>
      </c>
      <c r="B92" s="14"/>
      <c r="C92" s="14">
        <v>24.950000000000003</v>
      </c>
      <c r="D92" s="14">
        <v>24.950000000000003</v>
      </c>
      <c r="E92" s="14">
        <v>9.98</v>
      </c>
      <c r="F92" s="14">
        <v>14.97</v>
      </c>
      <c r="G92" s="14"/>
      <c r="H92" s="14">
        <v>74.850000000000009</v>
      </c>
    </row>
    <row r="93" spans="1:8" x14ac:dyDescent="0.25">
      <c r="A93" s="13" t="s">
        <v>806</v>
      </c>
      <c r="B93" s="14"/>
      <c r="C93" s="14"/>
      <c r="D93" s="14">
        <v>17.98</v>
      </c>
      <c r="E93" s="14"/>
      <c r="F93" s="14"/>
      <c r="G93" s="14"/>
      <c r="H93" s="14">
        <v>17.98</v>
      </c>
    </row>
    <row r="94" spans="1:8" x14ac:dyDescent="0.25">
      <c r="A94" s="13" t="s">
        <v>810</v>
      </c>
      <c r="B94" s="14"/>
      <c r="C94" s="14"/>
      <c r="D94" s="14"/>
      <c r="E94" s="14">
        <v>4.99</v>
      </c>
      <c r="F94" s="14"/>
      <c r="G94" s="14"/>
      <c r="H94" s="14">
        <v>4.99</v>
      </c>
    </row>
    <row r="95" spans="1:8" x14ac:dyDescent="0.25">
      <c r="A95" s="13" t="s">
        <v>814</v>
      </c>
      <c r="B95" s="14">
        <v>279.71999999999997</v>
      </c>
      <c r="C95" s="14">
        <v>139.86000000000001</v>
      </c>
      <c r="D95" s="14">
        <v>49.95</v>
      </c>
      <c r="E95" s="14">
        <v>49.95</v>
      </c>
      <c r="F95" s="14">
        <v>119.88</v>
      </c>
      <c r="G95" s="14"/>
      <c r="H95" s="14">
        <v>639.36</v>
      </c>
    </row>
    <row r="96" spans="1:8" x14ac:dyDescent="0.25">
      <c r="A96" s="13" t="s">
        <v>820</v>
      </c>
      <c r="B96" s="14"/>
      <c r="C96" s="14">
        <v>39.96</v>
      </c>
      <c r="D96" s="14">
        <v>9.99</v>
      </c>
      <c r="E96" s="14"/>
      <c r="F96" s="14">
        <v>29.97</v>
      </c>
      <c r="G96" s="14"/>
      <c r="H96" s="14">
        <v>79.92</v>
      </c>
    </row>
    <row r="97" spans="1:8" x14ac:dyDescent="0.25">
      <c r="A97" s="13" t="s">
        <v>823</v>
      </c>
      <c r="B97" s="14">
        <v>7.99</v>
      </c>
      <c r="C97" s="14">
        <v>7.99</v>
      </c>
      <c r="D97" s="14"/>
      <c r="E97" s="14"/>
      <c r="F97" s="14"/>
      <c r="G97" s="14"/>
      <c r="H97" s="14">
        <v>15.98</v>
      </c>
    </row>
    <row r="98" spans="1:8" x14ac:dyDescent="0.25">
      <c r="A98" s="13" t="s">
        <v>837</v>
      </c>
      <c r="B98" s="14"/>
      <c r="C98" s="14"/>
      <c r="D98" s="14"/>
      <c r="E98" s="14"/>
      <c r="F98" s="14">
        <v>13.98</v>
      </c>
      <c r="G98" s="14"/>
      <c r="H98" s="14">
        <v>13.98</v>
      </c>
    </row>
    <row r="99" spans="1:8" x14ac:dyDescent="0.25">
      <c r="A99" s="13" t="s">
        <v>846</v>
      </c>
      <c r="B99" s="14">
        <v>44.95</v>
      </c>
      <c r="C99" s="14">
        <v>53.940000000000005</v>
      </c>
      <c r="D99" s="14">
        <v>35.96</v>
      </c>
      <c r="E99" s="14">
        <v>44.95</v>
      </c>
      <c r="F99" s="14">
        <v>8.99</v>
      </c>
      <c r="G99" s="14">
        <v>8.99</v>
      </c>
      <c r="H99" s="14">
        <v>197.78000000000003</v>
      </c>
    </row>
    <row r="100" spans="1:8" x14ac:dyDescent="0.25">
      <c r="A100" s="13" t="s">
        <v>850</v>
      </c>
      <c r="B100" s="14">
        <v>31.96</v>
      </c>
      <c r="C100" s="14">
        <v>15.98</v>
      </c>
      <c r="D100" s="14">
        <v>15.98</v>
      </c>
      <c r="E100" s="14"/>
      <c r="F100" s="14">
        <v>7.99</v>
      </c>
      <c r="G100" s="14"/>
      <c r="H100" s="14">
        <v>71.91</v>
      </c>
    </row>
    <row r="101" spans="1:8" x14ac:dyDescent="0.25">
      <c r="A101" s="13" t="s">
        <v>854</v>
      </c>
      <c r="B101" s="14">
        <v>8.99</v>
      </c>
      <c r="C101" s="14"/>
      <c r="D101" s="14"/>
      <c r="E101" s="14"/>
      <c r="F101" s="14"/>
      <c r="G101" s="14"/>
      <c r="H101" s="14">
        <v>8.99</v>
      </c>
    </row>
    <row r="102" spans="1:8" x14ac:dyDescent="0.25">
      <c r="A102" s="13" t="s">
        <v>864</v>
      </c>
      <c r="B102" s="14">
        <v>6.99</v>
      </c>
      <c r="C102" s="14"/>
      <c r="D102" s="14">
        <v>6.99</v>
      </c>
      <c r="E102" s="14">
        <v>20.97</v>
      </c>
      <c r="F102" s="14">
        <v>20.97</v>
      </c>
      <c r="G102" s="14"/>
      <c r="H102" s="14">
        <v>55.92</v>
      </c>
    </row>
    <row r="103" spans="1:8" x14ac:dyDescent="0.25">
      <c r="A103" s="13" t="s">
        <v>861</v>
      </c>
      <c r="B103" s="14"/>
      <c r="C103" s="14"/>
      <c r="D103" s="14"/>
      <c r="E103" s="14"/>
      <c r="F103" s="14">
        <v>17.98</v>
      </c>
      <c r="G103" s="14"/>
      <c r="H103" s="14">
        <v>17.98</v>
      </c>
    </row>
    <row r="104" spans="1:8" x14ac:dyDescent="0.25">
      <c r="A104" s="13" t="s">
        <v>871</v>
      </c>
      <c r="B104" s="14"/>
      <c r="C104" s="14"/>
      <c r="D104" s="14">
        <v>4.99</v>
      </c>
      <c r="E104" s="14"/>
      <c r="F104" s="14">
        <v>4.99</v>
      </c>
      <c r="G104" s="14"/>
      <c r="H104" s="14">
        <v>9.98</v>
      </c>
    </row>
    <row r="105" spans="1:8" x14ac:dyDescent="0.25">
      <c r="A105" s="13" t="s">
        <v>874</v>
      </c>
      <c r="B105" s="14"/>
      <c r="C105" s="14">
        <v>17.97</v>
      </c>
      <c r="D105" s="14"/>
      <c r="E105" s="14">
        <v>5.99</v>
      </c>
      <c r="F105" s="14"/>
      <c r="G105" s="14"/>
      <c r="H105" s="14">
        <v>23.96</v>
      </c>
    </row>
    <row r="106" spans="1:8" x14ac:dyDescent="0.25">
      <c r="A106" s="13" t="s">
        <v>877</v>
      </c>
      <c r="B106" s="14">
        <v>143.83999999999997</v>
      </c>
      <c r="C106" s="14">
        <v>98.89</v>
      </c>
      <c r="D106" s="14">
        <v>80.910000000000011</v>
      </c>
      <c r="E106" s="14">
        <v>53.94</v>
      </c>
      <c r="F106" s="14">
        <v>80.91</v>
      </c>
      <c r="G106" s="14"/>
      <c r="H106" s="14">
        <v>458.49</v>
      </c>
    </row>
    <row r="107" spans="1:8" x14ac:dyDescent="0.25">
      <c r="A107" s="13" t="s">
        <v>880</v>
      </c>
      <c r="B107" s="14">
        <v>13.98</v>
      </c>
      <c r="C107" s="14"/>
      <c r="D107" s="14">
        <v>20.97</v>
      </c>
      <c r="E107" s="14">
        <v>20.97</v>
      </c>
      <c r="F107" s="14">
        <v>41.940000000000005</v>
      </c>
      <c r="G107" s="14"/>
      <c r="H107" s="14">
        <v>97.860000000000014</v>
      </c>
    </row>
    <row r="108" spans="1:8" x14ac:dyDescent="0.25">
      <c r="A108" s="13" t="s">
        <v>883</v>
      </c>
      <c r="B108" s="14"/>
      <c r="C108" s="14">
        <v>19.96</v>
      </c>
      <c r="D108" s="14">
        <v>19.96</v>
      </c>
      <c r="E108" s="14">
        <v>4.99</v>
      </c>
      <c r="F108" s="14">
        <v>4.99</v>
      </c>
      <c r="G108" s="14"/>
      <c r="H108" s="14">
        <v>49.900000000000006</v>
      </c>
    </row>
    <row r="109" spans="1:8" x14ac:dyDescent="0.25">
      <c r="A109" s="13" t="s">
        <v>892</v>
      </c>
      <c r="B109" s="14">
        <v>8.99</v>
      </c>
      <c r="C109" s="14">
        <v>8.99</v>
      </c>
      <c r="D109" s="14">
        <v>8.99</v>
      </c>
      <c r="E109" s="14"/>
      <c r="F109" s="14">
        <v>17.98</v>
      </c>
      <c r="G109" s="14"/>
      <c r="H109" s="14">
        <v>44.95</v>
      </c>
    </row>
    <row r="110" spans="1:8" x14ac:dyDescent="0.25">
      <c r="A110" s="13" t="s">
        <v>886</v>
      </c>
      <c r="B110" s="14">
        <v>7.99</v>
      </c>
      <c r="C110" s="14"/>
      <c r="D110" s="14"/>
      <c r="E110" s="14"/>
      <c r="F110" s="14"/>
      <c r="G110" s="14"/>
      <c r="H110" s="14">
        <v>7.99</v>
      </c>
    </row>
    <row r="111" spans="1:8" x14ac:dyDescent="0.25">
      <c r="A111" s="13" t="s">
        <v>889</v>
      </c>
      <c r="B111" s="14"/>
      <c r="C111" s="14"/>
      <c r="D111" s="14">
        <v>5.99</v>
      </c>
      <c r="E111" s="14"/>
      <c r="F111" s="14"/>
      <c r="G111" s="14"/>
      <c r="H111" s="14">
        <v>5.99</v>
      </c>
    </row>
    <row r="112" spans="1:8" x14ac:dyDescent="0.25">
      <c r="A112" s="13" t="s">
        <v>895</v>
      </c>
      <c r="B112" s="14">
        <v>7.99</v>
      </c>
      <c r="C112" s="14"/>
      <c r="D112" s="14"/>
      <c r="E112" s="14"/>
      <c r="F112" s="14"/>
      <c r="G112" s="14"/>
      <c r="H112" s="14">
        <v>7.99</v>
      </c>
    </row>
    <row r="113" spans="1:8" x14ac:dyDescent="0.25">
      <c r="A113" s="13" t="s">
        <v>901</v>
      </c>
      <c r="B113" s="14">
        <v>8.99</v>
      </c>
      <c r="C113" s="14"/>
      <c r="D113" s="14">
        <v>8.99</v>
      </c>
      <c r="E113" s="14"/>
      <c r="F113" s="14"/>
      <c r="G113" s="14"/>
      <c r="H113" s="14">
        <v>17.98</v>
      </c>
    </row>
    <row r="114" spans="1:8" x14ac:dyDescent="0.25">
      <c r="A114" s="13" t="s">
        <v>904</v>
      </c>
      <c r="B114" s="14">
        <v>169.83000000000004</v>
      </c>
      <c r="C114" s="14">
        <v>149.85</v>
      </c>
      <c r="D114" s="14">
        <v>79.92</v>
      </c>
      <c r="E114" s="14">
        <v>89.91</v>
      </c>
      <c r="F114" s="14">
        <v>109.89000000000001</v>
      </c>
      <c r="G114" s="14"/>
      <c r="H114" s="14">
        <v>599.40000000000009</v>
      </c>
    </row>
    <row r="115" spans="1:8" x14ac:dyDescent="0.25">
      <c r="A115" s="13" t="s">
        <v>907</v>
      </c>
      <c r="B115" s="14"/>
      <c r="C115" s="14"/>
      <c r="D115" s="14"/>
      <c r="E115" s="14">
        <v>17.98</v>
      </c>
      <c r="F115" s="14"/>
      <c r="G115" s="14"/>
      <c r="H115" s="14">
        <v>17.98</v>
      </c>
    </row>
    <row r="116" spans="1:8" x14ac:dyDescent="0.25">
      <c r="A116" s="13" t="s">
        <v>914</v>
      </c>
      <c r="B116" s="14">
        <v>107.88</v>
      </c>
      <c r="C116" s="14">
        <v>107.88000000000001</v>
      </c>
      <c r="D116" s="14">
        <v>44.95</v>
      </c>
      <c r="E116" s="14">
        <v>44.95</v>
      </c>
      <c r="F116" s="14">
        <v>116.87</v>
      </c>
      <c r="G116" s="14"/>
      <c r="H116" s="14">
        <v>422.53</v>
      </c>
    </row>
    <row r="117" spans="1:8" x14ac:dyDescent="0.25">
      <c r="A117" s="13" t="s">
        <v>917</v>
      </c>
      <c r="B117" s="14">
        <v>4.99</v>
      </c>
      <c r="C117" s="14">
        <v>29.940000000000005</v>
      </c>
      <c r="D117" s="14">
        <v>4.99</v>
      </c>
      <c r="E117" s="14">
        <v>4.99</v>
      </c>
      <c r="F117" s="14">
        <v>19.96</v>
      </c>
      <c r="G117" s="14"/>
      <c r="H117" s="14">
        <v>64.87</v>
      </c>
    </row>
    <row r="118" spans="1:8" x14ac:dyDescent="0.25">
      <c r="A118" s="13" t="s">
        <v>920</v>
      </c>
      <c r="B118" s="14"/>
      <c r="C118" s="14">
        <v>5.99</v>
      </c>
      <c r="D118" s="14">
        <v>29.950000000000003</v>
      </c>
      <c r="E118" s="14"/>
      <c r="F118" s="14">
        <v>11.98</v>
      </c>
      <c r="G118" s="14">
        <v>5.99</v>
      </c>
      <c r="H118" s="14">
        <v>53.910000000000004</v>
      </c>
    </row>
    <row r="119" spans="1:8" x14ac:dyDescent="0.25">
      <c r="A119" s="13" t="s">
        <v>927</v>
      </c>
      <c r="B119" s="14">
        <v>9.99</v>
      </c>
      <c r="C119" s="14">
        <v>49.95</v>
      </c>
      <c r="D119" s="14">
        <v>49.95</v>
      </c>
      <c r="E119" s="14">
        <v>19.98</v>
      </c>
      <c r="F119" s="14">
        <v>9.99</v>
      </c>
      <c r="G119" s="14"/>
      <c r="H119" s="14">
        <v>139.86000000000001</v>
      </c>
    </row>
    <row r="120" spans="1:8" x14ac:dyDescent="0.25">
      <c r="A120" s="13" t="s">
        <v>934</v>
      </c>
      <c r="B120" s="14"/>
      <c r="C120" s="14">
        <v>5.99</v>
      </c>
      <c r="D120" s="14"/>
      <c r="E120" s="14"/>
      <c r="F120" s="14"/>
      <c r="G120" s="14"/>
      <c r="H120" s="14">
        <v>5.99</v>
      </c>
    </row>
    <row r="121" spans="1:8" x14ac:dyDescent="0.25">
      <c r="A121" s="13" t="s">
        <v>938</v>
      </c>
      <c r="B121" s="14">
        <v>4.99</v>
      </c>
      <c r="C121" s="14"/>
      <c r="D121" s="14"/>
      <c r="E121" s="14"/>
      <c r="F121" s="14"/>
      <c r="G121" s="14"/>
      <c r="H121" s="14">
        <v>4.99</v>
      </c>
    </row>
    <row r="122" spans="1:8" x14ac:dyDescent="0.25">
      <c r="A122" s="13" t="s">
        <v>941</v>
      </c>
      <c r="B122" s="14"/>
      <c r="C122" s="14"/>
      <c r="D122" s="14">
        <v>8.99</v>
      </c>
      <c r="E122" s="14"/>
      <c r="F122" s="14"/>
      <c r="G122" s="14"/>
      <c r="H122" s="14">
        <v>8.99</v>
      </c>
    </row>
    <row r="123" spans="1:8" x14ac:dyDescent="0.25">
      <c r="A123" s="13" t="s">
        <v>945</v>
      </c>
      <c r="B123" s="14">
        <v>79.900000000000006</v>
      </c>
      <c r="C123" s="14">
        <v>95.88</v>
      </c>
      <c r="D123" s="14">
        <v>143.82</v>
      </c>
      <c r="E123" s="14">
        <v>55.930000000000007</v>
      </c>
      <c r="F123" s="14">
        <v>39.950000000000003</v>
      </c>
      <c r="G123" s="14"/>
      <c r="H123" s="14">
        <v>415.48</v>
      </c>
    </row>
    <row r="124" spans="1:8" x14ac:dyDescent="0.25">
      <c r="A124" s="13" t="s">
        <v>948</v>
      </c>
      <c r="B124" s="14"/>
      <c r="C124" s="14"/>
      <c r="D124" s="14"/>
      <c r="E124" s="14">
        <v>4.99</v>
      </c>
      <c r="F124" s="14"/>
      <c r="G124" s="14"/>
      <c r="H124" s="14">
        <v>4.99</v>
      </c>
    </row>
    <row r="125" spans="1:8" x14ac:dyDescent="0.25">
      <c r="A125" s="13" t="s">
        <v>951</v>
      </c>
      <c r="B125" s="14"/>
      <c r="C125" s="14"/>
      <c r="D125" s="14">
        <v>19.98</v>
      </c>
      <c r="E125" s="14">
        <v>19.98</v>
      </c>
      <c r="F125" s="14"/>
      <c r="G125" s="14"/>
      <c r="H125" s="14">
        <v>39.96</v>
      </c>
    </row>
    <row r="126" spans="1:8" x14ac:dyDescent="0.25">
      <c r="A126" s="13" t="s">
        <v>957</v>
      </c>
      <c r="B126" s="14">
        <v>59.900000000000013</v>
      </c>
      <c r="C126" s="14">
        <v>41.93</v>
      </c>
      <c r="D126" s="14">
        <v>23.96</v>
      </c>
      <c r="E126" s="14">
        <v>41.93</v>
      </c>
      <c r="F126" s="14">
        <v>59.900000000000013</v>
      </c>
      <c r="G126" s="14"/>
      <c r="H126" s="14">
        <v>227.62000000000003</v>
      </c>
    </row>
    <row r="127" spans="1:8" x14ac:dyDescent="0.25">
      <c r="A127" s="13" t="s">
        <v>960</v>
      </c>
      <c r="B127" s="14"/>
      <c r="C127" s="14"/>
      <c r="D127" s="14">
        <v>15.98</v>
      </c>
      <c r="E127" s="14">
        <v>7.99</v>
      </c>
      <c r="F127" s="14"/>
      <c r="G127" s="14"/>
      <c r="H127" s="14">
        <v>23.97</v>
      </c>
    </row>
    <row r="128" spans="1:8" x14ac:dyDescent="0.25">
      <c r="A128" s="13" t="s">
        <v>984</v>
      </c>
      <c r="B128" s="14">
        <v>1988.5900000000008</v>
      </c>
      <c r="C128" s="14">
        <v>1917.620000000001</v>
      </c>
      <c r="D128" s="14">
        <v>2016.4600000000014</v>
      </c>
      <c r="E128" s="14">
        <v>1329.3400000000008</v>
      </c>
      <c r="F128" s="14">
        <v>1715.8100000000009</v>
      </c>
      <c r="G128" s="14">
        <v>33.96</v>
      </c>
      <c r="H128" s="14">
        <v>9001.7799999999879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Schema</vt:lpstr>
      <vt:lpstr>customers.rows</vt:lpstr>
      <vt:lpstr>sandwiches.rows</vt:lpstr>
      <vt:lpstr>orders.rows</vt:lpstr>
      <vt:lpstr>order_items.rows</vt:lpstr>
      <vt:lpstr>PivotCustomerSales</vt:lpstr>
      <vt:lpstr>PivotProductsSales</vt:lpstr>
      <vt:lpstr>customers.rows!Column__id</vt:lpstr>
      <vt:lpstr>order_items.rows!Column__id</vt:lpstr>
      <vt:lpstr>orders.rows!Column__id</vt:lpstr>
      <vt:lpstr>sandwiches.rows!Column__id</vt:lpstr>
      <vt:lpstr>customers.rows!Column__ref</vt:lpstr>
      <vt:lpstr>order_items.rows!Column__ref</vt:lpstr>
      <vt:lpstr>orders.rows!Column__ref</vt:lpstr>
      <vt:lpstr>sandwiches.rows!Column__ref</vt:lpstr>
      <vt:lpstr>customers.rows!Column__status</vt:lpstr>
      <vt:lpstr>order_items.rows!Column__status</vt:lpstr>
      <vt:lpstr>orders.rows!Column__status</vt:lpstr>
      <vt:lpstr>sandwiches.rows!Column__status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Kottow</dc:creator>
  <cp:keywords/>
  <dc:description>based on Tim Hall's awesome REST library</dc:description>
  <cp:lastModifiedBy>Kottow, Daniel</cp:lastModifiedBy>
  <cp:revision/>
  <dcterms:created xsi:type="dcterms:W3CDTF">2011-08-25T14:29:57Z</dcterms:created>
  <dcterms:modified xsi:type="dcterms:W3CDTF">2017-01-16T21:04:34Z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seUrl">
    <vt:lpwstr>http://api.donkeylift.com/</vt:lpwstr>
  </property>
</Properties>
</file>