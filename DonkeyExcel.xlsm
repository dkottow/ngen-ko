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kott_000\Documents\donkeylift\"/>
    </mc:Choice>
  </mc:AlternateContent>
  <bookViews>
    <workbookView xWindow="480" yWindow="330" windowWidth="6255" windowHeight="1635" tabRatio="799"/>
  </bookViews>
  <sheets>
    <sheet name="Schema" sheetId="115" r:id="rId1"/>
    <sheet name="sandwiches.rows" sheetId="116" r:id="rId2"/>
    <sheet name="order_items.rows" sheetId="117" r:id="rId3"/>
    <sheet name="Team.rows" sheetId="118" r:id="rId4"/>
    <sheet name="Game.rows" sheetId="119" r:id="rId5"/>
  </sheets>
  <functionGroups builtInGroupCount="18"/>
  <definedNames>
    <definedName name="Column__id" localSheetId="4">Game.rows!$J$1</definedName>
    <definedName name="Column__id" localSheetId="2">order_items.rows!$E$1</definedName>
    <definedName name="Column__id" localSheetId="1">sandwiches.rows!$E$1</definedName>
    <definedName name="Column__id" localSheetId="3">Team.rows!$G$1</definedName>
    <definedName name="Column__mod_by" localSheetId="4">Game.rows!$K$1</definedName>
    <definedName name="Column__mod_on" localSheetId="4">Game.rows!$L$1</definedName>
    <definedName name="Column__ref" localSheetId="4">Game.rows!$D$1</definedName>
    <definedName name="Column__ref" localSheetId="2">order_items.rows!$D$1</definedName>
    <definedName name="Column__ref" localSheetId="1">sandwiches.rows!$D$1</definedName>
    <definedName name="Column__ref" localSheetId="3">Team.rows!$D$1</definedName>
    <definedName name="Column__status" localSheetId="4">Game.rows!$C$1</definedName>
    <definedName name="Column__status" localSheetId="2">order_items.rows!$C$1</definedName>
    <definedName name="Column__status" localSheetId="1">sandwiches.rows!$C$1</definedName>
    <definedName name="Column__status" localSheetId="3">Team.rows!$C$1</definedName>
    <definedName name="Options__sandwich_id" localSheetId="2">sandwiches.rows!$D$2:INDEX(sandwiches.rows!$D:$D,COUNTA(sandwiches.rows!$D:$D))</definedName>
    <definedName name="Options__Team1_id" localSheetId="4">Team.rows!$D$2:INDEX(Team.rows!$D:$D,COUNTA(Team.rows!$D:$D))</definedName>
    <definedName name="Options__Team2_id" localSheetId="4">Team.rows!$D$2:INDEX(Team.rows!$D:$D,COUNTA(Team.rows!$D:$D))</definedName>
  </definedNames>
  <calcPr calcId="152511"/>
</workbook>
</file>

<file path=xl/calcChain.xml><?xml version="1.0" encoding="utf-8"?>
<calcChain xmlns="http://schemas.openxmlformats.org/spreadsheetml/2006/main">
  <c r="C9" i="119" l="1"/>
  <c r="C22" i="118"/>
  <c r="C2002" i="117"/>
  <c r="C176" i="116"/>
  <c r="C4" i="119"/>
  <c r="C5" i="119"/>
  <c r="C8" i="119"/>
  <c r="C7" i="119"/>
  <c r="C3" i="119"/>
  <c r="C6" i="119"/>
  <c r="C2" i="119"/>
  <c r="C20" i="118"/>
  <c r="C16" i="118"/>
  <c r="C12" i="118"/>
  <c r="C8" i="118"/>
  <c r="C4" i="118"/>
  <c r="C17" i="118"/>
  <c r="C9" i="118"/>
  <c r="C19" i="118"/>
  <c r="C15" i="118"/>
  <c r="C11" i="118"/>
  <c r="C7" i="118"/>
  <c r="C3" i="118"/>
  <c r="C18" i="118"/>
  <c r="C14" i="118"/>
  <c r="C10" i="118"/>
  <c r="C6" i="118"/>
  <c r="C2" i="118"/>
  <c r="C21" i="118"/>
  <c r="C13" i="118"/>
  <c r="C5" i="118"/>
  <c r="C1998" i="117"/>
  <c r="C1994" i="117"/>
  <c r="C1990" i="117"/>
  <c r="C1986" i="117"/>
  <c r="C1982" i="117"/>
  <c r="C1978" i="117"/>
  <c r="C1974" i="117"/>
  <c r="C1970" i="117"/>
  <c r="C1966" i="117"/>
  <c r="C1962" i="117"/>
  <c r="C1958" i="117"/>
  <c r="C1954" i="117"/>
  <c r="C1950" i="117"/>
  <c r="C1946" i="117"/>
  <c r="C1942" i="117"/>
  <c r="C1938" i="117"/>
  <c r="C1934" i="117"/>
  <c r="C1930" i="117"/>
  <c r="C1926" i="117"/>
  <c r="C1922" i="117"/>
  <c r="C1918" i="117"/>
  <c r="C1914" i="117"/>
  <c r="C1910" i="117"/>
  <c r="C1906" i="117"/>
  <c r="C1902" i="117"/>
  <c r="C1898" i="117"/>
  <c r="C1894" i="117"/>
  <c r="C1890" i="117"/>
  <c r="C1886" i="117"/>
  <c r="C1882" i="117"/>
  <c r="C1878" i="117"/>
  <c r="C1874" i="117"/>
  <c r="C1870" i="117"/>
  <c r="C1866" i="117"/>
  <c r="C1862" i="117"/>
  <c r="C1858" i="117"/>
  <c r="C1854" i="117"/>
  <c r="C1850" i="117"/>
  <c r="C1846" i="117"/>
  <c r="C1842" i="117"/>
  <c r="C1838" i="117"/>
  <c r="C1834" i="117"/>
  <c r="C1830" i="117"/>
  <c r="C1826" i="117"/>
  <c r="C1822" i="117"/>
  <c r="C1818" i="117"/>
  <c r="C1814" i="117"/>
  <c r="C1810" i="117"/>
  <c r="C1806" i="117"/>
  <c r="C1802" i="117"/>
  <c r="C1798" i="117"/>
  <c r="C1794" i="117"/>
  <c r="C1790" i="117"/>
  <c r="C1786" i="117"/>
  <c r="C1782" i="117"/>
  <c r="C1778" i="117"/>
  <c r="C1774" i="117"/>
  <c r="C1770" i="117"/>
  <c r="C1766" i="117"/>
  <c r="C1762" i="117"/>
  <c r="C1758" i="117"/>
  <c r="C1754" i="117"/>
  <c r="C1750" i="117"/>
  <c r="C1746" i="117"/>
  <c r="C1742" i="117"/>
  <c r="C1738" i="117"/>
  <c r="C1734" i="117"/>
  <c r="C1730" i="117"/>
  <c r="C1726" i="117"/>
  <c r="C1722" i="117"/>
  <c r="C1718" i="117"/>
  <c r="C1714" i="117"/>
  <c r="C1710" i="117"/>
  <c r="C1706" i="117"/>
  <c r="C1702" i="117"/>
  <c r="C1698" i="117"/>
  <c r="C1694" i="117"/>
  <c r="C1690" i="117"/>
  <c r="C1686" i="117"/>
  <c r="C1682" i="117"/>
  <c r="C1678" i="117"/>
  <c r="C1674" i="117"/>
  <c r="C1670" i="117"/>
  <c r="C1666" i="117"/>
  <c r="C1662" i="117"/>
  <c r="C1658" i="117"/>
  <c r="C1654" i="117"/>
  <c r="C1650" i="117"/>
  <c r="C1646" i="117"/>
  <c r="C1642" i="117"/>
  <c r="C1638" i="117"/>
  <c r="C1634" i="117"/>
  <c r="C1630" i="117"/>
  <c r="C1626" i="117"/>
  <c r="C1622" i="117"/>
  <c r="C1618" i="117"/>
  <c r="C1614" i="117"/>
  <c r="C1610" i="117"/>
  <c r="C1606" i="117"/>
  <c r="C1602" i="117"/>
  <c r="C1598" i="117"/>
  <c r="C1594" i="117"/>
  <c r="C1590" i="117"/>
  <c r="C1586" i="117"/>
  <c r="C1582" i="117"/>
  <c r="C1578" i="117"/>
  <c r="C1574" i="117"/>
  <c r="C1570" i="117"/>
  <c r="C1566" i="117"/>
  <c r="C1562" i="117"/>
  <c r="C1558" i="117"/>
  <c r="C1554" i="117"/>
  <c r="C1550" i="117"/>
  <c r="C1546" i="117"/>
  <c r="C1542" i="117"/>
  <c r="C1538" i="117"/>
  <c r="C1534" i="117"/>
  <c r="C1530" i="117"/>
  <c r="C1526" i="117"/>
  <c r="C1522" i="117"/>
  <c r="C1518" i="117"/>
  <c r="C1514" i="117"/>
  <c r="C1510" i="117"/>
  <c r="C1506" i="117"/>
  <c r="C1502" i="117"/>
  <c r="C1498" i="117"/>
  <c r="C1494" i="117"/>
  <c r="C2001" i="117"/>
  <c r="C1997" i="117"/>
  <c r="C1993" i="117"/>
  <c r="C1989" i="117"/>
  <c r="C1985" i="117"/>
  <c r="C1981" i="117"/>
  <c r="C1977" i="117"/>
  <c r="C1973" i="117"/>
  <c r="C1969" i="117"/>
  <c r="C1965" i="117"/>
  <c r="C1961" i="117"/>
  <c r="C1957" i="117"/>
  <c r="C1953" i="117"/>
  <c r="C1949" i="117"/>
  <c r="C1945" i="117"/>
  <c r="C1941" i="117"/>
  <c r="C1937" i="117"/>
  <c r="C1933" i="117"/>
  <c r="C1929" i="117"/>
  <c r="C1925" i="117"/>
  <c r="C1921" i="117"/>
  <c r="C1917" i="117"/>
  <c r="C1913" i="117"/>
  <c r="C1909" i="117"/>
  <c r="C1905" i="117"/>
  <c r="C1901" i="117"/>
  <c r="C1897" i="117"/>
  <c r="C1893" i="117"/>
  <c r="C1889" i="117"/>
  <c r="C1885" i="117"/>
  <c r="C1881" i="117"/>
  <c r="C1877" i="117"/>
  <c r="C1873" i="117"/>
  <c r="C1869" i="117"/>
  <c r="C1865" i="117"/>
  <c r="C1861" i="117"/>
  <c r="C1857" i="117"/>
  <c r="C1853" i="117"/>
  <c r="C1849" i="117"/>
  <c r="C1845" i="117"/>
  <c r="C1841" i="117"/>
  <c r="C1837" i="117"/>
  <c r="C1833" i="117"/>
  <c r="C1829" i="117"/>
  <c r="C1825" i="117"/>
  <c r="C1821" i="117"/>
  <c r="C1817" i="117"/>
  <c r="C1813" i="117"/>
  <c r="C1809" i="117"/>
  <c r="C1805" i="117"/>
  <c r="C1801" i="117"/>
  <c r="C1797" i="117"/>
  <c r="C1793" i="117"/>
  <c r="C1789" i="117"/>
  <c r="C1785" i="117"/>
  <c r="C1781" i="117"/>
  <c r="C1777" i="117"/>
  <c r="C1773" i="117"/>
  <c r="C1769" i="117"/>
  <c r="C1765" i="117"/>
  <c r="C1761" i="117"/>
  <c r="C1757" i="117"/>
  <c r="C1753" i="117"/>
  <c r="C1749" i="117"/>
  <c r="C1745" i="117"/>
  <c r="C1741" i="117"/>
  <c r="C1737" i="117"/>
  <c r="C1733" i="117"/>
  <c r="C1729" i="117"/>
  <c r="C1725" i="117"/>
  <c r="C1721" i="117"/>
  <c r="C2000" i="117"/>
  <c r="C1992" i="117"/>
  <c r="C1984" i="117"/>
  <c r="C1976" i="117"/>
  <c r="C1968" i="117"/>
  <c r="C1960" i="117"/>
  <c r="C1952" i="117"/>
  <c r="C1944" i="117"/>
  <c r="C1936" i="117"/>
  <c r="C1928" i="117"/>
  <c r="C1920" i="117"/>
  <c r="C1912" i="117"/>
  <c r="C1904" i="117"/>
  <c r="C1896" i="117"/>
  <c r="C1888" i="117"/>
  <c r="C1880" i="117"/>
  <c r="C1872" i="117"/>
  <c r="C1864" i="117"/>
  <c r="C1856" i="117"/>
  <c r="C1848" i="117"/>
  <c r="C1840" i="117"/>
  <c r="C1832" i="117"/>
  <c r="C1824" i="117"/>
  <c r="C1816" i="117"/>
  <c r="C1808" i="117"/>
  <c r="C1800" i="117"/>
  <c r="C1792" i="117"/>
  <c r="C1784" i="117"/>
  <c r="C1776" i="117"/>
  <c r="C1768" i="117"/>
  <c r="C1760" i="117"/>
  <c r="C1752" i="117"/>
  <c r="C1744" i="117"/>
  <c r="C1736" i="117"/>
  <c r="C1728" i="117"/>
  <c r="C1720" i="117"/>
  <c r="C1715" i="117"/>
  <c r="C1709" i="117"/>
  <c r="C1704" i="117"/>
  <c r="C1699" i="117"/>
  <c r="C1693" i="117"/>
  <c r="C1688" i="117"/>
  <c r="C1683" i="117"/>
  <c r="C1677" i="117"/>
  <c r="C1672" i="117"/>
  <c r="C1667" i="117"/>
  <c r="C1661" i="117"/>
  <c r="C1656" i="117"/>
  <c r="C1651" i="117"/>
  <c r="C1645" i="117"/>
  <c r="C1640" i="117"/>
  <c r="C1635" i="117"/>
  <c r="C1629" i="117"/>
  <c r="C1624" i="117"/>
  <c r="C1619" i="117"/>
  <c r="C1613" i="117"/>
  <c r="C1608" i="117"/>
  <c r="C1603" i="117"/>
  <c r="C1597" i="117"/>
  <c r="C1592" i="117"/>
  <c r="C1587" i="117"/>
  <c r="C1581" i="117"/>
  <c r="C1576" i="117"/>
  <c r="C1571" i="117"/>
  <c r="C1565" i="117"/>
  <c r="C1560" i="117"/>
  <c r="C1555" i="117"/>
  <c r="C1549" i="117"/>
  <c r="C1544" i="117"/>
  <c r="C1539" i="117"/>
  <c r="C1533" i="117"/>
  <c r="C1528" i="117"/>
  <c r="C1523" i="117"/>
  <c r="C1517" i="117"/>
  <c r="C1512" i="117"/>
  <c r="C1507" i="117"/>
  <c r="C1501" i="117"/>
  <c r="C1496" i="117"/>
  <c r="C1491" i="117"/>
  <c r="C1487" i="117"/>
  <c r="C1483" i="117"/>
  <c r="C1479" i="117"/>
  <c r="C1475" i="117"/>
  <c r="C1471" i="117"/>
  <c r="C1467" i="117"/>
  <c r="C1463" i="117"/>
  <c r="C1459" i="117"/>
  <c r="C1455" i="117"/>
  <c r="C1451" i="117"/>
  <c r="C1447" i="117"/>
  <c r="C1443" i="117"/>
  <c r="C1439" i="117"/>
  <c r="C1435" i="117"/>
  <c r="C1431" i="117"/>
  <c r="C1427" i="117"/>
  <c r="C1423" i="117"/>
  <c r="C1419" i="117"/>
  <c r="C1415" i="117"/>
  <c r="C1411" i="117"/>
  <c r="C1407" i="117"/>
  <c r="C1403" i="117"/>
  <c r="C1399" i="117"/>
  <c r="C1395" i="117"/>
  <c r="C1391" i="117"/>
  <c r="C1387" i="117"/>
  <c r="C1383" i="117"/>
  <c r="C1379" i="117"/>
  <c r="C1375" i="117"/>
  <c r="C1371" i="117"/>
  <c r="C1367" i="117"/>
  <c r="C1363" i="117"/>
  <c r="C1359" i="117"/>
  <c r="C1355" i="117"/>
  <c r="C1351" i="117"/>
  <c r="C1347" i="117"/>
  <c r="C1343" i="117"/>
  <c r="C1339" i="117"/>
  <c r="C1335" i="117"/>
  <c r="C1331" i="117"/>
  <c r="C1327" i="117"/>
  <c r="C1323" i="117"/>
  <c r="C1319" i="117"/>
  <c r="C1315" i="117"/>
  <c r="C1311" i="117"/>
  <c r="C1307" i="117"/>
  <c r="C1303" i="117"/>
  <c r="C1299" i="117"/>
  <c r="C1295" i="117"/>
  <c r="C1291" i="117"/>
  <c r="C1287" i="117"/>
  <c r="C1283" i="117"/>
  <c r="C1279" i="117"/>
  <c r="C1275" i="117"/>
  <c r="C1271" i="117"/>
  <c r="C1999" i="117"/>
  <c r="C1991" i="117"/>
  <c r="C1983" i="117"/>
  <c r="C1975" i="117"/>
  <c r="C1967" i="117"/>
  <c r="C1959" i="117"/>
  <c r="C1951" i="117"/>
  <c r="C1943" i="117"/>
  <c r="C1935" i="117"/>
  <c r="C1927" i="117"/>
  <c r="C1919" i="117"/>
  <c r="C1911" i="117"/>
  <c r="C1903" i="117"/>
  <c r="C1895" i="117"/>
  <c r="C1887" i="117"/>
  <c r="C1879" i="117"/>
  <c r="C1871" i="117"/>
  <c r="C1863" i="117"/>
  <c r="C1855" i="117"/>
  <c r="C1847" i="117"/>
  <c r="C1839" i="117"/>
  <c r="C1831" i="117"/>
  <c r="C1823" i="117"/>
  <c r="C1815" i="117"/>
  <c r="C1807" i="117"/>
  <c r="C1799" i="117"/>
  <c r="C1791" i="117"/>
  <c r="C1783" i="117"/>
  <c r="C1775" i="117"/>
  <c r="C1767" i="117"/>
  <c r="C1759" i="117"/>
  <c r="C1751" i="117"/>
  <c r="C1743" i="117"/>
  <c r="C1735" i="117"/>
  <c r="C1727" i="117"/>
  <c r="C1719" i="117"/>
  <c r="C1713" i="117"/>
  <c r="C1708" i="117"/>
  <c r="C1703" i="117"/>
  <c r="C1697" i="117"/>
  <c r="C1692" i="117"/>
  <c r="C1687" i="117"/>
  <c r="C1681" i="117"/>
  <c r="C1676" i="117"/>
  <c r="C1671" i="117"/>
  <c r="C1665" i="117"/>
  <c r="C1660" i="117"/>
  <c r="C1655" i="117"/>
  <c r="C1649" i="117"/>
  <c r="C1644" i="117"/>
  <c r="C1639" i="117"/>
  <c r="C1633" i="117"/>
  <c r="C1628" i="117"/>
  <c r="C1623" i="117"/>
  <c r="C1617" i="117"/>
  <c r="C1612" i="117"/>
  <c r="C1607" i="117"/>
  <c r="C1601" i="117"/>
  <c r="C1596" i="117"/>
  <c r="C1591" i="117"/>
  <c r="C1585" i="117"/>
  <c r="C1580" i="117"/>
  <c r="C1575" i="117"/>
  <c r="C1569" i="117"/>
  <c r="C1564" i="117"/>
  <c r="C1559" i="117"/>
  <c r="C1553" i="117"/>
  <c r="C1548" i="117"/>
  <c r="C1543" i="117"/>
  <c r="C1537" i="117"/>
  <c r="C1532" i="117"/>
  <c r="C1527" i="117"/>
  <c r="C1521" i="117"/>
  <c r="C1516" i="117"/>
  <c r="C1511" i="117"/>
  <c r="C1505" i="117"/>
  <c r="C1500" i="117"/>
  <c r="C1495" i="117"/>
  <c r="C1490" i="117"/>
  <c r="C1486" i="117"/>
  <c r="C1482" i="117"/>
  <c r="C1478" i="117"/>
  <c r="C1474" i="117"/>
  <c r="C1470" i="117"/>
  <c r="C1466" i="117"/>
  <c r="C1462" i="117"/>
  <c r="C1458" i="117"/>
  <c r="C1454" i="117"/>
  <c r="C1450" i="117"/>
  <c r="C1446" i="117"/>
  <c r="C1442" i="117"/>
  <c r="C1438" i="117"/>
  <c r="C1434" i="117"/>
  <c r="C1430" i="117"/>
  <c r="C1426" i="117"/>
  <c r="C1422" i="117"/>
  <c r="C1418" i="117"/>
  <c r="C1414" i="117"/>
  <c r="C1410" i="117"/>
  <c r="C1406" i="117"/>
  <c r="C1402" i="117"/>
  <c r="C1398" i="117"/>
  <c r="C1394" i="117"/>
  <c r="C1390" i="117"/>
  <c r="C1386" i="117"/>
  <c r="C1382" i="117"/>
  <c r="C1378" i="117"/>
  <c r="C1374" i="117"/>
  <c r="C1370" i="117"/>
  <c r="C1366" i="117"/>
  <c r="C1362" i="117"/>
  <c r="C1358" i="117"/>
  <c r="C1354" i="117"/>
  <c r="C1350" i="117"/>
  <c r="C1346" i="117"/>
  <c r="C1342" i="117"/>
  <c r="C1338" i="117"/>
  <c r="C1334" i="117"/>
  <c r="C1330" i="117"/>
  <c r="C1326" i="117"/>
  <c r="C1322" i="117"/>
  <c r="C1318" i="117"/>
  <c r="C1314" i="117"/>
  <c r="C1310" i="117"/>
  <c r="C1306" i="117"/>
  <c r="C1302" i="117"/>
  <c r="C1298" i="117"/>
  <c r="C1996" i="117"/>
  <c r="C1980" i="117"/>
  <c r="C1964" i="117"/>
  <c r="C1948" i="117"/>
  <c r="C1932" i="117"/>
  <c r="C1916" i="117"/>
  <c r="C1900" i="117"/>
  <c r="C1884" i="117"/>
  <c r="C1868" i="117"/>
  <c r="C1852" i="117"/>
  <c r="C1836" i="117"/>
  <c r="C1820" i="117"/>
  <c r="C1804" i="117"/>
  <c r="C1788" i="117"/>
  <c r="C1772" i="117"/>
  <c r="C1756" i="117"/>
  <c r="C1740" i="117"/>
  <c r="C1724" i="117"/>
  <c r="C1712" i="117"/>
  <c r="C1701" i="117"/>
  <c r="C1691" i="117"/>
  <c r="C1680" i="117"/>
  <c r="C1669" i="117"/>
  <c r="C1659" i="117"/>
  <c r="C1648" i="117"/>
  <c r="C1637" i="117"/>
  <c r="C1627" i="117"/>
  <c r="C1616" i="117"/>
  <c r="C1605" i="117"/>
  <c r="C1595" i="117"/>
  <c r="C1584" i="117"/>
  <c r="C1573" i="117"/>
  <c r="C1563" i="117"/>
  <c r="C1552" i="117"/>
  <c r="C1541" i="117"/>
  <c r="C1531" i="117"/>
  <c r="C1520" i="117"/>
  <c r="C1509" i="117"/>
  <c r="C1499" i="117"/>
  <c r="C1489" i="117"/>
  <c r="C1481" i="117"/>
  <c r="C1473" i="117"/>
  <c r="C1465" i="117"/>
  <c r="C1457" i="117"/>
  <c r="C1449" i="117"/>
  <c r="C1441" i="117"/>
  <c r="C1433" i="117"/>
  <c r="C1425" i="117"/>
  <c r="C1417" i="117"/>
  <c r="C1409" i="117"/>
  <c r="C1401" i="117"/>
  <c r="C1393" i="117"/>
  <c r="C1385" i="117"/>
  <c r="C1377" i="117"/>
  <c r="C1369" i="117"/>
  <c r="C1361" i="117"/>
  <c r="C1353" i="117"/>
  <c r="C1345" i="117"/>
  <c r="C1337" i="117"/>
  <c r="C1329" i="117"/>
  <c r="C1321" i="117"/>
  <c r="C1313" i="117"/>
  <c r="C1305" i="117"/>
  <c r="C1297" i="117"/>
  <c r="C1292" i="117"/>
  <c r="C1286" i="117"/>
  <c r="C1281" i="117"/>
  <c r="C1276" i="117"/>
  <c r="C1270" i="117"/>
  <c r="C1266" i="117"/>
  <c r="C1262" i="117"/>
  <c r="C1258" i="117"/>
  <c r="C1254" i="117"/>
  <c r="C1250" i="117"/>
  <c r="C1246" i="117"/>
  <c r="C1242" i="117"/>
  <c r="C1238" i="117"/>
  <c r="C1234" i="117"/>
  <c r="C1230" i="117"/>
  <c r="C1226" i="117"/>
  <c r="C1222" i="117"/>
  <c r="C1218" i="117"/>
  <c r="C1214" i="117"/>
  <c r="C1210" i="117"/>
  <c r="C1206" i="117"/>
  <c r="C1202" i="117"/>
  <c r="C1198" i="117"/>
  <c r="C1194" i="117"/>
  <c r="C1190" i="117"/>
  <c r="C1186" i="117"/>
  <c r="C1182" i="117"/>
  <c r="C1178" i="117"/>
  <c r="C1174" i="117"/>
  <c r="C1170" i="117"/>
  <c r="C1166" i="117"/>
  <c r="C1162" i="117"/>
  <c r="C1158" i="117"/>
  <c r="C1154" i="117"/>
  <c r="C1150" i="117"/>
  <c r="C1146" i="117"/>
  <c r="C1142" i="117"/>
  <c r="C1138" i="117"/>
  <c r="C1134" i="117"/>
  <c r="C1130" i="117"/>
  <c r="C1126" i="117"/>
  <c r="C1122" i="117"/>
  <c r="C1118" i="117"/>
  <c r="C1114" i="117"/>
  <c r="C1110" i="117"/>
  <c r="C1106" i="117"/>
  <c r="C1102" i="117"/>
  <c r="C1098" i="117"/>
  <c r="C1094" i="117"/>
  <c r="C1090" i="117"/>
  <c r="C1086" i="117"/>
  <c r="C1082" i="117"/>
  <c r="C1078" i="117"/>
  <c r="C1074" i="117"/>
  <c r="C1070" i="117"/>
  <c r="C1066" i="117"/>
  <c r="C1062" i="117"/>
  <c r="C1058" i="117"/>
  <c r="C1054" i="117"/>
  <c r="C1050" i="117"/>
  <c r="C1046" i="117"/>
  <c r="C1042" i="117"/>
  <c r="C1038" i="117"/>
  <c r="C1034" i="117"/>
  <c r="C1030" i="117"/>
  <c r="C1026" i="117"/>
  <c r="C1022" i="117"/>
  <c r="C1018" i="117"/>
  <c r="C1014" i="117"/>
  <c r="C1010" i="117"/>
  <c r="C1006" i="117"/>
  <c r="C1002" i="117"/>
  <c r="C1796" i="117"/>
  <c r="C1707" i="117"/>
  <c r="C1675" i="117"/>
  <c r="C1643" i="117"/>
  <c r="C1600" i="117"/>
  <c r="C1568" i="117"/>
  <c r="C1547" i="117"/>
  <c r="C1504" i="117"/>
  <c r="C1477" i="117"/>
  <c r="C1453" i="117"/>
  <c r="C1429" i="117"/>
  <c r="C1405" i="117"/>
  <c r="C1381" i="117"/>
  <c r="C1357" i="117"/>
  <c r="C1333" i="117"/>
  <c r="C1309" i="117"/>
  <c r="C1289" i="117"/>
  <c r="C1273" i="117"/>
  <c r="C1260" i="117"/>
  <c r="C1248" i="117"/>
  <c r="C1236" i="117"/>
  <c r="C1224" i="117"/>
  <c r="C1212" i="117"/>
  <c r="C1196" i="117"/>
  <c r="C1180" i="117"/>
  <c r="C1168" i="117"/>
  <c r="C1156" i="117"/>
  <c r="C1144" i="117"/>
  <c r="C1132" i="117"/>
  <c r="C1124" i="117"/>
  <c r="C1112" i="117"/>
  <c r="C1100" i="117"/>
  <c r="C1088" i="117"/>
  <c r="C1076" i="117"/>
  <c r="C1064" i="117"/>
  <c r="C1052" i="117"/>
  <c r="C1040" i="117"/>
  <c r="C1028" i="117"/>
  <c r="C1016" i="117"/>
  <c r="C1987" i="117"/>
  <c r="C1939" i="117"/>
  <c r="C1891" i="117"/>
  <c r="C1843" i="117"/>
  <c r="C1795" i="117"/>
  <c r="C1747" i="117"/>
  <c r="C1705" i="117"/>
  <c r="C1673" i="117"/>
  <c r="C1641" i="117"/>
  <c r="C1609" i="117"/>
  <c r="C1577" i="117"/>
  <c r="C1545" i="117"/>
  <c r="C1513" i="117"/>
  <c r="C1484" i="117"/>
  <c r="C1460" i="117"/>
  <c r="C1436" i="117"/>
  <c r="C1412" i="117"/>
  <c r="C1388" i="117"/>
  <c r="C1364" i="117"/>
  <c r="C1340" i="117"/>
  <c r="C1316" i="117"/>
  <c r="C1293" i="117"/>
  <c r="C1277" i="117"/>
  <c r="C1263" i="117"/>
  <c r="C1251" i="117"/>
  <c r="C1239" i="117"/>
  <c r="C1227" i="117"/>
  <c r="C1215" i="117"/>
  <c r="C1203" i="117"/>
  <c r="C1187" i="117"/>
  <c r="C1175" i="117"/>
  <c r="C1163" i="117"/>
  <c r="C1151" i="117"/>
  <c r="C1139" i="117"/>
  <c r="C1127" i="117"/>
  <c r="C1115" i="117"/>
  <c r="C1103" i="117"/>
  <c r="C1091" i="117"/>
  <c r="C1079" i="117"/>
  <c r="C1067" i="117"/>
  <c r="C1055" i="117"/>
  <c r="C1043" i="117"/>
  <c r="C1027" i="117"/>
  <c r="C1015" i="117"/>
  <c r="C1003" i="117"/>
  <c r="C1995" i="117"/>
  <c r="C1979" i="117"/>
  <c r="C1963" i="117"/>
  <c r="C1947" i="117"/>
  <c r="C1931" i="117"/>
  <c r="C1915" i="117"/>
  <c r="C1899" i="117"/>
  <c r="C1883" i="117"/>
  <c r="C1867" i="117"/>
  <c r="C1851" i="117"/>
  <c r="C1835" i="117"/>
  <c r="C1819" i="117"/>
  <c r="C1803" i="117"/>
  <c r="C1787" i="117"/>
  <c r="C1771" i="117"/>
  <c r="C1755" i="117"/>
  <c r="C1739" i="117"/>
  <c r="C1723" i="117"/>
  <c r="C1711" i="117"/>
  <c r="C1700" i="117"/>
  <c r="C1689" i="117"/>
  <c r="C1679" i="117"/>
  <c r="C1668" i="117"/>
  <c r="C1657" i="117"/>
  <c r="C1647" i="117"/>
  <c r="C1636" i="117"/>
  <c r="C1625" i="117"/>
  <c r="C1615" i="117"/>
  <c r="C1604" i="117"/>
  <c r="C1593" i="117"/>
  <c r="C1583" i="117"/>
  <c r="C1572" i="117"/>
  <c r="C1561" i="117"/>
  <c r="C1551" i="117"/>
  <c r="C1540" i="117"/>
  <c r="C1529" i="117"/>
  <c r="C1519" i="117"/>
  <c r="C1508" i="117"/>
  <c r="C1497" i="117"/>
  <c r="C1488" i="117"/>
  <c r="C1480" i="117"/>
  <c r="C1472" i="117"/>
  <c r="C1464" i="117"/>
  <c r="C1456" i="117"/>
  <c r="C1448" i="117"/>
  <c r="C1440" i="117"/>
  <c r="C1432" i="117"/>
  <c r="C1424" i="117"/>
  <c r="C1416" i="117"/>
  <c r="C1408" i="117"/>
  <c r="C1400" i="117"/>
  <c r="C1392" i="117"/>
  <c r="C1384" i="117"/>
  <c r="C1376" i="117"/>
  <c r="C1368" i="117"/>
  <c r="C1360" i="117"/>
  <c r="C1352" i="117"/>
  <c r="C1344" i="117"/>
  <c r="C1336" i="117"/>
  <c r="C1328" i="117"/>
  <c r="C1320" i="117"/>
  <c r="C1312" i="117"/>
  <c r="C1304" i="117"/>
  <c r="C1296" i="117"/>
  <c r="C1290" i="117"/>
  <c r="C1285" i="117"/>
  <c r="C1280" i="117"/>
  <c r="C1274" i="117"/>
  <c r="C1269" i="117"/>
  <c r="C1265" i="117"/>
  <c r="C1261" i="117"/>
  <c r="C1257" i="117"/>
  <c r="C1253" i="117"/>
  <c r="C1249" i="117"/>
  <c r="C1245" i="117"/>
  <c r="C1241" i="117"/>
  <c r="C1237" i="117"/>
  <c r="C1233" i="117"/>
  <c r="C1229" i="117"/>
  <c r="C1225" i="117"/>
  <c r="C1221" i="117"/>
  <c r="C1217" i="117"/>
  <c r="C1213" i="117"/>
  <c r="C1209" i="117"/>
  <c r="C1205" i="117"/>
  <c r="C1201" i="117"/>
  <c r="C1197" i="117"/>
  <c r="C1193" i="117"/>
  <c r="C1189" i="117"/>
  <c r="C1185" i="117"/>
  <c r="C1181" i="117"/>
  <c r="C1177" i="117"/>
  <c r="C1173" i="117"/>
  <c r="C1169" i="117"/>
  <c r="C1165" i="117"/>
  <c r="C1161" i="117"/>
  <c r="C1157" i="117"/>
  <c r="C1153" i="117"/>
  <c r="C1149" i="117"/>
  <c r="C1145" i="117"/>
  <c r="C1141" i="117"/>
  <c r="C1137" i="117"/>
  <c r="C1133" i="117"/>
  <c r="C1129" i="117"/>
  <c r="C1125" i="117"/>
  <c r="C1121" i="117"/>
  <c r="C1117" i="117"/>
  <c r="C1113" i="117"/>
  <c r="C1109" i="117"/>
  <c r="C1105" i="117"/>
  <c r="C1101" i="117"/>
  <c r="C1097" i="117"/>
  <c r="C1093" i="117"/>
  <c r="C1089" i="117"/>
  <c r="C1085" i="117"/>
  <c r="C1081" i="117"/>
  <c r="C1077" i="117"/>
  <c r="C1073" i="117"/>
  <c r="C1069" i="117"/>
  <c r="C1065" i="117"/>
  <c r="C1061" i="117"/>
  <c r="C1057" i="117"/>
  <c r="C1053" i="117"/>
  <c r="C1049" i="117"/>
  <c r="C1045" i="117"/>
  <c r="C1041" i="117"/>
  <c r="C1037" i="117"/>
  <c r="C1033" i="117"/>
  <c r="C1029" i="117"/>
  <c r="C1025" i="117"/>
  <c r="C1021" i="117"/>
  <c r="C1017" i="117"/>
  <c r="C1013" i="117"/>
  <c r="C1009" i="117"/>
  <c r="C1005" i="117"/>
  <c r="C1828" i="117"/>
  <c r="C1748" i="117"/>
  <c r="C1717" i="117"/>
  <c r="C1696" i="117"/>
  <c r="C1664" i="117"/>
  <c r="C1632" i="117"/>
  <c r="C1611" i="117"/>
  <c r="C1579" i="117"/>
  <c r="C1536" i="117"/>
  <c r="C1515" i="117"/>
  <c r="C1485" i="117"/>
  <c r="C1461" i="117"/>
  <c r="C1437" i="117"/>
  <c r="C1413" i="117"/>
  <c r="C1389" i="117"/>
  <c r="C1365" i="117"/>
  <c r="C1341" i="117"/>
  <c r="C1317" i="117"/>
  <c r="C1294" i="117"/>
  <c r="C1278" i="117"/>
  <c r="C1264" i="117"/>
  <c r="C1252" i="117"/>
  <c r="C1240" i="117"/>
  <c r="C1228" i="117"/>
  <c r="C1216" i="117"/>
  <c r="C1204" i="117"/>
  <c r="C1192" i="117"/>
  <c r="C1188" i="117"/>
  <c r="C1176" i="117"/>
  <c r="C1164" i="117"/>
  <c r="C1152" i="117"/>
  <c r="C1140" i="117"/>
  <c r="C1128" i="117"/>
  <c r="C1116" i="117"/>
  <c r="C1104" i="117"/>
  <c r="C1092" i="117"/>
  <c r="C1080" i="117"/>
  <c r="C1068" i="117"/>
  <c r="C1056" i="117"/>
  <c r="C1044" i="117"/>
  <c r="C1032" i="117"/>
  <c r="C1020" i="117"/>
  <c r="C1008" i="117"/>
  <c r="C1971" i="117"/>
  <c r="C1923" i="117"/>
  <c r="C1875" i="117"/>
  <c r="C1827" i="117"/>
  <c r="C1779" i="117"/>
  <c r="C1731" i="117"/>
  <c r="C1695" i="117"/>
  <c r="C1663" i="117"/>
  <c r="C1620" i="117"/>
  <c r="C1588" i="117"/>
  <c r="C1556" i="117"/>
  <c r="C1524" i="117"/>
  <c r="C1503" i="117"/>
  <c r="C1476" i="117"/>
  <c r="C1452" i="117"/>
  <c r="C1428" i="117"/>
  <c r="C1404" i="117"/>
  <c r="C1380" i="117"/>
  <c r="C1356" i="117"/>
  <c r="C1332" i="117"/>
  <c r="C1308" i="117"/>
  <c r="C1288" i="117"/>
  <c r="C1272" i="117"/>
  <c r="C1267" i="117"/>
  <c r="C1255" i="117"/>
  <c r="C1243" i="117"/>
  <c r="C1231" i="117"/>
  <c r="C1219" i="117"/>
  <c r="C1207" i="117"/>
  <c r="C1195" i="117"/>
  <c r="C1183" i="117"/>
  <c r="C1171" i="117"/>
  <c r="C1159" i="117"/>
  <c r="C1147" i="117"/>
  <c r="C1135" i="117"/>
  <c r="C1123" i="117"/>
  <c r="C1111" i="117"/>
  <c r="C1099" i="117"/>
  <c r="C1087" i="117"/>
  <c r="C1075" i="117"/>
  <c r="C1063" i="117"/>
  <c r="C1051" i="117"/>
  <c r="C1039" i="117"/>
  <c r="C1031" i="117"/>
  <c r="C1019" i="117"/>
  <c r="C1007" i="117"/>
  <c r="C1988" i="117"/>
  <c r="C1972" i="117"/>
  <c r="C1956" i="117"/>
  <c r="C1940" i="117"/>
  <c r="C1924" i="117"/>
  <c r="C1908" i="117"/>
  <c r="C1892" i="117"/>
  <c r="C1876" i="117"/>
  <c r="C1860" i="117"/>
  <c r="C1844" i="117"/>
  <c r="C1812" i="117"/>
  <c r="C1780" i="117"/>
  <c r="C1764" i="117"/>
  <c r="C1732" i="117"/>
  <c r="C1685" i="117"/>
  <c r="C1653" i="117"/>
  <c r="C1621" i="117"/>
  <c r="C1589" i="117"/>
  <c r="C1557" i="117"/>
  <c r="C1525" i="117"/>
  <c r="C1493" i="117"/>
  <c r="C1469" i="117"/>
  <c r="C1445" i="117"/>
  <c r="C1421" i="117"/>
  <c r="C1397" i="117"/>
  <c r="C1373" i="117"/>
  <c r="C1349" i="117"/>
  <c r="C1325" i="117"/>
  <c r="C1301" i="117"/>
  <c r="C1284" i="117"/>
  <c r="C1268" i="117"/>
  <c r="C1256" i="117"/>
  <c r="C1244" i="117"/>
  <c r="C1232" i="117"/>
  <c r="C1220" i="117"/>
  <c r="C1208" i="117"/>
  <c r="C1200" i="117"/>
  <c r="C1184" i="117"/>
  <c r="C1172" i="117"/>
  <c r="C1160" i="117"/>
  <c r="C1148" i="117"/>
  <c r="C1136" i="117"/>
  <c r="C1120" i="117"/>
  <c r="C1108" i="117"/>
  <c r="C1096" i="117"/>
  <c r="C1084" i="117"/>
  <c r="C1072" i="117"/>
  <c r="C1060" i="117"/>
  <c r="C1048" i="117"/>
  <c r="C1036" i="117"/>
  <c r="C1024" i="117"/>
  <c r="C1012" i="117"/>
  <c r="C1004" i="117"/>
  <c r="C1955" i="117"/>
  <c r="C1907" i="117"/>
  <c r="C1859" i="117"/>
  <c r="C1811" i="117"/>
  <c r="C1763" i="117"/>
  <c r="C1716" i="117"/>
  <c r="C1684" i="117"/>
  <c r="C1652" i="117"/>
  <c r="C1631" i="117"/>
  <c r="C1599" i="117"/>
  <c r="C1567" i="117"/>
  <c r="C1535" i="117"/>
  <c r="C1492" i="117"/>
  <c r="C1468" i="117"/>
  <c r="C1444" i="117"/>
  <c r="C1420" i="117"/>
  <c r="C1396" i="117"/>
  <c r="C1372" i="117"/>
  <c r="C1348" i="117"/>
  <c r="C1324" i="117"/>
  <c r="C1300" i="117"/>
  <c r="C1282" i="117"/>
  <c r="C1259" i="117"/>
  <c r="C1247" i="117"/>
  <c r="C1235" i="117"/>
  <c r="C1223" i="117"/>
  <c r="C1211" i="117"/>
  <c r="C1199" i="117"/>
  <c r="C1191" i="117"/>
  <c r="C1179" i="117"/>
  <c r="C1167" i="117"/>
  <c r="C1155" i="117"/>
  <c r="C1143" i="117"/>
  <c r="C1131" i="117"/>
  <c r="C1119" i="117"/>
  <c r="C1107" i="117"/>
  <c r="C1095" i="117"/>
  <c r="C1083" i="117"/>
  <c r="C1071" i="117"/>
  <c r="C1059" i="117"/>
  <c r="C1047" i="117"/>
  <c r="C1035" i="117"/>
  <c r="C1023" i="117"/>
  <c r="C1011" i="117"/>
  <c r="C998" i="117"/>
  <c r="C994" i="117"/>
  <c r="C990" i="117"/>
  <c r="C986" i="117"/>
  <c r="C982" i="117"/>
  <c r="C978" i="117"/>
  <c r="C974" i="117"/>
  <c r="C970" i="117"/>
  <c r="C966" i="117"/>
  <c r="C962" i="117"/>
  <c r="C958" i="117"/>
  <c r="C954" i="117"/>
  <c r="C950" i="117"/>
  <c r="C946" i="117"/>
  <c r="C942" i="117"/>
  <c r="C938" i="117"/>
  <c r="C934" i="117"/>
  <c r="C930" i="117"/>
  <c r="C926" i="117"/>
  <c r="C922" i="117"/>
  <c r="C918" i="117"/>
  <c r="C914" i="117"/>
  <c r="C910" i="117"/>
  <c r="C906" i="117"/>
  <c r="C902" i="117"/>
  <c r="C898" i="117"/>
  <c r="C894" i="117"/>
  <c r="C890" i="117"/>
  <c r="C886" i="117"/>
  <c r="C882" i="117"/>
  <c r="C878" i="117"/>
  <c r="C874" i="117"/>
  <c r="C870" i="117"/>
  <c r="C866" i="117"/>
  <c r="C862" i="117"/>
  <c r="C858" i="117"/>
  <c r="C854" i="117"/>
  <c r="C850" i="117"/>
  <c r="C846" i="117"/>
  <c r="C842" i="117"/>
  <c r="C838" i="117"/>
  <c r="C834" i="117"/>
  <c r="C830" i="117"/>
  <c r="C826" i="117"/>
  <c r="C822" i="117"/>
  <c r="C818" i="117"/>
  <c r="C814" i="117"/>
  <c r="C810" i="117"/>
  <c r="C806" i="117"/>
  <c r="C802" i="117"/>
  <c r="C798" i="117"/>
  <c r="C794" i="117"/>
  <c r="C790" i="117"/>
  <c r="C786" i="117"/>
  <c r="C782" i="117"/>
  <c r="C778" i="117"/>
  <c r="C774" i="117"/>
  <c r="C770" i="117"/>
  <c r="C766" i="117"/>
  <c r="C762" i="117"/>
  <c r="C758" i="117"/>
  <c r="C754" i="117"/>
  <c r="C750" i="117"/>
  <c r="C746" i="117"/>
  <c r="C742" i="117"/>
  <c r="C738" i="117"/>
  <c r="C734" i="117"/>
  <c r="C730" i="117"/>
  <c r="C726" i="117"/>
  <c r="C722" i="117"/>
  <c r="C718" i="117"/>
  <c r="C714" i="117"/>
  <c r="C710" i="117"/>
  <c r="C706" i="117"/>
  <c r="C702" i="117"/>
  <c r="C698" i="117"/>
  <c r="C694" i="117"/>
  <c r="C690" i="117"/>
  <c r="C686" i="117"/>
  <c r="C682" i="117"/>
  <c r="C678" i="117"/>
  <c r="C674" i="117"/>
  <c r="C670" i="117"/>
  <c r="C666" i="117"/>
  <c r="C662" i="117"/>
  <c r="C658" i="117"/>
  <c r="C654" i="117"/>
  <c r="C650" i="117"/>
  <c r="C646" i="117"/>
  <c r="C642" i="117"/>
  <c r="C638" i="117"/>
  <c r="C634" i="117"/>
  <c r="C630" i="117"/>
  <c r="C626" i="117"/>
  <c r="C622" i="117"/>
  <c r="C618" i="117"/>
  <c r="C614" i="117"/>
  <c r="C610" i="117"/>
  <c r="C606" i="117"/>
  <c r="C602" i="117"/>
  <c r="C598" i="117"/>
  <c r="C594" i="117"/>
  <c r="C590" i="117"/>
  <c r="C586" i="117"/>
  <c r="C582" i="117"/>
  <c r="C578" i="117"/>
  <c r="C574" i="117"/>
  <c r="C570" i="117"/>
  <c r="C566" i="117"/>
  <c r="C562" i="117"/>
  <c r="C558" i="117"/>
  <c r="C554" i="117"/>
  <c r="C550" i="117"/>
  <c r="C546" i="117"/>
  <c r="C542" i="117"/>
  <c r="C538" i="117"/>
  <c r="C534" i="117"/>
  <c r="C530" i="117"/>
  <c r="C526" i="117"/>
  <c r="C522" i="117"/>
  <c r="C518" i="117"/>
  <c r="C514" i="117"/>
  <c r="C510" i="117"/>
  <c r="C506" i="117"/>
  <c r="C502" i="117"/>
  <c r="C498" i="117"/>
  <c r="C494" i="117"/>
  <c r="C1001" i="117"/>
  <c r="C997" i="117"/>
  <c r="C993" i="117"/>
  <c r="C989" i="117"/>
  <c r="C985" i="117"/>
  <c r="C981" i="117"/>
  <c r="C977" i="117"/>
  <c r="C973" i="117"/>
  <c r="C969" i="117"/>
  <c r="C965" i="117"/>
  <c r="C961" i="117"/>
  <c r="C957" i="117"/>
  <c r="C953" i="117"/>
  <c r="C949" i="117"/>
  <c r="C945" i="117"/>
  <c r="C941" i="117"/>
  <c r="C937" i="117"/>
  <c r="C933" i="117"/>
  <c r="C929" i="117"/>
  <c r="C925" i="117"/>
  <c r="C921" i="117"/>
  <c r="C917" i="117"/>
  <c r="C913" i="117"/>
  <c r="C909" i="117"/>
  <c r="C905" i="117"/>
  <c r="C901" i="117"/>
  <c r="C897" i="117"/>
  <c r="C893" i="117"/>
  <c r="C889" i="117"/>
  <c r="C885" i="117"/>
  <c r="C881" i="117"/>
  <c r="C877" i="117"/>
  <c r="C873" i="117"/>
  <c r="C869" i="117"/>
  <c r="C865" i="117"/>
  <c r="C861" i="117"/>
  <c r="C857" i="117"/>
  <c r="C853" i="117"/>
  <c r="C849" i="117"/>
  <c r="C845" i="117"/>
  <c r="C841" i="117"/>
  <c r="C837" i="117"/>
  <c r="C833" i="117"/>
  <c r="C829" i="117"/>
  <c r="C825" i="117"/>
  <c r="C821" i="117"/>
  <c r="C817" i="117"/>
  <c r="C813" i="117"/>
  <c r="C809" i="117"/>
  <c r="C805" i="117"/>
  <c r="C801" i="117"/>
  <c r="C797" i="117"/>
  <c r="C793" i="117"/>
  <c r="C789" i="117"/>
  <c r="C785" i="117"/>
  <c r="C781" i="117"/>
  <c r="C777" i="117"/>
  <c r="C773" i="117"/>
  <c r="C769" i="117"/>
  <c r="C765" i="117"/>
  <c r="C761" i="117"/>
  <c r="C757" i="117"/>
  <c r="C753" i="117"/>
  <c r="C749" i="117"/>
  <c r="C745" i="117"/>
  <c r="C741" i="117"/>
  <c r="C737" i="117"/>
  <c r="C733" i="117"/>
  <c r="C729" i="117"/>
  <c r="C725" i="117"/>
  <c r="C721" i="117"/>
  <c r="C717" i="117"/>
  <c r="C713" i="117"/>
  <c r="C709" i="117"/>
  <c r="C705" i="117"/>
  <c r="C701" i="117"/>
  <c r="C697" i="117"/>
  <c r="C693" i="117"/>
  <c r="C689" i="117"/>
  <c r="C685" i="117"/>
  <c r="C681" i="117"/>
  <c r="C677" i="117"/>
  <c r="C673" i="117"/>
  <c r="C669" i="117"/>
  <c r="C665" i="117"/>
  <c r="C661" i="117"/>
  <c r="C657" i="117"/>
  <c r="C653" i="117"/>
  <c r="C649" i="117"/>
  <c r="C645" i="117"/>
  <c r="C641" i="117"/>
  <c r="C637" i="117"/>
  <c r="C633" i="117"/>
  <c r="C629" i="117"/>
  <c r="C625" i="117"/>
  <c r="C621" i="117"/>
  <c r="C617" i="117"/>
  <c r="C613" i="117"/>
  <c r="C609" i="117"/>
  <c r="C605" i="117"/>
  <c r="C601" i="117"/>
  <c r="C597" i="117"/>
  <c r="C593" i="117"/>
  <c r="C589" i="117"/>
  <c r="C585" i="117"/>
  <c r="C581" i="117"/>
  <c r="C577" i="117"/>
  <c r="C573" i="117"/>
  <c r="C569" i="117"/>
  <c r="C565" i="117"/>
  <c r="C561" i="117"/>
  <c r="C557" i="117"/>
  <c r="C553" i="117"/>
  <c r="C549" i="117"/>
  <c r="C545" i="117"/>
  <c r="C541" i="117"/>
  <c r="C537" i="117"/>
  <c r="C533" i="117"/>
  <c r="C529" i="117"/>
  <c r="C525" i="117"/>
  <c r="C521" i="117"/>
  <c r="C517" i="117"/>
  <c r="C513" i="117"/>
  <c r="C509" i="117"/>
  <c r="C505" i="117"/>
  <c r="C501" i="117"/>
  <c r="C1000" i="117"/>
  <c r="C992" i="117"/>
  <c r="C984" i="117"/>
  <c r="C976" i="117"/>
  <c r="C968" i="117"/>
  <c r="C960" i="117"/>
  <c r="C952" i="117"/>
  <c r="C944" i="117"/>
  <c r="C936" i="117"/>
  <c r="C928" i="117"/>
  <c r="C920" i="117"/>
  <c r="C912" i="117"/>
  <c r="C904" i="117"/>
  <c r="C896" i="117"/>
  <c r="C888" i="117"/>
  <c r="C880" i="117"/>
  <c r="C872" i="117"/>
  <c r="C864" i="117"/>
  <c r="C856" i="117"/>
  <c r="C848" i="117"/>
  <c r="C840" i="117"/>
  <c r="C832" i="117"/>
  <c r="C824" i="117"/>
  <c r="C816" i="117"/>
  <c r="C808" i="117"/>
  <c r="C800" i="117"/>
  <c r="C792" i="117"/>
  <c r="C784" i="117"/>
  <c r="C776" i="117"/>
  <c r="C768" i="117"/>
  <c r="C760" i="117"/>
  <c r="C752" i="117"/>
  <c r="C744" i="117"/>
  <c r="C736" i="117"/>
  <c r="C728" i="117"/>
  <c r="C720" i="117"/>
  <c r="C712" i="117"/>
  <c r="C704" i="117"/>
  <c r="C696" i="117"/>
  <c r="C688" i="117"/>
  <c r="C680" i="117"/>
  <c r="C672" i="117"/>
  <c r="C664" i="117"/>
  <c r="C656" i="117"/>
  <c r="C648" i="117"/>
  <c r="C640" i="117"/>
  <c r="C632" i="117"/>
  <c r="C624" i="117"/>
  <c r="C616" i="117"/>
  <c r="C608" i="117"/>
  <c r="C600" i="117"/>
  <c r="C592" i="117"/>
  <c r="C584" i="117"/>
  <c r="C576" i="117"/>
  <c r="C568" i="117"/>
  <c r="C560" i="117"/>
  <c r="C552" i="117"/>
  <c r="C544" i="117"/>
  <c r="C536" i="117"/>
  <c r="C528" i="117"/>
  <c r="C520" i="117"/>
  <c r="C512" i="117"/>
  <c r="C504" i="117"/>
  <c r="C497" i="117"/>
  <c r="C492" i="117"/>
  <c r="C488" i="117"/>
  <c r="C484" i="117"/>
  <c r="C480" i="117"/>
  <c r="C476" i="117"/>
  <c r="C472" i="117"/>
  <c r="C468" i="117"/>
  <c r="C464" i="117"/>
  <c r="C460" i="117"/>
  <c r="C456" i="117"/>
  <c r="C452" i="117"/>
  <c r="C448" i="117"/>
  <c r="C444" i="117"/>
  <c r="C440" i="117"/>
  <c r="C436" i="117"/>
  <c r="C432" i="117"/>
  <c r="C428" i="117"/>
  <c r="C424" i="117"/>
  <c r="C420" i="117"/>
  <c r="C416" i="117"/>
  <c r="C412" i="117"/>
  <c r="C408" i="117"/>
  <c r="C404" i="117"/>
  <c r="C400" i="117"/>
  <c r="C396" i="117"/>
  <c r="C392" i="117"/>
  <c r="C388" i="117"/>
  <c r="C384" i="117"/>
  <c r="C380" i="117"/>
  <c r="C376" i="117"/>
  <c r="C372" i="117"/>
  <c r="C368" i="117"/>
  <c r="C364" i="117"/>
  <c r="C360" i="117"/>
  <c r="C356" i="117"/>
  <c r="C352" i="117"/>
  <c r="C348" i="117"/>
  <c r="C344" i="117"/>
  <c r="C340" i="117"/>
  <c r="C336" i="117"/>
  <c r="C332" i="117"/>
  <c r="C328" i="117"/>
  <c r="C324" i="117"/>
  <c r="C320" i="117"/>
  <c r="C316" i="117"/>
  <c r="C312" i="117"/>
  <c r="C308" i="117"/>
  <c r="C304" i="117"/>
  <c r="C300" i="117"/>
  <c r="C296" i="117"/>
  <c r="C292" i="117"/>
  <c r="C288" i="117"/>
  <c r="C284" i="117"/>
  <c r="C280" i="117"/>
  <c r="C276" i="117"/>
  <c r="C272" i="117"/>
  <c r="C268" i="117"/>
  <c r="C264" i="117"/>
  <c r="C260" i="117"/>
  <c r="C256" i="117"/>
  <c r="C252" i="117"/>
  <c r="C248" i="117"/>
  <c r="C244" i="117"/>
  <c r="C999" i="117"/>
  <c r="C991" i="117"/>
  <c r="C983" i="117"/>
  <c r="C975" i="117"/>
  <c r="C967" i="117"/>
  <c r="C959" i="117"/>
  <c r="C951" i="117"/>
  <c r="C943" i="117"/>
  <c r="C935" i="117"/>
  <c r="C927" i="117"/>
  <c r="C919" i="117"/>
  <c r="C911" i="117"/>
  <c r="C903" i="117"/>
  <c r="C895" i="117"/>
  <c r="C887" i="117"/>
  <c r="C879" i="117"/>
  <c r="C871" i="117"/>
  <c r="C863" i="117"/>
  <c r="C855" i="117"/>
  <c r="C847" i="117"/>
  <c r="C839" i="117"/>
  <c r="C831" i="117"/>
  <c r="C823" i="117"/>
  <c r="C815" i="117"/>
  <c r="C807" i="117"/>
  <c r="C799" i="117"/>
  <c r="C791" i="117"/>
  <c r="C783" i="117"/>
  <c r="C775" i="117"/>
  <c r="C767" i="117"/>
  <c r="C759" i="117"/>
  <c r="C751" i="117"/>
  <c r="C743" i="117"/>
  <c r="C735" i="117"/>
  <c r="C727" i="117"/>
  <c r="C719" i="117"/>
  <c r="C711" i="117"/>
  <c r="C703" i="117"/>
  <c r="C695" i="117"/>
  <c r="C687" i="117"/>
  <c r="C679" i="117"/>
  <c r="C671" i="117"/>
  <c r="C663" i="117"/>
  <c r="C655" i="117"/>
  <c r="C647" i="117"/>
  <c r="C639" i="117"/>
  <c r="C631" i="117"/>
  <c r="C623" i="117"/>
  <c r="C615" i="117"/>
  <c r="C607" i="117"/>
  <c r="C599" i="117"/>
  <c r="C591" i="117"/>
  <c r="C583" i="117"/>
  <c r="C575" i="117"/>
  <c r="C567" i="117"/>
  <c r="C559" i="117"/>
  <c r="C551" i="117"/>
  <c r="C543" i="117"/>
  <c r="C535" i="117"/>
  <c r="C527" i="117"/>
  <c r="C519" i="117"/>
  <c r="C511" i="117"/>
  <c r="C503" i="117"/>
  <c r="C496" i="117"/>
  <c r="C491" i="117"/>
  <c r="C487" i="117"/>
  <c r="C483" i="117"/>
  <c r="C479" i="117"/>
  <c r="C475" i="117"/>
  <c r="C471" i="117"/>
  <c r="C467" i="117"/>
  <c r="C463" i="117"/>
  <c r="C459" i="117"/>
  <c r="C455" i="117"/>
  <c r="C451" i="117"/>
  <c r="C447" i="117"/>
  <c r="C443" i="117"/>
  <c r="C439" i="117"/>
  <c r="C435" i="117"/>
  <c r="C431" i="117"/>
  <c r="C427" i="117"/>
  <c r="C423" i="117"/>
  <c r="C419" i="117"/>
  <c r="C415" i="117"/>
  <c r="C411" i="117"/>
  <c r="C407" i="117"/>
  <c r="C403" i="117"/>
  <c r="C399" i="117"/>
  <c r="C395" i="117"/>
  <c r="C391" i="117"/>
  <c r="C387" i="117"/>
  <c r="C383" i="117"/>
  <c r="C379" i="117"/>
  <c r="C375" i="117"/>
  <c r="C371" i="117"/>
  <c r="C367" i="117"/>
  <c r="C363" i="117"/>
  <c r="C359" i="117"/>
  <c r="C355" i="117"/>
  <c r="C351" i="117"/>
  <c r="C347" i="117"/>
  <c r="C343" i="117"/>
  <c r="C339" i="117"/>
  <c r="C335" i="117"/>
  <c r="C331" i="117"/>
  <c r="C327" i="117"/>
  <c r="C323" i="117"/>
  <c r="C319" i="117"/>
  <c r="C315" i="117"/>
  <c r="C311" i="117"/>
  <c r="C307" i="117"/>
  <c r="C303" i="117"/>
  <c r="C299" i="117"/>
  <c r="C295" i="117"/>
  <c r="C291" i="117"/>
  <c r="C287" i="117"/>
  <c r="C283" i="117"/>
  <c r="C279" i="117"/>
  <c r="C275" i="117"/>
  <c r="C271" i="117"/>
  <c r="C267" i="117"/>
  <c r="C263" i="117"/>
  <c r="C259" i="117"/>
  <c r="C255" i="117"/>
  <c r="C251" i="117"/>
  <c r="C247" i="117"/>
  <c r="C243" i="117"/>
  <c r="C996" i="117"/>
  <c r="C980" i="117"/>
  <c r="C964" i="117"/>
  <c r="C948" i="117"/>
  <c r="C932" i="117"/>
  <c r="C916" i="117"/>
  <c r="C900" i="117"/>
  <c r="C884" i="117"/>
  <c r="C868" i="117"/>
  <c r="C852" i="117"/>
  <c r="C836" i="117"/>
  <c r="C820" i="117"/>
  <c r="C804" i="117"/>
  <c r="C788" i="117"/>
  <c r="C772" i="117"/>
  <c r="C756" i="117"/>
  <c r="C740" i="117"/>
  <c r="C724" i="117"/>
  <c r="C708" i="117"/>
  <c r="C692" i="117"/>
  <c r="C676" i="117"/>
  <c r="C660" i="117"/>
  <c r="C644" i="117"/>
  <c r="C628" i="117"/>
  <c r="C612" i="117"/>
  <c r="C596" i="117"/>
  <c r="C580" i="117"/>
  <c r="C564" i="117"/>
  <c r="C548" i="117"/>
  <c r="C532" i="117"/>
  <c r="C516" i="117"/>
  <c r="C500" i="117"/>
  <c r="C490" i="117"/>
  <c r="C482" i="117"/>
  <c r="C474" i="117"/>
  <c r="C466" i="117"/>
  <c r="C458" i="117"/>
  <c r="C450" i="117"/>
  <c r="C442" i="117"/>
  <c r="C434" i="117"/>
  <c r="C426" i="117"/>
  <c r="C418" i="117"/>
  <c r="C410" i="117"/>
  <c r="C402" i="117"/>
  <c r="C394" i="117"/>
  <c r="C386" i="117"/>
  <c r="C378" i="117"/>
  <c r="C370" i="117"/>
  <c r="C362" i="117"/>
  <c r="C354" i="117"/>
  <c r="C346" i="117"/>
  <c r="C338" i="117"/>
  <c r="C330" i="117"/>
  <c r="C322" i="117"/>
  <c r="C314" i="117"/>
  <c r="C306" i="117"/>
  <c r="C298" i="117"/>
  <c r="C290" i="117"/>
  <c r="C282" i="117"/>
  <c r="C274" i="117"/>
  <c r="C266" i="117"/>
  <c r="C258" i="117"/>
  <c r="C250" i="117"/>
  <c r="C242" i="117"/>
  <c r="C238" i="117"/>
  <c r="C234" i="117"/>
  <c r="C230" i="117"/>
  <c r="C226" i="117"/>
  <c r="C222" i="117"/>
  <c r="C218" i="117"/>
  <c r="C214" i="117"/>
  <c r="C210" i="117"/>
  <c r="C206" i="117"/>
  <c r="C202" i="117"/>
  <c r="C198" i="117"/>
  <c r="C194" i="117"/>
  <c r="C190" i="117"/>
  <c r="C186" i="117"/>
  <c r="C182" i="117"/>
  <c r="C178" i="117"/>
  <c r="C174" i="117"/>
  <c r="C170" i="117"/>
  <c r="C166" i="117"/>
  <c r="C162" i="117"/>
  <c r="C158" i="117"/>
  <c r="C154" i="117"/>
  <c r="C150" i="117"/>
  <c r="C146" i="117"/>
  <c r="C142" i="117"/>
  <c r="C138" i="117"/>
  <c r="C134" i="117"/>
  <c r="C130" i="117"/>
  <c r="C126" i="117"/>
  <c r="C122" i="117"/>
  <c r="C118" i="117"/>
  <c r="C114" i="117"/>
  <c r="C110" i="117"/>
  <c r="C106" i="117"/>
  <c r="C102" i="117"/>
  <c r="C98" i="117"/>
  <c r="C94" i="117"/>
  <c r="C90" i="117"/>
  <c r="C86" i="117"/>
  <c r="C82" i="117"/>
  <c r="C78" i="117"/>
  <c r="C74" i="117"/>
  <c r="C70" i="117"/>
  <c r="C66" i="117"/>
  <c r="C62" i="117"/>
  <c r="C58" i="117"/>
  <c r="C54" i="117"/>
  <c r="C50" i="117"/>
  <c r="C46" i="117"/>
  <c r="C42" i="117"/>
  <c r="C38" i="117"/>
  <c r="C34" i="117"/>
  <c r="C30" i="117"/>
  <c r="C26" i="117"/>
  <c r="C22" i="117"/>
  <c r="C18" i="117"/>
  <c r="C14" i="117"/>
  <c r="C10" i="117"/>
  <c r="C6" i="117"/>
  <c r="C2" i="117"/>
  <c r="C700" i="117"/>
  <c r="C620" i="117"/>
  <c r="C572" i="117"/>
  <c r="C524" i="117"/>
  <c r="C486" i="117"/>
  <c r="C462" i="117"/>
  <c r="C438" i="117"/>
  <c r="C414" i="117"/>
  <c r="C390" i="117"/>
  <c r="C366" i="117"/>
  <c r="C342" i="117"/>
  <c r="C310" i="117"/>
  <c r="C286" i="117"/>
  <c r="C270" i="117"/>
  <c r="C246" i="117"/>
  <c r="C232" i="117"/>
  <c r="C220" i="117"/>
  <c r="C208" i="117"/>
  <c r="C196" i="117"/>
  <c r="C184" i="117"/>
  <c r="C172" i="117"/>
  <c r="C160" i="117"/>
  <c r="C148" i="117"/>
  <c r="C136" i="117"/>
  <c r="C124" i="117"/>
  <c r="C116" i="117"/>
  <c r="C104" i="117"/>
  <c r="C92" i="117"/>
  <c r="C80" i="117"/>
  <c r="C68" i="117"/>
  <c r="C56" i="117"/>
  <c r="C44" i="117"/>
  <c r="C32" i="117"/>
  <c r="C20" i="117"/>
  <c r="C8" i="117"/>
  <c r="C971" i="117"/>
  <c r="C907" i="117"/>
  <c r="C859" i="117"/>
  <c r="C795" i="117"/>
  <c r="C763" i="117"/>
  <c r="C715" i="117"/>
  <c r="C667" i="117"/>
  <c r="C619" i="117"/>
  <c r="C571" i="117"/>
  <c r="C523" i="117"/>
  <c r="C485" i="117"/>
  <c r="C461" i="117"/>
  <c r="C437" i="117"/>
  <c r="C413" i="117"/>
  <c r="C389" i="117"/>
  <c r="C365" i="117"/>
  <c r="C341" i="117"/>
  <c r="C317" i="117"/>
  <c r="C293" i="117"/>
  <c r="C269" i="117"/>
  <c r="C245" i="117"/>
  <c r="C231" i="117"/>
  <c r="C219" i="117"/>
  <c r="C211" i="117"/>
  <c r="C199" i="117"/>
  <c r="C187" i="117"/>
  <c r="C175" i="117"/>
  <c r="C163" i="117"/>
  <c r="C151" i="117"/>
  <c r="C139" i="117"/>
  <c r="C127" i="117"/>
  <c r="C115" i="117"/>
  <c r="C99" i="117"/>
  <c r="C87" i="117"/>
  <c r="C75" i="117"/>
  <c r="C63" i="117"/>
  <c r="C51" i="117"/>
  <c r="C39" i="117"/>
  <c r="C27" i="117"/>
  <c r="C19" i="117"/>
  <c r="C7" i="117"/>
  <c r="C995" i="117"/>
  <c r="C979" i="117"/>
  <c r="C963" i="117"/>
  <c r="C947" i="117"/>
  <c r="C931" i="117"/>
  <c r="C915" i="117"/>
  <c r="C899" i="117"/>
  <c r="C883" i="117"/>
  <c r="C867" i="117"/>
  <c r="C851" i="117"/>
  <c r="C835" i="117"/>
  <c r="C819" i="117"/>
  <c r="C803" i="117"/>
  <c r="C787" i="117"/>
  <c r="C771" i="117"/>
  <c r="C755" i="117"/>
  <c r="C739" i="117"/>
  <c r="C723" i="117"/>
  <c r="C707" i="117"/>
  <c r="C691" i="117"/>
  <c r="C675" i="117"/>
  <c r="C659" i="117"/>
  <c r="C643" i="117"/>
  <c r="C627" i="117"/>
  <c r="C611" i="117"/>
  <c r="C595" i="117"/>
  <c r="C579" i="117"/>
  <c r="C563" i="117"/>
  <c r="C547" i="117"/>
  <c r="C531" i="117"/>
  <c r="C515" i="117"/>
  <c r="C499" i="117"/>
  <c r="C489" i="117"/>
  <c r="C481" i="117"/>
  <c r="C473" i="117"/>
  <c r="C465" i="117"/>
  <c r="C457" i="117"/>
  <c r="C449" i="117"/>
  <c r="C441" i="117"/>
  <c r="C433" i="117"/>
  <c r="C425" i="117"/>
  <c r="C417" i="117"/>
  <c r="C409" i="117"/>
  <c r="C401" i="117"/>
  <c r="C393" i="117"/>
  <c r="C385" i="117"/>
  <c r="C377" i="117"/>
  <c r="C369" i="117"/>
  <c r="C361" i="117"/>
  <c r="C353" i="117"/>
  <c r="C345" i="117"/>
  <c r="C337" i="117"/>
  <c r="C329" i="117"/>
  <c r="C321" i="117"/>
  <c r="C313" i="117"/>
  <c r="C305" i="117"/>
  <c r="C297" i="117"/>
  <c r="C289" i="117"/>
  <c r="C281" i="117"/>
  <c r="C273" i="117"/>
  <c r="C265" i="117"/>
  <c r="C257" i="117"/>
  <c r="C249" i="117"/>
  <c r="C241" i="117"/>
  <c r="C237" i="117"/>
  <c r="C233" i="117"/>
  <c r="C229" i="117"/>
  <c r="C225" i="117"/>
  <c r="C221" i="117"/>
  <c r="C217" i="117"/>
  <c r="C213" i="117"/>
  <c r="C209" i="117"/>
  <c r="C205" i="117"/>
  <c r="C201" i="117"/>
  <c r="C197" i="117"/>
  <c r="C193" i="117"/>
  <c r="C189" i="117"/>
  <c r="C185" i="117"/>
  <c r="C181" i="117"/>
  <c r="C177" i="117"/>
  <c r="C173" i="117"/>
  <c r="C169" i="117"/>
  <c r="C165" i="117"/>
  <c r="C161" i="117"/>
  <c r="C157" i="117"/>
  <c r="C153" i="117"/>
  <c r="C149" i="117"/>
  <c r="C145" i="117"/>
  <c r="C141" i="117"/>
  <c r="C137" i="117"/>
  <c r="C133" i="117"/>
  <c r="C129" i="117"/>
  <c r="C125" i="117"/>
  <c r="C121" i="117"/>
  <c r="C117" i="117"/>
  <c r="C113" i="117"/>
  <c r="C109" i="117"/>
  <c r="C105" i="117"/>
  <c r="C101" i="117"/>
  <c r="C97" i="117"/>
  <c r="C93" i="117"/>
  <c r="C89" i="117"/>
  <c r="C85" i="117"/>
  <c r="C81" i="117"/>
  <c r="C77" i="117"/>
  <c r="C73" i="117"/>
  <c r="C69" i="117"/>
  <c r="C65" i="117"/>
  <c r="C61" i="117"/>
  <c r="C57" i="117"/>
  <c r="C53" i="117"/>
  <c r="C49" i="117"/>
  <c r="C45" i="117"/>
  <c r="C41" i="117"/>
  <c r="C37" i="117"/>
  <c r="C33" i="117"/>
  <c r="C29" i="117"/>
  <c r="C25" i="117"/>
  <c r="C21" i="117"/>
  <c r="C17" i="117"/>
  <c r="C13" i="117"/>
  <c r="C9" i="117"/>
  <c r="C5" i="117"/>
  <c r="C732" i="117"/>
  <c r="C668" i="117"/>
  <c r="C636" i="117"/>
  <c r="C604" i="117"/>
  <c r="C556" i="117"/>
  <c r="C508" i="117"/>
  <c r="C478" i="117"/>
  <c r="C454" i="117"/>
  <c r="C430" i="117"/>
  <c r="C406" i="117"/>
  <c r="C382" i="117"/>
  <c r="C358" i="117"/>
  <c r="C334" i="117"/>
  <c r="C318" i="117"/>
  <c r="C294" i="117"/>
  <c r="C278" i="117"/>
  <c r="C254" i="117"/>
  <c r="C236" i="117"/>
  <c r="C224" i="117"/>
  <c r="C212" i="117"/>
  <c r="C200" i="117"/>
  <c r="C188" i="117"/>
  <c r="C176" i="117"/>
  <c r="C164" i="117"/>
  <c r="C156" i="117"/>
  <c r="C144" i="117"/>
  <c r="C132" i="117"/>
  <c r="C120" i="117"/>
  <c r="C108" i="117"/>
  <c r="C96" i="117"/>
  <c r="C84" i="117"/>
  <c r="C72" i="117"/>
  <c r="C60" i="117"/>
  <c r="C48" i="117"/>
  <c r="C36" i="117"/>
  <c r="C28" i="117"/>
  <c r="C16" i="117"/>
  <c r="C4" i="117"/>
  <c r="C955" i="117"/>
  <c r="C923" i="117"/>
  <c r="C875" i="117"/>
  <c r="C827" i="117"/>
  <c r="C779" i="117"/>
  <c r="C731" i="117"/>
  <c r="C683" i="117"/>
  <c r="C635" i="117"/>
  <c r="C587" i="117"/>
  <c r="C539" i="117"/>
  <c r="C493" i="117"/>
  <c r="C469" i="117"/>
  <c r="C445" i="117"/>
  <c r="C429" i="117"/>
  <c r="C405" i="117"/>
  <c r="C381" i="117"/>
  <c r="C357" i="117"/>
  <c r="C333" i="117"/>
  <c r="C309" i="117"/>
  <c r="C285" i="117"/>
  <c r="C261" i="117"/>
  <c r="C239" i="117"/>
  <c r="C227" i="117"/>
  <c r="C215" i="117"/>
  <c r="C203" i="117"/>
  <c r="C191" i="117"/>
  <c r="C179" i="117"/>
  <c r="C167" i="117"/>
  <c r="C159" i="117"/>
  <c r="C147" i="117"/>
  <c r="C135" i="117"/>
  <c r="C123" i="117"/>
  <c r="C111" i="117"/>
  <c r="C103" i="117"/>
  <c r="C91" i="117"/>
  <c r="C79" i="117"/>
  <c r="C67" i="117"/>
  <c r="C55" i="117"/>
  <c r="C43" i="117"/>
  <c r="C31" i="117"/>
  <c r="C15" i="117"/>
  <c r="C3" i="117"/>
  <c r="C988" i="117"/>
  <c r="C972" i="117"/>
  <c r="C956" i="117"/>
  <c r="C940" i="117"/>
  <c r="C924" i="117"/>
  <c r="C908" i="117"/>
  <c r="C892" i="117"/>
  <c r="C876" i="117"/>
  <c r="C860" i="117"/>
  <c r="C844" i="117"/>
  <c r="C828" i="117"/>
  <c r="C812" i="117"/>
  <c r="C796" i="117"/>
  <c r="C780" i="117"/>
  <c r="C764" i="117"/>
  <c r="C748" i="117"/>
  <c r="C716" i="117"/>
  <c r="C684" i="117"/>
  <c r="C652" i="117"/>
  <c r="C588" i="117"/>
  <c r="C540" i="117"/>
  <c r="C495" i="117"/>
  <c r="C470" i="117"/>
  <c r="C446" i="117"/>
  <c r="C422" i="117"/>
  <c r="C398" i="117"/>
  <c r="C374" i="117"/>
  <c r="C350" i="117"/>
  <c r="C326" i="117"/>
  <c r="C302" i="117"/>
  <c r="C262" i="117"/>
  <c r="C240" i="117"/>
  <c r="C228" i="117"/>
  <c r="C216" i="117"/>
  <c r="C204" i="117"/>
  <c r="C192" i="117"/>
  <c r="C180" i="117"/>
  <c r="C168" i="117"/>
  <c r="C152" i="117"/>
  <c r="C140" i="117"/>
  <c r="C128" i="117"/>
  <c r="C112" i="117"/>
  <c r="C100" i="117"/>
  <c r="C88" i="117"/>
  <c r="C76" i="117"/>
  <c r="C64" i="117"/>
  <c r="C52" i="117"/>
  <c r="C40" i="117"/>
  <c r="C24" i="117"/>
  <c r="C12" i="117"/>
  <c r="C987" i="117"/>
  <c r="C939" i="117"/>
  <c r="C891" i="117"/>
  <c r="C843" i="117"/>
  <c r="C811" i="117"/>
  <c r="C747" i="117"/>
  <c r="C699" i="117"/>
  <c r="C651" i="117"/>
  <c r="C603" i="117"/>
  <c r="C555" i="117"/>
  <c r="C507" i="117"/>
  <c r="C477" i="117"/>
  <c r="C453" i="117"/>
  <c r="C421" i="117"/>
  <c r="C397" i="117"/>
  <c r="C373" i="117"/>
  <c r="C349" i="117"/>
  <c r="C325" i="117"/>
  <c r="C301" i="117"/>
  <c r="C277" i="117"/>
  <c r="C253" i="117"/>
  <c r="C235" i="117"/>
  <c r="C223" i="117"/>
  <c r="C207" i="117"/>
  <c r="C195" i="117"/>
  <c r="C183" i="117"/>
  <c r="C171" i="117"/>
  <c r="C155" i="117"/>
  <c r="C143" i="117"/>
  <c r="C131" i="117"/>
  <c r="C119" i="117"/>
  <c r="C107" i="117"/>
  <c r="C95" i="117"/>
  <c r="C83" i="117"/>
  <c r="C71" i="117"/>
  <c r="C59" i="117"/>
  <c r="C47" i="117"/>
  <c r="C35" i="117"/>
  <c r="C23" i="117"/>
  <c r="C11" i="117"/>
  <c r="C175" i="116"/>
  <c r="C171" i="116"/>
  <c r="C167" i="116"/>
  <c r="C163" i="116"/>
  <c r="C159" i="116"/>
  <c r="C155" i="116"/>
  <c r="C151" i="116"/>
  <c r="C147" i="116"/>
  <c r="C143" i="116"/>
  <c r="C139" i="116"/>
  <c r="C135" i="116"/>
  <c r="C131" i="116"/>
  <c r="C127" i="116"/>
  <c r="C123" i="116"/>
  <c r="C119" i="116"/>
  <c r="C115" i="116"/>
  <c r="C111" i="116"/>
  <c r="C107" i="116"/>
  <c r="C103" i="116"/>
  <c r="C99" i="116"/>
  <c r="C95" i="116"/>
  <c r="C91" i="116"/>
  <c r="C87" i="116"/>
  <c r="C83" i="116"/>
  <c r="C79" i="116"/>
  <c r="C75" i="116"/>
  <c r="C71" i="116"/>
  <c r="C67" i="116"/>
  <c r="C63" i="116"/>
  <c r="C59" i="116"/>
  <c r="C55" i="116"/>
  <c r="C51" i="116"/>
  <c r="C47" i="116"/>
  <c r="C43" i="116"/>
  <c r="C39" i="116"/>
  <c r="C35" i="116"/>
  <c r="C31" i="116"/>
  <c r="C27" i="116"/>
  <c r="C23" i="116"/>
  <c r="C19" i="116"/>
  <c r="C15" i="116"/>
  <c r="C11" i="116"/>
  <c r="C7" i="116"/>
  <c r="C3" i="116"/>
  <c r="C2" i="116"/>
  <c r="C168" i="116"/>
  <c r="C160" i="116"/>
  <c r="C144" i="116"/>
  <c r="C132" i="116"/>
  <c r="C120" i="116"/>
  <c r="C108" i="116"/>
  <c r="C100" i="116"/>
  <c r="C88" i="116"/>
  <c r="C72" i="116"/>
  <c r="C56" i="116"/>
  <c r="C44" i="116"/>
  <c r="C32" i="116"/>
  <c r="C20" i="116"/>
  <c r="C8" i="116"/>
  <c r="C174" i="116"/>
  <c r="C170" i="116"/>
  <c r="C166" i="116"/>
  <c r="C162" i="116"/>
  <c r="C158" i="116"/>
  <c r="C154" i="116"/>
  <c r="C150" i="116"/>
  <c r="C146" i="116"/>
  <c r="C142" i="116"/>
  <c r="C138" i="116"/>
  <c r="C134" i="116"/>
  <c r="C130" i="116"/>
  <c r="C126" i="116"/>
  <c r="C122" i="116"/>
  <c r="C118" i="116"/>
  <c r="C114" i="116"/>
  <c r="C110" i="116"/>
  <c r="C106" i="116"/>
  <c r="C102" i="116"/>
  <c r="C98" i="116"/>
  <c r="C94" i="116"/>
  <c r="C90" i="116"/>
  <c r="C86" i="116"/>
  <c r="C82" i="116"/>
  <c r="C78" i="116"/>
  <c r="C74" i="116"/>
  <c r="C70" i="116"/>
  <c r="C66" i="116"/>
  <c r="C62" i="116"/>
  <c r="C58" i="116"/>
  <c r="C54" i="116"/>
  <c r="C50" i="116"/>
  <c r="C46" i="116"/>
  <c r="C42" i="116"/>
  <c r="C38" i="116"/>
  <c r="C34" i="116"/>
  <c r="C30" i="116"/>
  <c r="C26" i="116"/>
  <c r="C22" i="116"/>
  <c r="C18" i="116"/>
  <c r="C14" i="116"/>
  <c r="C10" i="116"/>
  <c r="C6" i="116"/>
  <c r="C172" i="116"/>
  <c r="C156" i="116"/>
  <c r="C148" i="116"/>
  <c r="C136" i="116"/>
  <c r="C124" i="116"/>
  <c r="C112" i="116"/>
  <c r="C96" i="116"/>
  <c r="C84" i="116"/>
  <c r="C68" i="116"/>
  <c r="C60" i="116"/>
  <c r="C48" i="116"/>
  <c r="C36" i="116"/>
  <c r="C24" i="116"/>
  <c r="C12" i="116"/>
  <c r="C173" i="116"/>
  <c r="C169" i="116"/>
  <c r="C165" i="116"/>
  <c r="C161" i="116"/>
  <c r="C157" i="116"/>
  <c r="C153" i="116"/>
  <c r="C149" i="116"/>
  <c r="C145" i="116"/>
  <c r="C141" i="116"/>
  <c r="C137" i="116"/>
  <c r="C133" i="116"/>
  <c r="C129" i="116"/>
  <c r="C125" i="116"/>
  <c r="C121" i="116"/>
  <c r="C117" i="116"/>
  <c r="C113" i="116"/>
  <c r="C109" i="116"/>
  <c r="C105" i="116"/>
  <c r="C101" i="116"/>
  <c r="C97" i="116"/>
  <c r="C93" i="116"/>
  <c r="C89" i="116"/>
  <c r="C85" i="116"/>
  <c r="C81" i="116"/>
  <c r="C77" i="116"/>
  <c r="C73" i="116"/>
  <c r="C69" i="116"/>
  <c r="C65" i="116"/>
  <c r="C61" i="116"/>
  <c r="C57" i="116"/>
  <c r="C53" i="116"/>
  <c r="C49" i="116"/>
  <c r="C45" i="116"/>
  <c r="C41" i="116"/>
  <c r="C37" i="116"/>
  <c r="C33" i="116"/>
  <c r="C29" i="116"/>
  <c r="C25" i="116"/>
  <c r="C21" i="116"/>
  <c r="C17" i="116"/>
  <c r="C13" i="116"/>
  <c r="C9" i="116"/>
  <c r="C5" i="116"/>
  <c r="C164" i="116"/>
  <c r="C152" i="116"/>
  <c r="C140" i="116"/>
  <c r="C128" i="116"/>
  <c r="C116" i="116"/>
  <c r="C104" i="116"/>
  <c r="C92" i="116"/>
  <c r="C80" i="116"/>
  <c r="C76" i="116"/>
  <c r="C64" i="116"/>
  <c r="C52" i="116"/>
  <c r="C40" i="116"/>
  <c r="C28" i="116"/>
  <c r="C16" i="116"/>
  <c r="C4" i="116"/>
</calcChain>
</file>

<file path=xl/comments1.xml><?xml version="1.0" encoding="utf-8"?>
<comments xmlns="http://schemas.openxmlformats.org/spreadsheetml/2006/main">
  <authors>
    <author>daniel kottow</author>
  </authors>
  <commentList>
    <comment ref="C1" authorId="0" shapeId="0">
      <text>
        <r>
          <rPr>
            <sz val="9"/>
            <color indexed="81"/>
            <rFont val="Tahoma"/>
            <family val="2"/>
          </rPr>
          <t>URL http://api.donkeylift.com/demo/soccer.db</t>
        </r>
      </text>
    </comment>
  </commentList>
</comments>
</file>

<file path=xl/comments2.xml><?xml version="1.0" encoding="utf-8"?>
<comments xmlns="http://schemas.openxmlformats.org/spreadsheetml/2006/main">
  <authors>
    <author>daniel kottow</author>
  </authors>
  <commentList>
    <comment ref="A1" authorId="0" shapeId="0">
      <text>
        <r>
          <rPr>
            <sz val="9"/>
            <color indexed="81"/>
            <rFont val="Tahoma"/>
            <family val="2"/>
          </rPr>
          <t>URL http://api.donkeylift.com/demo/sandwiches/sandwiches.rows?$orderby=mod_on asc</t>
        </r>
      </text>
    </comment>
  </commentList>
</comments>
</file>

<file path=xl/comments3.xml><?xml version="1.0" encoding="utf-8"?>
<comments xmlns="http://schemas.openxmlformats.org/spreadsheetml/2006/main">
  <authors>
    <author>daniel kottow</author>
  </authors>
  <commentList>
    <comment ref="A1" authorId="0" shapeId="0">
      <text>
        <r>
          <rPr>
            <sz val="9"/>
            <color indexed="81"/>
            <rFont val="Tahoma"/>
            <family val="2"/>
          </rPr>
          <t>URL http://api.donkeylift.com/demo/sandwiches/order_items.rows?$orderby=mod_on asc&amp;cachebreaker=8213109&amp;$skip=1000</t>
        </r>
      </text>
    </comment>
    <comment ref="G1" authorId="0" shapeId="0">
      <text>
        <r>
          <rPr>
            <sz val="9"/>
            <color indexed="81"/>
            <rFont val="Tahoma"/>
            <family val="2"/>
          </rPr>
          <t>FK sandwich_id</t>
        </r>
      </text>
    </comment>
    <comment ref="A4" authorId="0" shapeId="0">
      <text>
        <r>
          <rPr>
            <sz val="9"/>
            <color indexed="81"/>
            <rFont val="Tahoma"/>
            <family val="2"/>
          </rPr>
          <t>/demo/sandwiches/order_items.rows?$orderby=mod_on asc&amp;cachebreaker=8213109&amp;cachebreaker=8232039&amp;$skip=2000</t>
        </r>
      </text>
    </comment>
  </commentList>
</comments>
</file>

<file path=xl/comments4.xml><?xml version="1.0" encoding="utf-8"?>
<comments xmlns="http://schemas.openxmlformats.org/spreadsheetml/2006/main">
  <authors>
    <author>daniel kottow</author>
  </authors>
  <commentList>
    <comment ref="A1" authorId="0" shapeId="0">
      <text>
        <r>
          <rPr>
            <sz val="9"/>
            <color indexed="81"/>
            <rFont val="Tahoma"/>
            <family val="2"/>
          </rPr>
          <t>URL http://api.donkeylift.com/demo/soccer/Team.rows?$orderby=mod_on asc</t>
        </r>
      </text>
    </comment>
  </commentList>
</comments>
</file>

<file path=xl/comments5.xml><?xml version="1.0" encoding="utf-8"?>
<comments xmlns="http://schemas.openxmlformats.org/spreadsheetml/2006/main">
  <authors>
    <author>daniel kottow</author>
  </authors>
  <commentList>
    <comment ref="A1" authorId="0" shapeId="0">
      <text>
        <r>
          <rPr>
            <sz val="9"/>
            <color indexed="81"/>
            <rFont val="Tahoma"/>
            <family val="2"/>
          </rPr>
          <t>URL http://api.donkeylift.com/demo/soccer/Game.rows?$orderby=mod_on asc</t>
        </r>
      </text>
    </comment>
    <comment ref="G1" authorId="0" shapeId="0">
      <text>
        <r>
          <rPr>
            <sz val="9"/>
            <color indexed="81"/>
            <rFont val="Tahoma"/>
            <family val="2"/>
          </rPr>
          <t>FK Team1_id</t>
        </r>
      </text>
    </comment>
    <comment ref="H1" authorId="0" shapeId="0">
      <text>
        <r>
          <rPr>
            <sz val="9"/>
            <color indexed="81"/>
            <rFont val="Tahoma"/>
            <family val="2"/>
          </rPr>
          <t>FK Team2_id</t>
        </r>
      </text>
    </comment>
  </commentList>
</comments>
</file>

<file path=xl/sharedStrings.xml><?xml version="1.0" encoding="utf-8"?>
<sst xmlns="http://schemas.openxmlformats.org/spreadsheetml/2006/main" count="7134" uniqueCount="2738">
  <si>
    <t>Actions</t>
  </si>
  <si>
    <t>Reset</t>
  </si>
  <si>
    <t>s2</t>
  </si>
  <si>
    <t>sales</t>
  </si>
  <si>
    <t>sandwiches</t>
  </si>
  <si>
    <t>soccer</t>
  </si>
  <si>
    <t>test</t>
  </si>
  <si>
    <t>Database</t>
  </si>
  <si>
    <t>Tables</t>
  </si>
  <si>
    <t>Table Fields</t>
  </si>
  <si>
    <t>INTEGER</t>
  </si>
  <si>
    <t>VARCHAR</t>
  </si>
  <si>
    <t>VARCHAR(256)</t>
  </si>
  <si>
    <t>VARCHAR(64)</t>
  </si>
  <si>
    <t>DATETIME</t>
  </si>
  <si>
    <t>DATE</t>
  </si>
  <si>
    <t>status</t>
  </si>
  <si>
    <t>ref</t>
  </si>
  <si>
    <t>id</t>
  </si>
  <si>
    <t>name</t>
  </si>
  <si>
    <t>price</t>
  </si>
  <si>
    <t>description</t>
  </si>
  <si>
    <t>origin</t>
  </si>
  <si>
    <t>mod_by</t>
  </si>
  <si>
    <t>mod_on</t>
  </si>
  <si>
    <t>Bacon, egg and cheese [1002]</t>
  </si>
  <si>
    <t>Bacon, egg and cheese</t>
  </si>
  <si>
    <t>A breakfast sandwich, usually with fried or scrambled egg</t>
  </si>
  <si>
    <t>United States</t>
  </si>
  <si>
    <t>sql</t>
  </si>
  <si>
    <t>Baked bean [1003]</t>
  </si>
  <si>
    <t>Baked bean</t>
  </si>
  <si>
    <t>Canned baked beans on white or brown bread, sometimes with butter.</t>
  </si>
  <si>
    <t>Bánh mì [1004]</t>
  </si>
  <si>
    <t>Bánh mì</t>
  </si>
  <si>
    <t>Filling is typically meat, but can contain a wide range of foods, including sardines, tofu, pâté, or eggs. Served on an airy baguette with pickled carrots, cilantro and peppers.</t>
  </si>
  <si>
    <t>Vietnam</t>
  </si>
  <si>
    <t>Barros Jarpa [1006]</t>
  </si>
  <si>
    <t>Barros Jarpa</t>
  </si>
  <si>
    <t>Ham and cheese, usually mantecoso, which is similar to farmer cheese</t>
  </si>
  <si>
    <t>Chile</t>
  </si>
  <si>
    <t>Barros Luco [1007]</t>
  </si>
  <si>
    <t>Barros Luco</t>
  </si>
  <si>
    <t>Beef (usually thin-cut steak) and cheese</t>
  </si>
  <si>
    <t>Bauru [1008]</t>
  </si>
  <si>
    <t>Bauru</t>
  </si>
  <si>
    <t>Melted cheese, roast beef, tomato, and pickled cucumber in a hollowed-out French roll</t>
  </si>
  <si>
    <t>Brazil</t>
  </si>
  <si>
    <t>Beef on weck [1009]</t>
  </si>
  <si>
    <t>Beef on weck</t>
  </si>
  <si>
    <t>Roast beef on a Kummelweck roll</t>
  </si>
  <si>
    <t>Bologna sandwich [1011]</t>
  </si>
  <si>
    <t>Bologna sandwich</t>
  </si>
  <si>
    <t>Pre-sliced and sometimes fried bologna sausage between slices of white bread, with various condiments such as ketchup, mustard, and mayonnaise.</t>
  </si>
  <si>
    <t>Bosna [1012]</t>
  </si>
  <si>
    <t>Bosna</t>
  </si>
  <si>
    <t>Usually grilled on white bread, containing a bratwurst sausage, onions, and a blend of tomato ketchup, mustard, and curry powder</t>
  </si>
  <si>
    <t>Austria</t>
  </si>
  <si>
    <t>Breakfast roll [1013]</t>
  </si>
  <si>
    <t>Breakfast roll</t>
  </si>
  <si>
    <t>A convenience dish on a variety of bread rolls, containing such breakfast items as sausages, bacon, white or black pudding, mushrooms, tomatoes, hash browns, and fried eggs, often eaten with ketchup or brown sauce</t>
  </si>
  <si>
    <t>United Kingdom and Ireland</t>
  </si>
  <si>
    <t>Breakfast [1014]</t>
  </si>
  <si>
    <t>Breakfast</t>
  </si>
  <si>
    <t>Typically a scrambled or fried egg, cheese, and a sausage patty or other breakfast meat, served on a biscuit or English muffin</t>
  </si>
  <si>
    <t>British Rail [1015]</t>
  </si>
  <si>
    <t>British Rail</t>
  </si>
  <si>
    <t>A dated reference to the poor quality of catering on the now-defunct British Rail, this refers to any poor-quality sandwich, often stale.</t>
  </si>
  <si>
    <t>United Kingdom</t>
  </si>
  <si>
    <t>Broodje kroket [1016]</t>
  </si>
  <si>
    <t>Broodje kroket</t>
  </si>
  <si>
    <t>A soft bread roll containing a ragout-based croquette, often eaten with mustard.</t>
  </si>
  <si>
    <t>The Netherlands</t>
  </si>
  <si>
    <t>Bun kebab [1017]</t>
  </si>
  <si>
    <t>Bun kebab</t>
  </si>
  <si>
    <t>Consists of a shallow-fried, spicy patty, onions, and chutney or raita in a hamburger or hot dog bun.</t>
  </si>
  <si>
    <t>Pakistan</t>
  </si>
  <si>
    <t>Butterbrot [1018]</t>
  </si>
  <si>
    <t>Butterbrot</t>
  </si>
  <si>
    <t>Single, open-faced, containing butter as the common ingredient, with sweet or savory toppings depending on the meal</t>
  </si>
  <si>
    <t>Germany</t>
  </si>
  <si>
    <t>Cemita [1019]</t>
  </si>
  <si>
    <t>Cemita</t>
  </si>
  <si>
    <t>Sliced avocado, meat, white cheese, onions, and red sauce (salsa roja), on a fluffy sesame-seeded egg roll, originally from the city of Puebla.</t>
  </si>
  <si>
    <t>Mexico</t>
  </si>
  <si>
    <t>Chacarero [1020]</t>
  </si>
  <si>
    <t>Chacarero</t>
  </si>
  <si>
    <t>Thinly sliced churrasco-style steak, or lomito-style pork, with tomatoes, green beans, and green chiles, served on a round roll</t>
  </si>
  <si>
    <t>Cheese [1021]</t>
  </si>
  <si>
    <t>Cheese</t>
  </si>
  <si>
    <t>Made with one or more varieties of cheese. When toasted (pictured), it is commonly referred to as a "grilled cheese sandwich."</t>
  </si>
  <si>
    <t/>
  </si>
  <si>
    <t>Cheese and pickle [1022]</t>
  </si>
  <si>
    <t>Cheese and pickle</t>
  </si>
  <si>
    <t>Slices of cheese (typically Cheddar) and pickle (a sweet, vinegary chutney with the most popular brand being Branston), sandwiched between two slices of bread.</t>
  </si>
  <si>
    <t>Cheesesteak [1023]</t>
  </si>
  <si>
    <t>Cheesesteak</t>
  </si>
  <si>
    <t>Thinly sliced steak and melted cheese in a long roll, also known as a Philadelphia or Philly cheesesteak.</t>
  </si>
  <si>
    <t>United States (Philadelphia, Pennsylvania)</t>
  </si>
  <si>
    <t>Chicken [1024]</t>
  </si>
  <si>
    <t>Chicken</t>
  </si>
  <si>
    <t>A chicken sandwich can contain chicken cooked in a variety of ways. In the United States, common forms of chicken sandwiches include the grilled chicken breast sandwich, the fried chicken breast sandwich, the chicken salad sandwich, and the shredded (or barbeque) chicken sandwich.</t>
  </si>
  <si>
    <t>Chicken salad [1025]</t>
  </si>
  <si>
    <t>Chicken salad</t>
  </si>
  <si>
    <t>A sandwich prepared with chicken salad as a filling.</t>
  </si>
  <si>
    <t>Chicken schnitzel [1026]</t>
  </si>
  <si>
    <t>Chicken schnitzel</t>
  </si>
  <si>
    <t>A sandwich of crumbed, pan-fried chicken fillet, on buttered bread, with shredded iceberg lettuce and mayonnaise.</t>
  </si>
  <si>
    <t>Australia</t>
  </si>
  <si>
    <t>Chickpea salad [1027]</t>
  </si>
  <si>
    <t>Chickpea salad</t>
  </si>
  <si>
    <t>Chickpea salad is a vegan sandwich filling with a texture similar to tuna salad. Chickpea salad consists of mashed up chickpeas, vegenaise, onions, and other seasonings. Some versions also include tuna.</t>
  </si>
  <si>
    <t>Chili burger [1028]</t>
  </si>
  <si>
    <t>Chili burger</t>
  </si>
  <si>
    <t>A hamburger, with the patty topped with chili con carne</t>
  </si>
  <si>
    <t>Chip butty [1029]</t>
  </si>
  <si>
    <t>Chip butty</t>
  </si>
  <si>
    <t>Sliced white bread (or a large, flat bread roll) filled with chips, usually sprinkled with salt and vinegar or tomato ketchup.</t>
  </si>
  <si>
    <t>Chipped beef [1030]</t>
  </si>
  <si>
    <t>Chipped beef</t>
  </si>
  <si>
    <t>A sandwich prepared with thinly sliced or pressed salted and dried beef. Some chipped beef is smoked to add flavor.</t>
  </si>
  <si>
    <t>U.S. military cuisine</t>
  </si>
  <si>
    <t>Chivito [1031]</t>
  </si>
  <si>
    <t>Chivito</t>
  </si>
  <si>
    <t>Filet mignon with mozzarella, tomatoes, mayonnaise, and commonly bacon, black or green olives, fried or hardboiled eggs, and ham</t>
  </si>
  <si>
    <t>Uruguay</t>
  </si>
  <si>
    <t>Choripán [1032]</t>
  </si>
  <si>
    <t>Choripán</t>
  </si>
  <si>
    <t>Grilled chorizo, usually served on a crusty roll with salsa-type condiments, such as pebre, salsa criolla, or chimichurri. Morcipán is a variety of this using black pudding or blood sausage.</t>
  </si>
  <si>
    <t>South America, Caribbean</t>
  </si>
  <si>
    <t>Chow mein [1033]</t>
  </si>
  <si>
    <t>Chow mein</t>
  </si>
  <si>
    <t>A brown gravy base and chow mein mixture on a hamburger-style bun</t>
  </si>
  <si>
    <t>Churrasco [1034]</t>
  </si>
  <si>
    <t>Churrasco</t>
  </si>
  <si>
    <t>Thinly cut steak, grilled and served on a toasted bun. It can be served with almost any other ingredient, in which case its name changes to "churrasco+the new ingredient" (e.g.: churrasco palta = churrasco and avocado)</t>
  </si>
  <si>
    <t>Club [1035]</t>
  </si>
  <si>
    <t>Club</t>
  </si>
  <si>
    <t>A triple-decker sandwich made with sliced turkey or chicken, bacon, tomato, and lettuce; usually contains mayonnaise</t>
  </si>
  <si>
    <t>Corned beef [1036]</t>
  </si>
  <si>
    <t>Corned beef</t>
  </si>
  <si>
    <t>Corned beef often served with a condiment such as pickle or mustard.</t>
  </si>
  <si>
    <t>Crisp [1037]</t>
  </si>
  <si>
    <t>Crisp</t>
  </si>
  <si>
    <t>Crisps and occasionally pickles on white bread</t>
  </si>
  <si>
    <t>Croque-monsieur [1038]</t>
  </si>
  <si>
    <t>Croque-monsieur</t>
  </si>
  <si>
    <t>A grilled ham and cheese (typically Emmental or Gruyère) sandwich, sometimes coated in a mornay or béchamel sauce</t>
  </si>
  <si>
    <t>France</t>
  </si>
  <si>
    <t>Croque-madame [1039]</t>
  </si>
  <si>
    <t>Croque-madame</t>
  </si>
  <si>
    <t>Same as a croque-monsieur, but with a fried egg on top.</t>
  </si>
  <si>
    <t>Cuban [1040]</t>
  </si>
  <si>
    <t>Cuban</t>
  </si>
  <si>
    <t>Ham, roasted pork, Swiss cheese, pickles, mustard, and sometimes Genoa salami on Cuban bread, usually pressed and warmed in a plancha</t>
  </si>
  <si>
    <t>United States (Tampa, Florida) and Cuba</t>
  </si>
  <si>
    <t>Cucumber [1041]</t>
  </si>
  <si>
    <t>Cucumber</t>
  </si>
  <si>
    <t>Two thin slices of crustless, lightly buttered white bread, containing paper-thin slices of peeled cucumber</t>
  </si>
  <si>
    <t>Cudighi [1042]</t>
  </si>
  <si>
    <t>Cudighi</t>
  </si>
  <si>
    <t>Spicy cudighi (a Michigan variety of Cotechino Italian sausage), on a long, hard roll, often topped with mozzarella and tomato sauce</t>
  </si>
  <si>
    <t>Italy</t>
  </si>
  <si>
    <t>Dagwood [1043]</t>
  </si>
  <si>
    <t>Dagwood</t>
  </si>
  <si>
    <t>Multiple layers containing a wide variety of meats and condiments, named for Dagwood Bumstead of the comic strip Blondie</t>
  </si>
  <si>
    <t>Deli sandwich [1044]</t>
  </si>
  <si>
    <t>Deli sandwich</t>
  </si>
  <si>
    <t>This sandwich may be ordered at a deli; choices include type of bread (toasted or untoasted,) type of meat (cold cut), type of sliced cheese, vegetable fillings (lettuce, tomato, onion, etc.), and condiments</t>
  </si>
  <si>
    <t>Denver [1045]</t>
  </si>
  <si>
    <t>Denver</t>
  </si>
  <si>
    <t>A sandwich containing a Denver omelette</t>
  </si>
  <si>
    <t>Doner kebab [1046]</t>
  </si>
  <si>
    <t>Doner kebab</t>
  </si>
  <si>
    <t>Doner kebab is meat cooked on a vertical spit, normally veal or beef but also may be a mixture of these with lamb, and sometimes chicken. This may be served wrapped in a flatbread such as lavash or pita, or as a sandwich.</t>
  </si>
  <si>
    <t>Turkey</t>
  </si>
  <si>
    <t>Donkey burger [1047]</t>
  </si>
  <si>
    <t>Donkey burger</t>
  </si>
  <si>
    <t>Chopped or shredded savory donkey meat in a bun, sold in Baoding, Hebei Province as street food, and also in high-end restaurants</t>
  </si>
  <si>
    <t>China</t>
  </si>
  <si>
    <t>Doubles [1048]</t>
  </si>
  <si>
    <t>Doubles</t>
  </si>
  <si>
    <t>Two flat fried bara (bread), containing curried chickpeas or garbanzo beans</t>
  </si>
  <si>
    <t>Trinidad and Tobago</t>
  </si>
  <si>
    <t>Dynamite [1049]</t>
  </si>
  <si>
    <t>Dynamite</t>
  </si>
  <si>
    <t>Made of ground beef, tomato sauces, spices and many onions and peppers. It is a popular food served at local family gatherings and fundraising benefits, usually made in large quantities.</t>
  </si>
  <si>
    <t>United States (Woonsocket, Rhode Island)</t>
  </si>
  <si>
    <t>Dyrlægens natmad [1050]</t>
  </si>
  <si>
    <t>Dyrlægens natmad</t>
  </si>
  <si>
    <t>On a piece of dark rye bread, a layer of leverpostej, topped with a slice of salt beef and a slice of meat aspic, topped with raw onion rings and garden cress.</t>
  </si>
  <si>
    <t>Denmark</t>
  </si>
  <si>
    <t>Elvis sandwich [1051]</t>
  </si>
  <si>
    <t>Elvis sandwich</t>
  </si>
  <si>
    <t>Peanut butter, banana, and bacon</t>
  </si>
  <si>
    <t>Egg [1052]</t>
  </si>
  <si>
    <t>Egg</t>
  </si>
  <si>
    <t>Generic sandwich: This contains eggs, usually sliced hard boiled eggs or egg salad, but may be made with fried or (more rarely) scrambled egg, topped with the local roe spread, locally called kaviar.</t>
  </si>
  <si>
    <t>Worldwide</t>
  </si>
  <si>
    <t>Fairy bread [1053]</t>
  </si>
  <si>
    <t>Fairy bread</t>
  </si>
  <si>
    <t>White bread with nonpareils (= 'sprinkles' (U.S.) or 'hundreds and thousands' (U.K.)) on a spread of butter. Often cut into squares or triangles.</t>
  </si>
  <si>
    <t>Australia and New Zealand</t>
  </si>
  <si>
    <t>Falafel [1054]</t>
  </si>
  <si>
    <t>Falafel</t>
  </si>
  <si>
    <t>Deep-fried balls of ground, seasoned chickpeas topped with salad vegetables, hot sauce, tahini-based sauces, and pickled vegetables, wrapped in or added to the pocket of a split-open pita bread.</t>
  </si>
  <si>
    <t>Middle East</t>
  </si>
  <si>
    <t>Fischbrötchen [1055]</t>
  </si>
  <si>
    <t>Fischbrötchen</t>
  </si>
  <si>
    <t>Crusty bread rolls filled with fish (most commonly Bismarck or soused herring) and onions</t>
  </si>
  <si>
    <t>Fool's Gold Loaf [1056]</t>
  </si>
  <si>
    <t>Fool's Gold Loaf</t>
  </si>
  <si>
    <t>Consists of a single warmed, hollowed-out loaf of bread filled with one jar of creamy peanut butter, one jar of grape jelly, and a pound of bacon. In 1976, Elvis Presley and some of his friends flew to Colorado to consume them.</t>
  </si>
  <si>
    <t>Colorado, United States</t>
  </si>
  <si>
    <t>Fluffernutter [1057]</t>
  </si>
  <si>
    <t>Fluffernutter</t>
  </si>
  <si>
    <t>Peanut butter and marshmallow creme. Pictured is a fluffernutter sandwich prior to being assembled.</t>
  </si>
  <si>
    <t>Francesinha [1058]</t>
  </si>
  <si>
    <t>Francesinha</t>
  </si>
  <si>
    <t>Wet-cured ham, linguiça, fresh sausage (chipolata), steak or other roast meat, topped with melted cheese, a hot thick tomato, and beer sauce</t>
  </si>
  <si>
    <t>Portugal</t>
  </si>
  <si>
    <t>Francesinha poveira [1059]</t>
  </si>
  <si>
    <t>Francesinha poveira</t>
  </si>
  <si>
    <t>A bun with wet-cured ham, linguiça, and cheese, sauced with butter or margarine, piri-piri, and port wine, whiskey, cognac, or brandy</t>
  </si>
  <si>
    <t>French dip [1060]</t>
  </si>
  <si>
    <t>French dip</t>
  </si>
  <si>
    <t>Thinly sliced roast beef on a baguette, served hot, usually au jus (with juice)</t>
  </si>
  <si>
    <t>Fried brain [1061]</t>
  </si>
  <si>
    <t>Fried brain</t>
  </si>
  <si>
    <t>Sliced calves' brain on sliced bread</t>
  </si>
  <si>
    <t>Fruit [1062]</t>
  </si>
  <si>
    <t>Fruit</t>
  </si>
  <si>
    <t>Fruit, often fruits such as banana, fig or pineapple served on bread, often with mayonnaise in the United States.</t>
  </si>
  <si>
    <t>Global</t>
  </si>
  <si>
    <t>Ftira [1063]</t>
  </si>
  <si>
    <t>Ftira</t>
  </si>
  <si>
    <t>A traditional Maltese sandwich made on a large round piece of Maltese ftira bread, topped with tomato paste, tuna, capers, and red onions.</t>
  </si>
  <si>
    <t>Malta</t>
  </si>
  <si>
    <t>Gatsby [1064]</t>
  </si>
  <si>
    <t>Gatsby</t>
  </si>
  <si>
    <t>A deli-style sandwich similar to the hoagie, often containing french fries, with other variations, prepared with masala steak, chicken, polony, Vienna sausages, calamari, fish, or chargrilled steak</t>
  </si>
  <si>
    <t>South Africa</t>
  </si>
  <si>
    <t>Gerber [1065]</t>
  </si>
  <si>
    <t>Gerber</t>
  </si>
  <si>
    <t>Half section of Italian or French bread with garlic butter, containing ham, provel or provolone cheese, topped with paprika, then toasted</t>
  </si>
  <si>
    <t>St. Louis, Missouri, United States</t>
  </si>
  <si>
    <t>Guajolota [1066]</t>
  </si>
  <si>
    <t>Guajolota</t>
  </si>
  <si>
    <t>A tamale in a mexican bolillo roll. A very common morning street food in Mexico City. It is also called torta de tamal</t>
  </si>
  <si>
    <t>Mexico (Mexico City)</t>
  </si>
  <si>
    <t>Gyro [1067]</t>
  </si>
  <si>
    <t>Gyro</t>
  </si>
  <si>
    <t>Pita gyro or "psomaki gyro," depending on the type of bread used, includes meat roasted on a vertical spit, with tomato, potatoes, raw, often red onion and tzatziki sauce, wrapped in pita or sandwich bread.</t>
  </si>
  <si>
    <t>Greece</t>
  </si>
  <si>
    <t>Hagelslag or vlokken [1068]</t>
  </si>
  <si>
    <t>Hagelslag or vlokken</t>
  </si>
  <si>
    <t>Chocolate sprinkles or flakes usually served on buttered bread</t>
  </si>
  <si>
    <t>Ham [1069]</t>
  </si>
  <si>
    <t>Ham</t>
  </si>
  <si>
    <t>May be accompanied by cheese or salad. Condiments such as mustard, mayonnaise, or pickle may be present.</t>
  </si>
  <si>
    <t>Ham and cheese [1070]</t>
  </si>
  <si>
    <t>Ham and cheese</t>
  </si>
  <si>
    <t>A common sandwich prepared with ham and sliced cheese. Additional ingredients may include lettuce, tomato, mayonnaise, and other ingredients.</t>
  </si>
  <si>
    <t>Ham and egg bun [1071]</t>
  </si>
  <si>
    <t>Ham and egg bun</t>
  </si>
  <si>
    <t>Sliced Danish canned ham with sliced scrambled egg sheet in a halved sweet bun</t>
  </si>
  <si>
    <t>Hong Kong</t>
  </si>
  <si>
    <t>Hamburger [1072]</t>
  </si>
  <si>
    <t>Hamburger</t>
  </si>
  <si>
    <t>A ground beef patty, often with vegetables, sauces and other meats, usually on a round bun.</t>
  </si>
  <si>
    <t>Hamdog [1073]</t>
  </si>
  <si>
    <t>Hamdog</t>
  </si>
  <si>
    <t>A hot dog wrapped in a beef patty, deep-fried, then covered with chili, a few french fries, and a fried egg</t>
  </si>
  <si>
    <t>Horseshoe [1074]</t>
  </si>
  <si>
    <t>Horseshoe</t>
  </si>
  <si>
    <t>A thick-sliced, toasted, open-faced sandwich, it usually contains hamburger patties or ham, but other meat, such as deep-fried pork tenderloin, grilled or fried chicken breast, and fried fish filets, can be used. The meat is topped with french fries and covered with a cheese sauce.</t>
  </si>
  <si>
    <t>Springfield, Illinois, United States</t>
  </si>
  <si>
    <t>Hot brown [1075]</t>
  </si>
  <si>
    <t>Hot brown</t>
  </si>
  <si>
    <t>Open-faced with turkey and bacon, topped with mornay sauce, and baked or broiled</t>
  </si>
  <si>
    <t>United States (Louisville, Kentucky)</t>
  </si>
  <si>
    <t>Hot chicken [1076]</t>
  </si>
  <si>
    <t>Hot chicken</t>
  </si>
  <si>
    <t>Coarsely shredded or sliced chicken, sandwiched between two pieces of sliced bread, and completely covered with gravy.</t>
  </si>
  <si>
    <t>Quebec, Canada</t>
  </si>
  <si>
    <t>Hot turkey [1077]</t>
  </si>
  <si>
    <t>Hot turkey</t>
  </si>
  <si>
    <t>Often open-faced, sliced turkey on white bread drenched in turkey gravy, often served with mashed potatoes. These are sometimes served at Hofbrau-style restaurants.</t>
  </si>
  <si>
    <t>Ice cream [1078]</t>
  </si>
  <si>
    <t>Ice cream</t>
  </si>
  <si>
    <t>Vanilla ice cream between thin biscuits, cookies or slices of cake, normally chocolate</t>
  </si>
  <si>
    <t>Italian beef [1079]</t>
  </si>
  <si>
    <t>Italian beef</t>
  </si>
  <si>
    <t>Thin slices of seasoned, juicy roast beef, often garnished with giardiniera or Italian sweet peppers, on a dense, long Italian-style roll</t>
  </si>
  <si>
    <t>United States (Chicago, Illinois)</t>
  </si>
  <si>
    <t>Italiano [1080]</t>
  </si>
  <si>
    <t>Italiano</t>
  </si>
  <si>
    <t>Not a sandwich, it refers to a set of toppings to put in a sandwich, refers to the colors of the Italian flag: red (tomato), white (mayonnaise) and green (avocado)</t>
  </si>
  <si>
    <t>Jam [1081]</t>
  </si>
  <si>
    <t>Jam</t>
  </si>
  <si>
    <t>Buttered bread, with jam (traditionally strawberry), normally eaten at lunchtime or as a quick snack, may also be eaten at breakfast or for high tea</t>
  </si>
  <si>
    <t>Jambon-beurre [1082]</t>
  </si>
  <si>
    <t>Jambon-beurre</t>
  </si>
  <si>
    <t>A French baguette with butter and ham. Also known as "Parisien," it is the most popular sandwich in France.</t>
  </si>
  <si>
    <t>Jibarito [1083]</t>
  </si>
  <si>
    <t>Jibarito</t>
  </si>
  <si>
    <t>Meat, cheese, lettuce, and tomato, between flattened, fried green plantains (instead of bread), with garlic-flavored mayonnaise</t>
  </si>
  <si>
    <t>Jucy Lucy [1084]</t>
  </si>
  <si>
    <t>Jucy Lucy</t>
  </si>
  <si>
    <t>A cheeseburger with the cheese inside the meat patty rather than on top</t>
  </si>
  <si>
    <t>United States (Minneapolis, Minnesota)</t>
  </si>
  <si>
    <t>Katsu sando [1085]</t>
  </si>
  <si>
    <t>Katsu sando</t>
  </si>
  <si>
    <t>Breaded, deep-fried pork cutlet (tonkatsu)</t>
  </si>
  <si>
    <t>Japan</t>
  </si>
  <si>
    <t>Kokoretsi [1086]</t>
  </si>
  <si>
    <t>Kokoretsi</t>
  </si>
  <si>
    <t>Lamb or goat intestines, containing seasoned offal</t>
  </si>
  <si>
    <t>Kottenbutter [1087]</t>
  </si>
  <si>
    <t>Kottenbutter</t>
  </si>
  <si>
    <t>Buttered brown bread with smoked pork sausage (Kottenwurst), fresh onion rings, and spicy mustard</t>
  </si>
  <si>
    <t>Leberkäse [1088]</t>
  </si>
  <si>
    <t>Leberkäse</t>
  </si>
  <si>
    <t>A meatloaf-like dish which, despite the name, contains neither liver nor cheese. It is commonly served on a Kaiser roll with mustard.</t>
  </si>
  <si>
    <t>Bavaria</t>
  </si>
  <si>
    <t>Lettuce [1089]</t>
  </si>
  <si>
    <t>Lettuce</t>
  </si>
  <si>
    <t>Lettuce and mayonnaise</t>
  </si>
  <si>
    <t>Limburger sandwich [1090]</t>
  </si>
  <si>
    <t>Limburger sandwich</t>
  </si>
  <si>
    <t>They are typically prepared with buttered rye bread, Limburger cheese, sliced onion and mustard. Pictured is Limburger cheese and bread.</t>
  </si>
  <si>
    <t>Lobster roll [1091]</t>
  </si>
  <si>
    <t>Lobster roll</t>
  </si>
  <si>
    <t>Lobster meat tossed with either mayonnaise ("cold") or drawn butter ("hot") stuffed into a slit opening at the top of a grilled bread roll or hot dog bun.</t>
  </si>
  <si>
    <t>Northeastern United States</t>
  </si>
  <si>
    <t>Lox [1092]</t>
  </si>
  <si>
    <t>Lox</t>
  </si>
  <si>
    <t>Lox on a bagel with cream cheese, thinly sliced onion, capers, and sometimes sliced tomato</t>
  </si>
  <si>
    <t>Luther burger [1093]</t>
  </si>
  <si>
    <t>Luther burger</t>
  </si>
  <si>
    <t>A hamburger or cheeseburger on glazed doughnuts instead of a bun</t>
  </si>
  <si>
    <t>Marmite [1094]</t>
  </si>
  <si>
    <t>Marmite</t>
  </si>
  <si>
    <t>Marmite spread thinly with butter or margarine onto toast or bread</t>
  </si>
  <si>
    <t>Martino [1095]</t>
  </si>
  <si>
    <t>Martino</t>
  </si>
  <si>
    <t>Filet américain (steak tartare) with Worcestershire sauce, pickles, onions, peppers, and martino sauce</t>
  </si>
  <si>
    <t>Belgium</t>
  </si>
  <si>
    <t>Meatball [1096]</t>
  </si>
  <si>
    <t>Meatball</t>
  </si>
  <si>
    <t>Meatballs in marinara sauce, with melted Parmesan or provolone cheese, on a long bun or section of Italian loaf. Might include Italian-style accompaniments such as bell peppers, basil, or Italian-dressed lettuce</t>
  </si>
  <si>
    <t>Medianoche [1097]</t>
  </si>
  <si>
    <t>Medianoche</t>
  </si>
  <si>
    <t>Roast pork, ham, mustard, Swiss cheese, and dill pickles served on sweet bread.</t>
  </si>
  <si>
    <t>Cuba</t>
  </si>
  <si>
    <t>Mitraillette [1098]</t>
  </si>
  <si>
    <t>Mitraillette</t>
  </si>
  <si>
    <t>French fries and fried meat with sauce on a demi-baguette.</t>
  </si>
  <si>
    <t>Melt [1099]</t>
  </si>
  <si>
    <t>Melt</t>
  </si>
  <si>
    <t>A generic sandwich containing a filling and a layer of cheese, grilled or fried until the cheese is melted</t>
  </si>
  <si>
    <t>Mettbrötchen [1100]</t>
  </si>
  <si>
    <t>Mettbrötchen</t>
  </si>
  <si>
    <t>Open sandwich consisting of a sliced bun, topped with Mett (seasoned minced pork without bacon), frequently with a garnish of raw onion rings or diced raw onion</t>
  </si>
  <si>
    <t>Mollete [1101]</t>
  </si>
  <si>
    <t>Mollete</t>
  </si>
  <si>
    <t>A typical food of Mexico and a kind of bread in Spain. In Mexico, Molletes are prepared with melted cheese and beans with other ingredients, such as salsa, ham, or bacon.</t>
  </si>
  <si>
    <t>Spain and Mexico</t>
  </si>
  <si>
    <t>Montadito [1102]</t>
  </si>
  <si>
    <t>Montadito</t>
  </si>
  <si>
    <t>Small, usually grilled, and may contain a variety of fillings. Some bars offer a variety of 200 different types of these sandwiches.</t>
  </si>
  <si>
    <t>Spain</t>
  </si>
  <si>
    <t>Monte Cristo [1103]</t>
  </si>
  <si>
    <t>Monte Cristo</t>
  </si>
  <si>
    <t>Sliced ham and cheese (usually Emmental or Gruyère) between slices of French toast and batter-fried. In some regions it is sprinkled with powdered sugar and served with jelly or jam). In other regions (New England), it is served savory with French mustard and no powdered sugar.</t>
  </si>
  <si>
    <t>Montreal-style smoked meat [1104]</t>
  </si>
  <si>
    <t>Montreal-style smoked meat</t>
  </si>
  <si>
    <t>A sandwich made from cured and smoked brisket with yellow mustard, usually on rye bread.</t>
  </si>
  <si>
    <t>Canada</t>
  </si>
  <si>
    <t>Mortadella [1105]</t>
  </si>
  <si>
    <t>Mortadella</t>
  </si>
  <si>
    <t>Any sandwich containing mortadella, a large Italian sausage</t>
  </si>
  <si>
    <t>Mother-in-law [1106]</t>
  </si>
  <si>
    <t>Mother-in-law</t>
  </si>
  <si>
    <t>A hot dog bun containing a Chicago-style corn-roll tamale, topped with chili</t>
  </si>
  <si>
    <t>Muffuletta [1107]</t>
  </si>
  <si>
    <t>Muffuletta</t>
  </si>
  <si>
    <t>Originated in New Orleans' Italian-American community, this contains meats, cheeses, and olive salad on a round bun</t>
  </si>
  <si>
    <t>Naan sandwich [1108]</t>
  </si>
  <si>
    <t>Naan sandwich</t>
  </si>
  <si>
    <t>Beef on naan bread.</t>
  </si>
  <si>
    <t>Open-faced sandwich [1109]</t>
  </si>
  <si>
    <t>Open-faced sandwich</t>
  </si>
  <si>
    <t>Consists of a single slice of bread with one or more food items on top. See also pizza.</t>
  </si>
  <si>
    <t>Nordic</t>
  </si>
  <si>
    <t>Pambazo [1110]</t>
  </si>
  <si>
    <t>Pambazo</t>
  </si>
  <si>
    <t>Made with pambazo bread dipped in a red guajillo pepper sauce and filled with potatoes and chorizo.</t>
  </si>
  <si>
    <t>Pan-bagnat [1111]</t>
  </si>
  <si>
    <t>Pan-bagnat</t>
  </si>
  <si>
    <t>Round bread (bread bagnats) topped with green salad, tomatoes, hard-boiled eggs, tuna, anchovies, cucumbers, fava beans, artichokes, green peppers, radishes, onions, basil, and black olives. Condiments may include garlic, vinegar, olive oil, salt, and pepper. Served chilled.</t>
  </si>
  <si>
    <t>Panini [1112]</t>
  </si>
  <si>
    <t>Panini</t>
  </si>
  <si>
    <t>In Italy, panino is the word for a sandwich made from bread other than sliced bread, in which case Italians call it a tramezzino. Examples of bread types used are ciabatta, rosetta and baguette. The bread is cut horizontally and filled with deli ingredients such as salami, ham, cheese, mortadella, or other food, and is sometimes pressed by a warming grill. In the United States, United Kingdom, and Canada, the term panini is used to refer to a long pressed and toasted sandwich; there is widespread availability and use of sandwich presses, often known as "panini presses".</t>
  </si>
  <si>
    <t>Patty melt [1113]</t>
  </si>
  <si>
    <t>Patty melt</t>
  </si>
  <si>
    <t>Consists of a hamburger patty, pieces of sautéed or grilled onion, and Cheddar or Swiss cheese between two slices of bread</t>
  </si>
  <si>
    <t>Peanut butter and jelly [1114]</t>
  </si>
  <si>
    <t>Peanut butter and jelly</t>
  </si>
  <si>
    <t>Jam is often used in place of jelly. Also known as a PB&amp;J.</t>
  </si>
  <si>
    <t>Pebete [1115]</t>
  </si>
  <si>
    <t>Pebete</t>
  </si>
  <si>
    <t>A simple Argentine sandwich, traditionally filled with cheese, cured meat, tomato, and mayonnaise. Pebete actually refers to the bread used for the sandwich - a soft oval bun with a spongy inside, and a thin toasted crust.</t>
  </si>
  <si>
    <t>Argentina</t>
  </si>
  <si>
    <t>Pimento cheese [1116]</t>
  </si>
  <si>
    <t>Pimento cheese</t>
  </si>
  <si>
    <t>A common food preparation in the Southern United States, a spread or relish made with cheese, mayonnaise, pimentos, salt and pepper, blended to either a smooth or chunky paste. Regional variations incorporate additional ingredients. Also eaten in the United Kingdom (see "Tea" in this list) and the Philippines.</t>
  </si>
  <si>
    <t>Southern United States</t>
  </si>
  <si>
    <t>Pistolette [1117]</t>
  </si>
  <si>
    <t>Pistolette</t>
  </si>
  <si>
    <t>A stuffed and fried bread roll (sometimes called stuffed pistolettes) in the Cajun areas around Lafayette. This also refers to a type of submarine-shaped bread about half the size of a baguette that is popular in New Orleans for Vietnamese bánh mì and other sandwiches.</t>
  </si>
  <si>
    <t>Pljeskavica [1118]</t>
  </si>
  <si>
    <t>Pljeskavica</t>
  </si>
  <si>
    <t>A patty dish popular in the Balkan region of Southeastern Europe, a sandwich utilizes the Pljeskavica patty and bread.</t>
  </si>
  <si>
    <t>Balkans</t>
  </si>
  <si>
    <t>Ploughman's lunch [1119]</t>
  </si>
  <si>
    <t>Ploughman's lunch</t>
  </si>
  <si>
    <t>A cold meal originating in the United Kingdom, commonly served in pubs. Its core components are (cheddar) cheese, ploughman's pickle, and bread. It is traditionally eaten with beer.</t>
  </si>
  <si>
    <t>Po' boy [1120]</t>
  </si>
  <si>
    <t>Po' boy</t>
  </si>
  <si>
    <t>A crusty bread loaf typically filled with fried seafood or roast beef.</t>
  </si>
  <si>
    <t>Polish boy [1121]</t>
  </si>
  <si>
    <t>Polish boy</t>
  </si>
  <si>
    <t>Kielbasa sausage in a bun, covered with french fries, barbecue sauce (or hot sauce), and coleslaw</t>
  </si>
  <si>
    <t>United States (Cleveland, Ohio)</t>
  </si>
  <si>
    <t>Porilainen [1122]</t>
  </si>
  <si>
    <t>Porilainen</t>
  </si>
  <si>
    <t>A half-inch slice of thick sausage, usually with diced red or sweet onion, sliced pickles, ketchup, mustard, and sometimes mayonnaise, on white bread</t>
  </si>
  <si>
    <t>Finland</t>
  </si>
  <si>
    <t>Pork chop bun [1123]</t>
  </si>
  <si>
    <t>Pork chop bun</t>
  </si>
  <si>
    <t>A popular dish in Macau, the bun is extremely crisp outside and very soft inside, containing a freshly fried pork chop.</t>
  </si>
  <si>
    <t>Macau</t>
  </si>
  <si>
    <t>Pork tenderloin [1124]</t>
  </si>
  <si>
    <t>Pork tenderloin</t>
  </si>
  <si>
    <t>A thin, tenderized, deep-fried pork loin, served on a bun.</t>
  </si>
  <si>
    <t>Prawn roll [1125]</t>
  </si>
  <si>
    <t>Prawn roll</t>
  </si>
  <si>
    <t>Primanti [1126]</t>
  </si>
  <si>
    <t>Primanti</t>
  </si>
  <si>
    <t>Selection of grilled meats topped with french fries, coleslaw, and tomato on Italian bread</t>
  </si>
  <si>
    <t>Pittsburgh, Pennsylvania, United States</t>
  </si>
  <si>
    <t>Prosperity Sandwich [1127]</t>
  </si>
  <si>
    <t>Prosperity Sandwich</t>
  </si>
  <si>
    <t>Ham and turkey topped with broiled cheese. Sometimes includes bacon and tomato.</t>
  </si>
  <si>
    <t>United States (St. Louis)</t>
  </si>
  <si>
    <t>Pudgy Pie [1128]</t>
  </si>
  <si>
    <t>Pudgy Pie</t>
  </si>
  <si>
    <t>This sandwich can be made in a pan. Margarine on the outside, pizza sauce and fillings on the inside. The term "pudgy pie" is sometimes used to refer to pie irons, a gadget used for campfire cooking.</t>
  </si>
  <si>
    <t>Pulled pork sandwich [1129]</t>
  </si>
  <si>
    <t>Pulled pork sandwich</t>
  </si>
  <si>
    <t>Form of barbecue in which pork is cooked using a slow cook method until the meat becomes tender enough that it can be "pulled", or easily broken into individual pieces. The pork is often topped with barbecue sauce and vinegar- or mayonnaise-based coleslaw depending on the region</t>
  </si>
  <si>
    <t>Reuben [1130]</t>
  </si>
  <si>
    <t>Reuben</t>
  </si>
  <si>
    <t>Corned beef, sauerkraut, Swiss cheese, topped with Russian or Thousand Island dressing, on rye bread, then grilled</t>
  </si>
  <si>
    <t>Roti john [1131]</t>
  </si>
  <si>
    <t>Roti john</t>
  </si>
  <si>
    <t>Basic ingredients are eggs, chopped onions, sambal paste, salt, and pepper, cooked as an omelette with the bread added on top before it's fully cooked. Many variations include canned sardines, chicken, beef, or mutton. Garnished with mayo, chili sauce, and cheese.</t>
  </si>
  <si>
    <t>Malaysia</t>
  </si>
  <si>
    <t>Rou jia mo [1132]</t>
  </si>
  <si>
    <t>Rou jia mo</t>
  </si>
  <si>
    <t>Stewed pork, chopped finely, and stuffed in mo, a kind of flatbread</t>
  </si>
  <si>
    <t>Runza [1133]</t>
  </si>
  <si>
    <t>Runza</t>
  </si>
  <si>
    <t>A bun filled with a mixture of (usually) loose meat, cabbage, and cheese. The fillings are baked inside the bread, similar to a kolache. Popular in the Midwestern United States, especially Nebraska.</t>
  </si>
  <si>
    <t>Sailor sandwich [1134]</t>
  </si>
  <si>
    <t>Sailor sandwich</t>
  </si>
  <si>
    <t>Hot pastrami, grilled knockwurst, melted Swiss and hot mustard on rye bread</t>
  </si>
  <si>
    <t>United States (Richmond, Virginia)</t>
  </si>
  <si>
    <t>Sandwich loaf [1135]</t>
  </si>
  <si>
    <t>Sandwich loaf</t>
  </si>
  <si>
    <t>Alternating layers of bread and filling frosted to resemble a layer cake</t>
  </si>
  <si>
    <t>De miga [1136]</t>
  </si>
  <si>
    <t>De miga</t>
  </si>
  <si>
    <t>Made with single-, double-, or triple-layered, buttered, thin white bread with crust removed, toasted or untoasted, containing thinly sliced meat, as well as eggs, cheese, tomatoes, green peppers, lettuce, olives, and sometimes other vegetables.</t>
  </si>
  <si>
    <t>Salt beef bagel [1137]</t>
  </si>
  <si>
    <t>Salt beef bagel</t>
  </si>
  <si>
    <t>Especially noted from Beigel Bake in Brick Lane, east London.</t>
  </si>
  <si>
    <t>Sausage [1138]</t>
  </si>
  <si>
    <t>Sausage</t>
  </si>
  <si>
    <t>A sausage on a roll or bread, served with a variety of sauces and toppings.</t>
  </si>
  <si>
    <t>United Kingdom and Germany</t>
  </si>
  <si>
    <t>Shawarma [1139]</t>
  </si>
  <si>
    <t>Shawarma</t>
  </si>
  <si>
    <t>Flatbread with fillings of beef, spinach, tomatoes, cucumber, and tahini sauce, wrapped and grilled.</t>
  </si>
  <si>
    <t>The Levant</t>
  </si>
  <si>
    <t>Shuco [1140]</t>
  </si>
  <si>
    <t>Shuco</t>
  </si>
  <si>
    <t>A dry hot dog bun containing guacamole, sliced cabbage, ketchup, mustard and mayonnaise. It's usually served with a sausage, but it can also be ordered with churrasco or adobado beef. Chopped onions and a variety of hot sauces are also available for the sandwich.</t>
  </si>
  <si>
    <t>Guatemala</t>
  </si>
  <si>
    <t>Slider [1141]</t>
  </si>
  <si>
    <t>Slider</t>
  </si>
  <si>
    <t>Basically a miniature hamburger about three inches in diameter, but may also contain other ingredients</t>
  </si>
  <si>
    <t>Sloppy joe [1142]</t>
  </si>
  <si>
    <t>Sloppy joe</t>
  </si>
  <si>
    <t>Ground meat, usually beef, cooked with seasoned tomato sauce and served on a round bun.</t>
  </si>
  <si>
    <t>Sloppy joe (New Jersey) [1143]</t>
  </si>
  <si>
    <t>Sloppy joe (New Jersey)</t>
  </si>
  <si>
    <t>A triple decker rye bread sandwich made with one or more types of sliced deli meat, such as turkey, ham, pastrami, corned beef, roast beef, or sliced beef tongue, along with Swiss cheese, coleslaw, and Russian dressing</t>
  </si>
  <si>
    <t>Smörgåstårta [1144]</t>
  </si>
  <si>
    <t>Smörgåstårta</t>
  </si>
  <si>
    <t>Multiple layers of white or light rye bread containing creamy fillings, such as egg and mayonnaise, liver paté, olives, shrimp, ham, various cold cuts, caviar, tomato, cucumber, cheese, and smoked salmon</t>
  </si>
  <si>
    <t>Sweden</t>
  </si>
  <si>
    <t>Smørrebrød [1145]</t>
  </si>
  <si>
    <t>Smørrebrød</t>
  </si>
  <si>
    <t>Open-faced, buttered dark rye bread with cold cuts, pieces of meat or fish, cheese, or spreads</t>
  </si>
  <si>
    <t>Sol over Gudhjem [1146]</t>
  </si>
  <si>
    <t>Sol over Gudhjem</t>
  </si>
  <si>
    <t>An open-faced sandwich on rugbrød, with smoked herring, chives, and a raw egg yolk</t>
  </si>
  <si>
    <t>Souvlaki [1147]</t>
  </si>
  <si>
    <t>Souvlaki</t>
  </si>
  <si>
    <t>A sizzling skewer of lamb, beef, pork, or chicken roasted, shaved off the spit, and marinade ranging from hot barbecue to sweet, all laid out on a rolled pita bread, sprinkled with your choice of lettuce, tomato, cheese, red onion, and oregano, and doused with tzatziki sauce.</t>
  </si>
  <si>
    <t>Spiedie [1148]</t>
  </si>
  <si>
    <t>Spiedie</t>
  </si>
  <si>
    <t>Marinated cubes of chicken, pork, lamb, veal, venison, or beef, grilled on a spit, and served in a bun</t>
  </si>
  <si>
    <t>St. Paul [1149]</t>
  </si>
  <si>
    <t>St. Paul</t>
  </si>
  <si>
    <t>An egg foo young patty (containing bean sprouts and minced white onions), dill pickle slices, white onion, mayonnaise, lettuce, and tomato on white bread</t>
  </si>
  <si>
    <t>Steak bomb [1150]</t>
  </si>
  <si>
    <t>Steak bomb</t>
  </si>
  <si>
    <t>A grilled, over-stuffed submarine roll, containing shaved steak, and topped with salami, melted provolone, sautéed onions, and bell peppers.</t>
  </si>
  <si>
    <t>Steak burger [1151]</t>
  </si>
  <si>
    <t>Steak burger</t>
  </si>
  <si>
    <t>Typically prepared with ground, sliced or minced beefsteak meat. Additional meats are also used.</t>
  </si>
  <si>
    <t>Steak [1152]</t>
  </si>
  <si>
    <t>Steak</t>
  </si>
  <si>
    <t>Prepared with cooked steak, served on bread or a roll. Steak sandwiches may include toppings such as cheese, onions, mushrooms, bell peppers, hot peppers, tomatoes, and in some instances fried eggs, cole slaw, or french fries.</t>
  </si>
  <si>
    <t>Submarine/Sub/Baguette [1153]</t>
  </si>
  <si>
    <t>Submarine/Sub/Baguette</t>
  </si>
  <si>
    <t>A generic sandwich served on a long French or Italian roll which may contain a wide variety of sliced meats, vegetables, and condiments, including lettuce, tomato, sweet peppers, onions, olives, and mushrooms. Also known regionally as a hero, a hoagie, a grinder, or a zep, among other names. In the United Kingdom it is named a baguette, after the French bread used to make it.</t>
  </si>
  <si>
    <t>Tavern [1154]</t>
  </si>
  <si>
    <t>Tavern</t>
  </si>
  <si>
    <t>Common in Iowa, consists of a mixture of unseasoned ground beef and sauteed onions, sometimes topped with pickles, ketchup, and mustard, on a bun</t>
  </si>
  <si>
    <t>Tea [1155]</t>
  </si>
  <si>
    <t>Tea</t>
  </si>
  <si>
    <t>Thinly sliced white bread with crusts removed, lightly buttered, containing a light spread of cream cheese or mayonnaise mixture, and often radishes, cucumber, asparagus, or watercress. Other fillings may be pimento cheese, ham with mustard, smoked salmon, fruit jam, curried chicken, and egg salad.</t>
  </si>
  <si>
    <t>TLT (Tempeh, Lettuce, and Tomato) [1156]</t>
  </si>
  <si>
    <t>TLT (Tempeh, Lettuce, and Tomato)</t>
  </si>
  <si>
    <t>Vegan version of the BLT: smoky baked tempeh, lettuce, tomato, and avocado, served on toasted sourdough bread</t>
  </si>
  <si>
    <t>Toast [1157]</t>
  </si>
  <si>
    <t>Toast</t>
  </si>
  <si>
    <t>A thin slice of toast between two thin slices of bread with a layer of butter, and salt and pepper to taste.</t>
  </si>
  <si>
    <t>UK</t>
  </si>
  <si>
    <t>Toast Hawaii [1158]</t>
  </si>
  <si>
    <t>Toast Hawaii</t>
  </si>
  <si>
    <t>A slice of toast with ham, a maraschino cherry in the middle of a pineapple slice, and cheese, grilled from above, so the cheese starts to melt.</t>
  </si>
  <si>
    <t>Toastie [1159]</t>
  </si>
  <si>
    <t>Toastie</t>
  </si>
  <si>
    <t>Two slices of bread with various fillings, toasted in a sandwich toaster.</t>
  </si>
  <si>
    <t>Tofu Sandwich [1160]</t>
  </si>
  <si>
    <t>Tofu Sandwich</t>
  </si>
  <si>
    <t>Tofu, typically broiled or baked, with vegetables.</t>
  </si>
  <si>
    <t>Tongue toast [1161]</t>
  </si>
  <si>
    <t>Tongue toast</t>
  </si>
  <si>
    <t>Sautéed beef tongue and scrambled eggs, served open-faced</t>
  </si>
  <si>
    <t>Torta [1162]</t>
  </si>
  <si>
    <t>Torta</t>
  </si>
  <si>
    <t>A mexican roll (either telera or bolillo) spread with mayo and/or refried beans and stuffed with various sliced meats, cheeses, vegetables (usually tomatoes, onions and avocado) and your choice of pickled jalapeños or chipotle peppers. It can either be made ahead and tightly wrapped for a packed lunch or (if made to order) grilled on both sides with some butter.</t>
  </si>
  <si>
    <t>México</t>
  </si>
  <si>
    <t>Torta ahogada [1163]</t>
  </si>
  <si>
    <t>Torta ahogada</t>
  </si>
  <si>
    <t>Birote bread (similar to bolillo) filled with "carnitas" (deep-fried pork), shredded chicken or other meats, beans and cheese. The torta is then dipped in a very hot tomato and dried chile de árbol sauce and topped with pickled sliced onions.</t>
  </si>
  <si>
    <t>México (Guadalajara)</t>
  </si>
  <si>
    <t>Tramezzino [1164]</t>
  </si>
  <si>
    <t>Tramezzino</t>
  </si>
  <si>
    <t>Triangular white bread with the crusts removed, with fillings such as tuna and olive and prosciutto, served in Italian bars throughout the day</t>
  </si>
  <si>
    <t>Tripleta [1165]</t>
  </si>
  <si>
    <t>Tripleta</t>
  </si>
  <si>
    <t>Although there are numerous variations, the main distinction is a combination of three meats, typically grilled, such as beef (usually churrasco steak or cube steak), roast pork (pernil), chicken, and ham. Condiments may include some combination of mustard, ketchup, and mayonnaise, often combined to create a special sauce. Popular toppings include thin crispy fried potato sticks or shoestring potatoes, thinly sliced cabbage, lettuce, onion, tomato, pickles, and Swiss cheese. The sandwich is often toasted in a sandwich press.</t>
  </si>
  <si>
    <t>Puerto Rico</t>
  </si>
  <si>
    <t>Tuna [1166]</t>
  </si>
  <si>
    <t>Tuna</t>
  </si>
  <si>
    <t>Usually made with tuna salad, which may include mayonnaise, sweetcorn, cucumber, or celery. Other common variations include the tuna boat and tuna melt.</t>
  </si>
  <si>
    <t>Vada pav [1167]</t>
  </si>
  <si>
    <t>Vada pav</t>
  </si>
  <si>
    <t>A potato fritter coated in chickpea flour (batata vada) in a bun</t>
  </si>
  <si>
    <t>India</t>
  </si>
  <si>
    <t>Vegemite [1168]</t>
  </si>
  <si>
    <t>Vegemite</t>
  </si>
  <si>
    <t>Vegemite is a dark brown Australian food paste made from used brewers' yeast extract, a by-product of beer manufacturing, various vegetables, wheat, and spice additives. It is a spread for sandwiches, toast, crumpets, and cracker biscuits, as well as a filling for pastries.</t>
  </si>
  <si>
    <t>Vegetable [1169]</t>
  </si>
  <si>
    <t>Vegetable</t>
  </si>
  <si>
    <t>Many types of vegetables are used to prepare vegetable sandwiches.</t>
  </si>
  <si>
    <t>Welsh rarebit [1170]</t>
  </si>
  <si>
    <t>Welsh rarebit</t>
  </si>
  <si>
    <t>A hot melted cheese sauce, poured over slices (or other pieces) of toasted bread. The hot cheese sauce may also be served in a bowl accompanied by the toast.</t>
  </si>
  <si>
    <t>Wrap [1171]</t>
  </si>
  <si>
    <t>Wrap</t>
  </si>
  <si>
    <t>Flat bread (often a tortilla) tightly wrapped around the sandwich filling with the ends tucked in to form a neat bundle. Fillings can vary widely.</t>
  </si>
  <si>
    <t>Wurstbrot (sausage bread) [1172]</t>
  </si>
  <si>
    <t>Wurstbrot (sausage bread)</t>
  </si>
  <si>
    <t>A simple and common German sandwich prepared with thin slices of lunch meat or sausage, sometimes buttered.</t>
  </si>
  <si>
    <t>Yakisoba-pan [1173]</t>
  </si>
  <si>
    <t>Yakisoba-pan</t>
  </si>
  <si>
    <t>A hot dog bun stuffed with fried noodles, frequently topped with pickles, such as beni shoga, with mayonnaise</t>
  </si>
  <si>
    <t>Zapiekanka [1174]</t>
  </si>
  <si>
    <t>Zapiekanka</t>
  </si>
  <si>
    <t>A halved baguette or other bread usually topped with mushrooms and cheese, ham or other meats, and vegetables</t>
  </si>
  <si>
    <t>Poland</t>
  </si>
  <si>
    <t>Bacon [1001]</t>
  </si>
  <si>
    <t>Bacon</t>
  </si>
  <si>
    <t>Often eaten with ketchup or brown sauce</t>
  </si>
  <si>
    <t>Barbecue [1005]</t>
  </si>
  <si>
    <t>Barbecue</t>
  </si>
  <si>
    <t>Served on a bun, with chopped, sliced, or shredded meat (pulled pork, beef, or chicken typically), and sometimes topped with coleslaw. Edited by dkottow @ 11:24h</t>
  </si>
  <si>
    <t>DADA [1010]</t>
  </si>
  <si>
    <t>DADA</t>
  </si>
  <si>
    <t>Named for its ingredients: bacon, lettuce, and tomato. Often served on toasted sliced bread spread with mayonnaise.</t>
  </si>
  <si>
    <t>Administrador</t>
  </si>
  <si>
    <t>Load</t>
  </si>
  <si>
    <t>Save</t>
  </si>
  <si>
    <t>order_id</t>
  </si>
  <si>
    <t>sandwich_ref</t>
  </si>
  <si>
    <t>unit_price</t>
  </si>
  <si>
    <t>quantity</t>
  </si>
  <si>
    <t>[2]</t>
  </si>
  <si>
    <t>[3]</t>
  </si>
  <si>
    <t>[4]</t>
  </si>
  <si>
    <t>[5]</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</si>
  <si>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</si>
  <si>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</si>
  <si>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</si>
  <si>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</si>
  <si>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</si>
  <si>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</si>
  <si>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</si>
  <si>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</si>
  <si>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</si>
  <si>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</si>
  <si>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</si>
  <si>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</si>
  <si>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</si>
  <si>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</si>
  <si>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</si>
  <si>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</si>
  <si>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</si>
  <si>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</si>
  <si>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</si>
  <si>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</si>
  <si>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</si>
  <si>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</si>
  <si>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</si>
  <si>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</si>
  <si>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</si>
  <si>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</si>
  <si>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</si>
  <si>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</si>
  <si>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</si>
  <si>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</si>
  <si>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</si>
  <si>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</si>
  <si>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</si>
  <si>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</si>
  <si>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</si>
  <si>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</si>
  <si>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</si>
  <si>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</si>
  <si>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</si>
  <si>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</si>
  <si>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</si>
  <si>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</si>
  <si>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</si>
  <si>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</si>
  <si>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</si>
  <si>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</si>
  <si>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</si>
  <si>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</si>
  <si>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</si>
  <si>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</si>
  <si>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</si>
  <si>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</si>
  <si>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</si>
  <si>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</si>
  <si>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</si>
  <si>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</si>
  <si>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</si>
  <si>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</si>
  <si>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</si>
  <si>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</si>
  <si>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</si>
  <si>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</si>
  <si>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</si>
  <si>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</si>
  <si>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</si>
  <si>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</si>
  <si>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</si>
  <si>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</si>
  <si>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</si>
  <si>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</si>
  <si>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</si>
  <si>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</si>
  <si>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</si>
  <si>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</si>
  <si>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</si>
  <si>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</si>
  <si>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</si>
  <si>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</si>
  <si>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</si>
  <si>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</si>
  <si>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</si>
  <si>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</si>
  <si>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</si>
  <si>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</si>
  <si>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</si>
  <si>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</si>
  <si>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</si>
  <si>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</si>
  <si>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</si>
  <si>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</si>
  <si>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</si>
  <si>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</si>
  <si>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</si>
  <si>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</si>
  <si>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</si>
  <si>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</si>
  <si>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</si>
  <si>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</si>
  <si>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</si>
  <si>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</si>
  <si>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</si>
  <si>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</si>
  <si>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</si>
  <si>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</si>
  <si>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</si>
  <si>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</si>
  <si>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</si>
  <si>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</si>
  <si>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</si>
  <si>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</si>
  <si>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</si>
  <si>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</si>
  <si>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</si>
  <si>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</si>
  <si>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</si>
  <si>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</si>
  <si>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</si>
  <si>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</si>
  <si>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</si>
  <si>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</si>
  <si>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</si>
  <si>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</si>
  <si>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</si>
  <si>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</si>
  <si>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</si>
  <si>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</si>
  <si>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</si>
  <si>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</si>
  <si>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</si>
  <si>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</si>
  <si>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</si>
  <si>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</si>
  <si>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</si>
  <si>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</si>
  <si>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</si>
  <si>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</si>
  <si>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</si>
  <si>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</si>
  <si>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</si>
  <si>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</si>
  <si>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</si>
  <si>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</si>
  <si>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</si>
  <si>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</si>
  <si>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</si>
  <si>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</si>
  <si>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</si>
  <si>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</si>
  <si>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</si>
  <si>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</si>
  <si>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</si>
  <si>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</si>
  <si>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</si>
  <si>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</si>
  <si>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</si>
  <si>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</si>
  <si>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</si>
  <si>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</si>
  <si>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</si>
  <si>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</si>
  <si>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</si>
  <si>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</si>
  <si>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</si>
  <si>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</si>
  <si>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</si>
  <si>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</si>
  <si>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</si>
  <si>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</si>
  <si>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</si>
  <si>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</si>
  <si>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</si>
  <si>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</si>
  <si>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</si>
  <si>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</si>
  <si>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</si>
  <si>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</si>
  <si>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</si>
  <si>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</si>
  <si>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</si>
  <si>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</si>
  <si>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</si>
  <si>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</si>
  <si>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</si>
  <si>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</si>
  <si>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</si>
  <si>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</si>
  <si>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</si>
  <si>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</si>
  <si>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</si>
  <si>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</si>
  <si>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</si>
  <si>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</si>
  <si>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</si>
  <si>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</si>
  <si>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</si>
  <si>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</si>
  <si>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</si>
  <si>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</si>
  <si>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</si>
  <si>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</si>
  <si>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</si>
  <si>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</si>
  <si>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</si>
  <si>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</si>
  <si>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</si>
  <si>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</si>
  <si>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</si>
  <si>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</si>
  <si>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</si>
  <si>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</si>
  <si>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</si>
  <si>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</si>
  <si>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</si>
  <si>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</si>
  <si>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</si>
  <si>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</si>
  <si>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</si>
  <si>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</si>
  <si>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</si>
  <si>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</si>
  <si>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</si>
  <si>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</si>
  <si>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</si>
  <si>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</si>
  <si>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</si>
  <si>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</si>
  <si>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</si>
  <si>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</si>
  <si>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</si>
  <si>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</si>
  <si>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</si>
  <si>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</si>
  <si>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</si>
  <si>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</si>
  <si>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</si>
  <si>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</si>
  <si>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</si>
  <si>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</si>
  <si>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</si>
  <si>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</si>
  <si>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</si>
  <si>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</si>
  <si>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</si>
  <si>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</si>
  <si>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</si>
  <si>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</si>
  <si>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</si>
  <si>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</si>
  <si>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</si>
  <si>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</si>
  <si>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</si>
  <si>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</si>
  <si>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</si>
  <si>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</si>
  <si>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</si>
  <si>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</si>
  <si>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</si>
  <si>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</si>
  <si>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</si>
  <si>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</si>
  <si>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</si>
  <si>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</si>
  <si>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</si>
  <si>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</si>
  <si>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</si>
  <si>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</si>
  <si>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</si>
  <si>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</si>
  <si>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</si>
  <si>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</si>
  <si>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</si>
  <si>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</si>
  <si>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</si>
  <si>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</si>
  <si>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</si>
  <si>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</si>
  <si>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</si>
  <si>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</si>
  <si>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</si>
  <si>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</si>
  <si>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</si>
  <si>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</si>
  <si>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</si>
  <si>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</si>
  <si>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</si>
  <si>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</si>
  <si>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</si>
  <si>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</si>
  <si>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</si>
  <si>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</si>
  <si>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</si>
  <si>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</si>
  <si>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</si>
  <si>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</si>
  <si>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</si>
  <si>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</si>
  <si>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</si>
  <si>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</si>
  <si>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</si>
  <si>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</si>
  <si>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</si>
  <si>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</si>
  <si>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</si>
  <si>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</si>
  <si>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</si>
  <si>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</si>
  <si>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</si>
  <si>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</si>
  <si>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</si>
  <si>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</si>
  <si>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</si>
  <si>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</si>
  <si>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</si>
  <si>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</si>
  <si>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</si>
  <si>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</si>
  <si>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</si>
  <si>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</si>
  <si>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</si>
  <si>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</si>
  <si>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</si>
  <si>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</si>
  <si>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</si>
  <si>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</si>
  <si>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</si>
  <si>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</si>
  <si>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</si>
  <si>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</si>
  <si>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</si>
  <si>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</si>
  <si>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</si>
  <si>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</si>
  <si>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</si>
  <si>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</si>
  <si>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</si>
  <si>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</si>
  <si>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</si>
  <si>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</si>
  <si>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</si>
  <si>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</si>
  <si>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</si>
  <si>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</si>
  <si>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</si>
  <si>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</si>
  <si>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</si>
  <si>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</si>
  <si>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</si>
  <si>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</si>
  <si>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</si>
  <si>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</si>
  <si>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</si>
  <si>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</si>
  <si>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</si>
  <si>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</si>
  <si>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</si>
  <si>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</si>
  <si>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</si>
  <si>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</si>
  <si>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</si>
  <si>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</si>
  <si>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</si>
  <si>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</si>
  <si>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</si>
  <si>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</si>
  <si>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</si>
  <si>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</si>
  <si>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</si>
  <si>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</si>
  <si>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</si>
  <si>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</si>
  <si>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</si>
  <si>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</si>
  <si>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</si>
  <si>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</si>
  <si>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</si>
  <si>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</si>
  <si>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</si>
  <si>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</si>
  <si>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</si>
  <si>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</si>
  <si>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</si>
  <si>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</si>
  <si>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</si>
  <si>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</si>
  <si>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</si>
  <si>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</si>
  <si>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</si>
  <si>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</si>
  <si>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</si>
  <si>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</si>
  <si>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</si>
  <si>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</si>
  <si>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</si>
  <si>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</si>
  <si>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</si>
  <si>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</si>
  <si>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</si>
  <si>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</si>
  <si>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</si>
  <si>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</si>
  <si>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</si>
  <si>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</si>
  <si>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</si>
  <si>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</si>
  <si>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</si>
  <si>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</si>
  <si>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</si>
  <si>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</si>
  <si>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</si>
  <si>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</si>
  <si>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</si>
  <si>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</si>
  <si>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</si>
  <si>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</si>
  <si>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</si>
  <si>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</si>
  <si>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</si>
  <si>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</si>
  <si>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</si>
  <si>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</si>
  <si>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</si>
  <si>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</si>
  <si>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</si>
  <si>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</si>
  <si>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</si>
  <si>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</si>
  <si>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</si>
  <si>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</si>
  <si>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</si>
  <si>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</si>
  <si>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</si>
  <si>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</si>
  <si>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</si>
  <si>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</si>
  <si>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</si>
  <si>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</si>
  <si>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</si>
  <si>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</si>
  <si>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</si>
  <si>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</si>
  <si>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</si>
  <si>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</si>
  <si>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</si>
  <si>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</si>
  <si>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</si>
  <si>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</si>
  <si>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</si>
  <si>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</si>
  <si>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</si>
  <si>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</si>
  <si>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</si>
  <si>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</si>
  <si>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</si>
  <si>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</si>
  <si>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</si>
  <si>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</si>
  <si>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</si>
  <si>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</si>
  <si>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</si>
  <si>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</si>
  <si>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</si>
  <si>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</si>
  <si>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</si>
  <si>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</si>
  <si>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</si>
  <si>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</si>
  <si>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</si>
  <si>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</si>
  <si>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</si>
  <si>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</si>
  <si>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</si>
  <si>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</si>
  <si>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</si>
  <si>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</si>
  <si>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</si>
  <si>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</si>
  <si>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</si>
  <si>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</si>
  <si>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</si>
  <si>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</si>
  <si>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</si>
  <si>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</si>
  <si>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</si>
  <si>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</si>
  <si>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</si>
  <si>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</si>
  <si>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</si>
  <si>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</si>
  <si>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</si>
  <si>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</si>
  <si>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</si>
  <si>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</si>
  <si>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</si>
  <si>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</si>
  <si>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</si>
  <si>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</si>
  <si>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</si>
  <si>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</si>
  <si>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</si>
  <si>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</si>
  <si>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</si>
  <si>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</si>
  <si>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</si>
  <si>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</si>
  <si>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</si>
  <si>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</si>
  <si>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</si>
  <si>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</si>
  <si>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</si>
  <si>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</si>
  <si>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</si>
  <si>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</si>
  <si>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</si>
  <si>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</si>
  <si>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</si>
  <si>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</si>
  <si>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</si>
  <si>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</si>
  <si>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</si>
  <si>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</si>
  <si>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</si>
  <si>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</si>
  <si>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</si>
  <si>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</si>
  <si>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</si>
  <si>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</si>
  <si>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</si>
  <si>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</si>
  <si>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</si>
  <si>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</si>
  <si>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</si>
  <si>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</si>
  <si>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</si>
  <si>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</si>
  <si>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</si>
  <si>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</si>
  <si>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</si>
  <si>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</si>
  <si>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</si>
  <si>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</si>
  <si>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</si>
  <si>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</si>
  <si>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</si>
  <si>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</si>
  <si>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</si>
  <si>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</si>
  <si>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</si>
  <si>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</si>
  <si>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</si>
  <si>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</si>
  <si>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</si>
  <si>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</si>
  <si>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</si>
  <si>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</si>
  <si>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</si>
  <si>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</si>
  <si>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</si>
  <si>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</si>
  <si>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</si>
  <si>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</si>
  <si>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</si>
  <si>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</si>
  <si>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</si>
  <si>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</si>
  <si>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</si>
  <si>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</si>
  <si>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</si>
  <si>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</si>
  <si>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</si>
  <si>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</si>
  <si>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</si>
  <si>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</si>
  <si>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</si>
  <si>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</si>
  <si>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</si>
  <si>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</si>
  <si>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</si>
  <si>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</si>
  <si>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</si>
  <si>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</si>
  <si>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</si>
  <si>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</si>
  <si>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</si>
  <si>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</si>
  <si>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</si>
  <si>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</si>
  <si>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</si>
  <si>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</si>
  <si>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</si>
  <si>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</si>
  <si>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</si>
  <si>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</si>
  <si>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</si>
  <si>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</si>
  <si>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</si>
  <si>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</si>
  <si>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</si>
  <si>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</si>
  <si>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</si>
  <si>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</si>
  <si>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</si>
  <si>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</si>
  <si>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</si>
  <si>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</si>
  <si>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</si>
  <si>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</si>
  <si>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</si>
  <si>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</si>
  <si>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</si>
  <si>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</si>
  <si>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</si>
  <si>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</si>
  <si>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</si>
  <si>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</si>
  <si>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</si>
  <si>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</si>
  <si>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</si>
  <si>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</si>
  <si>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</si>
  <si>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</si>
  <si>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</si>
  <si>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</si>
  <si>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</si>
  <si>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</si>
  <si>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</si>
  <si>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</si>
  <si>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</si>
  <si>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</si>
  <si>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</si>
  <si>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</si>
  <si>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</si>
  <si>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</si>
  <si>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</si>
  <si>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</si>
  <si>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</si>
  <si>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</si>
  <si>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</si>
  <si>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</si>
  <si>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</si>
  <si>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</si>
  <si>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</si>
  <si>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</si>
  <si>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</si>
  <si>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</si>
  <si>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</si>
  <si>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</si>
  <si>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</si>
  <si>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</si>
  <si>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</si>
  <si>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</si>
  <si>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</si>
  <si>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</si>
  <si>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</si>
  <si>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</si>
  <si>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</si>
  <si>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</si>
  <si>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</si>
  <si>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</si>
  <si>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</si>
  <si>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</si>
  <si>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</si>
  <si>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</si>
  <si>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</si>
  <si>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</si>
  <si>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</si>
  <si>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</si>
  <si>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</si>
  <si>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</si>
  <si>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</si>
  <si>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</si>
  <si>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</si>
  <si>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</si>
  <si>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</si>
  <si>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</si>
  <si>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</si>
  <si>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</si>
  <si>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</si>
  <si>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</si>
  <si>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</si>
  <si>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</si>
  <si>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</si>
  <si>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</si>
  <si>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</si>
  <si>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</si>
  <si>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</si>
  <si>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</si>
  <si>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</si>
  <si>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</si>
  <si>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</si>
  <si>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</si>
  <si>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</si>
  <si>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</si>
  <si>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</si>
  <si>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</si>
  <si>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</si>
  <si>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</si>
  <si>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</si>
  <si>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</si>
  <si>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</si>
  <si>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</si>
  <si>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</si>
  <si>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</si>
  <si>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</si>
  <si>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</si>
  <si>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</si>
  <si>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</si>
  <si>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</si>
  <si>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</si>
  <si>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</si>
  <si>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</si>
  <si>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</si>
  <si>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</si>
  <si>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</si>
  <si>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</si>
  <si>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</si>
  <si>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</si>
  <si>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</si>
  <si>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</si>
  <si>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</si>
  <si>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</si>
  <si>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</si>
  <si>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</si>
  <si>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</si>
  <si>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</si>
  <si>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</si>
  <si>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</si>
  <si>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</si>
  <si>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</si>
  <si>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</si>
  <si>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</si>
  <si>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</si>
  <si>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</si>
  <si>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</si>
  <si>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</si>
  <si>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</si>
  <si>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</si>
  <si>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</si>
  <si>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</si>
  <si>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</si>
  <si>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</si>
  <si>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</si>
  <si>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</si>
  <si>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</si>
  <si>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</si>
  <si>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</si>
  <si>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</si>
  <si>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</si>
  <si>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</si>
  <si>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</si>
  <si>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</si>
  <si>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</si>
  <si>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</si>
  <si>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</si>
  <si>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</si>
  <si>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</si>
  <si>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</si>
  <si>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</si>
  <si>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</si>
  <si>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</si>
  <si>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</si>
  <si>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</si>
  <si>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</si>
  <si>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</si>
  <si>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</si>
  <si>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</si>
  <si>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</si>
  <si>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</si>
  <si>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</si>
  <si>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</si>
  <si>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</si>
  <si>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</si>
  <si>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</si>
  <si>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</si>
  <si>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</si>
  <si>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</si>
  <si>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</si>
  <si>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</si>
  <si>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</si>
  <si>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</si>
  <si>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</si>
  <si>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</si>
  <si>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</si>
  <si>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</si>
  <si>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</si>
  <si>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</si>
  <si>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</si>
  <si>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</si>
  <si>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</si>
  <si>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</si>
  <si>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</si>
  <si>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</si>
  <si>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</si>
  <si>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</si>
  <si>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</si>
  <si>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</si>
  <si>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</si>
  <si>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</si>
  <si>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</si>
  <si>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</si>
  <si>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</si>
  <si>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</si>
  <si>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</si>
  <si>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</si>
  <si>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</si>
  <si>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</si>
  <si>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</si>
  <si>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</si>
  <si>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</si>
  <si>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</si>
  <si>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</si>
  <si>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</si>
  <si>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</si>
  <si>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</si>
  <si>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</si>
  <si>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</si>
  <si>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</si>
  <si>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</si>
  <si>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</si>
  <si>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</si>
  <si>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</si>
  <si>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</si>
  <si>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</si>
  <si>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</si>
  <si>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</si>
  <si>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</si>
  <si>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</si>
  <si>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</si>
  <si>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</si>
  <si>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</si>
  <si>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</si>
  <si>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</si>
  <si>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</si>
  <si>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</si>
  <si>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</si>
  <si>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</si>
  <si>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</si>
  <si>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</si>
  <si>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</si>
  <si>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</si>
  <si>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</si>
  <si>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</si>
  <si>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</si>
  <si>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</si>
  <si>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</si>
  <si>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</si>
  <si>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</si>
  <si>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</si>
  <si>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</si>
  <si>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</si>
  <si>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</si>
  <si>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</si>
  <si>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</si>
  <si>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</si>
  <si>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</si>
  <si>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</si>
  <si>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</si>
  <si>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</si>
  <si>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</si>
  <si>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</si>
  <si>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</si>
  <si>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</si>
  <si>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</si>
  <si>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</si>
  <si>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</si>
  <si>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</si>
  <si>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</si>
  <si>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</si>
  <si>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</si>
  <si>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</si>
  <si>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</si>
  <si>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</si>
  <si>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</si>
  <si>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</si>
  <si>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</si>
  <si>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</si>
  <si>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</si>
  <si>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</si>
  <si>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</si>
  <si>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</si>
  <si>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</si>
  <si>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</si>
  <si>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</si>
  <si>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</si>
  <si>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</si>
  <si>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</si>
  <si>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</si>
  <si>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</si>
  <si>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</si>
  <si>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</si>
  <si>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</si>
  <si>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</si>
  <si>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</si>
  <si>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</si>
  <si>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</si>
  <si>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</si>
  <si>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</si>
  <si>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</si>
  <si>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</si>
  <si>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</si>
  <si>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</si>
  <si>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</si>
  <si>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</si>
  <si>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</si>
  <si>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</si>
  <si>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</si>
  <si>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</si>
  <si>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</si>
  <si>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</si>
  <si>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</si>
  <si>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</si>
  <si>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</si>
  <si>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</si>
  <si>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</si>
  <si>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</si>
  <si>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</si>
  <si>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</si>
  <si>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</si>
  <si>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</si>
  <si>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</si>
  <si>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</si>
  <si>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</si>
  <si>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</si>
  <si>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</si>
  <si>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</si>
  <si>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</si>
  <si>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</si>
  <si>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</si>
  <si>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</si>
  <si>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</si>
  <si>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</si>
  <si>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</si>
  <si>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</si>
  <si>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</si>
  <si>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</si>
  <si>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</si>
  <si>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</si>
  <si>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</si>
  <si>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</si>
  <si>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</si>
  <si>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</si>
  <si>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</si>
  <si>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</si>
  <si>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</si>
  <si>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</si>
  <si>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</si>
  <si>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</si>
  <si>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</si>
  <si>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</si>
  <si>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</si>
  <si>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</si>
  <si>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</si>
  <si>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</si>
  <si>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</si>
  <si>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</si>
  <si>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</si>
  <si>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</si>
  <si>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</si>
  <si>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</si>
  <si>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</si>
  <si>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</si>
  <si>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</si>
  <si>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</si>
  <si>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</si>
  <si>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</si>
  <si>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</si>
  <si>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</si>
  <si>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</si>
  <si>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</si>
  <si>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</si>
  <si>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</si>
  <si>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</si>
  <si>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</si>
  <si>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</si>
  <si>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</si>
  <si>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</si>
  <si>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</si>
  <si>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</si>
  <si>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</si>
  <si>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</si>
  <si>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</si>
  <si>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</si>
  <si>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</si>
  <si>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</si>
  <si>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</si>
  <si>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</si>
  <si>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</si>
  <si>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</si>
  <si>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</si>
  <si>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</si>
  <si>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</si>
  <si>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</si>
  <si>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</si>
  <si>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</si>
  <si>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</si>
  <si>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</si>
  <si>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</si>
  <si>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Next</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</si>
  <si>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</si>
  <si>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</si>
  <si>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</si>
  <si>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</si>
  <si>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</si>
  <si>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</si>
  <si>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</si>
  <si>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</si>
  <si>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</si>
  <si>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</si>
  <si>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</si>
  <si>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</si>
  <si>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</si>
  <si>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</si>
  <si>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</si>
  <si>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</si>
  <si>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</si>
  <si>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</si>
  <si>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</si>
  <si>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</si>
  <si>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</si>
  <si>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</si>
  <si>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</si>
  <si>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</si>
  <si>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</si>
  <si>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</si>
  <si>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</si>
  <si>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</si>
  <si>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</si>
  <si>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</si>
  <si>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</si>
  <si>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</si>
  <si>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</si>
  <si>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</si>
  <si>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</si>
  <si>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</si>
  <si>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</si>
  <si>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</si>
  <si>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</si>
  <si>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</si>
  <si>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</si>
  <si>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</si>
  <si>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</si>
  <si>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</si>
  <si>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</si>
  <si>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</si>
  <si>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</si>
  <si>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</si>
  <si>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</si>
  <si>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</si>
  <si>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</si>
  <si>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</si>
  <si>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</si>
  <si>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</si>
  <si>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</si>
  <si>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</si>
  <si>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</si>
  <si>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</si>
  <si>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</si>
  <si>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</si>
  <si>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</si>
  <si>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</si>
  <si>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</si>
  <si>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</si>
  <si>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</si>
  <si>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</si>
  <si>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</si>
  <si>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</si>
  <si>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</si>
  <si>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</si>
  <si>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</si>
  <si>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</si>
  <si>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</si>
  <si>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</si>
  <si>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</si>
  <si>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</si>
  <si>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</si>
  <si>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</si>
  <si>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</si>
  <si>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</si>
  <si>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</si>
  <si>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</si>
  <si>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</si>
  <si>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</si>
  <si>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</si>
  <si>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</si>
  <si>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</si>
  <si>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</si>
  <si>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</si>
  <si>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</si>
  <si>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</si>
  <si>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</si>
  <si>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</si>
  <si>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</si>
  <si>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</si>
  <si>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</si>
  <si>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</si>
  <si>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</si>
  <si>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</si>
  <si>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</si>
  <si>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</si>
  <si>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</si>
  <si>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</si>
  <si>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</si>
  <si>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</si>
  <si>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</si>
  <si>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</si>
  <si>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</si>
  <si>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</si>
  <si>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</si>
  <si>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</si>
  <si>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</si>
  <si>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</si>
  <si>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</si>
  <si>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</si>
  <si>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</si>
  <si>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</si>
  <si>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</si>
  <si>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</si>
  <si>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</si>
  <si>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</si>
  <si>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</si>
  <si>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</si>
  <si>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</si>
  <si>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</si>
  <si>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</si>
  <si>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</si>
  <si>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</si>
  <si>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</si>
  <si>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</si>
  <si>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</si>
  <si>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</si>
  <si>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</si>
  <si>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</si>
  <si>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</si>
  <si>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</si>
  <si>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</si>
  <si>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</si>
  <si>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</si>
  <si>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</si>
  <si>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</si>
  <si>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</si>
  <si>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</si>
  <si>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</si>
  <si>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</si>
  <si>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</si>
  <si>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</si>
  <si>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</si>
  <si>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</si>
  <si>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</si>
  <si>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</si>
  <si>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</si>
  <si>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</si>
  <si>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</si>
  <si>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</si>
  <si>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</si>
  <si>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</si>
  <si>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</si>
  <si>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</si>
  <si>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</si>
  <si>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</si>
  <si>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</si>
  <si>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</si>
  <si>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</si>
  <si>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</si>
  <si>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</si>
  <si>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</si>
  <si>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</si>
  <si>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</si>
  <si>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</si>
  <si>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</si>
  <si>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</si>
  <si>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</si>
  <si>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</si>
  <si>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</si>
  <si>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</si>
  <si>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</si>
  <si>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</si>
  <si>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</si>
  <si>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</si>
  <si>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</si>
  <si>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</si>
  <si>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</si>
  <si>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</si>
  <si>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</si>
  <si>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</si>
  <si>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</si>
  <si>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</si>
  <si>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</si>
  <si>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</si>
  <si>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</si>
  <si>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</si>
  <si>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</si>
  <si>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</si>
  <si>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</si>
  <si>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</si>
  <si>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</si>
  <si>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</si>
  <si>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</si>
  <si>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</si>
  <si>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</si>
  <si>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</si>
  <si>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</si>
  <si>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</si>
  <si>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</si>
  <si>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</si>
  <si>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</si>
  <si>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</si>
  <si>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</si>
  <si>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</si>
  <si>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</si>
  <si>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</si>
  <si>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</si>
  <si>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</si>
  <si>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</si>
  <si>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</si>
  <si>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</si>
  <si>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</si>
  <si>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</si>
  <si>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</si>
  <si>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</si>
  <si>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</si>
  <si>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</si>
  <si>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</si>
  <si>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</si>
  <si>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</si>
  <si>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</si>
  <si>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</si>
  <si>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</si>
  <si>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</si>
  <si>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</si>
  <si>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</si>
  <si>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</si>
  <si>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</si>
  <si>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</si>
  <si>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</si>
  <si>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</si>
  <si>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</si>
  <si>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</si>
  <si>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</si>
  <si>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</si>
  <si>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</si>
  <si>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</si>
  <si>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</si>
  <si>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</si>
  <si>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</si>
  <si>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</si>
  <si>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</si>
  <si>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</si>
  <si>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</si>
  <si>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</si>
  <si>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</si>
  <si>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</si>
  <si>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</si>
  <si>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</si>
  <si>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</si>
  <si>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</si>
  <si>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</si>
  <si>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</si>
  <si>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</si>
  <si>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</si>
  <si>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</si>
  <si>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</si>
  <si>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</si>
  <si>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</si>
  <si>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</si>
  <si>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</si>
  <si>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</si>
  <si>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</si>
  <si>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</si>
  <si>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</si>
  <si>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</si>
  <si>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</si>
  <si>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</si>
  <si>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</si>
  <si>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</si>
  <si>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</si>
  <si>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</si>
  <si>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</si>
  <si>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</si>
  <si>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</si>
  <si>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</si>
  <si>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</si>
  <si>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</si>
  <si>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</si>
  <si>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</si>
  <si>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</si>
  <si>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</si>
  <si>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</si>
  <si>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</si>
  <si>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</si>
  <si>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</si>
  <si>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</si>
  <si>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</si>
  <si>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</si>
  <si>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</si>
  <si>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</si>
  <si>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</si>
  <si>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</si>
  <si>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</si>
  <si>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</si>
  <si>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</si>
  <si>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</si>
  <si>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</si>
  <si>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</si>
  <si>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</si>
  <si>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</si>
  <si>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</si>
  <si>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</si>
  <si>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</si>
  <si>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</si>
  <si>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</si>
  <si>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</si>
  <si>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</si>
  <si>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</si>
  <si>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</si>
  <si>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</si>
  <si>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</si>
  <si>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</si>
  <si>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</si>
  <si>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</si>
  <si>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</si>
  <si>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</si>
  <si>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</si>
  <si>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</si>
  <si>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</si>
  <si>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</si>
  <si>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</si>
  <si>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</si>
  <si>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</si>
  <si>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</si>
  <si>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</si>
  <si>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</si>
  <si>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</si>
  <si>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</si>
  <si>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</si>
  <si>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</si>
  <si>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</si>
  <si>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</si>
  <si>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</si>
  <si>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</si>
  <si>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</si>
  <si>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</si>
  <si>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</si>
  <si>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</si>
  <si>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</si>
  <si>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</si>
  <si>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</si>
  <si>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</si>
  <si>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</si>
  <si>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</si>
  <si>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</si>
  <si>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</si>
  <si>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</si>
  <si>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</si>
  <si>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</si>
  <si>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</si>
  <si>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</si>
  <si>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</si>
  <si>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</si>
  <si>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</si>
  <si>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</si>
  <si>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</si>
  <si>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</si>
  <si>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</si>
  <si>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</si>
  <si>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</si>
  <si>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</si>
  <si>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</si>
  <si>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</si>
  <si>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</si>
  <si>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</si>
  <si>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</si>
  <si>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</si>
  <si>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</si>
  <si>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</si>
  <si>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</si>
  <si>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</si>
  <si>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</si>
  <si>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</si>
  <si>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</si>
  <si>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</si>
  <si>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</si>
  <si>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</si>
  <si>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</si>
  <si>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</si>
  <si>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</si>
  <si>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</si>
  <si>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</si>
  <si>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</si>
  <si>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</si>
  <si>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</si>
  <si>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</si>
  <si>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</si>
  <si>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</si>
  <si>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</si>
  <si>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</si>
  <si>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</si>
  <si>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</si>
  <si>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</si>
  <si>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</si>
  <si>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</si>
  <si>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</si>
  <si>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</si>
  <si>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</si>
  <si>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</si>
  <si>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</si>
  <si>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</si>
  <si>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</si>
  <si>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</si>
  <si>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</si>
  <si>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</si>
  <si>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</si>
  <si>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</si>
  <si>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</si>
  <si>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</si>
  <si>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</si>
  <si>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</si>
  <si>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</si>
  <si>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</si>
  <si>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</si>
  <si>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</si>
  <si>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</si>
  <si>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</si>
  <si>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</si>
  <si>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</si>
  <si>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</si>
  <si>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</si>
  <si>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</si>
  <si>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</si>
  <si>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</si>
  <si>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</si>
  <si>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</si>
  <si>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</si>
  <si>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</si>
  <si>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</si>
  <si>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</si>
  <si>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</si>
  <si>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</si>
  <si>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</si>
  <si>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</si>
  <si>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</si>
  <si>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</si>
  <si>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</si>
  <si>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</si>
  <si>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</si>
  <si>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</si>
  <si>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</si>
  <si>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</si>
  <si>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</si>
  <si>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</si>
  <si>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</si>
  <si>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</si>
  <si>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</si>
  <si>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</si>
  <si>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</si>
  <si>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</si>
  <si>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</si>
  <si>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</si>
  <si>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</si>
  <si>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</si>
  <si>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</si>
  <si>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</si>
  <si>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</si>
  <si>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</si>
  <si>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</si>
  <si>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</si>
  <si>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</si>
  <si>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</si>
  <si>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</si>
  <si>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</si>
  <si>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</si>
  <si>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</si>
  <si>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</si>
  <si>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</si>
  <si>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</si>
  <si>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</si>
  <si>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</si>
  <si>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</si>
  <si>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</si>
  <si>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</si>
  <si>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</si>
  <si>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</si>
  <si>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</si>
  <si>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</si>
  <si>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</si>
  <si>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</si>
  <si>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</si>
  <si>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</si>
  <si>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</si>
  <si>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</si>
  <si>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</si>
  <si>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</si>
  <si>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</si>
  <si>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</si>
  <si>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</si>
  <si>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</si>
  <si>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</si>
  <si>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</si>
  <si>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</si>
  <si>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</si>
  <si>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</si>
  <si>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</si>
  <si>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</si>
  <si>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</si>
  <si>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</si>
  <si>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</si>
  <si>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</si>
  <si>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</si>
  <si>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</si>
  <si>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</si>
  <si>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</si>
  <si>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</si>
  <si>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</si>
  <si>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</si>
  <si>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</si>
  <si>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</si>
  <si>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</si>
  <si>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</si>
  <si>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</si>
  <si>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</si>
  <si>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</si>
  <si>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</si>
  <si>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</si>
  <si>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</si>
  <si>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</si>
  <si>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</si>
  <si>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</si>
  <si>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</si>
  <si>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</si>
  <si>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</si>
  <si>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</si>
  <si>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</si>
  <si>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</si>
  <si>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</si>
  <si>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</si>
  <si>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</si>
  <si>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</si>
  <si>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</si>
  <si>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</si>
  <si>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</si>
  <si>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</si>
  <si>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</si>
  <si>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</si>
  <si>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</si>
  <si>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</si>
  <si>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</si>
  <si>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</si>
  <si>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</si>
  <si>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</si>
  <si>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</si>
  <si>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</si>
  <si>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</si>
  <si>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</si>
  <si>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</si>
  <si>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</si>
  <si>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</si>
  <si>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</si>
  <si>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</si>
  <si>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</si>
  <si>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</si>
  <si>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</si>
  <si>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</si>
  <si>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</si>
  <si>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</si>
  <si>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</si>
  <si>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</si>
  <si>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</si>
  <si>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</si>
  <si>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</si>
  <si>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</si>
  <si>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</si>
  <si>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</si>
  <si>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</si>
  <si>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</si>
  <si>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</si>
  <si>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</si>
  <si>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</si>
  <si>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</si>
  <si>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</si>
  <si>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</si>
  <si>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</si>
  <si>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</si>
  <si>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</si>
  <si>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</si>
  <si>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</si>
  <si>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</si>
  <si>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</si>
  <si>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</si>
  <si>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</si>
  <si>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</si>
  <si>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</si>
  <si>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</si>
  <si>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</si>
  <si>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</si>
  <si>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</si>
  <si>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</si>
  <si>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</si>
  <si>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</si>
  <si>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</si>
  <si>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</si>
  <si>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</si>
  <si>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</si>
  <si>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</si>
  <si>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</si>
  <si>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</si>
  <si>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</si>
  <si>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</si>
  <si>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</si>
  <si>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</si>
  <si>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</si>
  <si>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</si>
  <si>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</si>
  <si>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</si>
  <si>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</si>
  <si>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</si>
  <si>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</si>
  <si>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</si>
  <si>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</si>
  <si>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</si>
  <si>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</si>
  <si>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</si>
  <si>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</si>
  <si>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</si>
  <si>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</si>
  <si>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</si>
  <si>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</si>
  <si>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</si>
  <si>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</si>
  <si>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</si>
  <si>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</si>
  <si>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</si>
  <si>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</si>
  <si>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</si>
  <si>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</si>
  <si>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</si>
  <si>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</si>
  <si>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</si>
  <si>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</si>
  <si>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</si>
  <si>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</si>
  <si>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</si>
  <si>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</si>
  <si>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</si>
  <si>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</si>
  <si>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</si>
  <si>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</si>
  <si>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</si>
  <si>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</si>
  <si>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</si>
  <si>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</si>
  <si>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</si>
  <si>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</si>
  <si>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</si>
  <si>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</si>
  <si>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</si>
  <si>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</si>
  <si>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</si>
  <si>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</si>
  <si>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</si>
  <si>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</si>
  <si>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</si>
  <si>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</si>
  <si>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</si>
  <si>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</si>
  <si>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</si>
  <si>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</si>
  <si>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</si>
  <si>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</si>
  <si>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</si>
  <si>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</si>
  <si>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</si>
  <si>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</si>
  <si>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</si>
  <si>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</si>
  <si>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</si>
  <si>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</si>
  <si>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</si>
  <si>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</si>
  <si>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</si>
  <si>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</si>
  <si>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</si>
  <si>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</si>
  <si>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</si>
  <si>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</si>
  <si>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</si>
  <si>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</si>
  <si>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</si>
  <si>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</si>
  <si>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</si>
  <si>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</si>
  <si>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</si>
  <si>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</si>
  <si>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</si>
  <si>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</si>
  <si>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</si>
  <si>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</si>
  <si>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</si>
  <si>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</si>
  <si>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</si>
  <si>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</si>
  <si>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</si>
  <si>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</si>
  <si>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</si>
  <si>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</si>
  <si>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</si>
  <si>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</si>
  <si>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</si>
  <si>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</si>
  <si>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</si>
  <si>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</si>
  <si>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</si>
  <si>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</si>
  <si>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</si>
  <si>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</si>
  <si>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</si>
  <si>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</si>
  <si>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</si>
  <si>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</si>
  <si>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</si>
  <si>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</si>
  <si>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</si>
  <si>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</si>
  <si>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</si>
  <si>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</si>
  <si>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</si>
  <si>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</si>
  <si>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</si>
  <si>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</si>
  <si>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</si>
  <si>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</si>
  <si>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</si>
  <si>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</si>
  <si>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</si>
  <si>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</si>
  <si>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</si>
  <si>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</si>
  <si>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</si>
  <si>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</si>
  <si>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</si>
  <si>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</si>
  <si>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</si>
  <si>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</si>
  <si>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</si>
  <si>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</si>
  <si>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</si>
  <si>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</si>
  <si>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</si>
  <si>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</si>
  <si>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</si>
  <si>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</si>
  <si>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</si>
  <si>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</si>
  <si>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</si>
  <si>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</si>
  <si>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</si>
  <si>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</si>
  <si>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</si>
  <si>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</si>
  <si>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</si>
  <si>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</si>
  <si>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</si>
  <si>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</si>
  <si>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</si>
  <si>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</si>
  <si>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</si>
  <si>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</si>
  <si>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</si>
  <si>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</si>
  <si>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</si>
  <si>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</si>
  <si>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</si>
  <si>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</si>
  <si>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</si>
  <si>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</si>
  <si>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</si>
  <si>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</si>
  <si>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</si>
  <si>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</si>
  <si>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</si>
  <si>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</si>
  <si>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</si>
  <si>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</si>
  <si>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</si>
  <si>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</si>
  <si>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</si>
  <si>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</si>
  <si>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</si>
  <si>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</si>
  <si>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</si>
  <si>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</si>
  <si>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</si>
  <si>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</si>
  <si>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</si>
  <si>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</si>
  <si>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</si>
  <si>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</si>
  <si>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</si>
  <si>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</si>
  <si>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</si>
  <si>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</si>
  <si>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</si>
  <si>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</si>
  <si>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</si>
  <si>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</si>
  <si>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</si>
  <si>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</si>
  <si>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</si>
  <si>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</si>
  <si>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</si>
  <si>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</si>
  <si>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</si>
  <si>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</si>
  <si>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</si>
  <si>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</si>
  <si>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</si>
  <si>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</si>
  <si>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</si>
  <si>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</si>
  <si>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</si>
  <si>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</si>
  <si>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</si>
  <si>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</si>
  <si>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</si>
  <si>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</si>
  <si>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</si>
  <si>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</si>
  <si>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</si>
  <si>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</si>
  <si>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</si>
  <si>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</si>
  <si>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</si>
  <si>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</si>
  <si>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</si>
  <si>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</si>
  <si>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</si>
  <si>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</si>
  <si>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</si>
  <si>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</si>
  <si>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</si>
  <si>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</si>
  <si>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</si>
  <si>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</si>
  <si>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</si>
  <si>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</si>
  <si>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</si>
  <si>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</si>
  <si>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</si>
  <si>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</si>
  <si>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</si>
  <si>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</si>
  <si>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</si>
  <si>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</si>
  <si>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</si>
  <si>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</si>
  <si>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</si>
  <si>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</si>
  <si>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</si>
  <si>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</si>
  <si>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</si>
  <si>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</si>
  <si>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</si>
  <si>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</si>
  <si>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</si>
  <si>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</si>
  <si>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</si>
  <si>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</si>
  <si>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</si>
  <si>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</si>
  <si>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</si>
  <si>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</si>
  <si>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</si>
  <si>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</si>
  <si>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</si>
  <si>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</si>
  <si>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</si>
  <si>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</si>
  <si>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</si>
  <si>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</si>
  <si>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</si>
  <si>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</si>
  <si>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</si>
  <si>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</si>
  <si>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</si>
  <si>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</si>
  <si>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</si>
  <si>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</si>
  <si>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</si>
  <si>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</si>
  <si>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</si>
  <si>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</si>
  <si>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</si>
  <si>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</si>
  <si>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</si>
  <si>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</si>
  <si>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</si>
  <si>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</si>
  <si>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</si>
  <si>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</si>
  <si>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</si>
  <si>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</si>
  <si>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</si>
  <si>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</si>
  <si>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</si>
  <si>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</si>
  <si>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</si>
  <si>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</si>
  <si>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</si>
  <si>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</si>
  <si>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</si>
  <si>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</si>
  <si>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</si>
  <si>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</si>
  <si>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</si>
  <si>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</si>
  <si>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</si>
  <si>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</si>
  <si>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</si>
  <si>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</si>
  <si>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</si>
  <si>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</si>
  <si>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</si>
  <si>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</si>
  <si>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</si>
  <si>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</si>
  <si>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</si>
  <si>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</si>
  <si>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</si>
  <si>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</si>
  <si>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</si>
  <si>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</si>
  <si>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</si>
  <si>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</si>
  <si>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</si>
  <si>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</si>
  <si>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</si>
  <si>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</si>
  <si>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</si>
  <si>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</si>
  <si>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</si>
  <si>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</si>
  <si>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</si>
  <si>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</si>
  <si>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</si>
  <si>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</si>
  <si>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</si>
  <si>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</si>
  <si>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</si>
  <si>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</si>
  <si>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</si>
  <si>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</si>
  <si>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</si>
  <si>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</si>
  <si>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</si>
  <si>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</si>
  <si>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</si>
  <si>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</si>
  <si>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</si>
  <si>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</si>
  <si>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</si>
  <si>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</si>
  <si>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</si>
  <si>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</si>
  <si>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</si>
  <si>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</si>
  <si>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</si>
  <si>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</si>
  <si>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</si>
  <si>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</si>
  <si>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</si>
  <si>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</si>
  <si>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</si>
  <si>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</si>
  <si>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</si>
  <si>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</si>
  <si>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</si>
  <si>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</si>
  <si>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</si>
  <si>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</si>
  <si>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</si>
  <si>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</si>
  <si>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</si>
  <si>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</si>
  <si>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</si>
  <si>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</si>
  <si>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</si>
  <si>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</si>
  <si>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</si>
  <si>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</si>
  <si>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</si>
  <si>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</si>
  <si>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</si>
  <si>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</si>
  <si>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</si>
  <si>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</si>
  <si>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</si>
  <si>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</si>
  <si>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</si>
  <si>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</si>
  <si>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</si>
  <si>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Team</t>
  </si>
  <si>
    <t>Player, Game, Game</t>
  </si>
  <si>
    <t>Player</t>
  </si>
  <si>
    <t>Team, Position</t>
  </si>
  <si>
    <t>Formation</t>
  </si>
  <si>
    <t>Game</t>
  </si>
  <si>
    <t>Venue, Team, Team</t>
  </si>
  <si>
    <t>Player, Position, Game</t>
  </si>
  <si>
    <t>Position</t>
  </si>
  <si>
    <t>Player, Formation</t>
  </si>
  <si>
    <t>Venue</t>
  </si>
  <si>
    <t>Team.id</t>
  </si>
  <si>
    <t>Team.Name</t>
  </si>
  <si>
    <t>Team.Country</t>
  </si>
  <si>
    <t>Team.mod_by</t>
  </si>
  <si>
    <t>Team.mod_on</t>
  </si>
  <si>
    <t>Player.id</t>
  </si>
  <si>
    <t>Player.Name</t>
  </si>
  <si>
    <t>Player.Country</t>
  </si>
  <si>
    <t>Player.DateOfBirth</t>
  </si>
  <si>
    <t>Player.Team_id</t>
  </si>
  <si>
    <t>Player.Role</t>
  </si>
  <si>
    <t>VARCHAR(20)</t>
  </si>
  <si>
    <t>Player.PreferredPosition_id</t>
  </si>
  <si>
    <t>Player.mod_by</t>
  </si>
  <si>
    <t>Player.mod_on</t>
  </si>
  <si>
    <t>Game.id</t>
  </si>
  <si>
    <t>Game.EventDate</t>
  </si>
  <si>
    <t>Game.EventTime</t>
  </si>
  <si>
    <t>VARCHAR(4)</t>
  </si>
  <si>
    <t>Game.Venue_id</t>
  </si>
  <si>
    <t>Game.Team1_id</t>
  </si>
  <si>
    <t>Game.Team2_id</t>
  </si>
  <si>
    <t>Game.mod_by</t>
  </si>
  <si>
    <t>Game.mod_on</t>
  </si>
  <si>
    <t>Formation.id</t>
  </si>
  <si>
    <t>Formation.Player_id</t>
  </si>
  <si>
    <t>Formation.Position_id</t>
  </si>
  <si>
    <t>Formation.Game_id</t>
  </si>
  <si>
    <t>Formation.mod_by</t>
  </si>
  <si>
    <t>Formation.mod_on</t>
  </si>
  <si>
    <t>Position.id</t>
  </si>
  <si>
    <t>Position.Code</t>
  </si>
  <si>
    <t>VARCHAR(2)</t>
  </si>
  <si>
    <t>Position.Name</t>
  </si>
  <si>
    <t>Position.mod_by</t>
  </si>
  <si>
    <t>Position.mod_on</t>
  </si>
  <si>
    <t>Venue.id</t>
  </si>
  <si>
    <t>Venue.Name</t>
  </si>
  <si>
    <t>Venue.mod_by</t>
  </si>
  <si>
    <t>Venue.mod_on</t>
  </si>
  <si>
    <t>Links To</t>
  </si>
  <si>
    <t>Linked By</t>
  </si>
  <si>
    <t>Country</t>
  </si>
  <si>
    <t>Name</t>
  </si>
  <si>
    <t>Real Madrid  [1]</t>
  </si>
  <si>
    <t xml:space="preserve">Real Madrid </t>
  </si>
  <si>
    <t>FC Barcelona  [2]</t>
  </si>
  <si>
    <t xml:space="preserve">FC Barcelona </t>
  </si>
  <si>
    <t>Manchester United  [3]</t>
  </si>
  <si>
    <t>England</t>
  </si>
  <si>
    <t xml:space="preserve">Manchester United </t>
  </si>
  <si>
    <t>Bayern Munich  [4]</t>
  </si>
  <si>
    <t xml:space="preserve">Bayern Munich </t>
  </si>
  <si>
    <t>Manchester City  [5]</t>
  </si>
  <si>
    <t xml:space="preserve">Manchester City </t>
  </si>
  <si>
    <t>Chelsea  [6]</t>
  </si>
  <si>
    <t xml:space="preserve">Chelsea </t>
  </si>
  <si>
    <t>Arsenal  [7]</t>
  </si>
  <si>
    <t xml:space="preserve">Arsenal </t>
  </si>
  <si>
    <t>Liverpool  [8]</t>
  </si>
  <si>
    <t xml:space="preserve">Liverpool </t>
  </si>
  <si>
    <t>Juventus  [9]</t>
  </si>
  <si>
    <t xml:space="preserve">Juventus </t>
  </si>
  <si>
    <t>Milan  [10]</t>
  </si>
  <si>
    <t xml:space="preserve">Milan </t>
  </si>
  <si>
    <t>Borussia Dortmund  [11]</t>
  </si>
  <si>
    <t xml:space="preserve">Borussia Dortmund </t>
  </si>
  <si>
    <t>Paris Saint-Germain  [12]</t>
  </si>
  <si>
    <t xml:space="preserve">Paris Saint-Germain </t>
  </si>
  <si>
    <t>Tottenham Hotspur  [13]</t>
  </si>
  <si>
    <t xml:space="preserve">Tottenham Hotspur </t>
  </si>
  <si>
    <t>Schalke 04  [14]</t>
  </si>
  <si>
    <t xml:space="preserve">Schalke 04 </t>
  </si>
  <si>
    <t>Internazionale  [15]</t>
  </si>
  <si>
    <t xml:space="preserve">Internazionale </t>
  </si>
  <si>
    <t>Atlético Madrid  [16]</t>
  </si>
  <si>
    <t xml:space="preserve">Atlético Madrid </t>
  </si>
  <si>
    <t>Napoli  [17]</t>
  </si>
  <si>
    <t xml:space="preserve">Napoli </t>
  </si>
  <si>
    <t>Newcastle United  [18]</t>
  </si>
  <si>
    <t xml:space="preserve">Newcastle United </t>
  </si>
  <si>
    <t>West Ham United  [19]</t>
  </si>
  <si>
    <t xml:space="preserve">West Ham United </t>
  </si>
  <si>
    <t>Galatasaray  [20]</t>
  </si>
  <si>
    <t xml:space="preserve">Galatasaray </t>
  </si>
  <si>
    <t>EventDate</t>
  </si>
  <si>
    <t>EventTime</t>
  </si>
  <si>
    <t>Team1_ref</t>
  </si>
  <si>
    <t>Team2_ref</t>
  </si>
  <si>
    <t>Venue_id</t>
  </si>
  <si>
    <t>2016-06-02 Camp Nou [1]</t>
  </si>
  <si>
    <t>21:00</t>
  </si>
  <si>
    <t>2016-06-02 Wembley Stadium [2]</t>
  </si>
  <si>
    <t>19:00</t>
  </si>
  <si>
    <t>2016-06-03 Croke Park [3]</t>
  </si>
  <si>
    <t>2016-06-03 Twickenham Stadium [4]</t>
  </si>
  <si>
    <t>2016-06-09 San Siro [5]</t>
  </si>
  <si>
    <t>2016-06-09 Westfalenstadion [6]</t>
  </si>
  <si>
    <t>2016-06-16 Stade de France [7]</t>
  </si>
  <si>
    <t>20:30</t>
  </si>
  <si>
    <t>dkott_000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</si>
</sst>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hh:mm:ss"/>
    <numFmt numFmtId="165" formatCode="yyyy\-mm\-dd"/>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3">
    <xf numFmtId="0" fontId="0" fillId="0" borderId="0" xfId="0"/>
    <xf numFmtId="0" fontId="1" fillId="0" borderId="0" xfId="0" applyFont="1"/>
    <xf numFmtId="0" fontId="2" fillId="0" borderId="0" xfId="1"/>
    <xf numFmtId="49" fontId="0" fillId="0" borderId="0" xfId="0" applyNumberFormat="1"/>
    <xf numFmtId="49" fontId="1" fillId="0" borderId="0" xfId="0" applyNumberFormat="1" applyFont="1"/>
    <xf numFmtId="1" fontId="0" fillId="0" borderId="0" xfId="0" applyNumberFormat="1"/>
    <xf numFmtId="1" fontId="1" fillId="0" borderId="0" xfId="0" applyNumberFormat="1" applyFont="1"/>
    <xf numFmtId="2" fontId="0" fillId="0" borderId="0" xfId="0" applyNumberFormat="1"/>
    <xf numFmtId="2" fontId="1" fillId="0" borderId="0" xfId="0" applyNumberFormat="1" applyFont="1"/>
    <xf numFmtId="164" fontId="0" fillId="0" borderId="0" xfId="0" applyNumberFormat="1"/>
    <xf numFmtId="164" fontId="1" fillId="0" borderId="0" xfId="0" applyNumberFormat="1" applyFont="1"/>
    <xf numFmtId="165" fontId="0" fillId="0" borderId="0" xfId="0" applyNumberFormat="1"/>
    <xf numFmtId="165" fontId="1" fillId="0" borderId="0" xfId="0" applyNumberFormat="1" applyFont="1"/>
  </cellXfs>
  <cellStyles count="2">
    <cellStyle name="Hipervínculo" xfId="1" builtinId="8"/>
    <cellStyle name="Normal" xfId="0" builtinId="0"/>
  </cellStyles>
  <dxfs count="6615">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
      <fill>
        <patternFill>
          <bgColor rgb="FFC040FF"/>
        </patternFill>
      </fill>
    </dxf>
    <dxf>
      <fill>
        <patternFill>
          <bgColor rgb="FFFFC040"/>
        </patternFill>
      </fill>
    </dxf>
    <dxf>
      <fill>
        <patternFill>
          <bgColor rgb="FFFF604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F46"/>
  <sheetViews>
    <sheetView tabSelected="1" workbookViewId="0">
      <selection activeCell="D7" sqref="D7"/>
    </sheetView>
  </sheetViews>
  <sheetFormatPr baseColWidth="10" defaultColWidth="11.42578125" defaultRowHeight="15" x14ac:dyDescent="0.25"/>
  <cols>
    <col min="3" max="3" width="12" customWidth="1"/>
    <col min="4" max="4" width="23.5703125" bestFit="1" customWidth="1"/>
    <col min="5" max="5" width="17.5703125" bestFit="1" customWidth="1"/>
  </cols>
  <sheetData>
    <row r="1" spans="1:6" x14ac:dyDescent="0.25">
      <c r="A1" s="1" t="s">
        <v>0</v>
      </c>
      <c r="C1" s="1" t="s">
        <v>7</v>
      </c>
      <c r="D1" s="1" t="s">
        <v>8</v>
      </c>
      <c r="E1" s="1" t="s">
        <v>2677</v>
      </c>
      <c r="F1" s="1" t="s">
        <v>2678</v>
      </c>
    </row>
    <row r="2" spans="1:6" x14ac:dyDescent="0.25">
      <c r="A2" s="2" t="s">
        <v>1</v>
      </c>
      <c r="C2" t="s">
        <v>5</v>
      </c>
      <c r="D2" s="2" t="s">
        <v>2626</v>
      </c>
      <c r="F2" t="s">
        <v>2627</v>
      </c>
    </row>
    <row r="3" spans="1:6" x14ac:dyDescent="0.25">
      <c r="A3" s="2" t="s">
        <v>2</v>
      </c>
      <c r="D3" s="2" t="s">
        <v>2628</v>
      </c>
      <c r="E3" t="s">
        <v>2629</v>
      </c>
      <c r="F3" t="s">
        <v>2630</v>
      </c>
    </row>
    <row r="4" spans="1:6" x14ac:dyDescent="0.25">
      <c r="A4" s="2" t="s">
        <v>3</v>
      </c>
      <c r="D4" s="2" t="s">
        <v>2631</v>
      </c>
      <c r="E4" t="s">
        <v>2632</v>
      </c>
      <c r="F4" t="s">
        <v>2630</v>
      </c>
    </row>
    <row r="5" spans="1:6" x14ac:dyDescent="0.25">
      <c r="A5" s="2" t="s">
        <v>4</v>
      </c>
      <c r="D5" s="2" t="s">
        <v>2630</v>
      </c>
      <c r="E5" t="s">
        <v>2633</v>
      </c>
    </row>
    <row r="6" spans="1:6" x14ac:dyDescent="0.25">
      <c r="A6" s="2" t="s">
        <v>5</v>
      </c>
      <c r="D6" s="2" t="s">
        <v>2634</v>
      </c>
      <c r="F6" t="s">
        <v>2635</v>
      </c>
    </row>
    <row r="7" spans="1:6" x14ac:dyDescent="0.25">
      <c r="A7" s="2" t="s">
        <v>6</v>
      </c>
      <c r="D7" s="2" t="s">
        <v>2636</v>
      </c>
      <c r="F7" t="s">
        <v>2631</v>
      </c>
    </row>
    <row r="9" spans="1:6" x14ac:dyDescent="0.25">
      <c r="D9" s="1" t="s">
        <v>9</v>
      </c>
    </row>
    <row r="10" spans="1:6" x14ac:dyDescent="0.25">
      <c r="D10" t="s">
        <v>2637</v>
      </c>
      <c r="E10" t="s">
        <v>10</v>
      </c>
    </row>
    <row r="11" spans="1:6" x14ac:dyDescent="0.25">
      <c r="D11" t="s">
        <v>2638</v>
      </c>
      <c r="E11" t="s">
        <v>11</v>
      </c>
    </row>
    <row r="12" spans="1:6" x14ac:dyDescent="0.25">
      <c r="D12" t="s">
        <v>2639</v>
      </c>
      <c r="E12" t="s">
        <v>11</v>
      </c>
    </row>
    <row r="13" spans="1:6" x14ac:dyDescent="0.25">
      <c r="D13" t="s">
        <v>2640</v>
      </c>
      <c r="E13" t="s">
        <v>13</v>
      </c>
    </row>
    <row r="14" spans="1:6" x14ac:dyDescent="0.25">
      <c r="D14" t="s">
        <v>2641</v>
      </c>
      <c r="E14" t="s">
        <v>14</v>
      </c>
    </row>
    <row r="15" spans="1:6" x14ac:dyDescent="0.25">
      <c r="D15" t="s">
        <v>2642</v>
      </c>
      <c r="E15" t="s">
        <v>10</v>
      </c>
    </row>
    <row r="16" spans="1:6" x14ac:dyDescent="0.25">
      <c r="D16" t="s">
        <v>2643</v>
      </c>
      <c r="E16" t="s">
        <v>11</v>
      </c>
    </row>
    <row r="17" spans="4:5" x14ac:dyDescent="0.25">
      <c r="D17" t="s">
        <v>2644</v>
      </c>
      <c r="E17" t="s">
        <v>11</v>
      </c>
    </row>
    <row r="18" spans="4:5" x14ac:dyDescent="0.25">
      <c r="D18" t="s">
        <v>2645</v>
      </c>
      <c r="E18" t="s">
        <v>15</v>
      </c>
    </row>
    <row r="19" spans="4:5" x14ac:dyDescent="0.25">
      <c r="D19" t="s">
        <v>2646</v>
      </c>
      <c r="E19" t="s">
        <v>10</v>
      </c>
    </row>
    <row r="20" spans="4:5" x14ac:dyDescent="0.25">
      <c r="D20" t="s">
        <v>2647</v>
      </c>
      <c r="E20" t="s">
        <v>2648</v>
      </c>
    </row>
    <row r="21" spans="4:5" x14ac:dyDescent="0.25">
      <c r="D21" t="s">
        <v>2649</v>
      </c>
      <c r="E21" t="s">
        <v>10</v>
      </c>
    </row>
    <row r="22" spans="4:5" x14ac:dyDescent="0.25">
      <c r="D22" t="s">
        <v>2650</v>
      </c>
      <c r="E22" t="s">
        <v>13</v>
      </c>
    </row>
    <row r="23" spans="4:5" x14ac:dyDescent="0.25">
      <c r="D23" t="s">
        <v>2651</v>
      </c>
      <c r="E23" t="s">
        <v>14</v>
      </c>
    </row>
    <row r="24" spans="4:5" x14ac:dyDescent="0.25">
      <c r="D24" t="s">
        <v>2652</v>
      </c>
      <c r="E24" t="s">
        <v>10</v>
      </c>
    </row>
    <row r="25" spans="4:5" x14ac:dyDescent="0.25">
      <c r="D25" t="s">
        <v>2653</v>
      </c>
      <c r="E25" t="s">
        <v>15</v>
      </c>
    </row>
    <row r="26" spans="4:5" x14ac:dyDescent="0.25">
      <c r="D26" t="s">
        <v>2654</v>
      </c>
      <c r="E26" t="s">
        <v>2655</v>
      </c>
    </row>
    <row r="27" spans="4:5" x14ac:dyDescent="0.25">
      <c r="D27" t="s">
        <v>2656</v>
      </c>
      <c r="E27" t="s">
        <v>10</v>
      </c>
    </row>
    <row r="28" spans="4:5" x14ac:dyDescent="0.25">
      <c r="D28" t="s">
        <v>2657</v>
      </c>
      <c r="E28" t="s">
        <v>10</v>
      </c>
    </row>
    <row r="29" spans="4:5" x14ac:dyDescent="0.25">
      <c r="D29" t="s">
        <v>2658</v>
      </c>
      <c r="E29" t="s">
        <v>10</v>
      </c>
    </row>
    <row r="30" spans="4:5" x14ac:dyDescent="0.25">
      <c r="D30" t="s">
        <v>2659</v>
      </c>
      <c r="E30" t="s">
        <v>12</v>
      </c>
    </row>
    <row r="31" spans="4:5" x14ac:dyDescent="0.25">
      <c r="D31" t="s">
        <v>2660</v>
      </c>
      <c r="E31" t="s">
        <v>14</v>
      </c>
    </row>
    <row r="32" spans="4:5" x14ac:dyDescent="0.25">
      <c r="D32" t="s">
        <v>2661</v>
      </c>
      <c r="E32" t="s">
        <v>10</v>
      </c>
    </row>
    <row r="33" spans="4:5" x14ac:dyDescent="0.25">
      <c r="D33" t="s">
        <v>2662</v>
      </c>
      <c r="E33" t="s">
        <v>10</v>
      </c>
    </row>
    <row r="34" spans="4:5" x14ac:dyDescent="0.25">
      <c r="D34" t="s">
        <v>2663</v>
      </c>
      <c r="E34" t="s">
        <v>10</v>
      </c>
    </row>
    <row r="35" spans="4:5" x14ac:dyDescent="0.25">
      <c r="D35" t="s">
        <v>2664</v>
      </c>
      <c r="E35" t="s">
        <v>10</v>
      </c>
    </row>
    <row r="36" spans="4:5" x14ac:dyDescent="0.25">
      <c r="D36" t="s">
        <v>2665</v>
      </c>
      <c r="E36" t="s">
        <v>12</v>
      </c>
    </row>
    <row r="37" spans="4:5" x14ac:dyDescent="0.25">
      <c r="D37" t="s">
        <v>2666</v>
      </c>
      <c r="E37" t="s">
        <v>14</v>
      </c>
    </row>
    <row r="38" spans="4:5" x14ac:dyDescent="0.25">
      <c r="D38" t="s">
        <v>2667</v>
      </c>
      <c r="E38" t="s">
        <v>10</v>
      </c>
    </row>
    <row r="39" spans="4:5" x14ac:dyDescent="0.25">
      <c r="D39" t="s">
        <v>2668</v>
      </c>
      <c r="E39" t="s">
        <v>2669</v>
      </c>
    </row>
    <row r="40" spans="4:5" x14ac:dyDescent="0.25">
      <c r="D40" t="s">
        <v>2670</v>
      </c>
      <c r="E40" t="s">
        <v>11</v>
      </c>
    </row>
    <row r="41" spans="4:5" x14ac:dyDescent="0.25">
      <c r="D41" t="s">
        <v>2671</v>
      </c>
      <c r="E41" t="s">
        <v>12</v>
      </c>
    </row>
    <row r="42" spans="4:5" x14ac:dyDescent="0.25">
      <c r="D42" t="s">
        <v>2672</v>
      </c>
      <c r="E42" t="s">
        <v>14</v>
      </c>
    </row>
    <row r="43" spans="4:5" x14ac:dyDescent="0.25">
      <c r="D43" t="s">
        <v>2673</v>
      </c>
      <c r="E43" t="s">
        <v>10</v>
      </c>
    </row>
    <row r="44" spans="4:5" x14ac:dyDescent="0.25">
      <c r="D44" t="s">
        <v>2674</v>
      </c>
      <c r="E44" t="s">
        <v>11</v>
      </c>
    </row>
    <row r="45" spans="4:5" x14ac:dyDescent="0.25">
      <c r="D45" t="s">
        <v>2675</v>
      </c>
      <c r="E45" t="s">
        <v>12</v>
      </c>
    </row>
    <row r="46" spans="4:5" x14ac:dyDescent="0.25">
      <c r="D46" t="s">
        <v>2676</v>
      </c>
      <c r="E46" t="s">
        <v>14</v>
      </c>
    </row>
  </sheetData>
  <dataValidations count="6">
    <dataValidation type="custom" allowBlank="1" showInputMessage="1" showErrorMessage="1" error="Column Headers are read-only" sqref="A1">
      <formula1>FALSE</formula1>
    </dataValidation>
    <dataValidation type="custom" allowBlank="1" showInputMessage="1" showErrorMessage="1" error="Column Headers are read-only" sqref="C1">
      <formula1>FALSE</formula1>
    </dataValidation>
    <dataValidation type="custom" allowBlank="1" showInputMessage="1" showErrorMessage="1" error="Column Headers are read-only" sqref="D1">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custom" allowBlank="1" showInputMessage="1" showErrorMessage="1" error="Column Headers are read-only" sqref="D9">
      <formula1>"False"</formula1>
    </dataValidation>
  </dataValidations>
  <hyperlinks>
    <hyperlink ref="A2" tooltip="http://api.donkeylift.com/demo" display="Reset"/>
    <hyperlink ref="A3" tooltip="/demo/s2.db" display="s2"/>
    <hyperlink ref="A4" tooltip="/demo/sales.db" display="sales"/>
    <hyperlink ref="A5" tooltip="/demo/sandwiches.db" display="sandwiches"/>
    <hyperlink ref="A6" tooltip="/demo/soccer.db" display="soccer"/>
    <hyperlink ref="A7" tooltip="/demo/test.db" display="test"/>
    <hyperlink ref="D2" tooltip="func:LoadTablesCell" display="Team"/>
    <hyperlink ref="D3" tooltip="func:LoadTablesCell" display="Player"/>
    <hyperlink ref="D4" tooltip="func:LoadTablesCell" display="Game"/>
    <hyperlink ref="D5" tooltip="func:LoadTablesCell" display="Formation"/>
    <hyperlink ref="D6" tooltip="func:LoadTablesCell" display="Position"/>
    <hyperlink ref="D7" tooltip="func:LoadTablesCell" display="Venue"/>
  </hyperlink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176"/>
  <sheetViews>
    <sheetView workbookViewId="0"/>
  </sheetViews>
  <sheetFormatPr baseColWidth="10" defaultRowHeight="15" x14ac:dyDescent="0.25"/>
  <cols>
    <col min="4" max="4" width="11.42578125" style="3"/>
    <col min="5" max="5" width="11.42578125" style="5"/>
    <col min="6" max="6" width="11.42578125" style="3"/>
    <col min="7" max="7" width="11.42578125" style="7"/>
    <col min="8" max="10" width="11.42578125" style="3"/>
    <col min="11" max="11" width="11.42578125" style="9"/>
  </cols>
  <sheetData>
    <row r="1" spans="1:11" x14ac:dyDescent="0.25">
      <c r="A1" s="1" t="s">
        <v>0</v>
      </c>
      <c r="C1" s="1" t="s">
        <v>16</v>
      </c>
      <c r="D1" s="4" t="s">
        <v>17</v>
      </c>
      <c r="E1" s="6" t="s">
        <v>18</v>
      </c>
      <c r="F1" s="4" t="s">
        <v>19</v>
      </c>
      <c r="G1" s="8" t="s">
        <v>20</v>
      </c>
      <c r="H1" s="4" t="s">
        <v>21</v>
      </c>
      <c r="I1" s="4" t="s">
        <v>22</v>
      </c>
      <c r="J1" s="4" t="s">
        <v>23</v>
      </c>
      <c r="K1" s="10" t="s">
        <v>24</v>
      </c>
    </row>
    <row r="2" spans="1:11" x14ac:dyDescent="0.25">
      <c r="A2" s="2" t="s">
        <v>619</v>
      </c>
      <c r="C2" t="str">
        <f>IF(COUNTBLANK(E2:K2) = 7,"",IF(AND(NOT(ISBLANK(E2)),COUNTBLANK(E2:K2) = 6),"3 Delete",IF(ISBLANK(E2),"2 Add",IF(SHA1Range(E2:K2) = "31f51cb7c7641dae265c199719a23c0b253f1b97","0 Original","1 Modify"))))</f>
        <v>0 Original</v>
      </c>
      <c r="D2" s="3" t="s">
        <v>25</v>
      </c>
      <c r="E2" s="5">
        <v>1002</v>
      </c>
      <c r="F2" s="3" t="s">
        <v>26</v>
      </c>
      <c r="G2" s="7">
        <v>8.99</v>
      </c>
      <c r="H2" s="3" t="s">
        <v>27</v>
      </c>
      <c r="I2" s="3" t="s">
        <v>28</v>
      </c>
      <c r="J2" s="3" t="s">
        <v>29</v>
      </c>
      <c r="K2" s="9">
        <v>42483.625115740739</v>
      </c>
    </row>
    <row r="3" spans="1:11" x14ac:dyDescent="0.25">
      <c r="A3" s="2" t="s">
        <v>620</v>
      </c>
      <c r="C3" t="str">
        <f>IF(COUNTBLANK(E3:K3) = 7,"",IF(AND(NOT(ISBLANK(E3)),COUNTBLANK(E3:K3) = 6),"3 Delete",IF(ISBLANK(E3),"2 Add",IF(SHA1Range(E3:K3) = "f452f49e7357f949e50080a96d2daa654d24a615","0 Original","1 Modify"))))</f>
        <v>0 Original</v>
      </c>
      <c r="D3" s="3" t="s">
        <v>30</v>
      </c>
      <c r="E3" s="5">
        <v>1003</v>
      </c>
      <c r="F3" s="3" t="s">
        <v>31</v>
      </c>
      <c r="G3" s="7">
        <v>9.99</v>
      </c>
      <c r="H3" s="3" t="s">
        <v>32</v>
      </c>
      <c r="I3" s="3" t="s">
        <v>28</v>
      </c>
      <c r="J3" s="3" t="s">
        <v>29</v>
      </c>
      <c r="K3" s="9">
        <v>42483.625115740739</v>
      </c>
    </row>
    <row r="4" spans="1:11" x14ac:dyDescent="0.25">
      <c r="C4" t="str">
        <f>IF(COUNTBLANK(E4:K4) = 7,"",IF(AND(NOT(ISBLANK(E4)),COUNTBLANK(E4:K4) = 6),"3 Delete",IF(ISBLANK(E4),"2 Add",IF(SHA1Range(E4:K4) = "f3994a7dd695934f853f87d3edc9546551b52a15","0 Original","1 Modify"))))</f>
        <v>0 Original</v>
      </c>
      <c r="D4" s="3" t="s">
        <v>33</v>
      </c>
      <c r="E4" s="5">
        <v>1004</v>
      </c>
      <c r="F4" s="3" t="s">
        <v>34</v>
      </c>
      <c r="G4" s="7">
        <v>4.99</v>
      </c>
      <c r="H4" s="3" t="s">
        <v>35</v>
      </c>
      <c r="I4" s="3" t="s">
        <v>36</v>
      </c>
      <c r="J4" s="3" t="s">
        <v>29</v>
      </c>
      <c r="K4" s="9">
        <v>42483.625115740739</v>
      </c>
    </row>
    <row r="5" spans="1:11" x14ac:dyDescent="0.25">
      <c r="C5" t="str">
        <f>IF(COUNTBLANK(E5:K5) = 7,"",IF(AND(NOT(ISBLANK(E5)),COUNTBLANK(E5:K5) = 6),"3 Delete",IF(ISBLANK(E5),"2 Add",IF(SHA1Range(E5:K5) = "52efd488a340785280a5e5e5f3a2b98e06484f0e","0 Original","1 Modify"))))</f>
        <v>0 Original</v>
      </c>
      <c r="D5" s="3" t="s">
        <v>37</v>
      </c>
      <c r="E5" s="5">
        <v>1006</v>
      </c>
      <c r="F5" s="3" t="s">
        <v>38</v>
      </c>
      <c r="G5" s="7">
        <v>6.99</v>
      </c>
      <c r="H5" s="3" t="s">
        <v>39</v>
      </c>
      <c r="I5" s="3" t="s">
        <v>40</v>
      </c>
      <c r="J5" s="3" t="s">
        <v>29</v>
      </c>
      <c r="K5" s="9">
        <v>42483.625115740739</v>
      </c>
    </row>
    <row r="6" spans="1:11" x14ac:dyDescent="0.25">
      <c r="C6" t="str">
        <f>IF(COUNTBLANK(E6:K6) = 7,"",IF(AND(NOT(ISBLANK(E6)),COUNTBLANK(E6:K6) = 6),"3 Delete",IF(ISBLANK(E6),"2 Add",IF(SHA1Range(E6:K6) = "fa5379cd84901c08341943f5466853fcf8d86473","0 Original","1 Modify"))))</f>
        <v>0 Original</v>
      </c>
      <c r="D6" s="3" t="s">
        <v>41</v>
      </c>
      <c r="E6" s="5">
        <v>1007</v>
      </c>
      <c r="F6" s="3" t="s">
        <v>42</v>
      </c>
      <c r="G6" s="7">
        <v>5.99</v>
      </c>
      <c r="H6" s="3" t="s">
        <v>43</v>
      </c>
      <c r="I6" s="3" t="s">
        <v>40</v>
      </c>
      <c r="J6" s="3" t="s">
        <v>29</v>
      </c>
      <c r="K6" s="9">
        <v>42483.625115740739</v>
      </c>
    </row>
    <row r="7" spans="1:11" x14ac:dyDescent="0.25">
      <c r="C7" t="str">
        <f>IF(COUNTBLANK(E7:K7) = 7,"",IF(AND(NOT(ISBLANK(E7)),COUNTBLANK(E7:K7) = 6),"3 Delete",IF(ISBLANK(E7),"2 Add",IF(SHA1Range(E7:K7) = "af511b1fe705fd9a3573f3bbb0da5966bae3d0bb","0 Original","1 Modify"))))</f>
        <v>0 Original</v>
      </c>
      <c r="D7" s="3" t="s">
        <v>44</v>
      </c>
      <c r="E7" s="5">
        <v>1008</v>
      </c>
      <c r="F7" s="3" t="s">
        <v>45</v>
      </c>
      <c r="G7" s="7">
        <v>6.99</v>
      </c>
      <c r="H7" s="3" t="s">
        <v>46</v>
      </c>
      <c r="I7" s="3" t="s">
        <v>47</v>
      </c>
      <c r="J7" s="3" t="s">
        <v>29</v>
      </c>
      <c r="K7" s="9">
        <v>42483.625115740739</v>
      </c>
    </row>
    <row r="8" spans="1:11" x14ac:dyDescent="0.25">
      <c r="C8" t="str">
        <f>IF(COUNTBLANK(E8:K8) = 7,"",IF(AND(NOT(ISBLANK(E8)),COUNTBLANK(E8:K8) = 6),"3 Delete",IF(ISBLANK(E8),"2 Add",IF(SHA1Range(E8:K8) = "764d4b23d0beec20a680bcb9aff1cd535f23dc4a","0 Original","1 Modify"))))</f>
        <v>0 Original</v>
      </c>
      <c r="D8" s="3" t="s">
        <v>48</v>
      </c>
      <c r="E8" s="5">
        <v>1009</v>
      </c>
      <c r="F8" s="3" t="s">
        <v>49</v>
      </c>
      <c r="G8" s="7">
        <v>9.99</v>
      </c>
      <c r="H8" s="3" t="s">
        <v>50</v>
      </c>
      <c r="I8" s="3" t="s">
        <v>28</v>
      </c>
      <c r="J8" s="3" t="s">
        <v>29</v>
      </c>
      <c r="K8" s="9">
        <v>42483.625115740739</v>
      </c>
    </row>
    <row r="9" spans="1:11" x14ac:dyDescent="0.25">
      <c r="C9" t="str">
        <f>IF(COUNTBLANK(E9:K9) = 7,"",IF(AND(NOT(ISBLANK(E9)),COUNTBLANK(E9:K9) = 6),"3 Delete",IF(ISBLANK(E9),"2 Add",IF(SHA1Range(E9:K9) = "b313211c70c2d9b50fcacb0647b4c15dac4a182b","0 Original","1 Modify"))))</f>
        <v>0 Original</v>
      </c>
      <c r="D9" s="3" t="s">
        <v>51</v>
      </c>
      <c r="E9" s="5">
        <v>1011</v>
      </c>
      <c r="F9" s="3" t="s">
        <v>52</v>
      </c>
      <c r="G9" s="7">
        <v>9.99</v>
      </c>
      <c r="H9" s="3" t="s">
        <v>53</v>
      </c>
      <c r="I9" s="3" t="s">
        <v>28</v>
      </c>
      <c r="J9" s="3" t="s">
        <v>29</v>
      </c>
      <c r="K9" s="9">
        <v>42483.625115740739</v>
      </c>
    </row>
    <row r="10" spans="1:11" x14ac:dyDescent="0.25">
      <c r="C10" t="str">
        <f>IF(COUNTBLANK(E10:K10) = 7,"",IF(AND(NOT(ISBLANK(E10)),COUNTBLANK(E10:K10) = 6),"3 Delete",IF(ISBLANK(E10),"2 Add",IF(SHA1Range(E10:K10) = "f3174c84a42c6d842a501aa42cc5dda14d78d14c","0 Original","1 Modify"))))</f>
        <v>0 Original</v>
      </c>
      <c r="D10" s="3" t="s">
        <v>54</v>
      </c>
      <c r="E10" s="5">
        <v>1012</v>
      </c>
      <c r="F10" s="3" t="s">
        <v>55</v>
      </c>
      <c r="G10" s="7">
        <v>5.99</v>
      </c>
      <c r="H10" s="3" t="s">
        <v>56</v>
      </c>
      <c r="I10" s="3" t="s">
        <v>57</v>
      </c>
      <c r="J10" s="3" t="s">
        <v>29</v>
      </c>
      <c r="K10" s="9">
        <v>42483.625115740739</v>
      </c>
    </row>
    <row r="11" spans="1:11" x14ac:dyDescent="0.25">
      <c r="C11" t="str">
        <f>IF(COUNTBLANK(E11:K11) = 7,"",IF(AND(NOT(ISBLANK(E11)),COUNTBLANK(E11:K11) = 6),"3 Delete",IF(ISBLANK(E11),"2 Add",IF(SHA1Range(E11:K11) = "ba6722321412833d796556253529c71767b0aa4c","0 Original","1 Modify"))))</f>
        <v>0 Original</v>
      </c>
      <c r="D11" s="3" t="s">
        <v>58</v>
      </c>
      <c r="E11" s="5">
        <v>1013</v>
      </c>
      <c r="F11" s="3" t="s">
        <v>59</v>
      </c>
      <c r="G11" s="7">
        <v>8.99</v>
      </c>
      <c r="H11" s="3" t="s">
        <v>60</v>
      </c>
      <c r="I11" s="3" t="s">
        <v>61</v>
      </c>
      <c r="J11" s="3" t="s">
        <v>29</v>
      </c>
      <c r="K11" s="9">
        <v>42483.625115740739</v>
      </c>
    </row>
    <row r="12" spans="1:11" x14ac:dyDescent="0.25">
      <c r="C12" t="str">
        <f>IF(COUNTBLANK(E12:K12) = 7,"",IF(AND(NOT(ISBLANK(E12)),COUNTBLANK(E12:K12) = 6),"3 Delete",IF(ISBLANK(E12),"2 Add",IF(SHA1Range(E12:K12) = "8f62219c245fa18951ae2066526b09b806101fca","0 Original","1 Modify"))))</f>
        <v>0 Original</v>
      </c>
      <c r="D12" s="3" t="s">
        <v>62</v>
      </c>
      <c r="E12" s="5">
        <v>1014</v>
      </c>
      <c r="F12" s="3" t="s">
        <v>63</v>
      </c>
      <c r="G12" s="7">
        <v>9.99</v>
      </c>
      <c r="H12" s="3" t="s">
        <v>64</v>
      </c>
      <c r="I12" s="3" t="s">
        <v>28</v>
      </c>
      <c r="J12" s="3" t="s">
        <v>29</v>
      </c>
      <c r="K12" s="9">
        <v>42483.625115740739</v>
      </c>
    </row>
    <row r="13" spans="1:11" x14ac:dyDescent="0.25">
      <c r="C13" t="str">
        <f>IF(COUNTBLANK(E13:K13) = 7,"",IF(AND(NOT(ISBLANK(E13)),COUNTBLANK(E13:K13) = 6),"3 Delete",IF(ISBLANK(E13),"2 Add",IF(SHA1Range(E13:K13) = "eb34d994b13f25913d73d173408c585496c3567c","0 Original","1 Modify"))))</f>
        <v>0 Original</v>
      </c>
      <c r="D13" s="3" t="s">
        <v>65</v>
      </c>
      <c r="E13" s="5">
        <v>1015</v>
      </c>
      <c r="F13" s="3" t="s">
        <v>66</v>
      </c>
      <c r="G13" s="7">
        <v>6.99</v>
      </c>
      <c r="H13" s="3" t="s">
        <v>67</v>
      </c>
      <c r="I13" s="3" t="s">
        <v>68</v>
      </c>
      <c r="J13" s="3" t="s">
        <v>29</v>
      </c>
      <c r="K13" s="9">
        <v>42483.625115740739</v>
      </c>
    </row>
    <row r="14" spans="1:11" x14ac:dyDescent="0.25">
      <c r="C14" t="str">
        <f>IF(COUNTBLANK(E14:K14) = 7,"",IF(AND(NOT(ISBLANK(E14)),COUNTBLANK(E14:K14) = 6),"3 Delete",IF(ISBLANK(E14),"2 Add",IF(SHA1Range(E14:K14) = "1243b287d4f25dcd8754f6e11376adc9e259bd90","0 Original","1 Modify"))))</f>
        <v>0 Original</v>
      </c>
      <c r="D14" s="3" t="s">
        <v>69</v>
      </c>
      <c r="E14" s="5">
        <v>1016</v>
      </c>
      <c r="F14" s="3" t="s">
        <v>70</v>
      </c>
      <c r="G14" s="7">
        <v>5.99</v>
      </c>
      <c r="H14" s="3" t="s">
        <v>71</v>
      </c>
      <c r="I14" s="3" t="s">
        <v>72</v>
      </c>
      <c r="J14" s="3" t="s">
        <v>29</v>
      </c>
      <c r="K14" s="9">
        <v>42483.625115740739</v>
      </c>
    </row>
    <row r="15" spans="1:11" x14ac:dyDescent="0.25">
      <c r="C15" t="str">
        <f>IF(COUNTBLANK(E15:K15) = 7,"",IF(AND(NOT(ISBLANK(E15)),COUNTBLANK(E15:K15) = 6),"3 Delete",IF(ISBLANK(E15),"2 Add",IF(SHA1Range(E15:K15) = "1f0207c2d775d5942d414dc0e92895a243b15987","0 Original","1 Modify"))))</f>
        <v>0 Original</v>
      </c>
      <c r="D15" s="3" t="s">
        <v>73</v>
      </c>
      <c r="E15" s="5">
        <v>1017</v>
      </c>
      <c r="F15" s="3" t="s">
        <v>74</v>
      </c>
      <c r="G15" s="7">
        <v>8.99</v>
      </c>
      <c r="H15" s="3" t="s">
        <v>75</v>
      </c>
      <c r="I15" s="3" t="s">
        <v>76</v>
      </c>
      <c r="J15" s="3" t="s">
        <v>29</v>
      </c>
      <c r="K15" s="9">
        <v>42483.625115740739</v>
      </c>
    </row>
    <row r="16" spans="1:11" x14ac:dyDescent="0.25">
      <c r="C16" t="str">
        <f>IF(COUNTBLANK(E16:K16) = 7,"",IF(AND(NOT(ISBLANK(E16)),COUNTBLANK(E16:K16) = 6),"3 Delete",IF(ISBLANK(E16),"2 Add",IF(SHA1Range(E16:K16) = "07cc113f83957925fbee0caf9c05c6b9b1f7c946","0 Original","1 Modify"))))</f>
        <v>0 Original</v>
      </c>
      <c r="D16" s="3" t="s">
        <v>77</v>
      </c>
      <c r="E16" s="5">
        <v>1018</v>
      </c>
      <c r="F16" s="3" t="s">
        <v>78</v>
      </c>
      <c r="G16" s="7">
        <v>8.99</v>
      </c>
      <c r="H16" s="3" t="s">
        <v>79</v>
      </c>
      <c r="I16" s="3" t="s">
        <v>80</v>
      </c>
      <c r="J16" s="3" t="s">
        <v>29</v>
      </c>
      <c r="K16" s="9">
        <v>42483.625115740739</v>
      </c>
    </row>
    <row r="17" spans="3:11" x14ac:dyDescent="0.25">
      <c r="C17" t="str">
        <f>IF(COUNTBLANK(E17:K17) = 7,"",IF(AND(NOT(ISBLANK(E17)),COUNTBLANK(E17:K17) = 6),"3 Delete",IF(ISBLANK(E17),"2 Add",IF(SHA1Range(E17:K17) = "c1c9b3e75024d440a0c5cd58cf765344d5d37b9c","0 Original","1 Modify"))))</f>
        <v>0 Original</v>
      </c>
      <c r="D17" s="3" t="s">
        <v>81</v>
      </c>
      <c r="E17" s="5">
        <v>1019</v>
      </c>
      <c r="F17" s="3" t="s">
        <v>82</v>
      </c>
      <c r="G17" s="7">
        <v>4.99</v>
      </c>
      <c r="H17" s="3" t="s">
        <v>83</v>
      </c>
      <c r="I17" s="3" t="s">
        <v>84</v>
      </c>
      <c r="J17" s="3" t="s">
        <v>29</v>
      </c>
      <c r="K17" s="9">
        <v>42483.625115740739</v>
      </c>
    </row>
    <row r="18" spans="3:11" x14ac:dyDescent="0.25">
      <c r="C18" t="str">
        <f>IF(COUNTBLANK(E18:K18) = 7,"",IF(AND(NOT(ISBLANK(E18)),COUNTBLANK(E18:K18) = 6),"3 Delete",IF(ISBLANK(E18),"2 Add",IF(SHA1Range(E18:K18) = "52c88475dc3ad24688a35b956fe90a446f07fce7","0 Original","1 Modify"))))</f>
        <v>0 Original</v>
      </c>
      <c r="D18" s="3" t="s">
        <v>85</v>
      </c>
      <c r="E18" s="5">
        <v>1020</v>
      </c>
      <c r="F18" s="3" t="s">
        <v>86</v>
      </c>
      <c r="G18" s="7">
        <v>6.99</v>
      </c>
      <c r="H18" s="3" t="s">
        <v>87</v>
      </c>
      <c r="I18" s="3" t="s">
        <v>40</v>
      </c>
      <c r="J18" s="3" t="s">
        <v>29</v>
      </c>
      <c r="K18" s="9">
        <v>42483.625115740739</v>
      </c>
    </row>
    <row r="19" spans="3:11" x14ac:dyDescent="0.25">
      <c r="C19" t="str">
        <f>IF(COUNTBLANK(E19:K19) = 7,"",IF(AND(NOT(ISBLANK(E19)),COUNTBLANK(E19:K19) = 6),"3 Delete",IF(ISBLANK(E19),"2 Add",IF(SHA1Range(E19:K19) = "66799eb70bf7bfecc91d48fbfe1924dd1415c052","0 Original","1 Modify"))))</f>
        <v>0 Original</v>
      </c>
      <c r="D19" s="3" t="s">
        <v>88</v>
      </c>
      <c r="E19" s="5">
        <v>1021</v>
      </c>
      <c r="F19" s="3" t="s">
        <v>89</v>
      </c>
      <c r="G19" s="7">
        <v>7.99</v>
      </c>
      <c r="H19" s="3" t="s">
        <v>90</v>
      </c>
      <c r="I19" s="3" t="s">
        <v>91</v>
      </c>
      <c r="J19" s="3" t="s">
        <v>29</v>
      </c>
      <c r="K19" s="9">
        <v>42483.625115740739</v>
      </c>
    </row>
    <row r="20" spans="3:11" x14ac:dyDescent="0.25">
      <c r="C20" t="str">
        <f>IF(COUNTBLANK(E20:K20) = 7,"",IF(AND(NOT(ISBLANK(E20)),COUNTBLANK(E20:K20) = 6),"3 Delete",IF(ISBLANK(E20),"2 Add",IF(SHA1Range(E20:K20) = "ee660a9dedca60820d603bbf73fea57dde9e66c4","0 Original","1 Modify"))))</f>
        <v>0 Original</v>
      </c>
      <c r="D20" s="3" t="s">
        <v>92</v>
      </c>
      <c r="E20" s="5">
        <v>1022</v>
      </c>
      <c r="F20" s="3" t="s">
        <v>93</v>
      </c>
      <c r="G20" s="7">
        <v>8.99</v>
      </c>
      <c r="H20" s="3" t="s">
        <v>94</v>
      </c>
      <c r="I20" s="3" t="s">
        <v>68</v>
      </c>
      <c r="J20" s="3" t="s">
        <v>29</v>
      </c>
      <c r="K20" s="9">
        <v>42483.625115740739</v>
      </c>
    </row>
    <row r="21" spans="3:11" x14ac:dyDescent="0.25">
      <c r="C21" t="str">
        <f>IF(COUNTBLANK(E21:K21) = 7,"",IF(AND(NOT(ISBLANK(E21)),COUNTBLANK(E21:K21) = 6),"3 Delete",IF(ISBLANK(E21),"2 Add",IF(SHA1Range(E21:K21) = "8447f5bcbd90a8ad8a20c8d83d90f097be4cd44b","0 Original","1 Modify"))))</f>
        <v>0 Original</v>
      </c>
      <c r="D21" s="3" t="s">
        <v>95</v>
      </c>
      <c r="E21" s="5">
        <v>1023</v>
      </c>
      <c r="F21" s="3" t="s">
        <v>96</v>
      </c>
      <c r="G21" s="7">
        <v>8.99</v>
      </c>
      <c r="H21" s="3" t="s">
        <v>97</v>
      </c>
      <c r="I21" s="3" t="s">
        <v>98</v>
      </c>
      <c r="J21" s="3" t="s">
        <v>29</v>
      </c>
      <c r="K21" s="9">
        <v>42483.625115740739</v>
      </c>
    </row>
    <row r="22" spans="3:11" x14ac:dyDescent="0.25">
      <c r="C22" t="str">
        <f>IF(COUNTBLANK(E22:K22) = 7,"",IF(AND(NOT(ISBLANK(E22)),COUNTBLANK(E22:K22) = 6),"3 Delete",IF(ISBLANK(E22),"2 Add",IF(SHA1Range(E22:K22) = "b97badc0911c6fd977fce85b0aeeabe449048c35","0 Original","1 Modify"))))</f>
        <v>0 Original</v>
      </c>
      <c r="D22" s="3" t="s">
        <v>99</v>
      </c>
      <c r="E22" s="5">
        <v>1024</v>
      </c>
      <c r="F22" s="3" t="s">
        <v>100</v>
      </c>
      <c r="G22" s="7">
        <v>5.99</v>
      </c>
      <c r="H22" s="3" t="s">
        <v>101</v>
      </c>
      <c r="I22" s="3" t="s">
        <v>91</v>
      </c>
      <c r="J22" s="3" t="s">
        <v>29</v>
      </c>
      <c r="K22" s="9">
        <v>42483.625115740739</v>
      </c>
    </row>
    <row r="23" spans="3:11" x14ac:dyDescent="0.25">
      <c r="C23" t="str">
        <f>IF(COUNTBLANK(E23:K23) = 7,"",IF(AND(NOT(ISBLANK(E23)),COUNTBLANK(E23:K23) = 6),"3 Delete",IF(ISBLANK(E23),"2 Add",IF(SHA1Range(E23:K23) = "ecd4bd28dc2bc43f03b50193b750975da5ac6dc6","0 Original","1 Modify"))))</f>
        <v>0 Original</v>
      </c>
      <c r="D23" s="3" t="s">
        <v>102</v>
      </c>
      <c r="E23" s="5">
        <v>1025</v>
      </c>
      <c r="F23" s="3" t="s">
        <v>103</v>
      </c>
      <c r="G23" s="7">
        <v>4.99</v>
      </c>
      <c r="H23" s="3" t="s">
        <v>104</v>
      </c>
      <c r="I23" s="3" t="s">
        <v>91</v>
      </c>
      <c r="J23" s="3" t="s">
        <v>29</v>
      </c>
      <c r="K23" s="9">
        <v>42483.625115740739</v>
      </c>
    </row>
    <row r="24" spans="3:11" x14ac:dyDescent="0.25">
      <c r="C24" t="str">
        <f>IF(COUNTBLANK(E24:K24) = 7,"",IF(AND(NOT(ISBLANK(E24)),COUNTBLANK(E24:K24) = 6),"3 Delete",IF(ISBLANK(E24),"2 Add",IF(SHA1Range(E24:K24) = "41c3065395447045950d81c4562e792981f38d5f","0 Original","1 Modify"))))</f>
        <v>0 Original</v>
      </c>
      <c r="D24" s="3" t="s">
        <v>105</v>
      </c>
      <c r="E24" s="5">
        <v>1026</v>
      </c>
      <c r="F24" s="3" t="s">
        <v>106</v>
      </c>
      <c r="G24" s="7">
        <v>8.99</v>
      </c>
      <c r="H24" s="3" t="s">
        <v>107</v>
      </c>
      <c r="I24" s="3" t="s">
        <v>108</v>
      </c>
      <c r="J24" s="3" t="s">
        <v>29</v>
      </c>
      <c r="K24" s="9">
        <v>42483.625115740739</v>
      </c>
    </row>
    <row r="25" spans="3:11" x14ac:dyDescent="0.25">
      <c r="C25" t="str">
        <f>IF(COUNTBLANK(E25:K25) = 7,"",IF(AND(NOT(ISBLANK(E25)),COUNTBLANK(E25:K25) = 6),"3 Delete",IF(ISBLANK(E25),"2 Add",IF(SHA1Range(E25:K25) = "7f51ee63d5079fa302f8b6179f398a0973c0d11a","0 Original","1 Modify"))))</f>
        <v>0 Original</v>
      </c>
      <c r="D25" s="3" t="s">
        <v>109</v>
      </c>
      <c r="E25" s="5">
        <v>1027</v>
      </c>
      <c r="F25" s="3" t="s">
        <v>110</v>
      </c>
      <c r="G25" s="7">
        <v>8.99</v>
      </c>
      <c r="H25" s="3" t="s">
        <v>111</v>
      </c>
      <c r="I25" s="3" t="s">
        <v>28</v>
      </c>
      <c r="J25" s="3" t="s">
        <v>29</v>
      </c>
      <c r="K25" s="9">
        <v>42483.625115740739</v>
      </c>
    </row>
    <row r="26" spans="3:11" x14ac:dyDescent="0.25">
      <c r="C26" t="str">
        <f>IF(COUNTBLANK(E26:K26) = 7,"",IF(AND(NOT(ISBLANK(E26)),COUNTBLANK(E26:K26) = 6),"3 Delete",IF(ISBLANK(E26),"2 Add",IF(SHA1Range(E26:K26) = "6326317000fbe527567fb998fe1a635f58cc8ed7","0 Original","1 Modify"))))</f>
        <v>0 Original</v>
      </c>
      <c r="D26" s="3" t="s">
        <v>112</v>
      </c>
      <c r="E26" s="5">
        <v>1028</v>
      </c>
      <c r="F26" s="3" t="s">
        <v>113</v>
      </c>
      <c r="G26" s="7">
        <v>8.99</v>
      </c>
      <c r="H26" s="3" t="s">
        <v>114</v>
      </c>
      <c r="I26" s="3" t="s">
        <v>28</v>
      </c>
      <c r="J26" s="3" t="s">
        <v>29</v>
      </c>
      <c r="K26" s="9">
        <v>42483.625115740739</v>
      </c>
    </row>
    <row r="27" spans="3:11" x14ac:dyDescent="0.25">
      <c r="C27" t="str">
        <f>IF(COUNTBLANK(E27:K27) = 7,"",IF(AND(NOT(ISBLANK(E27)),COUNTBLANK(E27:K27) = 6),"3 Delete",IF(ISBLANK(E27),"2 Add",IF(SHA1Range(E27:K27) = "7e928b47c3c474dd21caf72a921408379d090b6e","0 Original","1 Modify"))))</f>
        <v>0 Original</v>
      </c>
      <c r="D27" s="3" t="s">
        <v>115</v>
      </c>
      <c r="E27" s="5">
        <v>1029</v>
      </c>
      <c r="F27" s="3" t="s">
        <v>116</v>
      </c>
      <c r="G27" s="7">
        <v>4.99</v>
      </c>
      <c r="H27" s="3" t="s">
        <v>117</v>
      </c>
      <c r="I27" s="3" t="s">
        <v>68</v>
      </c>
      <c r="J27" s="3" t="s">
        <v>29</v>
      </c>
      <c r="K27" s="9">
        <v>42483.625115740739</v>
      </c>
    </row>
    <row r="28" spans="3:11" x14ac:dyDescent="0.25">
      <c r="C28" t="str">
        <f>IF(COUNTBLANK(E28:K28) = 7,"",IF(AND(NOT(ISBLANK(E28)),COUNTBLANK(E28:K28) = 6),"3 Delete",IF(ISBLANK(E28),"2 Add",IF(SHA1Range(E28:K28) = "efc77959333b7964ef23ca29be443bc35c356175","0 Original","1 Modify"))))</f>
        <v>0 Original</v>
      </c>
      <c r="D28" s="3" t="s">
        <v>118</v>
      </c>
      <c r="E28" s="5">
        <v>1030</v>
      </c>
      <c r="F28" s="3" t="s">
        <v>119</v>
      </c>
      <c r="G28" s="7">
        <v>4.99</v>
      </c>
      <c r="H28" s="3" t="s">
        <v>120</v>
      </c>
      <c r="I28" s="3" t="s">
        <v>121</v>
      </c>
      <c r="J28" s="3" t="s">
        <v>29</v>
      </c>
      <c r="K28" s="9">
        <v>42483.625115740739</v>
      </c>
    </row>
    <row r="29" spans="3:11" x14ac:dyDescent="0.25">
      <c r="C29" t="str">
        <f>IF(COUNTBLANK(E29:K29) = 7,"",IF(AND(NOT(ISBLANK(E29)),COUNTBLANK(E29:K29) = 6),"3 Delete",IF(ISBLANK(E29),"2 Add",IF(SHA1Range(E29:K29) = "66089247e91a60812c2f781dd17f623e48b0fc2d","0 Original","1 Modify"))))</f>
        <v>0 Original</v>
      </c>
      <c r="D29" s="3" t="s">
        <v>122</v>
      </c>
      <c r="E29" s="5">
        <v>1031</v>
      </c>
      <c r="F29" s="3" t="s">
        <v>123</v>
      </c>
      <c r="G29" s="7">
        <v>8.99</v>
      </c>
      <c r="H29" s="3" t="s">
        <v>124</v>
      </c>
      <c r="I29" s="3" t="s">
        <v>125</v>
      </c>
      <c r="J29" s="3" t="s">
        <v>29</v>
      </c>
      <c r="K29" s="9">
        <v>42483.625115740739</v>
      </c>
    </row>
    <row r="30" spans="3:11" x14ac:dyDescent="0.25">
      <c r="C30" t="str">
        <f>IF(COUNTBLANK(E30:K30) = 7,"",IF(AND(NOT(ISBLANK(E30)),COUNTBLANK(E30:K30) = 6),"3 Delete",IF(ISBLANK(E30),"2 Add",IF(SHA1Range(E30:K30) = "d4f97c8f6d37a902ceaa7722e526a81c76146eca","0 Original","1 Modify"))))</f>
        <v>0 Original</v>
      </c>
      <c r="D30" s="3" t="s">
        <v>126</v>
      </c>
      <c r="E30" s="5">
        <v>1032</v>
      </c>
      <c r="F30" s="3" t="s">
        <v>127</v>
      </c>
      <c r="G30" s="7">
        <v>6.99</v>
      </c>
      <c r="H30" s="3" t="s">
        <v>128</v>
      </c>
      <c r="I30" s="3" t="s">
        <v>129</v>
      </c>
      <c r="J30" s="3" t="s">
        <v>29</v>
      </c>
      <c r="K30" s="9">
        <v>42483.625115740739</v>
      </c>
    </row>
    <row r="31" spans="3:11" x14ac:dyDescent="0.25">
      <c r="C31" t="str">
        <f>IF(COUNTBLANK(E31:K31) = 7,"",IF(AND(NOT(ISBLANK(E31)),COUNTBLANK(E31:K31) = 6),"3 Delete",IF(ISBLANK(E31),"2 Add",IF(SHA1Range(E31:K31) = "b1f1591dec9b897bd4fa8649fcef6ffa30aec68d","0 Original","1 Modify"))))</f>
        <v>0 Original</v>
      </c>
      <c r="D31" s="3" t="s">
        <v>130</v>
      </c>
      <c r="E31" s="5">
        <v>1033</v>
      </c>
      <c r="F31" s="3" t="s">
        <v>131</v>
      </c>
      <c r="G31" s="7">
        <v>8.99</v>
      </c>
      <c r="H31" s="3" t="s">
        <v>132</v>
      </c>
      <c r="I31" s="3" t="s">
        <v>28</v>
      </c>
      <c r="J31" s="3" t="s">
        <v>29</v>
      </c>
      <c r="K31" s="9">
        <v>42483.625115740739</v>
      </c>
    </row>
    <row r="32" spans="3:11" x14ac:dyDescent="0.25">
      <c r="C32" t="str">
        <f>IF(COUNTBLANK(E32:K32) = 7,"",IF(AND(NOT(ISBLANK(E32)),COUNTBLANK(E32:K32) = 6),"3 Delete",IF(ISBLANK(E32),"2 Add",IF(SHA1Range(E32:K32) = "9f060eaa3a09e63f2004c4ab2007238787b2e8bc","0 Original","1 Modify"))))</f>
        <v>0 Original</v>
      </c>
      <c r="D32" s="3" t="s">
        <v>133</v>
      </c>
      <c r="E32" s="5">
        <v>1034</v>
      </c>
      <c r="F32" s="3" t="s">
        <v>134</v>
      </c>
      <c r="G32" s="7">
        <v>7.99</v>
      </c>
      <c r="H32" s="3" t="s">
        <v>135</v>
      </c>
      <c r="I32" s="3" t="s">
        <v>40</v>
      </c>
      <c r="J32" s="3" t="s">
        <v>29</v>
      </c>
      <c r="K32" s="9">
        <v>42483.625115740739</v>
      </c>
    </row>
    <row r="33" spans="3:11" x14ac:dyDescent="0.25">
      <c r="C33" t="str">
        <f>IF(COUNTBLANK(E33:K33) = 7,"",IF(AND(NOT(ISBLANK(E33)),COUNTBLANK(E33:K33) = 6),"3 Delete",IF(ISBLANK(E33),"2 Add",IF(SHA1Range(E33:K33) = "0002c32fa56daeaa6a68c4cc7d7c2a676dcb8d78","0 Original","1 Modify"))))</f>
        <v>0 Original</v>
      </c>
      <c r="D33" s="3" t="s">
        <v>136</v>
      </c>
      <c r="E33" s="5">
        <v>1035</v>
      </c>
      <c r="F33" s="3" t="s">
        <v>137</v>
      </c>
      <c r="G33" s="7">
        <v>8.99</v>
      </c>
      <c r="H33" s="3" t="s">
        <v>138</v>
      </c>
      <c r="I33" s="3" t="s">
        <v>28</v>
      </c>
      <c r="J33" s="3" t="s">
        <v>29</v>
      </c>
      <c r="K33" s="9">
        <v>42483.625115740739</v>
      </c>
    </row>
    <row r="34" spans="3:11" x14ac:dyDescent="0.25">
      <c r="C34" t="str">
        <f>IF(COUNTBLANK(E34:K34) = 7,"",IF(AND(NOT(ISBLANK(E34)),COUNTBLANK(E34:K34) = 6),"3 Delete",IF(ISBLANK(E34),"2 Add",IF(SHA1Range(E34:K34) = "a224052fb1f434d0fe5c0b91855921ee39de31ae","0 Original","1 Modify"))))</f>
        <v>0 Original</v>
      </c>
      <c r="D34" s="3" t="s">
        <v>139</v>
      </c>
      <c r="E34" s="5">
        <v>1036</v>
      </c>
      <c r="F34" s="3" t="s">
        <v>140</v>
      </c>
      <c r="G34" s="7">
        <v>7.99</v>
      </c>
      <c r="H34" s="3" t="s">
        <v>141</v>
      </c>
      <c r="I34" s="3" t="s">
        <v>91</v>
      </c>
      <c r="J34" s="3" t="s">
        <v>29</v>
      </c>
      <c r="K34" s="9">
        <v>42483.625115740739</v>
      </c>
    </row>
    <row r="35" spans="3:11" x14ac:dyDescent="0.25">
      <c r="C35" t="str">
        <f>IF(COUNTBLANK(E35:K35) = 7,"",IF(AND(NOT(ISBLANK(E35)),COUNTBLANK(E35:K35) = 6),"3 Delete",IF(ISBLANK(E35),"2 Add",IF(SHA1Range(E35:K35) = "4c31cf7d3ab1cae48fe52c9bbe1f42a97be80c99","0 Original","1 Modify"))))</f>
        <v>0 Original</v>
      </c>
      <c r="D35" s="3" t="s">
        <v>142</v>
      </c>
      <c r="E35" s="5">
        <v>1037</v>
      </c>
      <c r="F35" s="3" t="s">
        <v>143</v>
      </c>
      <c r="G35" s="7">
        <v>4.99</v>
      </c>
      <c r="H35" s="3" t="s">
        <v>144</v>
      </c>
      <c r="I35" s="3" t="s">
        <v>68</v>
      </c>
      <c r="J35" s="3" t="s">
        <v>29</v>
      </c>
      <c r="K35" s="9">
        <v>42483.625115740739</v>
      </c>
    </row>
    <row r="36" spans="3:11" x14ac:dyDescent="0.25">
      <c r="C36" t="str">
        <f>IF(COUNTBLANK(E36:K36) = 7,"",IF(AND(NOT(ISBLANK(E36)),COUNTBLANK(E36:K36) = 6),"3 Delete",IF(ISBLANK(E36),"2 Add",IF(SHA1Range(E36:K36) = "fe92005d6499f5258b4edeb18fe6ff0ca120adc6","0 Original","1 Modify"))))</f>
        <v>0 Original</v>
      </c>
      <c r="D36" s="3" t="s">
        <v>145</v>
      </c>
      <c r="E36" s="5">
        <v>1038</v>
      </c>
      <c r="F36" s="3" t="s">
        <v>146</v>
      </c>
      <c r="G36" s="7">
        <v>4.99</v>
      </c>
      <c r="H36" s="3" t="s">
        <v>147</v>
      </c>
      <c r="I36" s="3" t="s">
        <v>148</v>
      </c>
      <c r="J36" s="3" t="s">
        <v>29</v>
      </c>
      <c r="K36" s="9">
        <v>42483.625115740739</v>
      </c>
    </row>
    <row r="37" spans="3:11" x14ac:dyDescent="0.25">
      <c r="C37" t="str">
        <f>IF(COUNTBLANK(E37:K37) = 7,"",IF(AND(NOT(ISBLANK(E37)),COUNTBLANK(E37:K37) = 6),"3 Delete",IF(ISBLANK(E37),"2 Add",IF(SHA1Range(E37:K37) = "9ec84cd7472b5f64721a3f62e4c1d59c92c921f4","0 Original","1 Modify"))))</f>
        <v>0 Original</v>
      </c>
      <c r="D37" s="3" t="s">
        <v>149</v>
      </c>
      <c r="E37" s="5">
        <v>1039</v>
      </c>
      <c r="F37" s="3" t="s">
        <v>150</v>
      </c>
      <c r="G37" s="7">
        <v>7.99</v>
      </c>
      <c r="H37" s="3" t="s">
        <v>151</v>
      </c>
      <c r="I37" s="3" t="s">
        <v>148</v>
      </c>
      <c r="J37" s="3" t="s">
        <v>29</v>
      </c>
      <c r="K37" s="9">
        <v>42483.625115740739</v>
      </c>
    </row>
    <row r="38" spans="3:11" x14ac:dyDescent="0.25">
      <c r="C38" t="str">
        <f>IF(COUNTBLANK(E38:K38) = 7,"",IF(AND(NOT(ISBLANK(E38)),COUNTBLANK(E38:K38) = 6),"3 Delete",IF(ISBLANK(E38),"2 Add",IF(SHA1Range(E38:K38) = "078d14d9eed6bfad09fb5850f29ec3c5c8dcc061","0 Original","1 Modify"))))</f>
        <v>0 Original</v>
      </c>
      <c r="D38" s="3" t="s">
        <v>152</v>
      </c>
      <c r="E38" s="5">
        <v>1040</v>
      </c>
      <c r="F38" s="3" t="s">
        <v>153</v>
      </c>
      <c r="G38" s="7">
        <v>5.99</v>
      </c>
      <c r="H38" s="3" t="s">
        <v>154</v>
      </c>
      <c r="I38" s="3" t="s">
        <v>155</v>
      </c>
      <c r="J38" s="3" t="s">
        <v>29</v>
      </c>
      <c r="K38" s="9">
        <v>42483.625115740739</v>
      </c>
    </row>
    <row r="39" spans="3:11" x14ac:dyDescent="0.25">
      <c r="C39" t="str">
        <f>IF(COUNTBLANK(E39:K39) = 7,"",IF(AND(NOT(ISBLANK(E39)),COUNTBLANK(E39:K39) = 6),"3 Delete",IF(ISBLANK(E39),"2 Add",IF(SHA1Range(E39:K39) = "b54652ab326004f61803f04d707318108e38f9af","0 Original","1 Modify"))))</f>
        <v>0 Original</v>
      </c>
      <c r="D39" s="3" t="s">
        <v>156</v>
      </c>
      <c r="E39" s="5">
        <v>1041</v>
      </c>
      <c r="F39" s="3" t="s">
        <v>157</v>
      </c>
      <c r="G39" s="7">
        <v>5.99</v>
      </c>
      <c r="H39" s="3" t="s">
        <v>158</v>
      </c>
      <c r="I39" s="3" t="s">
        <v>68</v>
      </c>
      <c r="J39" s="3" t="s">
        <v>29</v>
      </c>
      <c r="K39" s="9">
        <v>42483.625115740739</v>
      </c>
    </row>
    <row r="40" spans="3:11" x14ac:dyDescent="0.25">
      <c r="C40" t="str">
        <f>IF(COUNTBLANK(E40:K40) = 7,"",IF(AND(NOT(ISBLANK(E40)),COUNTBLANK(E40:K40) = 6),"3 Delete",IF(ISBLANK(E40),"2 Add",IF(SHA1Range(E40:K40) = "541e3c203153763a33d2644938fc0feb011c7d14","0 Original","1 Modify"))))</f>
        <v>0 Original</v>
      </c>
      <c r="D40" s="3" t="s">
        <v>159</v>
      </c>
      <c r="E40" s="5">
        <v>1042</v>
      </c>
      <c r="F40" s="3" t="s">
        <v>160</v>
      </c>
      <c r="G40" s="7">
        <v>5.99</v>
      </c>
      <c r="H40" s="3" t="s">
        <v>161</v>
      </c>
      <c r="I40" s="3" t="s">
        <v>162</v>
      </c>
      <c r="J40" s="3" t="s">
        <v>29</v>
      </c>
      <c r="K40" s="9">
        <v>42483.625115740739</v>
      </c>
    </row>
    <row r="41" spans="3:11" x14ac:dyDescent="0.25">
      <c r="C41" t="str">
        <f>IF(COUNTBLANK(E41:K41) = 7,"",IF(AND(NOT(ISBLANK(E41)),COUNTBLANK(E41:K41) = 6),"3 Delete",IF(ISBLANK(E41),"2 Add",IF(SHA1Range(E41:K41) = "d84d49027f1950d4d3362bd328d9eafd80f77464","0 Original","1 Modify"))))</f>
        <v>0 Original</v>
      </c>
      <c r="D41" s="3" t="s">
        <v>163</v>
      </c>
      <c r="E41" s="5">
        <v>1043</v>
      </c>
      <c r="F41" s="3" t="s">
        <v>164</v>
      </c>
      <c r="G41" s="7">
        <v>5.99</v>
      </c>
      <c r="H41" s="3" t="s">
        <v>165</v>
      </c>
      <c r="I41" s="3" t="s">
        <v>28</v>
      </c>
      <c r="J41" s="3" t="s">
        <v>29</v>
      </c>
      <c r="K41" s="9">
        <v>42483.625115740739</v>
      </c>
    </row>
    <row r="42" spans="3:11" x14ac:dyDescent="0.25">
      <c r="C42" t="str">
        <f>IF(COUNTBLANK(E42:K42) = 7,"",IF(AND(NOT(ISBLANK(E42)),COUNTBLANK(E42:K42) = 6),"3 Delete",IF(ISBLANK(E42),"2 Add",IF(SHA1Range(E42:K42) = "a6dec8876f6e0a55c39d664d0a6ccea49c18d5fb","0 Original","1 Modify"))))</f>
        <v>0 Original</v>
      </c>
      <c r="D42" s="3" t="s">
        <v>166</v>
      </c>
      <c r="E42" s="5">
        <v>1044</v>
      </c>
      <c r="F42" s="3" t="s">
        <v>167</v>
      </c>
      <c r="G42" s="7">
        <v>9.99</v>
      </c>
      <c r="H42" s="3" t="s">
        <v>168</v>
      </c>
      <c r="I42" s="3" t="s">
        <v>91</v>
      </c>
      <c r="J42" s="3" t="s">
        <v>29</v>
      </c>
      <c r="K42" s="9">
        <v>42483.625115740739</v>
      </c>
    </row>
    <row r="43" spans="3:11" x14ac:dyDescent="0.25">
      <c r="C43" t="str">
        <f>IF(COUNTBLANK(E43:K43) = 7,"",IF(AND(NOT(ISBLANK(E43)),COUNTBLANK(E43:K43) = 6),"3 Delete",IF(ISBLANK(E43),"2 Add",IF(SHA1Range(E43:K43) = "2342fe3a2089963d9961a94d5738972d56d7ca6f","0 Original","1 Modify"))))</f>
        <v>0 Original</v>
      </c>
      <c r="D43" s="3" t="s">
        <v>169</v>
      </c>
      <c r="E43" s="5">
        <v>1045</v>
      </c>
      <c r="F43" s="3" t="s">
        <v>170</v>
      </c>
      <c r="G43" s="7">
        <v>5.99</v>
      </c>
      <c r="H43" s="3" t="s">
        <v>171</v>
      </c>
      <c r="I43" s="3" t="s">
        <v>28</v>
      </c>
      <c r="J43" s="3" t="s">
        <v>29</v>
      </c>
      <c r="K43" s="9">
        <v>42483.625115740739</v>
      </c>
    </row>
    <row r="44" spans="3:11" x14ac:dyDescent="0.25">
      <c r="C44" t="str">
        <f>IF(COUNTBLANK(E44:K44) = 7,"",IF(AND(NOT(ISBLANK(E44)),COUNTBLANK(E44:K44) = 6),"3 Delete",IF(ISBLANK(E44),"2 Add",IF(SHA1Range(E44:K44) = "5a17d8cc611cb944f50659f271db1ddda0d9a96e","0 Original","1 Modify"))))</f>
        <v>0 Original</v>
      </c>
      <c r="D44" s="3" t="s">
        <v>172</v>
      </c>
      <c r="E44" s="5">
        <v>1046</v>
      </c>
      <c r="F44" s="3" t="s">
        <v>173</v>
      </c>
      <c r="G44" s="7">
        <v>5.99</v>
      </c>
      <c r="H44" s="3" t="s">
        <v>174</v>
      </c>
      <c r="I44" s="3" t="s">
        <v>175</v>
      </c>
      <c r="J44" s="3" t="s">
        <v>29</v>
      </c>
      <c r="K44" s="9">
        <v>42483.625115740739</v>
      </c>
    </row>
    <row r="45" spans="3:11" x14ac:dyDescent="0.25">
      <c r="C45" t="str">
        <f>IF(COUNTBLANK(E45:K45) = 7,"",IF(AND(NOT(ISBLANK(E45)),COUNTBLANK(E45:K45) = 6),"3 Delete",IF(ISBLANK(E45),"2 Add",IF(SHA1Range(E45:K45) = "7ad9e0cccca0f3207a621fe9376952346e042cab","0 Original","1 Modify"))))</f>
        <v>0 Original</v>
      </c>
      <c r="D45" s="3" t="s">
        <v>176</v>
      </c>
      <c r="E45" s="5">
        <v>1047</v>
      </c>
      <c r="F45" s="3" t="s">
        <v>177</v>
      </c>
      <c r="G45" s="7">
        <v>7.99</v>
      </c>
      <c r="H45" s="3" t="s">
        <v>178</v>
      </c>
      <c r="I45" s="3" t="s">
        <v>179</v>
      </c>
      <c r="J45" s="3" t="s">
        <v>29</v>
      </c>
      <c r="K45" s="9">
        <v>42483.625115740739</v>
      </c>
    </row>
    <row r="46" spans="3:11" x14ac:dyDescent="0.25">
      <c r="C46" t="str">
        <f>IF(COUNTBLANK(E46:K46) = 7,"",IF(AND(NOT(ISBLANK(E46)),COUNTBLANK(E46:K46) = 6),"3 Delete",IF(ISBLANK(E46),"2 Add",IF(SHA1Range(E46:K46) = "32e6c361ca685983c858d5ec5b3b05eba2c66b0c","0 Original","1 Modify"))))</f>
        <v>0 Original</v>
      </c>
      <c r="D46" s="3" t="s">
        <v>180</v>
      </c>
      <c r="E46" s="5">
        <v>1048</v>
      </c>
      <c r="F46" s="3" t="s">
        <v>181</v>
      </c>
      <c r="G46" s="7">
        <v>5.99</v>
      </c>
      <c r="H46" s="3" t="s">
        <v>182</v>
      </c>
      <c r="I46" s="3" t="s">
        <v>183</v>
      </c>
      <c r="J46" s="3" t="s">
        <v>29</v>
      </c>
      <c r="K46" s="9">
        <v>42483.625115740739</v>
      </c>
    </row>
    <row r="47" spans="3:11" x14ac:dyDescent="0.25">
      <c r="C47" t="str">
        <f>IF(COUNTBLANK(E47:K47) = 7,"",IF(AND(NOT(ISBLANK(E47)),COUNTBLANK(E47:K47) = 6),"3 Delete",IF(ISBLANK(E47),"2 Add",IF(SHA1Range(E47:K47) = "640eedad2087287389a3589aa810a3ee52f4e8d8","0 Original","1 Modify"))))</f>
        <v>0 Original</v>
      </c>
      <c r="D47" s="3" t="s">
        <v>184</v>
      </c>
      <c r="E47" s="5">
        <v>1049</v>
      </c>
      <c r="F47" s="3" t="s">
        <v>185</v>
      </c>
      <c r="G47" s="7">
        <v>8.99</v>
      </c>
      <c r="H47" s="3" t="s">
        <v>186</v>
      </c>
      <c r="I47" s="3" t="s">
        <v>187</v>
      </c>
      <c r="J47" s="3" t="s">
        <v>29</v>
      </c>
      <c r="K47" s="9">
        <v>42483.625115740739</v>
      </c>
    </row>
    <row r="48" spans="3:11" x14ac:dyDescent="0.25">
      <c r="C48" t="str">
        <f>IF(COUNTBLANK(E48:K48) = 7,"",IF(AND(NOT(ISBLANK(E48)),COUNTBLANK(E48:K48) = 6),"3 Delete",IF(ISBLANK(E48),"2 Add",IF(SHA1Range(E48:K48) = "45febfaa76d0d54f39d16b0ec54dfb1e4e8c8ad8","0 Original","1 Modify"))))</f>
        <v>0 Original</v>
      </c>
      <c r="D48" s="3" t="s">
        <v>188</v>
      </c>
      <c r="E48" s="5">
        <v>1050</v>
      </c>
      <c r="F48" s="3" t="s">
        <v>189</v>
      </c>
      <c r="G48" s="7">
        <v>7.99</v>
      </c>
      <c r="H48" s="3" t="s">
        <v>190</v>
      </c>
      <c r="I48" s="3" t="s">
        <v>191</v>
      </c>
      <c r="J48" s="3" t="s">
        <v>29</v>
      </c>
      <c r="K48" s="9">
        <v>42483.625115740739</v>
      </c>
    </row>
    <row r="49" spans="3:11" x14ac:dyDescent="0.25">
      <c r="C49" t="str">
        <f>IF(COUNTBLANK(E49:K49) = 7,"",IF(AND(NOT(ISBLANK(E49)),COUNTBLANK(E49:K49) = 6),"3 Delete",IF(ISBLANK(E49),"2 Add",IF(SHA1Range(E49:K49) = "8e64b73599afd8aa46225f945920a959ec8eda58","0 Original","1 Modify"))))</f>
        <v>0 Original</v>
      </c>
      <c r="D49" s="3" t="s">
        <v>192</v>
      </c>
      <c r="E49" s="5">
        <v>1051</v>
      </c>
      <c r="F49" s="3" t="s">
        <v>193</v>
      </c>
      <c r="G49" s="7">
        <v>8.99</v>
      </c>
      <c r="H49" s="3" t="s">
        <v>194</v>
      </c>
      <c r="I49" s="3" t="s">
        <v>28</v>
      </c>
      <c r="J49" s="3" t="s">
        <v>29</v>
      </c>
      <c r="K49" s="9">
        <v>42483.625115740739</v>
      </c>
    </row>
    <row r="50" spans="3:11" x14ac:dyDescent="0.25">
      <c r="C50" t="str">
        <f>IF(COUNTBLANK(E50:K50) = 7,"",IF(AND(NOT(ISBLANK(E50)),COUNTBLANK(E50:K50) = 6),"3 Delete",IF(ISBLANK(E50),"2 Add",IF(SHA1Range(E50:K50) = "f34388551fae2f0710c45b687a2f36e9ffe797d1","0 Original","1 Modify"))))</f>
        <v>0 Original</v>
      </c>
      <c r="D50" s="3" t="s">
        <v>195</v>
      </c>
      <c r="E50" s="5">
        <v>1052</v>
      </c>
      <c r="F50" s="3" t="s">
        <v>196</v>
      </c>
      <c r="G50" s="7">
        <v>9.99</v>
      </c>
      <c r="H50" s="3" t="s">
        <v>197</v>
      </c>
      <c r="I50" s="3" t="s">
        <v>198</v>
      </c>
      <c r="J50" s="3" t="s">
        <v>29</v>
      </c>
      <c r="K50" s="9">
        <v>42483.625115740739</v>
      </c>
    </row>
    <row r="51" spans="3:11" x14ac:dyDescent="0.25">
      <c r="C51" t="str">
        <f>IF(COUNTBLANK(E51:K51) = 7,"",IF(AND(NOT(ISBLANK(E51)),COUNTBLANK(E51:K51) = 6),"3 Delete",IF(ISBLANK(E51),"2 Add",IF(SHA1Range(E51:K51) = "7c26982d5d69b295509a499befdbb485644d0da8","0 Original","1 Modify"))))</f>
        <v>0 Original</v>
      </c>
      <c r="D51" s="3" t="s">
        <v>199</v>
      </c>
      <c r="E51" s="5">
        <v>1053</v>
      </c>
      <c r="F51" s="3" t="s">
        <v>200</v>
      </c>
      <c r="G51" s="7">
        <v>5.99</v>
      </c>
      <c r="H51" s="3" t="s">
        <v>201</v>
      </c>
      <c r="I51" s="3" t="s">
        <v>202</v>
      </c>
      <c r="J51" s="3" t="s">
        <v>29</v>
      </c>
      <c r="K51" s="9">
        <v>42483.625115740739</v>
      </c>
    </row>
    <row r="52" spans="3:11" x14ac:dyDescent="0.25">
      <c r="C52" t="str">
        <f>IF(COUNTBLANK(E52:K52) = 7,"",IF(AND(NOT(ISBLANK(E52)),COUNTBLANK(E52:K52) = 6),"3 Delete",IF(ISBLANK(E52),"2 Add",IF(SHA1Range(E52:K52) = "3726cbe534be8b1b54099ffe434652df410b72ef","0 Original","1 Modify"))))</f>
        <v>0 Original</v>
      </c>
      <c r="D52" s="3" t="s">
        <v>203</v>
      </c>
      <c r="E52" s="5">
        <v>1054</v>
      </c>
      <c r="F52" s="3" t="s">
        <v>204</v>
      </c>
      <c r="G52" s="7">
        <v>5.99</v>
      </c>
      <c r="H52" s="3" t="s">
        <v>205</v>
      </c>
      <c r="I52" s="3" t="s">
        <v>206</v>
      </c>
      <c r="J52" s="3" t="s">
        <v>29</v>
      </c>
      <c r="K52" s="9">
        <v>42483.625115740739</v>
      </c>
    </row>
    <row r="53" spans="3:11" x14ac:dyDescent="0.25">
      <c r="C53" t="str">
        <f>IF(COUNTBLANK(E53:K53) = 7,"",IF(AND(NOT(ISBLANK(E53)),COUNTBLANK(E53:K53) = 6),"3 Delete",IF(ISBLANK(E53),"2 Add",IF(SHA1Range(E53:K53) = "5a0cd4f68b2cd272be508783dd3caf337b85dbc6","0 Original","1 Modify"))))</f>
        <v>0 Original</v>
      </c>
      <c r="D53" s="3" t="s">
        <v>207</v>
      </c>
      <c r="E53" s="5">
        <v>1055</v>
      </c>
      <c r="F53" s="3" t="s">
        <v>208</v>
      </c>
      <c r="G53" s="7">
        <v>5.99</v>
      </c>
      <c r="H53" s="3" t="s">
        <v>209</v>
      </c>
      <c r="I53" s="3" t="s">
        <v>80</v>
      </c>
      <c r="J53" s="3" t="s">
        <v>29</v>
      </c>
      <c r="K53" s="9">
        <v>42483.625115740739</v>
      </c>
    </row>
    <row r="54" spans="3:11" x14ac:dyDescent="0.25">
      <c r="C54" t="str">
        <f>IF(COUNTBLANK(E54:K54) = 7,"",IF(AND(NOT(ISBLANK(E54)),COUNTBLANK(E54:K54) = 6),"3 Delete",IF(ISBLANK(E54),"2 Add",IF(SHA1Range(E54:K54) = "e4ce078c816acf7c366cd48ec68412fd3124216f","0 Original","1 Modify"))))</f>
        <v>0 Original</v>
      </c>
      <c r="D54" s="3" t="s">
        <v>210</v>
      </c>
      <c r="E54" s="5">
        <v>1056</v>
      </c>
      <c r="F54" s="3" t="s">
        <v>211</v>
      </c>
      <c r="G54" s="7">
        <v>4.99</v>
      </c>
      <c r="H54" s="3" t="s">
        <v>212</v>
      </c>
      <c r="I54" s="3" t="s">
        <v>213</v>
      </c>
      <c r="J54" s="3" t="s">
        <v>29</v>
      </c>
      <c r="K54" s="9">
        <v>42483.625115740739</v>
      </c>
    </row>
    <row r="55" spans="3:11" x14ac:dyDescent="0.25">
      <c r="C55" t="str">
        <f>IF(COUNTBLANK(E55:K55) = 7,"",IF(AND(NOT(ISBLANK(E55)),COUNTBLANK(E55:K55) = 6),"3 Delete",IF(ISBLANK(E55),"2 Add",IF(SHA1Range(E55:K55) = "0f040bc0ebbdbb0af863c501636e269fc241291d","0 Original","1 Modify"))))</f>
        <v>0 Original</v>
      </c>
      <c r="D55" s="3" t="s">
        <v>214</v>
      </c>
      <c r="E55" s="5">
        <v>1057</v>
      </c>
      <c r="F55" s="3" t="s">
        <v>215</v>
      </c>
      <c r="G55" s="7">
        <v>5.99</v>
      </c>
      <c r="H55" s="3" t="s">
        <v>216</v>
      </c>
      <c r="I55" s="3" t="s">
        <v>28</v>
      </c>
      <c r="J55" s="3" t="s">
        <v>29</v>
      </c>
      <c r="K55" s="9">
        <v>42483.625115740739</v>
      </c>
    </row>
    <row r="56" spans="3:11" x14ac:dyDescent="0.25">
      <c r="C56" t="str">
        <f>IF(COUNTBLANK(E56:K56) = 7,"",IF(AND(NOT(ISBLANK(E56)),COUNTBLANK(E56:K56) = 6),"3 Delete",IF(ISBLANK(E56),"2 Add",IF(SHA1Range(E56:K56) = "2edf9d40001dffedc04d4abc2b9cd1076a6e9543","0 Original","1 Modify"))))</f>
        <v>0 Original</v>
      </c>
      <c r="D56" s="3" t="s">
        <v>217</v>
      </c>
      <c r="E56" s="5">
        <v>1058</v>
      </c>
      <c r="F56" s="3" t="s">
        <v>218</v>
      </c>
      <c r="G56" s="7">
        <v>9.99</v>
      </c>
      <c r="H56" s="3" t="s">
        <v>219</v>
      </c>
      <c r="I56" s="3" t="s">
        <v>220</v>
      </c>
      <c r="J56" s="3" t="s">
        <v>29</v>
      </c>
      <c r="K56" s="9">
        <v>42483.625115740739</v>
      </c>
    </row>
    <row r="57" spans="3:11" x14ac:dyDescent="0.25">
      <c r="C57" t="str">
        <f>IF(COUNTBLANK(E57:K57) = 7,"",IF(AND(NOT(ISBLANK(E57)),COUNTBLANK(E57:K57) = 6),"3 Delete",IF(ISBLANK(E57),"2 Add",IF(SHA1Range(E57:K57) = "83f485454f60e49b96ab2a18fab40cb0d0d65bb7","0 Original","1 Modify"))))</f>
        <v>0 Original</v>
      </c>
      <c r="D57" s="3" t="s">
        <v>221</v>
      </c>
      <c r="E57" s="5">
        <v>1059</v>
      </c>
      <c r="F57" s="3" t="s">
        <v>222</v>
      </c>
      <c r="G57" s="7">
        <v>6.99</v>
      </c>
      <c r="H57" s="3" t="s">
        <v>223</v>
      </c>
      <c r="I57" s="3" t="s">
        <v>220</v>
      </c>
      <c r="J57" s="3" t="s">
        <v>29</v>
      </c>
      <c r="K57" s="9">
        <v>42483.625115740739</v>
      </c>
    </row>
    <row r="58" spans="3:11" x14ac:dyDescent="0.25">
      <c r="C58" t="str">
        <f>IF(COUNTBLANK(E58:K58) = 7,"",IF(AND(NOT(ISBLANK(E58)),COUNTBLANK(E58:K58) = 6),"3 Delete",IF(ISBLANK(E58),"2 Add",IF(SHA1Range(E58:K58) = "87aecf936a3b8170c6512f3e2af7ce4c01aced34","0 Original","1 Modify"))))</f>
        <v>0 Original</v>
      </c>
      <c r="D58" s="3" t="s">
        <v>224</v>
      </c>
      <c r="E58" s="5">
        <v>1060</v>
      </c>
      <c r="F58" s="3" t="s">
        <v>225</v>
      </c>
      <c r="G58" s="7">
        <v>9.99</v>
      </c>
      <c r="H58" s="3" t="s">
        <v>226</v>
      </c>
      <c r="I58" s="3" t="s">
        <v>28</v>
      </c>
      <c r="J58" s="3" t="s">
        <v>29</v>
      </c>
      <c r="K58" s="9">
        <v>42483.625115740739</v>
      </c>
    </row>
    <row r="59" spans="3:11" x14ac:dyDescent="0.25">
      <c r="C59" t="str">
        <f>IF(COUNTBLANK(E59:K59) = 7,"",IF(AND(NOT(ISBLANK(E59)),COUNTBLANK(E59:K59) = 6),"3 Delete",IF(ISBLANK(E59),"2 Add",IF(SHA1Range(E59:K59) = "6053537ae59f8b1acff036887690550cb8ee64aa","0 Original","1 Modify"))))</f>
        <v>0 Original</v>
      </c>
      <c r="D59" s="3" t="s">
        <v>227</v>
      </c>
      <c r="E59" s="5">
        <v>1061</v>
      </c>
      <c r="F59" s="3" t="s">
        <v>228</v>
      </c>
      <c r="G59" s="7">
        <v>8.99</v>
      </c>
      <c r="H59" s="3" t="s">
        <v>229</v>
      </c>
      <c r="I59" s="3" t="s">
        <v>28</v>
      </c>
      <c r="J59" s="3" t="s">
        <v>29</v>
      </c>
      <c r="K59" s="9">
        <v>42483.625115740739</v>
      </c>
    </row>
    <row r="60" spans="3:11" x14ac:dyDescent="0.25">
      <c r="C60" t="str">
        <f>IF(COUNTBLANK(E60:K60) = 7,"",IF(AND(NOT(ISBLANK(E60)),COUNTBLANK(E60:K60) = 6),"3 Delete",IF(ISBLANK(E60),"2 Add",IF(SHA1Range(E60:K60) = "bda983408ad56ed4e3a17f98fb287fa2013bc3df","0 Original","1 Modify"))))</f>
        <v>0 Original</v>
      </c>
      <c r="D60" s="3" t="s">
        <v>230</v>
      </c>
      <c r="E60" s="5">
        <v>1062</v>
      </c>
      <c r="F60" s="3" t="s">
        <v>231</v>
      </c>
      <c r="G60" s="7">
        <v>5.99</v>
      </c>
      <c r="H60" s="3" t="s">
        <v>232</v>
      </c>
      <c r="I60" s="3" t="s">
        <v>233</v>
      </c>
      <c r="J60" s="3" t="s">
        <v>29</v>
      </c>
      <c r="K60" s="9">
        <v>42483.625115740739</v>
      </c>
    </row>
    <row r="61" spans="3:11" x14ac:dyDescent="0.25">
      <c r="C61" t="str">
        <f>IF(COUNTBLANK(E61:K61) = 7,"",IF(AND(NOT(ISBLANK(E61)),COUNTBLANK(E61:K61) = 6),"3 Delete",IF(ISBLANK(E61),"2 Add",IF(SHA1Range(E61:K61) = "e4eb71fb62a5f4563e51fe0de654700270ca6c23","0 Original","1 Modify"))))</f>
        <v>0 Original</v>
      </c>
      <c r="D61" s="3" t="s">
        <v>234</v>
      </c>
      <c r="E61" s="5">
        <v>1063</v>
      </c>
      <c r="F61" s="3" t="s">
        <v>235</v>
      </c>
      <c r="G61" s="7">
        <v>4.99</v>
      </c>
      <c r="H61" s="3" t="s">
        <v>236</v>
      </c>
      <c r="I61" s="3" t="s">
        <v>237</v>
      </c>
      <c r="J61" s="3" t="s">
        <v>29</v>
      </c>
      <c r="K61" s="9">
        <v>42483.625115740739</v>
      </c>
    </row>
    <row r="62" spans="3:11" x14ac:dyDescent="0.25">
      <c r="C62" t="str">
        <f>IF(COUNTBLANK(E62:K62) = 7,"",IF(AND(NOT(ISBLANK(E62)),COUNTBLANK(E62:K62) = 6),"3 Delete",IF(ISBLANK(E62),"2 Add",IF(SHA1Range(E62:K62) = "cfbdb097800637446b03725700d10d8cf868e815","0 Original","1 Modify"))))</f>
        <v>0 Original</v>
      </c>
      <c r="D62" s="3" t="s">
        <v>238</v>
      </c>
      <c r="E62" s="5">
        <v>1064</v>
      </c>
      <c r="F62" s="3" t="s">
        <v>239</v>
      </c>
      <c r="G62" s="7">
        <v>5.99</v>
      </c>
      <c r="H62" s="3" t="s">
        <v>240</v>
      </c>
      <c r="I62" s="3" t="s">
        <v>241</v>
      </c>
      <c r="J62" s="3" t="s">
        <v>29</v>
      </c>
      <c r="K62" s="9">
        <v>42483.625115740739</v>
      </c>
    </row>
    <row r="63" spans="3:11" x14ac:dyDescent="0.25">
      <c r="C63" t="str">
        <f>IF(COUNTBLANK(E63:K63) = 7,"",IF(AND(NOT(ISBLANK(E63)),COUNTBLANK(E63:K63) = 6),"3 Delete",IF(ISBLANK(E63),"2 Add",IF(SHA1Range(E63:K63) = "43641a4152b52b81d4d1c883f179a89f5f353f84","0 Original","1 Modify"))))</f>
        <v>0 Original</v>
      </c>
      <c r="D63" s="3" t="s">
        <v>242</v>
      </c>
      <c r="E63" s="5">
        <v>1065</v>
      </c>
      <c r="F63" s="3" t="s">
        <v>243</v>
      </c>
      <c r="G63" s="7">
        <v>7.99</v>
      </c>
      <c r="H63" s="3" t="s">
        <v>244</v>
      </c>
      <c r="I63" s="3" t="s">
        <v>245</v>
      </c>
      <c r="J63" s="3" t="s">
        <v>29</v>
      </c>
      <c r="K63" s="9">
        <v>42483.625115740739</v>
      </c>
    </row>
    <row r="64" spans="3:11" x14ac:dyDescent="0.25">
      <c r="C64" t="str">
        <f>IF(COUNTBLANK(E64:K64) = 7,"",IF(AND(NOT(ISBLANK(E64)),COUNTBLANK(E64:K64) = 6),"3 Delete",IF(ISBLANK(E64),"2 Add",IF(SHA1Range(E64:K64) = "3eafc692b5570ea65589bdf2d29bf2c835cf1d64","0 Original","1 Modify"))))</f>
        <v>0 Original</v>
      </c>
      <c r="D64" s="3" t="s">
        <v>246</v>
      </c>
      <c r="E64" s="5">
        <v>1066</v>
      </c>
      <c r="F64" s="3" t="s">
        <v>247</v>
      </c>
      <c r="G64" s="7">
        <v>7.99</v>
      </c>
      <c r="H64" s="3" t="s">
        <v>248</v>
      </c>
      <c r="I64" s="3" t="s">
        <v>249</v>
      </c>
      <c r="J64" s="3" t="s">
        <v>29</v>
      </c>
      <c r="K64" s="9">
        <v>42483.625115740739</v>
      </c>
    </row>
    <row r="65" spans="3:11" x14ac:dyDescent="0.25">
      <c r="C65" t="str">
        <f>IF(COUNTBLANK(E65:K65) = 7,"",IF(AND(NOT(ISBLANK(E65)),COUNTBLANK(E65:K65) = 6),"3 Delete",IF(ISBLANK(E65),"2 Add",IF(SHA1Range(E65:K65) = "b9ec0adb802f682c80fccaa4dff840745b95768c","0 Original","1 Modify"))))</f>
        <v>0 Original</v>
      </c>
      <c r="D65" s="3" t="s">
        <v>250</v>
      </c>
      <c r="E65" s="5">
        <v>1067</v>
      </c>
      <c r="F65" s="3" t="s">
        <v>251</v>
      </c>
      <c r="G65" s="7">
        <v>8.99</v>
      </c>
      <c r="H65" s="3" t="s">
        <v>252</v>
      </c>
      <c r="I65" s="3" t="s">
        <v>253</v>
      </c>
      <c r="J65" s="3" t="s">
        <v>29</v>
      </c>
      <c r="K65" s="9">
        <v>42483.625115740739</v>
      </c>
    </row>
    <row r="66" spans="3:11" x14ac:dyDescent="0.25">
      <c r="C66" t="str">
        <f>IF(COUNTBLANK(E66:K66) = 7,"",IF(AND(NOT(ISBLANK(E66)),COUNTBLANK(E66:K66) = 6),"3 Delete",IF(ISBLANK(E66),"2 Add",IF(SHA1Range(E66:K66) = "8ee93cda8eeca2549380ea3421efde8eb305ada6","0 Original","1 Modify"))))</f>
        <v>0 Original</v>
      </c>
      <c r="D66" s="3" t="s">
        <v>254</v>
      </c>
      <c r="E66" s="5">
        <v>1068</v>
      </c>
      <c r="F66" s="3" t="s">
        <v>255</v>
      </c>
      <c r="G66" s="7">
        <v>4.99</v>
      </c>
      <c r="H66" s="3" t="s">
        <v>256</v>
      </c>
      <c r="I66" s="3" t="s">
        <v>72</v>
      </c>
      <c r="J66" s="3" t="s">
        <v>29</v>
      </c>
      <c r="K66" s="9">
        <v>42483.625115740739</v>
      </c>
    </row>
    <row r="67" spans="3:11" x14ac:dyDescent="0.25">
      <c r="C67" t="str">
        <f>IF(COUNTBLANK(E67:K67) = 7,"",IF(AND(NOT(ISBLANK(E67)),COUNTBLANK(E67:K67) = 6),"3 Delete",IF(ISBLANK(E67),"2 Add",IF(SHA1Range(E67:K67) = "92d15920d444ba887f08ec6d13dbde2b7ee14daa","0 Original","1 Modify"))))</f>
        <v>0 Original</v>
      </c>
      <c r="D67" s="3" t="s">
        <v>257</v>
      </c>
      <c r="E67" s="5">
        <v>1069</v>
      </c>
      <c r="F67" s="3" t="s">
        <v>258</v>
      </c>
      <c r="G67" s="7">
        <v>9.99</v>
      </c>
      <c r="H67" s="3" t="s">
        <v>259</v>
      </c>
      <c r="I67" s="3" t="s">
        <v>91</v>
      </c>
      <c r="J67" s="3" t="s">
        <v>29</v>
      </c>
      <c r="K67" s="9">
        <v>42483.625115740739</v>
      </c>
    </row>
    <row r="68" spans="3:11" x14ac:dyDescent="0.25">
      <c r="C68" t="str">
        <f>IF(COUNTBLANK(E68:K68) = 7,"",IF(AND(NOT(ISBLANK(E68)),COUNTBLANK(E68:K68) = 6),"3 Delete",IF(ISBLANK(E68),"2 Add",IF(SHA1Range(E68:K68) = "d1856b041ae04b28d4d1e0459d8b8e1a79e56643","0 Original","1 Modify"))))</f>
        <v>0 Original</v>
      </c>
      <c r="D68" s="3" t="s">
        <v>260</v>
      </c>
      <c r="E68" s="5">
        <v>1070</v>
      </c>
      <c r="F68" s="3" t="s">
        <v>261</v>
      </c>
      <c r="G68" s="7">
        <v>8.99</v>
      </c>
      <c r="H68" s="3" t="s">
        <v>262</v>
      </c>
      <c r="I68" s="3" t="s">
        <v>91</v>
      </c>
      <c r="J68" s="3" t="s">
        <v>29</v>
      </c>
      <c r="K68" s="9">
        <v>42483.625115740739</v>
      </c>
    </row>
    <row r="69" spans="3:11" x14ac:dyDescent="0.25">
      <c r="C69" t="str">
        <f>IF(COUNTBLANK(E69:K69) = 7,"",IF(AND(NOT(ISBLANK(E69)),COUNTBLANK(E69:K69) = 6),"3 Delete",IF(ISBLANK(E69),"2 Add",IF(SHA1Range(E69:K69) = "351af6a1c3e752b44b2474da55cd9348b87ef7e0","0 Original","1 Modify"))))</f>
        <v>0 Original</v>
      </c>
      <c r="D69" s="3" t="s">
        <v>263</v>
      </c>
      <c r="E69" s="5">
        <v>1071</v>
      </c>
      <c r="F69" s="3" t="s">
        <v>264</v>
      </c>
      <c r="G69" s="7">
        <v>4.99</v>
      </c>
      <c r="H69" s="3" t="s">
        <v>265</v>
      </c>
      <c r="I69" s="3" t="s">
        <v>266</v>
      </c>
      <c r="J69" s="3" t="s">
        <v>29</v>
      </c>
      <c r="K69" s="9">
        <v>42483.625115740739</v>
      </c>
    </row>
    <row r="70" spans="3:11" x14ac:dyDescent="0.25">
      <c r="C70" t="str">
        <f>IF(COUNTBLANK(E70:K70) = 7,"",IF(AND(NOT(ISBLANK(E70)),COUNTBLANK(E70:K70) = 6),"3 Delete",IF(ISBLANK(E70),"2 Add",IF(SHA1Range(E70:K70) = "e4a64d19602813d628be86cd73188ba072b2ee38","0 Original","1 Modify"))))</f>
        <v>0 Original</v>
      </c>
      <c r="D70" s="3" t="s">
        <v>267</v>
      </c>
      <c r="E70" s="5">
        <v>1072</v>
      </c>
      <c r="F70" s="3" t="s">
        <v>268</v>
      </c>
      <c r="G70" s="7">
        <v>6.99</v>
      </c>
      <c r="H70" s="3" t="s">
        <v>269</v>
      </c>
      <c r="I70" s="3" t="s">
        <v>28</v>
      </c>
      <c r="J70" s="3" t="s">
        <v>29</v>
      </c>
      <c r="K70" s="9">
        <v>42483.625115740739</v>
      </c>
    </row>
    <row r="71" spans="3:11" x14ac:dyDescent="0.25">
      <c r="C71" t="str">
        <f>IF(COUNTBLANK(E71:K71) = 7,"",IF(AND(NOT(ISBLANK(E71)),COUNTBLANK(E71:K71) = 6),"3 Delete",IF(ISBLANK(E71),"2 Add",IF(SHA1Range(E71:K71) = "766792df9da14d6dc93203537403db4924af69ca","0 Original","1 Modify"))))</f>
        <v>0 Original</v>
      </c>
      <c r="D71" s="3" t="s">
        <v>270</v>
      </c>
      <c r="E71" s="5">
        <v>1073</v>
      </c>
      <c r="F71" s="3" t="s">
        <v>271</v>
      </c>
      <c r="G71" s="7">
        <v>8.99</v>
      </c>
      <c r="H71" s="3" t="s">
        <v>272</v>
      </c>
      <c r="I71" s="3" t="s">
        <v>91</v>
      </c>
      <c r="J71" s="3" t="s">
        <v>29</v>
      </c>
      <c r="K71" s="9">
        <v>42483.625115740739</v>
      </c>
    </row>
    <row r="72" spans="3:11" x14ac:dyDescent="0.25">
      <c r="C72" t="str">
        <f>IF(COUNTBLANK(E72:K72) = 7,"",IF(AND(NOT(ISBLANK(E72)),COUNTBLANK(E72:K72) = 6),"3 Delete",IF(ISBLANK(E72),"2 Add",IF(SHA1Range(E72:K72) = "40d9ed4f78ceb8f353e9d850cddd14ef309bee91","0 Original","1 Modify"))))</f>
        <v>0 Original</v>
      </c>
      <c r="D72" s="3" t="s">
        <v>273</v>
      </c>
      <c r="E72" s="5">
        <v>1074</v>
      </c>
      <c r="F72" s="3" t="s">
        <v>274</v>
      </c>
      <c r="G72" s="7">
        <v>8.99</v>
      </c>
      <c r="H72" s="3" t="s">
        <v>275</v>
      </c>
      <c r="I72" s="3" t="s">
        <v>276</v>
      </c>
      <c r="J72" s="3" t="s">
        <v>29</v>
      </c>
      <c r="K72" s="9">
        <v>42483.625115740739</v>
      </c>
    </row>
    <row r="73" spans="3:11" x14ac:dyDescent="0.25">
      <c r="C73" t="str">
        <f>IF(COUNTBLANK(E73:K73) = 7,"",IF(AND(NOT(ISBLANK(E73)),COUNTBLANK(E73:K73) = 6),"3 Delete",IF(ISBLANK(E73),"2 Add",IF(SHA1Range(E73:K73) = "68285ed6bc27bbdf8e16789ea579ac30ca04f151","0 Original","1 Modify"))))</f>
        <v>0 Original</v>
      </c>
      <c r="D73" s="3" t="s">
        <v>277</v>
      </c>
      <c r="E73" s="5">
        <v>1075</v>
      </c>
      <c r="F73" s="3" t="s">
        <v>278</v>
      </c>
      <c r="G73" s="7">
        <v>4.99</v>
      </c>
      <c r="H73" s="3" t="s">
        <v>279</v>
      </c>
      <c r="I73" s="3" t="s">
        <v>280</v>
      </c>
      <c r="J73" s="3" t="s">
        <v>29</v>
      </c>
      <c r="K73" s="9">
        <v>42483.625115740739</v>
      </c>
    </row>
    <row r="74" spans="3:11" x14ac:dyDescent="0.25">
      <c r="C74" t="str">
        <f>IF(COUNTBLANK(E74:K74) = 7,"",IF(AND(NOT(ISBLANK(E74)),COUNTBLANK(E74:K74) = 6),"3 Delete",IF(ISBLANK(E74),"2 Add",IF(SHA1Range(E74:K74) = "92d71d719fdab840cf145dacbeafd43b2b3c3fcb","0 Original","1 Modify"))))</f>
        <v>0 Original</v>
      </c>
      <c r="D74" s="3" t="s">
        <v>281</v>
      </c>
      <c r="E74" s="5">
        <v>1076</v>
      </c>
      <c r="F74" s="3" t="s">
        <v>282</v>
      </c>
      <c r="G74" s="7">
        <v>7.99</v>
      </c>
      <c r="H74" s="3" t="s">
        <v>283</v>
      </c>
      <c r="I74" s="3" t="s">
        <v>284</v>
      </c>
      <c r="J74" s="3" t="s">
        <v>29</v>
      </c>
      <c r="K74" s="9">
        <v>42483.625115740739</v>
      </c>
    </row>
    <row r="75" spans="3:11" x14ac:dyDescent="0.25">
      <c r="C75" t="str">
        <f>IF(COUNTBLANK(E75:K75) = 7,"",IF(AND(NOT(ISBLANK(E75)),COUNTBLANK(E75:K75) = 6),"3 Delete",IF(ISBLANK(E75),"2 Add",IF(SHA1Range(E75:K75) = "ce04e45e0c1472f23a25748bfbdeec335873aeb6","0 Original","1 Modify"))))</f>
        <v>0 Original</v>
      </c>
      <c r="D75" s="3" t="s">
        <v>285</v>
      </c>
      <c r="E75" s="5">
        <v>1077</v>
      </c>
      <c r="F75" s="3" t="s">
        <v>286</v>
      </c>
      <c r="G75" s="7">
        <v>4.99</v>
      </c>
      <c r="H75" s="3" t="s">
        <v>287</v>
      </c>
      <c r="I75" s="3" t="s">
        <v>28</v>
      </c>
      <c r="J75" s="3" t="s">
        <v>29</v>
      </c>
      <c r="K75" s="9">
        <v>42483.625115740739</v>
      </c>
    </row>
    <row r="76" spans="3:11" x14ac:dyDescent="0.25">
      <c r="C76" t="str">
        <f>IF(COUNTBLANK(E76:K76) = 7,"",IF(AND(NOT(ISBLANK(E76)),COUNTBLANK(E76:K76) = 6),"3 Delete",IF(ISBLANK(E76),"2 Add",IF(SHA1Range(E76:K76) = "fc2bd89cd386a82d1bf317669b320a2aa4888e48","0 Original","1 Modify"))))</f>
        <v>0 Original</v>
      </c>
      <c r="D76" s="3" t="s">
        <v>288</v>
      </c>
      <c r="E76" s="5">
        <v>1078</v>
      </c>
      <c r="F76" s="3" t="s">
        <v>289</v>
      </c>
      <c r="G76" s="7">
        <v>7.99</v>
      </c>
      <c r="H76" s="3" t="s">
        <v>290</v>
      </c>
      <c r="I76" s="3" t="s">
        <v>28</v>
      </c>
      <c r="J76" s="3" t="s">
        <v>29</v>
      </c>
      <c r="K76" s="9">
        <v>42483.625115740739</v>
      </c>
    </row>
    <row r="77" spans="3:11" x14ac:dyDescent="0.25">
      <c r="C77" t="str">
        <f>IF(COUNTBLANK(E77:K77) = 7,"",IF(AND(NOT(ISBLANK(E77)),COUNTBLANK(E77:K77) = 6),"3 Delete",IF(ISBLANK(E77),"2 Add",IF(SHA1Range(E77:K77) = "5a33cbfad82b6cf3e5c9abc2a70512090031a49b","0 Original","1 Modify"))))</f>
        <v>0 Original</v>
      </c>
      <c r="D77" s="3" t="s">
        <v>291</v>
      </c>
      <c r="E77" s="5">
        <v>1079</v>
      </c>
      <c r="F77" s="3" t="s">
        <v>292</v>
      </c>
      <c r="G77" s="7">
        <v>5.99</v>
      </c>
      <c r="H77" s="3" t="s">
        <v>293</v>
      </c>
      <c r="I77" s="3" t="s">
        <v>294</v>
      </c>
      <c r="J77" s="3" t="s">
        <v>29</v>
      </c>
      <c r="K77" s="9">
        <v>42483.625115740739</v>
      </c>
    </row>
    <row r="78" spans="3:11" x14ac:dyDescent="0.25">
      <c r="C78" t="str">
        <f>IF(COUNTBLANK(E78:K78) = 7,"",IF(AND(NOT(ISBLANK(E78)),COUNTBLANK(E78:K78) = 6),"3 Delete",IF(ISBLANK(E78),"2 Add",IF(SHA1Range(E78:K78) = "5baa387d88cbaea55e73758516675fdc69a741aa","0 Original","1 Modify"))))</f>
        <v>0 Original</v>
      </c>
      <c r="D78" s="3" t="s">
        <v>295</v>
      </c>
      <c r="E78" s="5">
        <v>1080</v>
      </c>
      <c r="F78" s="3" t="s">
        <v>296</v>
      </c>
      <c r="G78" s="7">
        <v>7.99</v>
      </c>
      <c r="H78" s="3" t="s">
        <v>297</v>
      </c>
      <c r="I78" s="3" t="s">
        <v>40</v>
      </c>
      <c r="J78" s="3" t="s">
        <v>29</v>
      </c>
      <c r="K78" s="9">
        <v>42483.625115740739</v>
      </c>
    </row>
    <row r="79" spans="3:11" x14ac:dyDescent="0.25">
      <c r="C79" t="str">
        <f>IF(COUNTBLANK(E79:K79) = 7,"",IF(AND(NOT(ISBLANK(E79)),COUNTBLANK(E79:K79) = 6),"3 Delete",IF(ISBLANK(E79),"2 Add",IF(SHA1Range(E79:K79) = "8438dad818957dfb6fdf95aa5832296b060425b0","0 Original","1 Modify"))))</f>
        <v>0 Original</v>
      </c>
      <c r="D79" s="3" t="s">
        <v>298</v>
      </c>
      <c r="E79" s="5">
        <v>1081</v>
      </c>
      <c r="F79" s="3" t="s">
        <v>299</v>
      </c>
      <c r="G79" s="7">
        <v>7.99</v>
      </c>
      <c r="H79" s="3" t="s">
        <v>300</v>
      </c>
      <c r="I79" s="3" t="s">
        <v>68</v>
      </c>
      <c r="J79" s="3" t="s">
        <v>29</v>
      </c>
      <c r="K79" s="9">
        <v>42483.625115740739</v>
      </c>
    </row>
    <row r="80" spans="3:11" x14ac:dyDescent="0.25">
      <c r="C80" t="str">
        <f>IF(COUNTBLANK(E80:K80) = 7,"",IF(AND(NOT(ISBLANK(E80)),COUNTBLANK(E80:K80) = 6),"3 Delete",IF(ISBLANK(E80),"2 Add",IF(SHA1Range(E80:K80) = "d4725bd95eaf34d5f6d6c6a098851acc96239698","0 Original","1 Modify"))))</f>
        <v>0 Original</v>
      </c>
      <c r="D80" s="3" t="s">
        <v>301</v>
      </c>
      <c r="E80" s="5">
        <v>1082</v>
      </c>
      <c r="F80" s="3" t="s">
        <v>302</v>
      </c>
      <c r="G80" s="7">
        <v>9.99</v>
      </c>
      <c r="H80" s="3" t="s">
        <v>303</v>
      </c>
      <c r="I80" s="3" t="s">
        <v>148</v>
      </c>
      <c r="J80" s="3" t="s">
        <v>29</v>
      </c>
      <c r="K80" s="9">
        <v>42483.625115740739</v>
      </c>
    </row>
    <row r="81" spans="3:11" x14ac:dyDescent="0.25">
      <c r="C81" t="str">
        <f>IF(COUNTBLANK(E81:K81) = 7,"",IF(AND(NOT(ISBLANK(E81)),COUNTBLANK(E81:K81) = 6),"3 Delete",IF(ISBLANK(E81),"2 Add",IF(SHA1Range(E81:K81) = "16515b1355b1843abe112bf442c5910027f3880e","0 Original","1 Modify"))))</f>
        <v>0 Original</v>
      </c>
      <c r="D81" s="3" t="s">
        <v>304</v>
      </c>
      <c r="E81" s="5">
        <v>1083</v>
      </c>
      <c r="F81" s="3" t="s">
        <v>305</v>
      </c>
      <c r="G81" s="7">
        <v>8.99</v>
      </c>
      <c r="H81" s="3" t="s">
        <v>306</v>
      </c>
      <c r="I81" s="3" t="s">
        <v>28</v>
      </c>
      <c r="J81" s="3" t="s">
        <v>29</v>
      </c>
      <c r="K81" s="9">
        <v>42483.625115740739</v>
      </c>
    </row>
    <row r="82" spans="3:11" x14ac:dyDescent="0.25">
      <c r="C82" t="str">
        <f>IF(COUNTBLANK(E82:K82) = 7,"",IF(AND(NOT(ISBLANK(E82)),COUNTBLANK(E82:K82) = 6),"3 Delete",IF(ISBLANK(E82),"2 Add",IF(SHA1Range(E82:K82) = "f93520652761ce531968ae2fa70868422d11d265","0 Original","1 Modify"))))</f>
        <v>0 Original</v>
      </c>
      <c r="D82" s="3" t="s">
        <v>307</v>
      </c>
      <c r="E82" s="5">
        <v>1084</v>
      </c>
      <c r="F82" s="3" t="s">
        <v>308</v>
      </c>
      <c r="G82" s="7">
        <v>8.99</v>
      </c>
      <c r="H82" s="3" t="s">
        <v>309</v>
      </c>
      <c r="I82" s="3" t="s">
        <v>310</v>
      </c>
      <c r="J82" s="3" t="s">
        <v>29</v>
      </c>
      <c r="K82" s="9">
        <v>42483.625115740739</v>
      </c>
    </row>
    <row r="83" spans="3:11" x14ac:dyDescent="0.25">
      <c r="C83" t="str">
        <f>IF(COUNTBLANK(E83:K83) = 7,"",IF(AND(NOT(ISBLANK(E83)),COUNTBLANK(E83:K83) = 6),"3 Delete",IF(ISBLANK(E83),"2 Add",IF(SHA1Range(E83:K83) = "f3f9bef36eca1c95af932f1205d653c596d19bdc","0 Original","1 Modify"))))</f>
        <v>0 Original</v>
      </c>
      <c r="D83" s="3" t="s">
        <v>311</v>
      </c>
      <c r="E83" s="5">
        <v>1085</v>
      </c>
      <c r="F83" s="3" t="s">
        <v>312</v>
      </c>
      <c r="G83" s="7">
        <v>8.99</v>
      </c>
      <c r="H83" s="3" t="s">
        <v>313</v>
      </c>
      <c r="I83" s="3" t="s">
        <v>314</v>
      </c>
      <c r="J83" s="3" t="s">
        <v>29</v>
      </c>
      <c r="K83" s="9">
        <v>42483.625115740739</v>
      </c>
    </row>
    <row r="84" spans="3:11" x14ac:dyDescent="0.25">
      <c r="C84" t="str">
        <f>IF(COUNTBLANK(E84:K84) = 7,"",IF(AND(NOT(ISBLANK(E84)),COUNTBLANK(E84:K84) = 6),"3 Delete",IF(ISBLANK(E84),"2 Add",IF(SHA1Range(E84:K84) = "3c34b6f1b98b53fbabf19b01417911a8dfceb281","0 Original","1 Modify"))))</f>
        <v>0 Original</v>
      </c>
      <c r="D84" s="3" t="s">
        <v>315</v>
      </c>
      <c r="E84" s="5">
        <v>1086</v>
      </c>
      <c r="F84" s="3" t="s">
        <v>316</v>
      </c>
      <c r="G84" s="7">
        <v>5.99</v>
      </c>
      <c r="H84" s="3" t="s">
        <v>317</v>
      </c>
      <c r="I84" s="3" t="s">
        <v>91</v>
      </c>
      <c r="J84" s="3" t="s">
        <v>29</v>
      </c>
      <c r="K84" s="9">
        <v>42483.625115740739</v>
      </c>
    </row>
    <row r="85" spans="3:11" x14ac:dyDescent="0.25">
      <c r="C85" t="str">
        <f>IF(COUNTBLANK(E85:K85) = 7,"",IF(AND(NOT(ISBLANK(E85)),COUNTBLANK(E85:K85) = 6),"3 Delete",IF(ISBLANK(E85),"2 Add",IF(SHA1Range(E85:K85) = "1dbfcf8e92ec515949579d09bec42d2781b4a1ec","0 Original","1 Modify"))))</f>
        <v>0 Original</v>
      </c>
      <c r="D85" s="3" t="s">
        <v>318</v>
      </c>
      <c r="E85" s="5">
        <v>1087</v>
      </c>
      <c r="F85" s="3" t="s">
        <v>319</v>
      </c>
      <c r="G85" s="7">
        <v>6.99</v>
      </c>
      <c r="H85" s="3" t="s">
        <v>320</v>
      </c>
      <c r="I85" s="3" t="s">
        <v>80</v>
      </c>
      <c r="J85" s="3" t="s">
        <v>29</v>
      </c>
      <c r="K85" s="9">
        <v>42483.625115740739</v>
      </c>
    </row>
    <row r="86" spans="3:11" x14ac:dyDescent="0.25">
      <c r="C86" t="str">
        <f>IF(COUNTBLANK(E86:K86) = 7,"",IF(AND(NOT(ISBLANK(E86)),COUNTBLANK(E86:K86) = 6),"3 Delete",IF(ISBLANK(E86),"2 Add",IF(SHA1Range(E86:K86) = "fe82ff24beb55e2c9c663e1e6005577c3e8844fb","0 Original","1 Modify"))))</f>
        <v>0 Original</v>
      </c>
      <c r="D86" s="3" t="s">
        <v>321</v>
      </c>
      <c r="E86" s="5">
        <v>1088</v>
      </c>
      <c r="F86" s="3" t="s">
        <v>322</v>
      </c>
      <c r="G86" s="7">
        <v>6.99</v>
      </c>
      <c r="H86" s="3" t="s">
        <v>323</v>
      </c>
      <c r="I86" s="3" t="s">
        <v>324</v>
      </c>
      <c r="J86" s="3" t="s">
        <v>29</v>
      </c>
      <c r="K86" s="9">
        <v>42483.625115740739</v>
      </c>
    </row>
    <row r="87" spans="3:11" x14ac:dyDescent="0.25">
      <c r="C87" t="str">
        <f>IF(COUNTBLANK(E87:K87) = 7,"",IF(AND(NOT(ISBLANK(E87)),COUNTBLANK(E87:K87) = 6),"3 Delete",IF(ISBLANK(E87),"2 Add",IF(SHA1Range(E87:K87) = "aedc9ac4840350660341c40b0ff9aaa1f9e237df","0 Original","1 Modify"))))</f>
        <v>0 Original</v>
      </c>
      <c r="D87" s="3" t="s">
        <v>325</v>
      </c>
      <c r="E87" s="5">
        <v>1089</v>
      </c>
      <c r="F87" s="3" t="s">
        <v>326</v>
      </c>
      <c r="G87" s="7">
        <v>7.99</v>
      </c>
      <c r="H87" s="3" t="s">
        <v>327</v>
      </c>
      <c r="I87" s="3" t="s">
        <v>91</v>
      </c>
      <c r="J87" s="3" t="s">
        <v>29</v>
      </c>
      <c r="K87" s="9">
        <v>42483.625115740739</v>
      </c>
    </row>
    <row r="88" spans="3:11" x14ac:dyDescent="0.25">
      <c r="C88" t="str">
        <f>IF(COUNTBLANK(E88:K88) = 7,"",IF(AND(NOT(ISBLANK(E88)),COUNTBLANK(E88:K88) = 6),"3 Delete",IF(ISBLANK(E88),"2 Add",IF(SHA1Range(E88:K88) = "ded7af4a431e03301cfef7f6c573998783ed8984","0 Original","1 Modify"))))</f>
        <v>0 Original</v>
      </c>
      <c r="D88" s="3" t="s">
        <v>328</v>
      </c>
      <c r="E88" s="5">
        <v>1090</v>
      </c>
      <c r="F88" s="3" t="s">
        <v>329</v>
      </c>
      <c r="G88" s="7">
        <v>8.99</v>
      </c>
      <c r="H88" s="3" t="s">
        <v>330</v>
      </c>
      <c r="I88" s="3" t="s">
        <v>91</v>
      </c>
      <c r="J88" s="3" t="s">
        <v>29</v>
      </c>
      <c r="K88" s="9">
        <v>42483.625115740739</v>
      </c>
    </row>
    <row r="89" spans="3:11" x14ac:dyDescent="0.25">
      <c r="C89" t="str">
        <f>IF(COUNTBLANK(E89:K89) = 7,"",IF(AND(NOT(ISBLANK(E89)),COUNTBLANK(E89:K89) = 6),"3 Delete",IF(ISBLANK(E89),"2 Add",IF(SHA1Range(E89:K89) = "7d3b30725585a1b596ef7f5f12a3b6dbafb6796f","0 Original","1 Modify"))))</f>
        <v>0 Original</v>
      </c>
      <c r="D89" s="3" t="s">
        <v>331</v>
      </c>
      <c r="E89" s="5">
        <v>1091</v>
      </c>
      <c r="F89" s="3" t="s">
        <v>332</v>
      </c>
      <c r="G89" s="7">
        <v>9.99</v>
      </c>
      <c r="H89" s="3" t="s">
        <v>333</v>
      </c>
      <c r="I89" s="3" t="s">
        <v>334</v>
      </c>
      <c r="J89" s="3" t="s">
        <v>29</v>
      </c>
      <c r="K89" s="9">
        <v>42483.625115740739</v>
      </c>
    </row>
    <row r="90" spans="3:11" x14ac:dyDescent="0.25">
      <c r="C90" t="str">
        <f>IF(COUNTBLANK(E90:K90) = 7,"",IF(AND(NOT(ISBLANK(E90)),COUNTBLANK(E90:K90) = 6),"3 Delete",IF(ISBLANK(E90),"2 Add",IF(SHA1Range(E90:K90) = "b2c0bc8796d9a880351fcee16da8658c451b5446","0 Original","1 Modify"))))</f>
        <v>0 Original</v>
      </c>
      <c r="D90" s="3" t="s">
        <v>335</v>
      </c>
      <c r="E90" s="5">
        <v>1092</v>
      </c>
      <c r="F90" s="3" t="s">
        <v>336</v>
      </c>
      <c r="G90" s="7">
        <v>5.99</v>
      </c>
      <c r="H90" s="3" t="s">
        <v>337</v>
      </c>
      <c r="I90" s="3" t="s">
        <v>28</v>
      </c>
      <c r="J90" s="3" t="s">
        <v>29</v>
      </c>
      <c r="K90" s="9">
        <v>42483.625115740739</v>
      </c>
    </row>
    <row r="91" spans="3:11" x14ac:dyDescent="0.25">
      <c r="C91" t="str">
        <f>IF(COUNTBLANK(E91:K91) = 7,"",IF(AND(NOT(ISBLANK(E91)),COUNTBLANK(E91:K91) = 6),"3 Delete",IF(ISBLANK(E91),"2 Add",IF(SHA1Range(E91:K91) = "9a86abd754054a3d733691619e508405f4c2d8dd","0 Original","1 Modify"))))</f>
        <v>0 Original</v>
      </c>
      <c r="D91" s="3" t="s">
        <v>338</v>
      </c>
      <c r="E91" s="5">
        <v>1093</v>
      </c>
      <c r="F91" s="3" t="s">
        <v>339</v>
      </c>
      <c r="G91" s="7">
        <v>4.99</v>
      </c>
      <c r="H91" s="3" t="s">
        <v>340</v>
      </c>
      <c r="I91" s="3" t="s">
        <v>28</v>
      </c>
      <c r="J91" s="3" t="s">
        <v>29</v>
      </c>
      <c r="K91" s="9">
        <v>42483.625115740739</v>
      </c>
    </row>
    <row r="92" spans="3:11" x14ac:dyDescent="0.25">
      <c r="C92" t="str">
        <f>IF(COUNTBLANK(E92:K92) = 7,"",IF(AND(NOT(ISBLANK(E92)),COUNTBLANK(E92:K92) = 6),"3 Delete",IF(ISBLANK(E92),"2 Add",IF(SHA1Range(E92:K92) = "e9100af17aa52fb9ab06ec0da81fbdadad321bd9","0 Original","1 Modify"))))</f>
        <v>0 Original</v>
      </c>
      <c r="D92" s="3" t="s">
        <v>341</v>
      </c>
      <c r="E92" s="5">
        <v>1094</v>
      </c>
      <c r="F92" s="3" t="s">
        <v>342</v>
      </c>
      <c r="G92" s="7">
        <v>6.99</v>
      </c>
      <c r="H92" s="3" t="s">
        <v>343</v>
      </c>
      <c r="I92" s="3" t="s">
        <v>68</v>
      </c>
      <c r="J92" s="3" t="s">
        <v>29</v>
      </c>
      <c r="K92" s="9">
        <v>42483.625115740739</v>
      </c>
    </row>
    <row r="93" spans="3:11" x14ac:dyDescent="0.25">
      <c r="C93" t="str">
        <f>IF(COUNTBLANK(E93:K93) = 7,"",IF(AND(NOT(ISBLANK(E93)),COUNTBLANK(E93:K93) = 6),"3 Delete",IF(ISBLANK(E93),"2 Add",IF(SHA1Range(E93:K93) = "80e22d32fed79fb8ed87caeec64857e4d442ba8f","0 Original","1 Modify"))))</f>
        <v>0 Original</v>
      </c>
      <c r="D93" s="3" t="s">
        <v>344</v>
      </c>
      <c r="E93" s="5">
        <v>1095</v>
      </c>
      <c r="F93" s="3" t="s">
        <v>345</v>
      </c>
      <c r="G93" s="7">
        <v>7.99</v>
      </c>
      <c r="H93" s="3" t="s">
        <v>346</v>
      </c>
      <c r="I93" s="3" t="s">
        <v>347</v>
      </c>
      <c r="J93" s="3" t="s">
        <v>29</v>
      </c>
      <c r="K93" s="9">
        <v>42483.625115740739</v>
      </c>
    </row>
    <row r="94" spans="3:11" x14ac:dyDescent="0.25">
      <c r="C94" t="str">
        <f>IF(COUNTBLANK(E94:K94) = 7,"",IF(AND(NOT(ISBLANK(E94)),COUNTBLANK(E94:K94) = 6),"3 Delete",IF(ISBLANK(E94),"2 Add",IF(SHA1Range(E94:K94) = "c34b2a46b95a119b5da45e8242df7402ed8362a5","0 Original","1 Modify"))))</f>
        <v>0 Original</v>
      </c>
      <c r="D94" s="3" t="s">
        <v>348</v>
      </c>
      <c r="E94" s="5">
        <v>1096</v>
      </c>
      <c r="F94" s="3" t="s">
        <v>349</v>
      </c>
      <c r="G94" s="7">
        <v>9.99</v>
      </c>
      <c r="H94" s="3" t="s">
        <v>350</v>
      </c>
      <c r="I94" s="3" t="s">
        <v>28</v>
      </c>
      <c r="J94" s="3" t="s">
        <v>29</v>
      </c>
      <c r="K94" s="9">
        <v>42483.625115740739</v>
      </c>
    </row>
    <row r="95" spans="3:11" x14ac:dyDescent="0.25">
      <c r="C95" t="str">
        <f>IF(COUNTBLANK(E95:K95) = 7,"",IF(AND(NOT(ISBLANK(E95)),COUNTBLANK(E95:K95) = 6),"3 Delete",IF(ISBLANK(E95),"2 Add",IF(SHA1Range(E95:K95) = "f0f4fd96747639c80dc100ecde628bd5661e7b2e","0 Original","1 Modify"))))</f>
        <v>0 Original</v>
      </c>
      <c r="D95" s="3" t="s">
        <v>351</v>
      </c>
      <c r="E95" s="5">
        <v>1097</v>
      </c>
      <c r="F95" s="3" t="s">
        <v>352</v>
      </c>
      <c r="G95" s="7">
        <v>6.99</v>
      </c>
      <c r="H95" s="3" t="s">
        <v>353</v>
      </c>
      <c r="I95" s="3" t="s">
        <v>354</v>
      </c>
      <c r="J95" s="3" t="s">
        <v>29</v>
      </c>
      <c r="K95" s="9">
        <v>42483.625115740739</v>
      </c>
    </row>
    <row r="96" spans="3:11" x14ac:dyDescent="0.25">
      <c r="C96" t="str">
        <f>IF(COUNTBLANK(E96:K96) = 7,"",IF(AND(NOT(ISBLANK(E96)),COUNTBLANK(E96:K96) = 6),"3 Delete",IF(ISBLANK(E96),"2 Add",IF(SHA1Range(E96:K96) = "eb25e60f8c9eab2a8ec4651ebfd5539f516f4d71","0 Original","1 Modify"))))</f>
        <v>0 Original</v>
      </c>
      <c r="D96" s="3" t="s">
        <v>355</v>
      </c>
      <c r="E96" s="5">
        <v>1098</v>
      </c>
      <c r="F96" s="3" t="s">
        <v>356</v>
      </c>
      <c r="G96" s="7">
        <v>6.99</v>
      </c>
      <c r="H96" s="3" t="s">
        <v>357</v>
      </c>
      <c r="I96" s="3" t="s">
        <v>347</v>
      </c>
      <c r="J96" s="3" t="s">
        <v>29</v>
      </c>
      <c r="K96" s="9">
        <v>42483.625115740739</v>
      </c>
    </row>
    <row r="97" spans="3:11" x14ac:dyDescent="0.25">
      <c r="C97" t="str">
        <f>IF(COUNTBLANK(E97:K97) = 7,"",IF(AND(NOT(ISBLANK(E97)),COUNTBLANK(E97:K97) = 6),"3 Delete",IF(ISBLANK(E97),"2 Add",IF(SHA1Range(E97:K97) = "35230d5c2b76ecfb64c581f003a3068bd8e78250","0 Original","1 Modify"))))</f>
        <v>0 Original</v>
      </c>
      <c r="D97" s="3" t="s">
        <v>358</v>
      </c>
      <c r="E97" s="5">
        <v>1099</v>
      </c>
      <c r="F97" s="3" t="s">
        <v>359</v>
      </c>
      <c r="G97" s="7">
        <v>5.99</v>
      </c>
      <c r="H97" s="3" t="s">
        <v>360</v>
      </c>
      <c r="I97" s="3" t="s">
        <v>28</v>
      </c>
      <c r="J97" s="3" t="s">
        <v>29</v>
      </c>
      <c r="K97" s="9">
        <v>42483.625115740739</v>
      </c>
    </row>
    <row r="98" spans="3:11" x14ac:dyDescent="0.25">
      <c r="C98" t="str">
        <f>IF(COUNTBLANK(E98:K98) = 7,"",IF(AND(NOT(ISBLANK(E98)),COUNTBLANK(E98:K98) = 6),"3 Delete",IF(ISBLANK(E98),"2 Add",IF(SHA1Range(E98:K98) = "fb3523b62373808aafb62bd79a91461bd85adcde","0 Original","1 Modify"))))</f>
        <v>0 Original</v>
      </c>
      <c r="D98" s="3" t="s">
        <v>361</v>
      </c>
      <c r="E98" s="5">
        <v>1100</v>
      </c>
      <c r="F98" s="3" t="s">
        <v>362</v>
      </c>
      <c r="G98" s="7">
        <v>6.99</v>
      </c>
      <c r="H98" s="3" t="s">
        <v>363</v>
      </c>
      <c r="I98" s="3" t="s">
        <v>80</v>
      </c>
      <c r="J98" s="3" t="s">
        <v>29</v>
      </c>
      <c r="K98" s="9">
        <v>42483.625115740739</v>
      </c>
    </row>
    <row r="99" spans="3:11" x14ac:dyDescent="0.25">
      <c r="C99" t="str">
        <f>IF(COUNTBLANK(E99:K99) = 7,"",IF(AND(NOT(ISBLANK(E99)),COUNTBLANK(E99:K99) = 6),"3 Delete",IF(ISBLANK(E99),"2 Add",IF(SHA1Range(E99:K99) = "40627470f0cf1feef8b8967e0f2078dbe8e85b6c","0 Original","1 Modify"))))</f>
        <v>0 Original</v>
      </c>
      <c r="D99" s="3" t="s">
        <v>364</v>
      </c>
      <c r="E99" s="5">
        <v>1101</v>
      </c>
      <c r="F99" s="3" t="s">
        <v>365</v>
      </c>
      <c r="G99" s="7">
        <v>9.99</v>
      </c>
      <c r="H99" s="3" t="s">
        <v>366</v>
      </c>
      <c r="I99" s="3" t="s">
        <v>367</v>
      </c>
      <c r="J99" s="3" t="s">
        <v>29</v>
      </c>
      <c r="K99" s="9">
        <v>42483.625115740739</v>
      </c>
    </row>
    <row r="100" spans="3:11" x14ac:dyDescent="0.25">
      <c r="C100" t="str">
        <f>IF(COUNTBLANK(E100:K100) = 7,"",IF(AND(NOT(ISBLANK(E100)),COUNTBLANK(E100:K100) = 6),"3 Delete",IF(ISBLANK(E100),"2 Add",IF(SHA1Range(E100:K100) = "2ede9c9059437b9ccdc0f0052e0446f745ccc946","0 Original","1 Modify"))))</f>
        <v>0 Original</v>
      </c>
      <c r="D100" s="3" t="s">
        <v>368</v>
      </c>
      <c r="E100" s="5">
        <v>1102</v>
      </c>
      <c r="F100" s="3" t="s">
        <v>369</v>
      </c>
      <c r="G100" s="7">
        <v>4.99</v>
      </c>
      <c r="H100" s="3" t="s">
        <v>370</v>
      </c>
      <c r="I100" s="3" t="s">
        <v>371</v>
      </c>
      <c r="J100" s="3" t="s">
        <v>29</v>
      </c>
      <c r="K100" s="9">
        <v>42483.625115740739</v>
      </c>
    </row>
    <row r="101" spans="3:11" x14ac:dyDescent="0.25">
      <c r="C101" t="str">
        <f>IF(COUNTBLANK(E101:K101) = 7,"",IF(AND(NOT(ISBLANK(E101)),COUNTBLANK(E101:K101) = 6),"3 Delete",IF(ISBLANK(E101),"2 Add",IF(SHA1Range(E101:K101) = "5c79464873df7d95d6352ad605f381ce1928fe77","0 Original","1 Modify"))))</f>
        <v>0 Original</v>
      </c>
      <c r="D101" s="3" t="s">
        <v>372</v>
      </c>
      <c r="E101" s="5">
        <v>1103</v>
      </c>
      <c r="F101" s="3" t="s">
        <v>373</v>
      </c>
      <c r="G101" s="7">
        <v>9.99</v>
      </c>
      <c r="H101" s="3" t="s">
        <v>374</v>
      </c>
      <c r="I101" s="3" t="s">
        <v>28</v>
      </c>
      <c r="J101" s="3" t="s">
        <v>29</v>
      </c>
      <c r="K101" s="9">
        <v>42483.625115740739</v>
      </c>
    </row>
    <row r="102" spans="3:11" x14ac:dyDescent="0.25">
      <c r="C102" t="str">
        <f>IF(COUNTBLANK(E102:K102) = 7,"",IF(AND(NOT(ISBLANK(E102)),COUNTBLANK(E102:K102) = 6),"3 Delete",IF(ISBLANK(E102),"2 Add",IF(SHA1Range(E102:K102) = "08b1f0241554f9ef96faadd9be12eae124f5d53f","0 Original","1 Modify"))))</f>
        <v>0 Original</v>
      </c>
      <c r="D102" s="3" t="s">
        <v>375</v>
      </c>
      <c r="E102" s="5">
        <v>1104</v>
      </c>
      <c r="F102" s="3" t="s">
        <v>376</v>
      </c>
      <c r="G102" s="7">
        <v>9.99</v>
      </c>
      <c r="H102" s="3" t="s">
        <v>377</v>
      </c>
      <c r="I102" s="3" t="s">
        <v>378</v>
      </c>
      <c r="J102" s="3" t="s">
        <v>29</v>
      </c>
      <c r="K102" s="9">
        <v>42483.625115740739</v>
      </c>
    </row>
    <row r="103" spans="3:11" x14ac:dyDescent="0.25">
      <c r="C103" t="str">
        <f>IF(COUNTBLANK(E103:K103) = 7,"",IF(AND(NOT(ISBLANK(E103)),COUNTBLANK(E103:K103) = 6),"3 Delete",IF(ISBLANK(E103),"2 Add",IF(SHA1Range(E103:K103) = "8c1276fa819ec20a8d20f8ae396be5dd06522982","0 Original","1 Modify"))))</f>
        <v>0 Original</v>
      </c>
      <c r="D103" s="3" t="s">
        <v>379</v>
      </c>
      <c r="E103" s="5">
        <v>1105</v>
      </c>
      <c r="F103" s="3" t="s">
        <v>380</v>
      </c>
      <c r="G103" s="7">
        <v>9.99</v>
      </c>
      <c r="H103" s="3" t="s">
        <v>381</v>
      </c>
      <c r="I103" s="3" t="s">
        <v>91</v>
      </c>
      <c r="J103" s="3" t="s">
        <v>29</v>
      </c>
      <c r="K103" s="9">
        <v>42483.625115740739</v>
      </c>
    </row>
    <row r="104" spans="3:11" x14ac:dyDescent="0.25">
      <c r="C104" t="str">
        <f>IF(COUNTBLANK(E104:K104) = 7,"",IF(AND(NOT(ISBLANK(E104)),COUNTBLANK(E104:K104) = 6),"3 Delete",IF(ISBLANK(E104),"2 Add",IF(SHA1Range(E104:K104) = "37ecaf4da7a4e9958363f33b0228f382e148cf6b","0 Original","1 Modify"))))</f>
        <v>0 Original</v>
      </c>
      <c r="D104" s="3" t="s">
        <v>382</v>
      </c>
      <c r="E104" s="5">
        <v>1106</v>
      </c>
      <c r="F104" s="3" t="s">
        <v>383</v>
      </c>
      <c r="G104" s="7">
        <v>9.99</v>
      </c>
      <c r="H104" s="3" t="s">
        <v>384</v>
      </c>
      <c r="I104" s="3" t="s">
        <v>28</v>
      </c>
      <c r="J104" s="3" t="s">
        <v>29</v>
      </c>
      <c r="K104" s="9">
        <v>42483.625115740739</v>
      </c>
    </row>
    <row r="105" spans="3:11" x14ac:dyDescent="0.25">
      <c r="C105" t="str">
        <f>IF(COUNTBLANK(E105:K105) = 7,"",IF(AND(NOT(ISBLANK(E105)),COUNTBLANK(E105:K105) = 6),"3 Delete",IF(ISBLANK(E105),"2 Add",IF(SHA1Range(E105:K105) = "11c332d4de9a083e226021f8be8e10a00621d425","0 Original","1 Modify"))))</f>
        <v>0 Original</v>
      </c>
      <c r="D105" s="3" t="s">
        <v>385</v>
      </c>
      <c r="E105" s="5">
        <v>1107</v>
      </c>
      <c r="F105" s="3" t="s">
        <v>386</v>
      </c>
      <c r="G105" s="7">
        <v>9.99</v>
      </c>
      <c r="H105" s="3" t="s">
        <v>387</v>
      </c>
      <c r="I105" s="3" t="s">
        <v>28</v>
      </c>
      <c r="J105" s="3" t="s">
        <v>29</v>
      </c>
      <c r="K105" s="9">
        <v>42483.625115740739</v>
      </c>
    </row>
    <row r="106" spans="3:11" x14ac:dyDescent="0.25">
      <c r="C106" t="str">
        <f>IF(COUNTBLANK(E106:K106) = 7,"",IF(AND(NOT(ISBLANK(E106)),COUNTBLANK(E106:K106) = 6),"3 Delete",IF(ISBLANK(E106),"2 Add",IF(SHA1Range(E106:K106) = "ca9cdc381ec7039f7c286227a95b27089174fa1c","0 Original","1 Modify"))))</f>
        <v>0 Original</v>
      </c>
      <c r="D106" s="3" t="s">
        <v>388</v>
      </c>
      <c r="E106" s="5">
        <v>1108</v>
      </c>
      <c r="F106" s="3" t="s">
        <v>389</v>
      </c>
      <c r="G106" s="7">
        <v>5.99</v>
      </c>
      <c r="H106" s="3" t="s">
        <v>390</v>
      </c>
      <c r="I106" s="3" t="s">
        <v>76</v>
      </c>
      <c r="J106" s="3" t="s">
        <v>29</v>
      </c>
      <c r="K106" s="9">
        <v>42483.625115740739</v>
      </c>
    </row>
    <row r="107" spans="3:11" x14ac:dyDescent="0.25">
      <c r="C107" t="str">
        <f>IF(COUNTBLANK(E107:K107) = 7,"",IF(AND(NOT(ISBLANK(E107)),COUNTBLANK(E107:K107) = 6),"3 Delete",IF(ISBLANK(E107),"2 Add",IF(SHA1Range(E107:K107) = "f764d0a6811f0ce705be15fbb3b5faf0d26a024a","0 Original","1 Modify"))))</f>
        <v>0 Original</v>
      </c>
      <c r="D107" s="3" t="s">
        <v>391</v>
      </c>
      <c r="E107" s="5">
        <v>1109</v>
      </c>
      <c r="F107" s="3" t="s">
        <v>392</v>
      </c>
      <c r="G107" s="7">
        <v>7.99</v>
      </c>
      <c r="H107" s="3" t="s">
        <v>393</v>
      </c>
      <c r="I107" s="3" t="s">
        <v>394</v>
      </c>
      <c r="J107" s="3" t="s">
        <v>29</v>
      </c>
      <c r="K107" s="9">
        <v>42483.625115740739</v>
      </c>
    </row>
    <row r="108" spans="3:11" x14ac:dyDescent="0.25">
      <c r="C108" t="str">
        <f>IF(COUNTBLANK(E108:K108) = 7,"",IF(AND(NOT(ISBLANK(E108)),COUNTBLANK(E108:K108) = 6),"3 Delete",IF(ISBLANK(E108),"2 Add",IF(SHA1Range(E108:K108) = "5d1069272f546e720c8932cd4e9d8e3c7ef22907","0 Original","1 Modify"))))</f>
        <v>0 Original</v>
      </c>
      <c r="D108" s="3" t="s">
        <v>395</v>
      </c>
      <c r="E108" s="5">
        <v>1110</v>
      </c>
      <c r="F108" s="3" t="s">
        <v>396</v>
      </c>
      <c r="G108" s="7">
        <v>8.99</v>
      </c>
      <c r="H108" s="3" t="s">
        <v>397</v>
      </c>
      <c r="I108" s="3" t="s">
        <v>84</v>
      </c>
      <c r="J108" s="3" t="s">
        <v>29</v>
      </c>
      <c r="K108" s="9">
        <v>42483.625115740739</v>
      </c>
    </row>
    <row r="109" spans="3:11" x14ac:dyDescent="0.25">
      <c r="C109" t="str">
        <f>IF(COUNTBLANK(E109:K109) = 7,"",IF(AND(NOT(ISBLANK(E109)),COUNTBLANK(E109:K109) = 6),"3 Delete",IF(ISBLANK(E109),"2 Add",IF(SHA1Range(E109:K109) = "276177ec11952e82b244f3dea2c0271f4b3e9e78","0 Original","1 Modify"))))</f>
        <v>0 Original</v>
      </c>
      <c r="D109" s="3" t="s">
        <v>398</v>
      </c>
      <c r="E109" s="5">
        <v>1111</v>
      </c>
      <c r="F109" s="3" t="s">
        <v>399</v>
      </c>
      <c r="G109" s="7">
        <v>4.99</v>
      </c>
      <c r="H109" s="3" t="s">
        <v>400</v>
      </c>
      <c r="I109" s="3" t="s">
        <v>148</v>
      </c>
      <c r="J109" s="3" t="s">
        <v>29</v>
      </c>
      <c r="K109" s="9">
        <v>42483.625115740739</v>
      </c>
    </row>
    <row r="110" spans="3:11" x14ac:dyDescent="0.25">
      <c r="C110" t="str">
        <f>IF(COUNTBLANK(E110:K110) = 7,"",IF(AND(NOT(ISBLANK(E110)),COUNTBLANK(E110:K110) = 6),"3 Delete",IF(ISBLANK(E110),"2 Add",IF(SHA1Range(E110:K110) = "f73ef38d20d05abcbee186fd89c3c15441cfcc78","0 Original","1 Modify"))))</f>
        <v>0 Original</v>
      </c>
      <c r="D110" s="3" t="s">
        <v>401</v>
      </c>
      <c r="E110" s="5">
        <v>1112</v>
      </c>
      <c r="F110" s="3" t="s">
        <v>402</v>
      </c>
      <c r="G110" s="7">
        <v>9.99</v>
      </c>
      <c r="H110" s="3" t="s">
        <v>403</v>
      </c>
      <c r="I110" s="3" t="s">
        <v>162</v>
      </c>
      <c r="J110" s="3" t="s">
        <v>29</v>
      </c>
      <c r="K110" s="9">
        <v>42483.625115740739</v>
      </c>
    </row>
    <row r="111" spans="3:11" x14ac:dyDescent="0.25">
      <c r="C111" t="str">
        <f>IF(COUNTBLANK(E111:K111) = 7,"",IF(AND(NOT(ISBLANK(E111)),COUNTBLANK(E111:K111) = 6),"3 Delete",IF(ISBLANK(E111),"2 Add",IF(SHA1Range(E111:K111) = "7c5baea4f802d13d7d2e87bf0dde761c80c87978","0 Original","1 Modify"))))</f>
        <v>0 Original</v>
      </c>
      <c r="D111" s="3" t="s">
        <v>404</v>
      </c>
      <c r="E111" s="5">
        <v>1113</v>
      </c>
      <c r="F111" s="3" t="s">
        <v>405</v>
      </c>
      <c r="G111" s="7">
        <v>9.99</v>
      </c>
      <c r="H111" s="3" t="s">
        <v>406</v>
      </c>
      <c r="I111" s="3" t="s">
        <v>28</v>
      </c>
      <c r="J111" s="3" t="s">
        <v>29</v>
      </c>
      <c r="K111" s="9">
        <v>42483.625115740739</v>
      </c>
    </row>
    <row r="112" spans="3:11" x14ac:dyDescent="0.25">
      <c r="C112" t="str">
        <f>IF(COUNTBLANK(E112:K112) = 7,"",IF(AND(NOT(ISBLANK(E112)),COUNTBLANK(E112:K112) = 6),"3 Delete",IF(ISBLANK(E112),"2 Add",IF(SHA1Range(E112:K112) = "3b6c8e90f4f8df5aa82b9b413edc8ef79a018341","0 Original","1 Modify"))))</f>
        <v>0 Original</v>
      </c>
      <c r="D112" s="3" t="s">
        <v>407</v>
      </c>
      <c r="E112" s="5">
        <v>1114</v>
      </c>
      <c r="F112" s="3" t="s">
        <v>408</v>
      </c>
      <c r="G112" s="7">
        <v>9.99</v>
      </c>
      <c r="H112" s="3" t="s">
        <v>409</v>
      </c>
      <c r="I112" s="3" t="s">
        <v>28</v>
      </c>
      <c r="J112" s="3" t="s">
        <v>29</v>
      </c>
      <c r="K112" s="9">
        <v>42483.625115740739</v>
      </c>
    </row>
    <row r="113" spans="3:11" x14ac:dyDescent="0.25">
      <c r="C113" t="str">
        <f>IF(COUNTBLANK(E113:K113) = 7,"",IF(AND(NOT(ISBLANK(E113)),COUNTBLANK(E113:K113) = 6),"3 Delete",IF(ISBLANK(E113),"2 Add",IF(SHA1Range(E113:K113) = "7427a9b1f5e1435cd9a0ea15b3fa20fcce869634","0 Original","1 Modify"))))</f>
        <v>0 Original</v>
      </c>
      <c r="D113" s="3" t="s">
        <v>410</v>
      </c>
      <c r="E113" s="5">
        <v>1115</v>
      </c>
      <c r="F113" s="3" t="s">
        <v>411</v>
      </c>
      <c r="G113" s="7">
        <v>6.99</v>
      </c>
      <c r="H113" s="3" t="s">
        <v>412</v>
      </c>
      <c r="I113" s="3" t="s">
        <v>413</v>
      </c>
      <c r="J113" s="3" t="s">
        <v>29</v>
      </c>
      <c r="K113" s="9">
        <v>42483.625115740739</v>
      </c>
    </row>
    <row r="114" spans="3:11" x14ac:dyDescent="0.25">
      <c r="C114" t="str">
        <f>IF(COUNTBLANK(E114:K114) = 7,"",IF(AND(NOT(ISBLANK(E114)),COUNTBLANK(E114:K114) = 6),"3 Delete",IF(ISBLANK(E114),"2 Add",IF(SHA1Range(E114:K114) = "29798275b5c46bdc1bab47bab7d99cc10fa064a8","0 Original","1 Modify"))))</f>
        <v>0 Original</v>
      </c>
      <c r="D114" s="3" t="s">
        <v>414</v>
      </c>
      <c r="E114" s="5">
        <v>1116</v>
      </c>
      <c r="F114" s="3" t="s">
        <v>415</v>
      </c>
      <c r="G114" s="7">
        <v>4.99</v>
      </c>
      <c r="H114" s="3" t="s">
        <v>416</v>
      </c>
      <c r="I114" s="3" t="s">
        <v>417</v>
      </c>
      <c r="J114" s="3" t="s">
        <v>29</v>
      </c>
      <c r="K114" s="9">
        <v>42483.625115740739</v>
      </c>
    </row>
    <row r="115" spans="3:11" x14ac:dyDescent="0.25">
      <c r="C115" t="str">
        <f>IF(COUNTBLANK(E115:K115) = 7,"",IF(AND(NOT(ISBLANK(E115)),COUNTBLANK(E115:K115) = 6),"3 Delete",IF(ISBLANK(E115),"2 Add",IF(SHA1Range(E115:K115) = "84e718e88f06812f05cf853840263cfe5e3e3bbe","0 Original","1 Modify"))))</f>
        <v>0 Original</v>
      </c>
      <c r="D115" s="3" t="s">
        <v>418</v>
      </c>
      <c r="E115" s="5">
        <v>1117</v>
      </c>
      <c r="F115" s="3" t="s">
        <v>419</v>
      </c>
      <c r="G115" s="7">
        <v>6.99</v>
      </c>
      <c r="H115" s="3" t="s">
        <v>420</v>
      </c>
      <c r="I115" s="3" t="s">
        <v>91</v>
      </c>
      <c r="J115" s="3" t="s">
        <v>29</v>
      </c>
      <c r="K115" s="9">
        <v>42483.625115740739</v>
      </c>
    </row>
    <row r="116" spans="3:11" x14ac:dyDescent="0.25">
      <c r="C116" t="str">
        <f>IF(COUNTBLANK(E116:K116) = 7,"",IF(AND(NOT(ISBLANK(E116)),COUNTBLANK(E116:K116) = 6),"3 Delete",IF(ISBLANK(E116),"2 Add",IF(SHA1Range(E116:K116) = "43f88ad8294e3e364935a7cfb0053c517c3def9a","0 Original","1 Modify"))))</f>
        <v>0 Original</v>
      </c>
      <c r="D116" s="3" t="s">
        <v>421</v>
      </c>
      <c r="E116" s="5">
        <v>1118</v>
      </c>
      <c r="F116" s="3" t="s">
        <v>422</v>
      </c>
      <c r="G116" s="7">
        <v>6.99</v>
      </c>
      <c r="H116" s="3" t="s">
        <v>423</v>
      </c>
      <c r="I116" s="3" t="s">
        <v>424</v>
      </c>
      <c r="J116" s="3" t="s">
        <v>29</v>
      </c>
      <c r="K116" s="9">
        <v>42483.625115740739</v>
      </c>
    </row>
    <row r="117" spans="3:11" x14ac:dyDescent="0.25">
      <c r="C117" t="str">
        <f>IF(COUNTBLANK(E117:K117) = 7,"",IF(AND(NOT(ISBLANK(E117)),COUNTBLANK(E117:K117) = 6),"3 Delete",IF(ISBLANK(E117),"2 Add",IF(SHA1Range(E117:K117) = "31b5f233ee2cc9bd459fca7b93a7546fa88f9e4c","0 Original","1 Modify"))))</f>
        <v>0 Original</v>
      </c>
      <c r="D117" s="3" t="s">
        <v>425</v>
      </c>
      <c r="E117" s="5">
        <v>1119</v>
      </c>
      <c r="F117" s="3" t="s">
        <v>426</v>
      </c>
      <c r="G117" s="7">
        <v>6.99</v>
      </c>
      <c r="H117" s="3" t="s">
        <v>427</v>
      </c>
      <c r="I117" s="3" t="s">
        <v>68</v>
      </c>
      <c r="J117" s="3" t="s">
        <v>29</v>
      </c>
      <c r="K117" s="9">
        <v>42483.625115740739</v>
      </c>
    </row>
    <row r="118" spans="3:11" x14ac:dyDescent="0.25">
      <c r="C118" t="str">
        <f>IF(COUNTBLANK(E118:K118) = 7,"",IF(AND(NOT(ISBLANK(E118)),COUNTBLANK(E118:K118) = 6),"3 Delete",IF(ISBLANK(E118),"2 Add",IF(SHA1Range(E118:K118) = "195f01105530f16e72500d41d06c3be7439af3f0","0 Original","1 Modify"))))</f>
        <v>0 Original</v>
      </c>
      <c r="D118" s="3" t="s">
        <v>428</v>
      </c>
      <c r="E118" s="5">
        <v>1120</v>
      </c>
      <c r="F118" s="3" t="s">
        <v>429</v>
      </c>
      <c r="G118" s="7">
        <v>8.99</v>
      </c>
      <c r="H118" s="3" t="s">
        <v>430</v>
      </c>
      <c r="I118" s="3" t="s">
        <v>28</v>
      </c>
      <c r="J118" s="3" t="s">
        <v>29</v>
      </c>
      <c r="K118" s="9">
        <v>42483.625115740739</v>
      </c>
    </row>
    <row r="119" spans="3:11" x14ac:dyDescent="0.25">
      <c r="C119" t="str">
        <f>IF(COUNTBLANK(E119:K119) = 7,"",IF(AND(NOT(ISBLANK(E119)),COUNTBLANK(E119:K119) = 6),"3 Delete",IF(ISBLANK(E119),"2 Add",IF(SHA1Range(E119:K119) = "8babbeb0a1dc6862f684068a3d2040ca5e113f2a","0 Original","1 Modify"))))</f>
        <v>0 Original</v>
      </c>
      <c r="D119" s="3" t="s">
        <v>431</v>
      </c>
      <c r="E119" s="5">
        <v>1121</v>
      </c>
      <c r="F119" s="3" t="s">
        <v>432</v>
      </c>
      <c r="G119" s="7">
        <v>5.99</v>
      </c>
      <c r="H119" s="3" t="s">
        <v>433</v>
      </c>
      <c r="I119" s="3" t="s">
        <v>434</v>
      </c>
      <c r="J119" s="3" t="s">
        <v>29</v>
      </c>
      <c r="K119" s="9">
        <v>42483.625115740739</v>
      </c>
    </row>
    <row r="120" spans="3:11" x14ac:dyDescent="0.25">
      <c r="C120" t="str">
        <f>IF(COUNTBLANK(E120:K120) = 7,"",IF(AND(NOT(ISBLANK(E120)),COUNTBLANK(E120:K120) = 6),"3 Delete",IF(ISBLANK(E120),"2 Add",IF(SHA1Range(E120:K120) = "0d258f03899245973d1265b6828deccb59ae81b6","0 Original","1 Modify"))))</f>
        <v>0 Original</v>
      </c>
      <c r="D120" s="3" t="s">
        <v>435</v>
      </c>
      <c r="E120" s="5">
        <v>1122</v>
      </c>
      <c r="F120" s="3" t="s">
        <v>436</v>
      </c>
      <c r="G120" s="7">
        <v>6.99</v>
      </c>
      <c r="H120" s="3" t="s">
        <v>437</v>
      </c>
      <c r="I120" s="3" t="s">
        <v>438</v>
      </c>
      <c r="J120" s="3" t="s">
        <v>29</v>
      </c>
      <c r="K120" s="9">
        <v>42483.625115740739</v>
      </c>
    </row>
    <row r="121" spans="3:11" x14ac:dyDescent="0.25">
      <c r="C121" t="str">
        <f>IF(COUNTBLANK(E121:K121) = 7,"",IF(AND(NOT(ISBLANK(E121)),COUNTBLANK(E121:K121) = 6),"3 Delete",IF(ISBLANK(E121),"2 Add",IF(SHA1Range(E121:K121) = "3da61f198399148bcc8e9ae49afa02fe4c018b0b","0 Original","1 Modify"))))</f>
        <v>0 Original</v>
      </c>
      <c r="D121" s="3" t="s">
        <v>439</v>
      </c>
      <c r="E121" s="5">
        <v>1123</v>
      </c>
      <c r="F121" s="3" t="s">
        <v>440</v>
      </c>
      <c r="G121" s="7">
        <v>5.99</v>
      </c>
      <c r="H121" s="3" t="s">
        <v>441</v>
      </c>
      <c r="I121" s="3" t="s">
        <v>442</v>
      </c>
      <c r="J121" s="3" t="s">
        <v>29</v>
      </c>
      <c r="K121" s="9">
        <v>42483.625115740739</v>
      </c>
    </row>
    <row r="122" spans="3:11" x14ac:dyDescent="0.25">
      <c r="C122" t="str">
        <f>IF(COUNTBLANK(E122:K122) = 7,"",IF(AND(NOT(ISBLANK(E122)),COUNTBLANK(E122:K122) = 6),"3 Delete",IF(ISBLANK(E122),"2 Add",IF(SHA1Range(E122:K122) = "a7ecf62e27b3bf6d9fc03d830ac261eb27e90e00","0 Original","1 Modify"))))</f>
        <v>0 Original</v>
      </c>
      <c r="D122" s="3" t="s">
        <v>443</v>
      </c>
      <c r="E122" s="5">
        <v>1124</v>
      </c>
      <c r="F122" s="3" t="s">
        <v>444</v>
      </c>
      <c r="G122" s="7">
        <v>6.99</v>
      </c>
      <c r="H122" s="3" t="s">
        <v>445</v>
      </c>
      <c r="I122" s="3" t="s">
        <v>28</v>
      </c>
      <c r="J122" s="3" t="s">
        <v>29</v>
      </c>
      <c r="K122" s="9">
        <v>42483.625115740739</v>
      </c>
    </row>
    <row r="123" spans="3:11" x14ac:dyDescent="0.25">
      <c r="C123" t="str">
        <f>IF(COUNTBLANK(E123:K123) = 7,"",IF(AND(NOT(ISBLANK(E123)),COUNTBLANK(E123:K123) = 6),"3 Delete",IF(ISBLANK(E123),"2 Add",IF(SHA1Range(E123:K123) = "1c7b290688b75aa54fe3ca388b7e57cd5cd3e3f5","0 Original","1 Modify"))))</f>
        <v>0 Original</v>
      </c>
      <c r="D123" s="3" t="s">
        <v>446</v>
      </c>
      <c r="E123" s="5">
        <v>1125</v>
      </c>
      <c r="F123" s="3" t="s">
        <v>447</v>
      </c>
      <c r="G123" s="7">
        <v>4.99</v>
      </c>
      <c r="H123" s="3" t="s">
        <v>91</v>
      </c>
      <c r="I123" s="3" t="s">
        <v>108</v>
      </c>
      <c r="J123" s="3" t="s">
        <v>29</v>
      </c>
      <c r="K123" s="9">
        <v>42483.625115740739</v>
      </c>
    </row>
    <row r="124" spans="3:11" x14ac:dyDescent="0.25">
      <c r="C124" t="str">
        <f>IF(COUNTBLANK(E124:K124) = 7,"",IF(AND(NOT(ISBLANK(E124)),COUNTBLANK(E124:K124) = 6),"3 Delete",IF(ISBLANK(E124),"2 Add",IF(SHA1Range(E124:K124) = "d04899e79c6c0b07e32b2be83b55cec4296fbcaf","0 Original","1 Modify"))))</f>
        <v>0 Original</v>
      </c>
      <c r="D124" s="3" t="s">
        <v>448</v>
      </c>
      <c r="E124" s="5">
        <v>1126</v>
      </c>
      <c r="F124" s="3" t="s">
        <v>449</v>
      </c>
      <c r="G124" s="7">
        <v>8.99</v>
      </c>
      <c r="H124" s="3" t="s">
        <v>450</v>
      </c>
      <c r="I124" s="3" t="s">
        <v>451</v>
      </c>
      <c r="J124" s="3" t="s">
        <v>29</v>
      </c>
      <c r="K124" s="9">
        <v>42483.625115740739</v>
      </c>
    </row>
    <row r="125" spans="3:11" x14ac:dyDescent="0.25">
      <c r="C125" t="str">
        <f>IF(COUNTBLANK(E125:K125) = 7,"",IF(AND(NOT(ISBLANK(E125)),COUNTBLANK(E125:K125) = 6),"3 Delete",IF(ISBLANK(E125),"2 Add",IF(SHA1Range(E125:K125) = "821cddcb556a0919f82d64e7e51ed68bfd725375","0 Original","1 Modify"))))</f>
        <v>0 Original</v>
      </c>
      <c r="D125" s="3" t="s">
        <v>452</v>
      </c>
      <c r="E125" s="5">
        <v>1127</v>
      </c>
      <c r="F125" s="3" t="s">
        <v>453</v>
      </c>
      <c r="G125" s="7">
        <v>4.99</v>
      </c>
      <c r="H125" s="3" t="s">
        <v>454</v>
      </c>
      <c r="I125" s="3" t="s">
        <v>455</v>
      </c>
      <c r="J125" s="3" t="s">
        <v>29</v>
      </c>
      <c r="K125" s="9">
        <v>42483.625115740739</v>
      </c>
    </row>
    <row r="126" spans="3:11" x14ac:dyDescent="0.25">
      <c r="C126" t="str">
        <f>IF(COUNTBLANK(E126:K126) = 7,"",IF(AND(NOT(ISBLANK(E126)),COUNTBLANK(E126:K126) = 6),"3 Delete",IF(ISBLANK(E126),"2 Add",IF(SHA1Range(E126:K126) = "89f2316d445fca825667a8dd32a9fd1d98b53262","0 Original","1 Modify"))))</f>
        <v>0 Original</v>
      </c>
      <c r="D126" s="3" t="s">
        <v>456</v>
      </c>
      <c r="E126" s="5">
        <v>1128</v>
      </c>
      <c r="F126" s="3" t="s">
        <v>457</v>
      </c>
      <c r="G126" s="7">
        <v>9.99</v>
      </c>
      <c r="H126" s="3" t="s">
        <v>458</v>
      </c>
      <c r="I126" s="3" t="s">
        <v>28</v>
      </c>
      <c r="J126" s="3" t="s">
        <v>29</v>
      </c>
      <c r="K126" s="9">
        <v>42483.625115740739</v>
      </c>
    </row>
    <row r="127" spans="3:11" x14ac:dyDescent="0.25">
      <c r="C127" t="str">
        <f>IF(COUNTBLANK(E127:K127) = 7,"",IF(AND(NOT(ISBLANK(E127)),COUNTBLANK(E127:K127) = 6),"3 Delete",IF(ISBLANK(E127),"2 Add",IF(SHA1Range(E127:K127) = "eae3544bb366661bf09c3cdeb65e8b8417ce4c59","0 Original","1 Modify"))))</f>
        <v>0 Original</v>
      </c>
      <c r="D127" s="3" t="s">
        <v>459</v>
      </c>
      <c r="E127" s="5">
        <v>1129</v>
      </c>
      <c r="F127" s="3" t="s">
        <v>460</v>
      </c>
      <c r="G127" s="7">
        <v>5.99</v>
      </c>
      <c r="H127" s="3" t="s">
        <v>461</v>
      </c>
      <c r="I127" s="3" t="s">
        <v>417</v>
      </c>
      <c r="J127" s="3" t="s">
        <v>29</v>
      </c>
      <c r="K127" s="9">
        <v>42483.625115740739</v>
      </c>
    </row>
    <row r="128" spans="3:11" x14ac:dyDescent="0.25">
      <c r="C128" t="str">
        <f>IF(COUNTBLANK(E128:K128) = 7,"",IF(AND(NOT(ISBLANK(E128)),COUNTBLANK(E128:K128) = 6),"3 Delete",IF(ISBLANK(E128),"2 Add",IF(SHA1Range(E128:K128) = "a11e9012000878cb16c810df77a1e61765c864d4","0 Original","1 Modify"))))</f>
        <v>0 Original</v>
      </c>
      <c r="D128" s="3" t="s">
        <v>462</v>
      </c>
      <c r="E128" s="5">
        <v>1130</v>
      </c>
      <c r="F128" s="3" t="s">
        <v>463</v>
      </c>
      <c r="G128" s="7">
        <v>9.99</v>
      </c>
      <c r="H128" s="3" t="s">
        <v>464</v>
      </c>
      <c r="I128" s="3" t="s">
        <v>28</v>
      </c>
      <c r="J128" s="3" t="s">
        <v>29</v>
      </c>
      <c r="K128" s="9">
        <v>42483.625115740739</v>
      </c>
    </row>
    <row r="129" spans="3:11" x14ac:dyDescent="0.25">
      <c r="C129" t="str">
        <f>IF(COUNTBLANK(E129:K129) = 7,"",IF(AND(NOT(ISBLANK(E129)),COUNTBLANK(E129:K129) = 6),"3 Delete",IF(ISBLANK(E129),"2 Add",IF(SHA1Range(E129:K129) = "d3d3faea345c6018ab7db5d59a10155d14148766","0 Original","1 Modify"))))</f>
        <v>0 Original</v>
      </c>
      <c r="D129" s="3" t="s">
        <v>465</v>
      </c>
      <c r="E129" s="5">
        <v>1131</v>
      </c>
      <c r="F129" s="3" t="s">
        <v>466</v>
      </c>
      <c r="G129" s="7">
        <v>7.99</v>
      </c>
      <c r="H129" s="3" t="s">
        <v>467</v>
      </c>
      <c r="I129" s="3" t="s">
        <v>468</v>
      </c>
      <c r="J129" s="3" t="s">
        <v>29</v>
      </c>
      <c r="K129" s="9">
        <v>42483.625115740739</v>
      </c>
    </row>
    <row r="130" spans="3:11" x14ac:dyDescent="0.25">
      <c r="C130" t="str">
        <f>IF(COUNTBLANK(E130:K130) = 7,"",IF(AND(NOT(ISBLANK(E130)),COUNTBLANK(E130:K130) = 6),"3 Delete",IF(ISBLANK(E130),"2 Add",IF(SHA1Range(E130:K130) = "3925005f6a1180c9b74b4f3c47375b69cfe5baeb","0 Original","1 Modify"))))</f>
        <v>0 Original</v>
      </c>
      <c r="D130" s="3" t="s">
        <v>469</v>
      </c>
      <c r="E130" s="5">
        <v>1132</v>
      </c>
      <c r="F130" s="3" t="s">
        <v>470</v>
      </c>
      <c r="G130" s="7">
        <v>5.99</v>
      </c>
      <c r="H130" s="3" t="s">
        <v>471</v>
      </c>
      <c r="I130" s="3" t="s">
        <v>179</v>
      </c>
      <c r="J130" s="3" t="s">
        <v>29</v>
      </c>
      <c r="K130" s="9">
        <v>42483.625115740739</v>
      </c>
    </row>
    <row r="131" spans="3:11" x14ac:dyDescent="0.25">
      <c r="C131" t="str">
        <f>IF(COUNTBLANK(E131:K131) = 7,"",IF(AND(NOT(ISBLANK(E131)),COUNTBLANK(E131:K131) = 6),"3 Delete",IF(ISBLANK(E131),"2 Add",IF(SHA1Range(E131:K131) = "0f55386744f5025e8fba232326ec16c6a0ce6fe7","0 Original","1 Modify"))))</f>
        <v>0 Original</v>
      </c>
      <c r="D131" s="3" t="s">
        <v>472</v>
      </c>
      <c r="E131" s="5">
        <v>1133</v>
      </c>
      <c r="F131" s="3" t="s">
        <v>473</v>
      </c>
      <c r="G131" s="7">
        <v>6.99</v>
      </c>
      <c r="H131" s="3" t="s">
        <v>474</v>
      </c>
      <c r="I131" s="3" t="s">
        <v>28</v>
      </c>
      <c r="J131" s="3" t="s">
        <v>29</v>
      </c>
      <c r="K131" s="9">
        <v>42483.625115740739</v>
      </c>
    </row>
    <row r="132" spans="3:11" x14ac:dyDescent="0.25">
      <c r="C132" t="str">
        <f>IF(COUNTBLANK(E132:K132) = 7,"",IF(AND(NOT(ISBLANK(E132)),COUNTBLANK(E132:K132) = 6),"3 Delete",IF(ISBLANK(E132),"2 Add",IF(SHA1Range(E132:K132) = "2afb1d25f941a81660be67c73d071bb7c66886c4","0 Original","1 Modify"))))</f>
        <v>0 Original</v>
      </c>
      <c r="D132" s="3" t="s">
        <v>475</v>
      </c>
      <c r="E132" s="5">
        <v>1134</v>
      </c>
      <c r="F132" s="3" t="s">
        <v>476</v>
      </c>
      <c r="G132" s="7">
        <v>4.99</v>
      </c>
      <c r="H132" s="3" t="s">
        <v>477</v>
      </c>
      <c r="I132" s="3" t="s">
        <v>478</v>
      </c>
      <c r="J132" s="3" t="s">
        <v>29</v>
      </c>
      <c r="K132" s="9">
        <v>42483.625115740739</v>
      </c>
    </row>
    <row r="133" spans="3:11" x14ac:dyDescent="0.25">
      <c r="C133" t="str">
        <f>IF(COUNTBLANK(E133:K133) = 7,"",IF(AND(NOT(ISBLANK(E133)),COUNTBLANK(E133:K133) = 6),"3 Delete",IF(ISBLANK(E133),"2 Add",IF(SHA1Range(E133:K133) = "7f9881446ee29adbd5813d306892c05e15e6f15b","0 Original","1 Modify"))))</f>
        <v>0 Original</v>
      </c>
      <c r="D133" s="3" t="s">
        <v>479</v>
      </c>
      <c r="E133" s="5">
        <v>1135</v>
      </c>
      <c r="F133" s="3" t="s">
        <v>480</v>
      </c>
      <c r="G133" s="7">
        <v>6.99</v>
      </c>
      <c r="H133" s="3" t="s">
        <v>481</v>
      </c>
      <c r="I133" s="3" t="s">
        <v>28</v>
      </c>
      <c r="J133" s="3" t="s">
        <v>29</v>
      </c>
      <c r="K133" s="9">
        <v>42483.625115740739</v>
      </c>
    </row>
    <row r="134" spans="3:11" x14ac:dyDescent="0.25">
      <c r="C134" t="str">
        <f>IF(COUNTBLANK(E134:K134) = 7,"",IF(AND(NOT(ISBLANK(E134)),COUNTBLANK(E134:K134) = 6),"3 Delete",IF(ISBLANK(E134),"2 Add",IF(SHA1Range(E134:K134) = "a96f5a933286c061676e3219a3cbe700c525bd0a","0 Original","1 Modify"))))</f>
        <v>0 Original</v>
      </c>
      <c r="D134" s="3" t="s">
        <v>482</v>
      </c>
      <c r="E134" s="5">
        <v>1136</v>
      </c>
      <c r="F134" s="3" t="s">
        <v>483</v>
      </c>
      <c r="G134" s="7">
        <v>9.99</v>
      </c>
      <c r="H134" s="3" t="s">
        <v>484</v>
      </c>
      <c r="I134" s="3" t="s">
        <v>413</v>
      </c>
      <c r="J134" s="3" t="s">
        <v>29</v>
      </c>
      <c r="K134" s="9">
        <v>42483.625115740739</v>
      </c>
    </row>
    <row r="135" spans="3:11" x14ac:dyDescent="0.25">
      <c r="C135" t="str">
        <f>IF(COUNTBLANK(E135:K135) = 7,"",IF(AND(NOT(ISBLANK(E135)),COUNTBLANK(E135:K135) = 6),"3 Delete",IF(ISBLANK(E135),"2 Add",IF(SHA1Range(E135:K135) = "b41554c33b94c0755cc8e6d8cdbcf0e2de80da63","0 Original","1 Modify"))))</f>
        <v>0 Original</v>
      </c>
      <c r="D135" s="3" t="s">
        <v>485</v>
      </c>
      <c r="E135" s="5">
        <v>1137</v>
      </c>
      <c r="F135" s="3" t="s">
        <v>486</v>
      </c>
      <c r="G135" s="7">
        <v>6.99</v>
      </c>
      <c r="H135" s="3" t="s">
        <v>487</v>
      </c>
      <c r="I135" s="3" t="s">
        <v>68</v>
      </c>
      <c r="J135" s="3" t="s">
        <v>29</v>
      </c>
      <c r="K135" s="9">
        <v>42483.625115740739</v>
      </c>
    </row>
    <row r="136" spans="3:11" x14ac:dyDescent="0.25">
      <c r="C136" t="str">
        <f>IF(COUNTBLANK(E136:K136) = 7,"",IF(AND(NOT(ISBLANK(E136)),COUNTBLANK(E136:K136) = 6),"3 Delete",IF(ISBLANK(E136),"2 Add",IF(SHA1Range(E136:K136) = "ed2ac383f6498d2f208ae0d71b1ed01a94e2154d","0 Original","1 Modify"))))</f>
        <v>0 Original</v>
      </c>
      <c r="D136" s="3" t="s">
        <v>488</v>
      </c>
      <c r="E136" s="5">
        <v>1138</v>
      </c>
      <c r="F136" s="3" t="s">
        <v>489</v>
      </c>
      <c r="G136" s="7">
        <v>8.99</v>
      </c>
      <c r="H136" s="3" t="s">
        <v>490</v>
      </c>
      <c r="I136" s="3" t="s">
        <v>491</v>
      </c>
      <c r="J136" s="3" t="s">
        <v>29</v>
      </c>
      <c r="K136" s="9">
        <v>42483.625115740739</v>
      </c>
    </row>
    <row r="137" spans="3:11" x14ac:dyDescent="0.25">
      <c r="C137" t="str">
        <f>IF(COUNTBLANK(E137:K137) = 7,"",IF(AND(NOT(ISBLANK(E137)),COUNTBLANK(E137:K137) = 6),"3 Delete",IF(ISBLANK(E137),"2 Add",IF(SHA1Range(E137:K137) = "c1a81e8817597a6fbd7371b2f24787778570a99b","0 Original","1 Modify"))))</f>
        <v>0 Original</v>
      </c>
      <c r="D137" s="3" t="s">
        <v>492</v>
      </c>
      <c r="E137" s="5">
        <v>1139</v>
      </c>
      <c r="F137" s="3" t="s">
        <v>493</v>
      </c>
      <c r="G137" s="7">
        <v>7.99</v>
      </c>
      <c r="H137" s="3" t="s">
        <v>494</v>
      </c>
      <c r="I137" s="3" t="s">
        <v>495</v>
      </c>
      <c r="J137" s="3" t="s">
        <v>29</v>
      </c>
      <c r="K137" s="9">
        <v>42483.625115740739</v>
      </c>
    </row>
    <row r="138" spans="3:11" x14ac:dyDescent="0.25">
      <c r="C138" t="str">
        <f>IF(COUNTBLANK(E138:K138) = 7,"",IF(AND(NOT(ISBLANK(E138)),COUNTBLANK(E138:K138) = 6),"3 Delete",IF(ISBLANK(E138),"2 Add",IF(SHA1Range(E138:K138) = "cb01c1a8f2bfdae60cafab748c12485b54529c4a","0 Original","1 Modify"))))</f>
        <v>0 Original</v>
      </c>
      <c r="D138" s="3" t="s">
        <v>496</v>
      </c>
      <c r="E138" s="5">
        <v>1140</v>
      </c>
      <c r="F138" s="3" t="s">
        <v>497</v>
      </c>
      <c r="G138" s="7">
        <v>8.99</v>
      </c>
      <c r="H138" s="3" t="s">
        <v>498</v>
      </c>
      <c r="I138" s="3" t="s">
        <v>499</v>
      </c>
      <c r="J138" s="3" t="s">
        <v>29</v>
      </c>
      <c r="K138" s="9">
        <v>42483.625115740739</v>
      </c>
    </row>
    <row r="139" spans="3:11" x14ac:dyDescent="0.25">
      <c r="C139" t="str">
        <f>IF(COUNTBLANK(E139:K139) = 7,"",IF(AND(NOT(ISBLANK(E139)),COUNTBLANK(E139:K139) = 6),"3 Delete",IF(ISBLANK(E139),"2 Add",IF(SHA1Range(E139:K139) = "fe98aa8f1a2b5e4adeb8453d560998f86fd06134","0 Original","1 Modify"))))</f>
        <v>0 Original</v>
      </c>
      <c r="D139" s="3" t="s">
        <v>500</v>
      </c>
      <c r="E139" s="5">
        <v>1141</v>
      </c>
      <c r="F139" s="3" t="s">
        <v>501</v>
      </c>
      <c r="G139" s="7">
        <v>4.99</v>
      </c>
      <c r="H139" s="3" t="s">
        <v>502</v>
      </c>
      <c r="I139" s="3" t="s">
        <v>28</v>
      </c>
      <c r="J139" s="3" t="s">
        <v>29</v>
      </c>
      <c r="K139" s="9">
        <v>42483.625115740739</v>
      </c>
    </row>
    <row r="140" spans="3:11" x14ac:dyDescent="0.25">
      <c r="C140" t="str">
        <f>IF(COUNTBLANK(E140:K140) = 7,"",IF(AND(NOT(ISBLANK(E140)),COUNTBLANK(E140:K140) = 6),"3 Delete",IF(ISBLANK(E140),"2 Add",IF(SHA1Range(E140:K140) = "5209f84f1a19a56c6942af45cdb78af79d344068","0 Original","1 Modify"))))</f>
        <v>0 Original</v>
      </c>
      <c r="D140" s="3" t="s">
        <v>503</v>
      </c>
      <c r="E140" s="5">
        <v>1142</v>
      </c>
      <c r="F140" s="3" t="s">
        <v>504</v>
      </c>
      <c r="G140" s="7">
        <v>8.99</v>
      </c>
      <c r="H140" s="3" t="s">
        <v>505</v>
      </c>
      <c r="I140" s="3" t="s">
        <v>28</v>
      </c>
      <c r="J140" s="3" t="s">
        <v>29</v>
      </c>
      <c r="K140" s="9">
        <v>42483.625115740739</v>
      </c>
    </row>
    <row r="141" spans="3:11" x14ac:dyDescent="0.25">
      <c r="C141" t="str">
        <f>IF(COUNTBLANK(E141:K141) = 7,"",IF(AND(NOT(ISBLANK(E141)),COUNTBLANK(E141:K141) = 6),"3 Delete",IF(ISBLANK(E141),"2 Add",IF(SHA1Range(E141:K141) = "471ed721eb62e607c01aae5f25e1491041d61f14","0 Original","1 Modify"))))</f>
        <v>0 Original</v>
      </c>
      <c r="D141" s="3" t="s">
        <v>506</v>
      </c>
      <c r="E141" s="5">
        <v>1143</v>
      </c>
      <c r="F141" s="3" t="s">
        <v>507</v>
      </c>
      <c r="G141" s="7">
        <v>6.99</v>
      </c>
      <c r="H141" s="3" t="s">
        <v>508</v>
      </c>
      <c r="I141" s="3" t="s">
        <v>28</v>
      </c>
      <c r="J141" s="3" t="s">
        <v>29</v>
      </c>
      <c r="K141" s="9">
        <v>42483.625115740739</v>
      </c>
    </row>
    <row r="142" spans="3:11" x14ac:dyDescent="0.25">
      <c r="C142" t="str">
        <f>IF(COUNTBLANK(E142:K142) = 7,"",IF(AND(NOT(ISBLANK(E142)),COUNTBLANK(E142:K142) = 6),"3 Delete",IF(ISBLANK(E142),"2 Add",IF(SHA1Range(E142:K142) = "9b139df122206a11ec9a5cee8f73343d16022ec4","0 Original","1 Modify"))))</f>
        <v>0 Original</v>
      </c>
      <c r="D142" s="3" t="s">
        <v>509</v>
      </c>
      <c r="E142" s="5">
        <v>1144</v>
      </c>
      <c r="F142" s="3" t="s">
        <v>510</v>
      </c>
      <c r="G142" s="7">
        <v>7.99</v>
      </c>
      <c r="H142" s="3" t="s">
        <v>511</v>
      </c>
      <c r="I142" s="3" t="s">
        <v>512</v>
      </c>
      <c r="J142" s="3" t="s">
        <v>29</v>
      </c>
      <c r="K142" s="9">
        <v>42483.625115740739</v>
      </c>
    </row>
    <row r="143" spans="3:11" x14ac:dyDescent="0.25">
      <c r="C143" t="str">
        <f>IF(COUNTBLANK(E143:K143) = 7,"",IF(AND(NOT(ISBLANK(E143)),COUNTBLANK(E143:K143) = 6),"3 Delete",IF(ISBLANK(E143),"2 Add",IF(SHA1Range(E143:K143) = "5ad578fac713de08932fd48c92d12e283d3ed1da","0 Original","1 Modify"))))</f>
        <v>0 Original</v>
      </c>
      <c r="D143" s="3" t="s">
        <v>513</v>
      </c>
      <c r="E143" s="5">
        <v>1145</v>
      </c>
      <c r="F143" s="3" t="s">
        <v>514</v>
      </c>
      <c r="G143" s="7">
        <v>4.99</v>
      </c>
      <c r="H143" s="3" t="s">
        <v>515</v>
      </c>
      <c r="I143" s="3" t="s">
        <v>191</v>
      </c>
      <c r="J143" s="3" t="s">
        <v>29</v>
      </c>
      <c r="K143" s="9">
        <v>42483.625115740739</v>
      </c>
    </row>
    <row r="144" spans="3:11" x14ac:dyDescent="0.25">
      <c r="C144" t="str">
        <f>IF(COUNTBLANK(E144:K144) = 7,"",IF(AND(NOT(ISBLANK(E144)),COUNTBLANK(E144:K144) = 6),"3 Delete",IF(ISBLANK(E144),"2 Add",IF(SHA1Range(E144:K144) = "34a294ad4b75309b06e38cfb580aee1291f1aba2","0 Original","1 Modify"))))</f>
        <v>0 Original</v>
      </c>
      <c r="D144" s="3" t="s">
        <v>516</v>
      </c>
      <c r="E144" s="5">
        <v>1146</v>
      </c>
      <c r="F144" s="3" t="s">
        <v>517</v>
      </c>
      <c r="G144" s="7">
        <v>5.99</v>
      </c>
      <c r="H144" s="3" t="s">
        <v>518</v>
      </c>
      <c r="I144" s="3" t="s">
        <v>191</v>
      </c>
      <c r="J144" s="3" t="s">
        <v>29</v>
      </c>
      <c r="K144" s="9">
        <v>42483.625115740739</v>
      </c>
    </row>
    <row r="145" spans="3:11" x14ac:dyDescent="0.25">
      <c r="C145" t="str">
        <f>IF(COUNTBLANK(E145:K145) = 7,"",IF(AND(NOT(ISBLANK(E145)),COUNTBLANK(E145:K145) = 6),"3 Delete",IF(ISBLANK(E145),"2 Add",IF(SHA1Range(E145:K145) = "a8a0cecc4636e50043c048294d2abcb69db76615","0 Original","1 Modify"))))</f>
        <v>0 Original</v>
      </c>
      <c r="D145" s="3" t="s">
        <v>519</v>
      </c>
      <c r="E145" s="5">
        <v>1147</v>
      </c>
      <c r="F145" s="3" t="s">
        <v>520</v>
      </c>
      <c r="G145" s="7">
        <v>8.99</v>
      </c>
      <c r="H145" s="3" t="s">
        <v>521</v>
      </c>
      <c r="I145" s="3" t="s">
        <v>253</v>
      </c>
      <c r="J145" s="3" t="s">
        <v>29</v>
      </c>
      <c r="K145" s="9">
        <v>42483.625115740739</v>
      </c>
    </row>
    <row r="146" spans="3:11" x14ac:dyDescent="0.25">
      <c r="C146" t="str">
        <f>IF(COUNTBLANK(E146:K146) = 7,"",IF(AND(NOT(ISBLANK(E146)),COUNTBLANK(E146:K146) = 6),"3 Delete",IF(ISBLANK(E146),"2 Add",IF(SHA1Range(E146:K146) = "e6dcc83f5554a362b4a19c1811d01d4af0bd619c","0 Original","1 Modify"))))</f>
        <v>0 Original</v>
      </c>
      <c r="D146" s="3" t="s">
        <v>522</v>
      </c>
      <c r="E146" s="5">
        <v>1148</v>
      </c>
      <c r="F146" s="3" t="s">
        <v>523</v>
      </c>
      <c r="G146" s="7">
        <v>6.99</v>
      </c>
      <c r="H146" s="3" t="s">
        <v>524</v>
      </c>
      <c r="I146" s="3" t="s">
        <v>28</v>
      </c>
      <c r="J146" s="3" t="s">
        <v>29</v>
      </c>
      <c r="K146" s="9">
        <v>42483.625115740739</v>
      </c>
    </row>
    <row r="147" spans="3:11" x14ac:dyDescent="0.25">
      <c r="C147" t="str">
        <f>IF(COUNTBLANK(E147:K147) = 7,"",IF(AND(NOT(ISBLANK(E147)),COUNTBLANK(E147:K147) = 6),"3 Delete",IF(ISBLANK(E147),"2 Add",IF(SHA1Range(E147:K147) = "f38585c8a51219e46c6d19337b7df82fcbf2bdef","0 Original","1 Modify"))))</f>
        <v>0 Original</v>
      </c>
      <c r="D147" s="3" t="s">
        <v>525</v>
      </c>
      <c r="E147" s="5">
        <v>1149</v>
      </c>
      <c r="F147" s="3" t="s">
        <v>526</v>
      </c>
      <c r="G147" s="7">
        <v>4.99</v>
      </c>
      <c r="H147" s="3" t="s">
        <v>527</v>
      </c>
      <c r="I147" s="3" t="s">
        <v>245</v>
      </c>
      <c r="J147" s="3" t="s">
        <v>29</v>
      </c>
      <c r="K147" s="9">
        <v>42483.625115740739</v>
      </c>
    </row>
    <row r="148" spans="3:11" x14ac:dyDescent="0.25">
      <c r="C148" t="str">
        <f>IF(COUNTBLANK(E148:K148) = 7,"",IF(AND(NOT(ISBLANK(E148)),COUNTBLANK(E148:K148) = 6),"3 Delete",IF(ISBLANK(E148),"2 Add",IF(SHA1Range(E148:K148) = "0878130b97b50b599d7e16a6b13f23e7e7e8ca61","0 Original","1 Modify"))))</f>
        <v>0 Original</v>
      </c>
      <c r="D148" s="3" t="s">
        <v>528</v>
      </c>
      <c r="E148" s="5">
        <v>1150</v>
      </c>
      <c r="F148" s="3" t="s">
        <v>529</v>
      </c>
      <c r="G148" s="7">
        <v>7.99</v>
      </c>
      <c r="H148" s="3" t="s">
        <v>530</v>
      </c>
      <c r="I148" s="3" t="s">
        <v>28</v>
      </c>
      <c r="J148" s="3" t="s">
        <v>29</v>
      </c>
      <c r="K148" s="9">
        <v>42483.625115740739</v>
      </c>
    </row>
    <row r="149" spans="3:11" x14ac:dyDescent="0.25">
      <c r="C149" t="str">
        <f>IF(COUNTBLANK(E149:K149) = 7,"",IF(AND(NOT(ISBLANK(E149)),COUNTBLANK(E149:K149) = 6),"3 Delete",IF(ISBLANK(E149),"2 Add",IF(SHA1Range(E149:K149) = "be1e5e0322ce81695dac780b4fd5a30f277c09f5","0 Original","1 Modify"))))</f>
        <v>0 Original</v>
      </c>
      <c r="D149" s="3" t="s">
        <v>531</v>
      </c>
      <c r="E149" s="5">
        <v>1151</v>
      </c>
      <c r="F149" s="3" t="s">
        <v>532</v>
      </c>
      <c r="G149" s="7">
        <v>5.99</v>
      </c>
      <c r="H149" s="3" t="s">
        <v>533</v>
      </c>
      <c r="I149" s="3" t="s">
        <v>91</v>
      </c>
      <c r="J149" s="3" t="s">
        <v>29</v>
      </c>
      <c r="K149" s="9">
        <v>42483.625115740739</v>
      </c>
    </row>
    <row r="150" spans="3:11" x14ac:dyDescent="0.25">
      <c r="C150" t="str">
        <f>IF(COUNTBLANK(E150:K150) = 7,"",IF(AND(NOT(ISBLANK(E150)),COUNTBLANK(E150:K150) = 6),"3 Delete",IF(ISBLANK(E150),"2 Add",IF(SHA1Range(E150:K150) = "e9bc3fd989be1f2811bd02c186ab147607c1fcb7","0 Original","1 Modify"))))</f>
        <v>0 Original</v>
      </c>
      <c r="D150" s="3" t="s">
        <v>534</v>
      </c>
      <c r="E150" s="5">
        <v>1152</v>
      </c>
      <c r="F150" s="3" t="s">
        <v>535</v>
      </c>
      <c r="G150" s="7">
        <v>8.99</v>
      </c>
      <c r="H150" s="3" t="s">
        <v>536</v>
      </c>
      <c r="I150" s="3" t="s">
        <v>28</v>
      </c>
      <c r="J150" s="3" t="s">
        <v>29</v>
      </c>
      <c r="K150" s="9">
        <v>42483.625115740739</v>
      </c>
    </row>
    <row r="151" spans="3:11" x14ac:dyDescent="0.25">
      <c r="C151" t="str">
        <f>IF(COUNTBLANK(E151:K151) = 7,"",IF(AND(NOT(ISBLANK(E151)),COUNTBLANK(E151:K151) = 6),"3 Delete",IF(ISBLANK(E151),"2 Add",IF(SHA1Range(E151:K151) = "37f32d4413fefab4f36a825a5d28319c53250537","0 Original","1 Modify"))))</f>
        <v>0 Original</v>
      </c>
      <c r="D151" s="3" t="s">
        <v>537</v>
      </c>
      <c r="E151" s="5">
        <v>1153</v>
      </c>
      <c r="F151" s="3" t="s">
        <v>538</v>
      </c>
      <c r="G151" s="7">
        <v>7.99</v>
      </c>
      <c r="H151" s="3" t="s">
        <v>539</v>
      </c>
      <c r="I151" s="3" t="s">
        <v>28</v>
      </c>
      <c r="J151" s="3" t="s">
        <v>29</v>
      </c>
      <c r="K151" s="9">
        <v>42483.625115740739</v>
      </c>
    </row>
    <row r="152" spans="3:11" x14ac:dyDescent="0.25">
      <c r="C152" t="str">
        <f>IF(COUNTBLANK(E152:K152) = 7,"",IF(AND(NOT(ISBLANK(E152)),COUNTBLANK(E152:K152) = 6),"3 Delete",IF(ISBLANK(E152),"2 Add",IF(SHA1Range(E152:K152) = "a538d963ca5152e4bce75a8e0f782339f1e0c88a","0 Original","1 Modify"))))</f>
        <v>0 Original</v>
      </c>
      <c r="D152" s="3" t="s">
        <v>540</v>
      </c>
      <c r="E152" s="5">
        <v>1154</v>
      </c>
      <c r="F152" s="3" t="s">
        <v>541</v>
      </c>
      <c r="G152" s="7">
        <v>4.99</v>
      </c>
      <c r="H152" s="3" t="s">
        <v>542</v>
      </c>
      <c r="I152" s="3" t="s">
        <v>28</v>
      </c>
      <c r="J152" s="3" t="s">
        <v>29</v>
      </c>
      <c r="K152" s="9">
        <v>42483.625115740739</v>
      </c>
    </row>
    <row r="153" spans="3:11" x14ac:dyDescent="0.25">
      <c r="C153" t="str">
        <f>IF(COUNTBLANK(E153:K153) = 7,"",IF(AND(NOT(ISBLANK(E153)),COUNTBLANK(E153:K153) = 6),"3 Delete",IF(ISBLANK(E153),"2 Add",IF(SHA1Range(E153:K153) = "ab47bff522557c819001736575f698af1a3dbba4","0 Original","1 Modify"))))</f>
        <v>0 Original</v>
      </c>
      <c r="D153" s="3" t="s">
        <v>543</v>
      </c>
      <c r="E153" s="5">
        <v>1155</v>
      </c>
      <c r="F153" s="3" t="s">
        <v>544</v>
      </c>
      <c r="G153" s="7">
        <v>8.99</v>
      </c>
      <c r="H153" s="3" t="s">
        <v>545</v>
      </c>
      <c r="I153" s="3" t="s">
        <v>68</v>
      </c>
      <c r="J153" s="3" t="s">
        <v>29</v>
      </c>
      <c r="K153" s="9">
        <v>42483.625115740739</v>
      </c>
    </row>
    <row r="154" spans="3:11" x14ac:dyDescent="0.25">
      <c r="C154" t="str">
        <f>IF(COUNTBLANK(E154:K154) = 7,"",IF(AND(NOT(ISBLANK(E154)),COUNTBLANK(E154:K154) = 6),"3 Delete",IF(ISBLANK(E154),"2 Add",IF(SHA1Range(E154:K154) = "e53840ef214256595c853f6b5d28d04f606c2a1e","0 Original","1 Modify"))))</f>
        <v>0 Original</v>
      </c>
      <c r="D154" s="3" t="s">
        <v>546</v>
      </c>
      <c r="E154" s="5">
        <v>1156</v>
      </c>
      <c r="F154" s="3" t="s">
        <v>547</v>
      </c>
      <c r="G154" s="7">
        <v>9.99</v>
      </c>
      <c r="H154" s="3" t="s">
        <v>548</v>
      </c>
      <c r="I154" s="3" t="s">
        <v>28</v>
      </c>
      <c r="J154" s="3" t="s">
        <v>29</v>
      </c>
      <c r="K154" s="9">
        <v>42483.625115740739</v>
      </c>
    </row>
    <row r="155" spans="3:11" x14ac:dyDescent="0.25">
      <c r="C155" t="str">
        <f>IF(COUNTBLANK(E155:K155) = 7,"",IF(AND(NOT(ISBLANK(E155)),COUNTBLANK(E155:K155) = 6),"3 Delete",IF(ISBLANK(E155),"2 Add",IF(SHA1Range(E155:K155) = "3d6d29565fbb6a761db034aaed952c58b05e3bf3","0 Original","1 Modify"))))</f>
        <v>0 Original</v>
      </c>
      <c r="D155" s="3" t="s">
        <v>549</v>
      </c>
      <c r="E155" s="5">
        <v>1157</v>
      </c>
      <c r="F155" s="3" t="s">
        <v>550</v>
      </c>
      <c r="G155" s="7">
        <v>8.99</v>
      </c>
      <c r="H155" s="3" t="s">
        <v>551</v>
      </c>
      <c r="I155" s="3" t="s">
        <v>552</v>
      </c>
      <c r="J155" s="3" t="s">
        <v>29</v>
      </c>
      <c r="K155" s="9">
        <v>42483.625115740739</v>
      </c>
    </row>
    <row r="156" spans="3:11" x14ac:dyDescent="0.25">
      <c r="C156" t="str">
        <f>IF(COUNTBLANK(E156:K156) = 7,"",IF(AND(NOT(ISBLANK(E156)),COUNTBLANK(E156:K156) = 6),"3 Delete",IF(ISBLANK(E156),"2 Add",IF(SHA1Range(E156:K156) = "3ef74031636f695a861f32662ffb4d64109f6a06","0 Original","1 Modify"))))</f>
        <v>0 Original</v>
      </c>
      <c r="D156" s="3" t="s">
        <v>553</v>
      </c>
      <c r="E156" s="5">
        <v>1158</v>
      </c>
      <c r="F156" s="3" t="s">
        <v>554</v>
      </c>
      <c r="G156" s="7">
        <v>6.99</v>
      </c>
      <c r="H156" s="3" t="s">
        <v>555</v>
      </c>
      <c r="I156" s="3" t="s">
        <v>80</v>
      </c>
      <c r="J156" s="3" t="s">
        <v>29</v>
      </c>
      <c r="K156" s="9">
        <v>42483.625115740739</v>
      </c>
    </row>
    <row r="157" spans="3:11" x14ac:dyDescent="0.25">
      <c r="C157" t="str">
        <f>IF(COUNTBLANK(E157:K157) = 7,"",IF(AND(NOT(ISBLANK(E157)),COUNTBLANK(E157:K157) = 6),"3 Delete",IF(ISBLANK(E157),"2 Add",IF(SHA1Range(E157:K157) = "d6701e70b38cfab4441889b52275eca49e1f150f","0 Original","1 Modify"))))</f>
        <v>0 Original</v>
      </c>
      <c r="D157" s="3" t="s">
        <v>556</v>
      </c>
      <c r="E157" s="5">
        <v>1159</v>
      </c>
      <c r="F157" s="3" t="s">
        <v>557</v>
      </c>
      <c r="G157" s="7">
        <v>8.99</v>
      </c>
      <c r="H157" s="3" t="s">
        <v>558</v>
      </c>
      <c r="I157" s="3" t="s">
        <v>91</v>
      </c>
      <c r="J157" s="3" t="s">
        <v>29</v>
      </c>
      <c r="K157" s="9">
        <v>42483.625115740739</v>
      </c>
    </row>
    <row r="158" spans="3:11" x14ac:dyDescent="0.25">
      <c r="C158" t="str">
        <f>IF(COUNTBLANK(E158:K158) = 7,"",IF(AND(NOT(ISBLANK(E158)),COUNTBLANK(E158:K158) = 6),"3 Delete",IF(ISBLANK(E158),"2 Add",IF(SHA1Range(E158:K158) = "bb1e9faf79686d74ae876e9072f6a7a8e8d5be26","0 Original","1 Modify"))))</f>
        <v>0 Original</v>
      </c>
      <c r="D158" s="3" t="s">
        <v>559</v>
      </c>
      <c r="E158" s="5">
        <v>1160</v>
      </c>
      <c r="F158" s="3" t="s">
        <v>560</v>
      </c>
      <c r="G158" s="7">
        <v>4.99</v>
      </c>
      <c r="H158" s="3" t="s">
        <v>561</v>
      </c>
      <c r="I158" s="3" t="s">
        <v>28</v>
      </c>
      <c r="J158" s="3" t="s">
        <v>29</v>
      </c>
      <c r="K158" s="9">
        <v>42483.625115740739</v>
      </c>
    </row>
    <row r="159" spans="3:11" x14ac:dyDescent="0.25">
      <c r="C159" t="str">
        <f>IF(COUNTBLANK(E159:K159) = 7,"",IF(AND(NOT(ISBLANK(E159)),COUNTBLANK(E159:K159) = 6),"3 Delete",IF(ISBLANK(E159),"2 Add",IF(SHA1Range(E159:K159) = "9205cc77110af0075f15bcfdf1a7d83bdfd40d98","0 Original","1 Modify"))))</f>
        <v>0 Original</v>
      </c>
      <c r="D159" s="3" t="s">
        <v>562</v>
      </c>
      <c r="E159" s="5">
        <v>1161</v>
      </c>
      <c r="F159" s="3" t="s">
        <v>563</v>
      </c>
      <c r="G159" s="7">
        <v>5.99</v>
      </c>
      <c r="H159" s="3" t="s">
        <v>564</v>
      </c>
      <c r="I159" s="3" t="s">
        <v>91</v>
      </c>
      <c r="J159" s="3" t="s">
        <v>29</v>
      </c>
      <c r="K159" s="9">
        <v>42483.625115740739</v>
      </c>
    </row>
    <row r="160" spans="3:11" x14ac:dyDescent="0.25">
      <c r="C160" t="str">
        <f>IF(COUNTBLANK(E160:K160) = 7,"",IF(AND(NOT(ISBLANK(E160)),COUNTBLANK(E160:K160) = 6),"3 Delete",IF(ISBLANK(E160),"2 Add",IF(SHA1Range(E160:K160) = "fd9d18a2b669a9614bc7235e126bd926d98a789f","0 Original","1 Modify"))))</f>
        <v>0 Original</v>
      </c>
      <c r="D160" s="3" t="s">
        <v>565</v>
      </c>
      <c r="E160" s="5">
        <v>1162</v>
      </c>
      <c r="F160" s="3" t="s">
        <v>566</v>
      </c>
      <c r="G160" s="7">
        <v>7.99</v>
      </c>
      <c r="H160" s="3" t="s">
        <v>567</v>
      </c>
      <c r="I160" s="3" t="s">
        <v>568</v>
      </c>
      <c r="J160" s="3" t="s">
        <v>29</v>
      </c>
      <c r="K160" s="9">
        <v>42483.625115740739</v>
      </c>
    </row>
    <row r="161" spans="3:11" x14ac:dyDescent="0.25">
      <c r="C161" t="str">
        <f>IF(COUNTBLANK(E161:K161) = 7,"",IF(AND(NOT(ISBLANK(E161)),COUNTBLANK(E161:K161) = 6),"3 Delete",IF(ISBLANK(E161),"2 Add",IF(SHA1Range(E161:K161) = "beb9a02f0c093ab24e9689587e400bc5808f8994","0 Original","1 Modify"))))</f>
        <v>0 Original</v>
      </c>
      <c r="D161" s="3" t="s">
        <v>569</v>
      </c>
      <c r="E161" s="5">
        <v>1163</v>
      </c>
      <c r="F161" s="3" t="s">
        <v>570</v>
      </c>
      <c r="G161" s="7">
        <v>9.99</v>
      </c>
      <c r="H161" s="3" t="s">
        <v>571</v>
      </c>
      <c r="I161" s="3" t="s">
        <v>572</v>
      </c>
      <c r="J161" s="3" t="s">
        <v>29</v>
      </c>
      <c r="K161" s="9">
        <v>42483.625115740739</v>
      </c>
    </row>
    <row r="162" spans="3:11" x14ac:dyDescent="0.25">
      <c r="C162" t="str">
        <f>IF(COUNTBLANK(E162:K162) = 7,"",IF(AND(NOT(ISBLANK(E162)),COUNTBLANK(E162:K162) = 6),"3 Delete",IF(ISBLANK(E162),"2 Add",IF(SHA1Range(E162:K162) = "816a38b0412913effc382ed517695429a764f554","0 Original","1 Modify"))))</f>
        <v>0 Original</v>
      </c>
      <c r="D162" s="3" t="s">
        <v>573</v>
      </c>
      <c r="E162" s="5">
        <v>1164</v>
      </c>
      <c r="F162" s="3" t="s">
        <v>574</v>
      </c>
      <c r="G162" s="7">
        <v>9.99</v>
      </c>
      <c r="H162" s="3" t="s">
        <v>575</v>
      </c>
      <c r="I162" s="3" t="s">
        <v>162</v>
      </c>
      <c r="J162" s="3" t="s">
        <v>29</v>
      </c>
      <c r="K162" s="9">
        <v>42483.625115740739</v>
      </c>
    </row>
    <row r="163" spans="3:11" x14ac:dyDescent="0.25">
      <c r="C163" t="str">
        <f>IF(COUNTBLANK(E163:K163) = 7,"",IF(AND(NOT(ISBLANK(E163)),COUNTBLANK(E163:K163) = 6),"3 Delete",IF(ISBLANK(E163),"2 Add",IF(SHA1Range(E163:K163) = "ca73ca2b7753739bc0e1fe1c645b9a2cba8b0860","0 Original","1 Modify"))))</f>
        <v>0 Original</v>
      </c>
      <c r="D163" s="3" t="s">
        <v>576</v>
      </c>
      <c r="E163" s="5">
        <v>1165</v>
      </c>
      <c r="F163" s="3" t="s">
        <v>577</v>
      </c>
      <c r="G163" s="7">
        <v>5.99</v>
      </c>
      <c r="H163" s="3" t="s">
        <v>578</v>
      </c>
      <c r="I163" s="3" t="s">
        <v>579</v>
      </c>
      <c r="J163" s="3" t="s">
        <v>29</v>
      </c>
      <c r="K163" s="9">
        <v>42483.625115740739</v>
      </c>
    </row>
    <row r="164" spans="3:11" x14ac:dyDescent="0.25">
      <c r="C164" t="str">
        <f>IF(COUNTBLANK(E164:K164) = 7,"",IF(AND(NOT(ISBLANK(E164)),COUNTBLANK(E164:K164) = 6),"3 Delete",IF(ISBLANK(E164),"2 Add",IF(SHA1Range(E164:K164) = "a1bdc32dfcb828b8427a2de20692aec468b3ee2e","0 Original","1 Modify"))))</f>
        <v>0 Original</v>
      </c>
      <c r="D164" s="3" t="s">
        <v>580</v>
      </c>
      <c r="E164" s="5">
        <v>1166</v>
      </c>
      <c r="F164" s="3" t="s">
        <v>581</v>
      </c>
      <c r="G164" s="7">
        <v>4.99</v>
      </c>
      <c r="H164" s="3" t="s">
        <v>582</v>
      </c>
      <c r="I164" s="3" t="s">
        <v>28</v>
      </c>
      <c r="J164" s="3" t="s">
        <v>29</v>
      </c>
      <c r="K164" s="9">
        <v>42483.625115740739</v>
      </c>
    </row>
    <row r="165" spans="3:11" x14ac:dyDescent="0.25">
      <c r="C165" t="str">
        <f>IF(COUNTBLANK(E165:K165) = 7,"",IF(AND(NOT(ISBLANK(E165)),COUNTBLANK(E165:K165) = 6),"3 Delete",IF(ISBLANK(E165),"2 Add",IF(SHA1Range(E165:K165) = "d1995a55f363d62405c0490e4186efff1bf9ff9c","0 Original","1 Modify"))))</f>
        <v>0 Original</v>
      </c>
      <c r="D165" s="3" t="s">
        <v>583</v>
      </c>
      <c r="E165" s="5">
        <v>1167</v>
      </c>
      <c r="F165" s="3" t="s">
        <v>584</v>
      </c>
      <c r="G165" s="7">
        <v>8.99</v>
      </c>
      <c r="H165" s="3" t="s">
        <v>585</v>
      </c>
      <c r="I165" s="3" t="s">
        <v>586</v>
      </c>
      <c r="J165" s="3" t="s">
        <v>29</v>
      </c>
      <c r="K165" s="9">
        <v>42483.625115740739</v>
      </c>
    </row>
    <row r="166" spans="3:11" x14ac:dyDescent="0.25">
      <c r="C166" t="str">
        <f>IF(COUNTBLANK(E166:K166) = 7,"",IF(AND(NOT(ISBLANK(E166)),COUNTBLANK(E166:K166) = 6),"3 Delete",IF(ISBLANK(E166),"2 Add",IF(SHA1Range(E166:K166) = "119294abfb4d2ec2287dbee3064155e885b7e52a","0 Original","1 Modify"))))</f>
        <v>0 Original</v>
      </c>
      <c r="D166" s="3" t="s">
        <v>587</v>
      </c>
      <c r="E166" s="5">
        <v>1168</v>
      </c>
      <c r="F166" s="3" t="s">
        <v>588</v>
      </c>
      <c r="G166" s="7">
        <v>7.99</v>
      </c>
      <c r="H166" s="3" t="s">
        <v>589</v>
      </c>
      <c r="I166" s="3" t="s">
        <v>108</v>
      </c>
      <c r="J166" s="3" t="s">
        <v>29</v>
      </c>
      <c r="K166" s="9">
        <v>42483.625115740739</v>
      </c>
    </row>
    <row r="167" spans="3:11" x14ac:dyDescent="0.25">
      <c r="C167" t="str">
        <f>IF(COUNTBLANK(E167:K167) = 7,"",IF(AND(NOT(ISBLANK(E167)),COUNTBLANK(E167:K167) = 6),"3 Delete",IF(ISBLANK(E167),"2 Add",IF(SHA1Range(E167:K167) = "ad27b67b36eb7e7b73e2da0cc147d780978ad235","0 Original","1 Modify"))))</f>
        <v>0 Original</v>
      </c>
      <c r="D167" s="3" t="s">
        <v>590</v>
      </c>
      <c r="E167" s="5">
        <v>1169</v>
      </c>
      <c r="F167" s="3" t="s">
        <v>591</v>
      </c>
      <c r="G167" s="7">
        <v>4.99</v>
      </c>
      <c r="H167" s="3" t="s">
        <v>592</v>
      </c>
      <c r="I167" s="3" t="s">
        <v>91</v>
      </c>
      <c r="J167" s="3" t="s">
        <v>29</v>
      </c>
      <c r="K167" s="9">
        <v>42483.625115740739</v>
      </c>
    </row>
    <row r="168" spans="3:11" x14ac:dyDescent="0.25">
      <c r="C168" t="str">
        <f>IF(COUNTBLANK(E168:K168) = 7,"",IF(AND(NOT(ISBLANK(E168)),COUNTBLANK(E168:K168) = 6),"3 Delete",IF(ISBLANK(E168),"2 Add",IF(SHA1Range(E168:K168) = "1852aa878d0d949c4f9701ef6365edc41fe0c2c5","0 Original","1 Modify"))))</f>
        <v>0 Original</v>
      </c>
      <c r="D168" s="3" t="s">
        <v>593</v>
      </c>
      <c r="E168" s="5">
        <v>1170</v>
      </c>
      <c r="F168" s="3" t="s">
        <v>594</v>
      </c>
      <c r="G168" s="7">
        <v>9.99</v>
      </c>
      <c r="H168" s="3" t="s">
        <v>595</v>
      </c>
      <c r="I168" s="3" t="s">
        <v>68</v>
      </c>
      <c r="J168" s="3" t="s">
        <v>29</v>
      </c>
      <c r="K168" s="9">
        <v>42483.625115740739</v>
      </c>
    </row>
    <row r="169" spans="3:11" x14ac:dyDescent="0.25">
      <c r="C169" t="str">
        <f>IF(COUNTBLANK(E169:K169) = 7,"",IF(AND(NOT(ISBLANK(E169)),COUNTBLANK(E169:K169) = 6),"3 Delete",IF(ISBLANK(E169),"2 Add",IF(SHA1Range(E169:K169) = "deda0835b42c66b11f4ff6dc2e452c9be4c68faa","0 Original","1 Modify"))))</f>
        <v>0 Original</v>
      </c>
      <c r="D169" s="3" t="s">
        <v>596</v>
      </c>
      <c r="E169" s="5">
        <v>1171</v>
      </c>
      <c r="F169" s="3" t="s">
        <v>597</v>
      </c>
      <c r="G169" s="7">
        <v>8.99</v>
      </c>
      <c r="H169" s="3" t="s">
        <v>598</v>
      </c>
      <c r="I169" s="3" t="s">
        <v>91</v>
      </c>
      <c r="J169" s="3" t="s">
        <v>29</v>
      </c>
      <c r="K169" s="9">
        <v>42483.625115740739</v>
      </c>
    </row>
    <row r="170" spans="3:11" x14ac:dyDescent="0.25">
      <c r="C170" t="str">
        <f>IF(COUNTBLANK(E170:K170) = 7,"",IF(AND(NOT(ISBLANK(E170)),COUNTBLANK(E170:K170) = 6),"3 Delete",IF(ISBLANK(E170),"2 Add",IF(SHA1Range(E170:K170) = "112c36cac23110c6b399a9da19a4fc1b9a25305b","0 Original","1 Modify"))))</f>
        <v>0 Original</v>
      </c>
      <c r="D170" s="3" t="s">
        <v>599</v>
      </c>
      <c r="E170" s="5">
        <v>1172</v>
      </c>
      <c r="F170" s="3" t="s">
        <v>600</v>
      </c>
      <c r="G170" s="7">
        <v>5.99</v>
      </c>
      <c r="H170" s="3" t="s">
        <v>601</v>
      </c>
      <c r="I170" s="3" t="s">
        <v>80</v>
      </c>
      <c r="J170" s="3" t="s">
        <v>29</v>
      </c>
      <c r="K170" s="9">
        <v>42483.625115740739</v>
      </c>
    </row>
    <row r="171" spans="3:11" x14ac:dyDescent="0.25">
      <c r="C171" t="str">
        <f>IF(COUNTBLANK(E171:K171) = 7,"",IF(AND(NOT(ISBLANK(E171)),COUNTBLANK(E171:K171) = 6),"3 Delete",IF(ISBLANK(E171),"2 Add",IF(SHA1Range(E171:K171) = "38880c65e845ccdd3ffa0bb0d1ad3d9a4a7ce44c","0 Original","1 Modify"))))</f>
        <v>0 Original</v>
      </c>
      <c r="D171" s="3" t="s">
        <v>602</v>
      </c>
      <c r="E171" s="5">
        <v>1173</v>
      </c>
      <c r="F171" s="3" t="s">
        <v>603</v>
      </c>
      <c r="G171" s="7">
        <v>7.99</v>
      </c>
      <c r="H171" s="3" t="s">
        <v>604</v>
      </c>
      <c r="I171" s="3" t="s">
        <v>314</v>
      </c>
      <c r="J171" s="3" t="s">
        <v>29</v>
      </c>
      <c r="K171" s="9">
        <v>42483.625115740739</v>
      </c>
    </row>
    <row r="172" spans="3:11" x14ac:dyDescent="0.25">
      <c r="C172" t="str">
        <f>IF(COUNTBLANK(E172:K172) = 7,"",IF(AND(NOT(ISBLANK(E172)),COUNTBLANK(E172:K172) = 6),"3 Delete",IF(ISBLANK(E172),"2 Add",IF(SHA1Range(E172:K172) = "e1f1575632879062e54be4fb8803da0dc211b22f","0 Original","1 Modify"))))</f>
        <v>0 Original</v>
      </c>
      <c r="D172" s="3" t="s">
        <v>605</v>
      </c>
      <c r="E172" s="5">
        <v>1174</v>
      </c>
      <c r="F172" s="3" t="s">
        <v>606</v>
      </c>
      <c r="G172" s="7">
        <v>6.99</v>
      </c>
      <c r="H172" s="3" t="s">
        <v>607</v>
      </c>
      <c r="I172" s="3" t="s">
        <v>608</v>
      </c>
      <c r="J172" s="3" t="s">
        <v>29</v>
      </c>
      <c r="K172" s="9">
        <v>42483.625115740739</v>
      </c>
    </row>
    <row r="173" spans="3:11" x14ac:dyDescent="0.25">
      <c r="C173" t="str">
        <f>IF(COUNTBLANK(E173:K173) = 7,"",IF(AND(NOT(ISBLANK(E173)),COUNTBLANK(E173:K173) = 6),"3 Delete",IF(ISBLANK(E173),"2 Add",IF(SHA1Range(E173:K173) = "17efb477ac98f353854001f276b5997ec83df936","0 Original","1 Modify"))))</f>
        <v>0 Original</v>
      </c>
      <c r="D173" s="3" t="s">
        <v>609</v>
      </c>
      <c r="E173" s="5">
        <v>1001</v>
      </c>
      <c r="F173" s="3" t="s">
        <v>610</v>
      </c>
      <c r="G173" s="7">
        <v>5.9</v>
      </c>
      <c r="H173" s="3" t="s">
        <v>611</v>
      </c>
      <c r="I173" s="3" t="s">
        <v>68</v>
      </c>
      <c r="J173" s="3" t="s">
        <v>29</v>
      </c>
      <c r="K173" s="9">
        <v>42530.224108796298</v>
      </c>
    </row>
    <row r="174" spans="3:11" x14ac:dyDescent="0.25">
      <c r="C174" t="str">
        <f>IF(COUNTBLANK(E174:K174) = 7,"",IF(AND(NOT(ISBLANK(E174)),COUNTBLANK(E174:K174) = 6),"3 Delete",IF(ISBLANK(E174),"2 Add",IF(SHA1Range(E174:K174) = "15b107e75908455a9404f0a596e0a6d1ecee919e","0 Original","1 Modify"))))</f>
        <v>0 Original</v>
      </c>
      <c r="D174" s="3" t="s">
        <v>612</v>
      </c>
      <c r="E174" s="5">
        <v>1005</v>
      </c>
      <c r="F174" s="3" t="s">
        <v>613</v>
      </c>
      <c r="G174" s="7">
        <v>4.99</v>
      </c>
      <c r="H174" s="3" t="s">
        <v>614</v>
      </c>
      <c r="I174" s="3" t="s">
        <v>28</v>
      </c>
      <c r="J174" s="3" t="s">
        <v>29</v>
      </c>
      <c r="K174" s="9">
        <v>42530.641770833332</v>
      </c>
    </row>
    <row r="175" spans="3:11" x14ac:dyDescent="0.25">
      <c r="C175" t="str">
        <f>IF(COUNTBLANK(E175:K175) = 7,"",IF(AND(NOT(ISBLANK(E175)),COUNTBLANK(E175:K175) = 6),"3 Delete",IF(ISBLANK(E175),"2 Add",IF(SHA1Range(E175:K175) = "82a8d47ce8662caf00eb5c3bd7c90e32703e7eab","0 Original","1 Modify"))))</f>
        <v>0 Original</v>
      </c>
      <c r="D175" s="3" t="s">
        <v>615</v>
      </c>
      <c r="E175" s="5">
        <v>1010</v>
      </c>
      <c r="F175" s="3" t="s">
        <v>616</v>
      </c>
      <c r="G175" s="7">
        <v>9.99</v>
      </c>
      <c r="H175" s="3" t="s">
        <v>617</v>
      </c>
      <c r="I175" s="3" t="s">
        <v>28</v>
      </c>
      <c r="J175" s="3" t="s">
        <v>618</v>
      </c>
      <c r="K175" s="9">
        <v>42531.634409722225</v>
      </c>
    </row>
    <row r="176" spans="3:11" x14ac:dyDescent="0.25">
      <c r="C176" t="str">
        <f>IF(COUNTBLANK(E176:K176) = 7,"",IF(AND(NOT(ISBLANK(E176)),COUNTBLANK(E176:K176) = 6),"3 Delete",IF(ISBLANK(E176),"2 Add",IF(SHA1Range(E176:K176) = "b858cb282617fb0956d960215c8e84d1ccf909c6","0 Original","1 Modify"))))</f>
        <v/>
      </c>
    </row>
  </sheetData>
  <conditionalFormatting sqref="C2">
    <cfRule type="cellIs" dxfId="6614" priority="1" stopIfTrue="1" operator="equal">
      <formula>"1 Modify"</formula>
    </cfRule>
    <cfRule type="cellIs" dxfId="6613" priority="2" stopIfTrue="1" operator="equal">
      <formula>"2 Add"</formula>
    </cfRule>
    <cfRule type="cellIs" dxfId="6612" priority="3" stopIfTrue="1" operator="equal">
      <formula>"3 Delete"</formula>
    </cfRule>
  </conditionalFormatting>
  <conditionalFormatting sqref="C3">
    <cfRule type="cellIs" dxfId="6611" priority="4" stopIfTrue="1" operator="equal">
      <formula>"1 Modify"</formula>
    </cfRule>
    <cfRule type="cellIs" dxfId="6610" priority="5" stopIfTrue="1" operator="equal">
      <formula>"2 Add"</formula>
    </cfRule>
    <cfRule type="cellIs" dxfId="6609" priority="6" stopIfTrue="1" operator="equal">
      <formula>"3 Delete"</formula>
    </cfRule>
  </conditionalFormatting>
  <conditionalFormatting sqref="C4">
    <cfRule type="cellIs" dxfId="6608" priority="7" stopIfTrue="1" operator="equal">
      <formula>"1 Modify"</formula>
    </cfRule>
    <cfRule type="cellIs" dxfId="6607" priority="8" stopIfTrue="1" operator="equal">
      <formula>"2 Add"</formula>
    </cfRule>
    <cfRule type="cellIs" dxfId="6606" priority="9" stopIfTrue="1" operator="equal">
      <formula>"3 Delete"</formula>
    </cfRule>
  </conditionalFormatting>
  <conditionalFormatting sqref="C5">
    <cfRule type="cellIs" dxfId="6605" priority="10" stopIfTrue="1" operator="equal">
      <formula>"1 Modify"</formula>
    </cfRule>
    <cfRule type="cellIs" dxfId="6604" priority="11" stopIfTrue="1" operator="equal">
      <formula>"2 Add"</formula>
    </cfRule>
    <cfRule type="cellIs" dxfId="6603" priority="12" stopIfTrue="1" operator="equal">
      <formula>"3 Delete"</formula>
    </cfRule>
  </conditionalFormatting>
  <conditionalFormatting sqref="C6">
    <cfRule type="cellIs" dxfId="6602" priority="13" stopIfTrue="1" operator="equal">
      <formula>"1 Modify"</formula>
    </cfRule>
    <cfRule type="cellIs" dxfId="6601" priority="14" stopIfTrue="1" operator="equal">
      <formula>"2 Add"</formula>
    </cfRule>
    <cfRule type="cellIs" dxfId="6600" priority="15" stopIfTrue="1" operator="equal">
      <formula>"3 Delete"</formula>
    </cfRule>
  </conditionalFormatting>
  <conditionalFormatting sqref="C7">
    <cfRule type="cellIs" dxfId="6599" priority="16" stopIfTrue="1" operator="equal">
      <formula>"1 Modify"</formula>
    </cfRule>
    <cfRule type="cellIs" dxfId="6598" priority="17" stopIfTrue="1" operator="equal">
      <formula>"2 Add"</formula>
    </cfRule>
    <cfRule type="cellIs" dxfId="6597" priority="18" stopIfTrue="1" operator="equal">
      <formula>"3 Delete"</formula>
    </cfRule>
  </conditionalFormatting>
  <conditionalFormatting sqref="C8">
    <cfRule type="cellIs" dxfId="6596" priority="19" stopIfTrue="1" operator="equal">
      <formula>"1 Modify"</formula>
    </cfRule>
    <cfRule type="cellIs" dxfId="6595" priority="20" stopIfTrue="1" operator="equal">
      <formula>"2 Add"</formula>
    </cfRule>
    <cfRule type="cellIs" dxfId="6594" priority="21" stopIfTrue="1" operator="equal">
      <formula>"3 Delete"</formula>
    </cfRule>
  </conditionalFormatting>
  <conditionalFormatting sqref="C9">
    <cfRule type="cellIs" dxfId="6593" priority="22" stopIfTrue="1" operator="equal">
      <formula>"1 Modify"</formula>
    </cfRule>
    <cfRule type="cellIs" dxfId="6592" priority="23" stopIfTrue="1" operator="equal">
      <formula>"2 Add"</formula>
    </cfRule>
    <cfRule type="cellIs" dxfId="6591" priority="24" stopIfTrue="1" operator="equal">
      <formula>"3 Delete"</formula>
    </cfRule>
  </conditionalFormatting>
  <conditionalFormatting sqref="C10">
    <cfRule type="cellIs" dxfId="6590" priority="25" stopIfTrue="1" operator="equal">
      <formula>"1 Modify"</formula>
    </cfRule>
    <cfRule type="cellIs" dxfId="6589" priority="26" stopIfTrue="1" operator="equal">
      <formula>"2 Add"</formula>
    </cfRule>
    <cfRule type="cellIs" dxfId="6588" priority="27" stopIfTrue="1" operator="equal">
      <formula>"3 Delete"</formula>
    </cfRule>
  </conditionalFormatting>
  <conditionalFormatting sqref="C11">
    <cfRule type="cellIs" dxfId="6587" priority="28" stopIfTrue="1" operator="equal">
      <formula>"1 Modify"</formula>
    </cfRule>
    <cfRule type="cellIs" dxfId="6586" priority="29" stopIfTrue="1" operator="equal">
      <formula>"2 Add"</formula>
    </cfRule>
    <cfRule type="cellIs" dxfId="6585" priority="30" stopIfTrue="1" operator="equal">
      <formula>"3 Delete"</formula>
    </cfRule>
  </conditionalFormatting>
  <conditionalFormatting sqref="C12">
    <cfRule type="cellIs" dxfId="6584" priority="31" stopIfTrue="1" operator="equal">
      <formula>"1 Modify"</formula>
    </cfRule>
    <cfRule type="cellIs" dxfId="6583" priority="32" stopIfTrue="1" operator="equal">
      <formula>"2 Add"</formula>
    </cfRule>
    <cfRule type="cellIs" dxfId="6582" priority="33" stopIfTrue="1" operator="equal">
      <formula>"3 Delete"</formula>
    </cfRule>
  </conditionalFormatting>
  <conditionalFormatting sqref="C13">
    <cfRule type="cellIs" dxfId="6581" priority="34" stopIfTrue="1" operator="equal">
      <formula>"1 Modify"</formula>
    </cfRule>
    <cfRule type="cellIs" dxfId="6580" priority="35" stopIfTrue="1" operator="equal">
      <formula>"2 Add"</formula>
    </cfRule>
    <cfRule type="cellIs" dxfId="6579" priority="36" stopIfTrue="1" operator="equal">
      <formula>"3 Delete"</formula>
    </cfRule>
  </conditionalFormatting>
  <conditionalFormatting sqref="C14">
    <cfRule type="cellIs" dxfId="6578" priority="37" stopIfTrue="1" operator="equal">
      <formula>"1 Modify"</formula>
    </cfRule>
    <cfRule type="cellIs" dxfId="6577" priority="38" stopIfTrue="1" operator="equal">
      <formula>"2 Add"</formula>
    </cfRule>
    <cfRule type="cellIs" dxfId="6576" priority="39" stopIfTrue="1" operator="equal">
      <formula>"3 Delete"</formula>
    </cfRule>
  </conditionalFormatting>
  <conditionalFormatting sqref="C15">
    <cfRule type="cellIs" dxfId="6575" priority="40" stopIfTrue="1" operator="equal">
      <formula>"1 Modify"</formula>
    </cfRule>
    <cfRule type="cellIs" dxfId="6574" priority="41" stopIfTrue="1" operator="equal">
      <formula>"2 Add"</formula>
    </cfRule>
    <cfRule type="cellIs" dxfId="6573" priority="42" stopIfTrue="1" operator="equal">
      <formula>"3 Delete"</formula>
    </cfRule>
  </conditionalFormatting>
  <conditionalFormatting sqref="C16">
    <cfRule type="cellIs" dxfId="6572" priority="43" stopIfTrue="1" operator="equal">
      <formula>"1 Modify"</formula>
    </cfRule>
    <cfRule type="cellIs" dxfId="6571" priority="44" stopIfTrue="1" operator="equal">
      <formula>"2 Add"</formula>
    </cfRule>
    <cfRule type="cellIs" dxfId="6570" priority="45" stopIfTrue="1" operator="equal">
      <formula>"3 Delete"</formula>
    </cfRule>
  </conditionalFormatting>
  <conditionalFormatting sqref="C17">
    <cfRule type="cellIs" dxfId="6569" priority="46" stopIfTrue="1" operator="equal">
      <formula>"1 Modify"</formula>
    </cfRule>
    <cfRule type="cellIs" dxfId="6568" priority="47" stopIfTrue="1" operator="equal">
      <formula>"2 Add"</formula>
    </cfRule>
    <cfRule type="cellIs" dxfId="6567" priority="48" stopIfTrue="1" operator="equal">
      <formula>"3 Delete"</formula>
    </cfRule>
  </conditionalFormatting>
  <conditionalFormatting sqref="C18">
    <cfRule type="cellIs" dxfId="6566" priority="49" stopIfTrue="1" operator="equal">
      <formula>"1 Modify"</formula>
    </cfRule>
    <cfRule type="cellIs" dxfId="6565" priority="50" stopIfTrue="1" operator="equal">
      <formula>"2 Add"</formula>
    </cfRule>
    <cfRule type="cellIs" dxfId="6564" priority="51" stopIfTrue="1" operator="equal">
      <formula>"3 Delete"</formula>
    </cfRule>
  </conditionalFormatting>
  <conditionalFormatting sqref="C19">
    <cfRule type="cellIs" dxfId="6563" priority="52" stopIfTrue="1" operator="equal">
      <formula>"1 Modify"</formula>
    </cfRule>
    <cfRule type="cellIs" dxfId="6562" priority="53" stopIfTrue="1" operator="equal">
      <formula>"2 Add"</formula>
    </cfRule>
    <cfRule type="cellIs" dxfId="6561" priority="54" stopIfTrue="1" operator="equal">
      <formula>"3 Delete"</formula>
    </cfRule>
  </conditionalFormatting>
  <conditionalFormatting sqref="C20">
    <cfRule type="cellIs" dxfId="6560" priority="55" stopIfTrue="1" operator="equal">
      <formula>"1 Modify"</formula>
    </cfRule>
    <cfRule type="cellIs" dxfId="6559" priority="56" stopIfTrue="1" operator="equal">
      <formula>"2 Add"</formula>
    </cfRule>
    <cfRule type="cellIs" dxfId="6558" priority="57" stopIfTrue="1" operator="equal">
      <formula>"3 Delete"</formula>
    </cfRule>
  </conditionalFormatting>
  <conditionalFormatting sqref="C21">
    <cfRule type="cellIs" dxfId="6557" priority="58" stopIfTrue="1" operator="equal">
      <formula>"1 Modify"</formula>
    </cfRule>
    <cfRule type="cellIs" dxfId="6556" priority="59" stopIfTrue="1" operator="equal">
      <formula>"2 Add"</formula>
    </cfRule>
    <cfRule type="cellIs" dxfId="6555" priority="60" stopIfTrue="1" operator="equal">
      <formula>"3 Delete"</formula>
    </cfRule>
  </conditionalFormatting>
  <conditionalFormatting sqref="C22">
    <cfRule type="cellIs" dxfId="6554" priority="61" stopIfTrue="1" operator="equal">
      <formula>"1 Modify"</formula>
    </cfRule>
  </conditionalFormatting>
  <conditionalFormatting sqref="C22">
    <cfRule type="cellIs" dxfId="6553" priority="62" stopIfTrue="1" operator="equal">
      <formula>"2 Add"</formula>
    </cfRule>
  </conditionalFormatting>
  <conditionalFormatting sqref="C22">
    <cfRule type="cellIs" dxfId="6552" priority="63" stopIfTrue="1" operator="equal">
      <formula>"3 Delete"</formula>
    </cfRule>
  </conditionalFormatting>
  <conditionalFormatting sqref="C23">
    <cfRule type="cellIs" dxfId="6551" priority="64" stopIfTrue="1" operator="equal">
      <formula>"1 Modify"</formula>
    </cfRule>
  </conditionalFormatting>
  <conditionalFormatting sqref="C23">
    <cfRule type="cellIs" dxfId="6550" priority="65" stopIfTrue="1" operator="equal">
      <formula>"2 Add"</formula>
    </cfRule>
  </conditionalFormatting>
  <conditionalFormatting sqref="C23">
    <cfRule type="cellIs" dxfId="6549" priority="66" stopIfTrue="1" operator="equal">
      <formula>"3 Delete"</formula>
    </cfRule>
  </conditionalFormatting>
  <conditionalFormatting sqref="C24">
    <cfRule type="cellIs" dxfId="6548" priority="67" stopIfTrue="1" operator="equal">
      <formula>"1 Modify"</formula>
    </cfRule>
  </conditionalFormatting>
  <conditionalFormatting sqref="C24">
    <cfRule type="cellIs" dxfId="6547" priority="68" stopIfTrue="1" operator="equal">
      <formula>"2 Add"</formula>
    </cfRule>
  </conditionalFormatting>
  <conditionalFormatting sqref="C24">
    <cfRule type="cellIs" dxfId="6546" priority="69" stopIfTrue="1" operator="equal">
      <formula>"3 Delete"</formula>
    </cfRule>
  </conditionalFormatting>
  <conditionalFormatting sqref="C25">
    <cfRule type="cellIs" dxfId="6545" priority="70" stopIfTrue="1" operator="equal">
      <formula>"1 Modify"</formula>
    </cfRule>
  </conditionalFormatting>
  <conditionalFormatting sqref="C25">
    <cfRule type="cellIs" dxfId="6544" priority="71" stopIfTrue="1" operator="equal">
      <formula>"2 Add"</formula>
    </cfRule>
  </conditionalFormatting>
  <conditionalFormatting sqref="C25">
    <cfRule type="cellIs" dxfId="6543" priority="72" stopIfTrue="1" operator="equal">
      <formula>"3 Delete"</formula>
    </cfRule>
  </conditionalFormatting>
  <conditionalFormatting sqref="C26">
    <cfRule type="cellIs" dxfId="6542" priority="73" stopIfTrue="1" operator="equal">
      <formula>"1 Modify"</formula>
    </cfRule>
  </conditionalFormatting>
  <conditionalFormatting sqref="C26">
    <cfRule type="cellIs" dxfId="6541" priority="74" stopIfTrue="1" operator="equal">
      <formula>"2 Add"</formula>
    </cfRule>
  </conditionalFormatting>
  <conditionalFormatting sqref="C26">
    <cfRule type="cellIs" dxfId="6540" priority="75" stopIfTrue="1" operator="equal">
      <formula>"3 Delete"</formula>
    </cfRule>
  </conditionalFormatting>
  <conditionalFormatting sqref="C27">
    <cfRule type="cellIs" dxfId="6539" priority="76" stopIfTrue="1" operator="equal">
      <formula>"1 Modify"</formula>
    </cfRule>
  </conditionalFormatting>
  <conditionalFormatting sqref="C27">
    <cfRule type="cellIs" dxfId="6538" priority="77" stopIfTrue="1" operator="equal">
      <formula>"2 Add"</formula>
    </cfRule>
  </conditionalFormatting>
  <conditionalFormatting sqref="C27">
    <cfRule type="cellIs" dxfId="6537" priority="78" stopIfTrue="1" operator="equal">
      <formula>"3 Delete"</formula>
    </cfRule>
  </conditionalFormatting>
  <conditionalFormatting sqref="C28">
    <cfRule type="cellIs" dxfId="6536" priority="79" stopIfTrue="1" operator="equal">
      <formula>"1 Modify"</formula>
    </cfRule>
  </conditionalFormatting>
  <conditionalFormatting sqref="C28">
    <cfRule type="cellIs" dxfId="6535" priority="80" stopIfTrue="1" operator="equal">
      <formula>"2 Add"</formula>
    </cfRule>
  </conditionalFormatting>
  <conditionalFormatting sqref="C28">
    <cfRule type="cellIs" dxfId="6534" priority="81" stopIfTrue="1" operator="equal">
      <formula>"3 Delete"</formula>
    </cfRule>
  </conditionalFormatting>
  <conditionalFormatting sqref="C29">
    <cfRule type="cellIs" dxfId="6533" priority="82" stopIfTrue="1" operator="equal">
      <formula>"1 Modify"</formula>
    </cfRule>
  </conditionalFormatting>
  <conditionalFormatting sqref="C29">
    <cfRule type="cellIs" dxfId="6532" priority="83" stopIfTrue="1" operator="equal">
      <formula>"2 Add"</formula>
    </cfRule>
  </conditionalFormatting>
  <conditionalFormatting sqref="C29">
    <cfRule type="cellIs" dxfId="6531" priority="84" stopIfTrue="1" operator="equal">
      <formula>"3 Delete"</formula>
    </cfRule>
  </conditionalFormatting>
  <conditionalFormatting sqref="C30">
    <cfRule type="cellIs" dxfId="6530" priority="85" stopIfTrue="1" operator="equal">
      <formula>"1 Modify"</formula>
    </cfRule>
  </conditionalFormatting>
  <conditionalFormatting sqref="C30">
    <cfRule type="cellIs" dxfId="6529" priority="86" stopIfTrue="1" operator="equal">
      <formula>"2 Add"</formula>
    </cfRule>
  </conditionalFormatting>
  <conditionalFormatting sqref="C30">
    <cfRule type="cellIs" dxfId="6528" priority="87" stopIfTrue="1" operator="equal">
      <formula>"3 Delete"</formula>
    </cfRule>
  </conditionalFormatting>
  <conditionalFormatting sqref="C31">
    <cfRule type="cellIs" dxfId="6527" priority="88" stopIfTrue="1" operator="equal">
      <formula>"1 Modify"</formula>
    </cfRule>
  </conditionalFormatting>
  <conditionalFormatting sqref="C31">
    <cfRule type="cellIs" dxfId="6526" priority="89" stopIfTrue="1" operator="equal">
      <formula>"2 Add"</formula>
    </cfRule>
  </conditionalFormatting>
  <conditionalFormatting sqref="C31">
    <cfRule type="cellIs" dxfId="6525" priority="90" stopIfTrue="1" operator="equal">
      <formula>"3 Delete"</formula>
    </cfRule>
  </conditionalFormatting>
  <conditionalFormatting sqref="C32">
    <cfRule type="cellIs" dxfId="6524" priority="91" stopIfTrue="1" operator="equal">
      <formula>"1 Modify"</formula>
    </cfRule>
  </conditionalFormatting>
  <conditionalFormatting sqref="C32">
    <cfRule type="cellIs" dxfId="6523" priority="92" stopIfTrue="1" operator="equal">
      <formula>"2 Add"</formula>
    </cfRule>
  </conditionalFormatting>
  <conditionalFormatting sqref="C32">
    <cfRule type="cellIs" dxfId="6522" priority="93" stopIfTrue="1" operator="equal">
      <formula>"3 Delete"</formula>
    </cfRule>
  </conditionalFormatting>
  <conditionalFormatting sqref="C33">
    <cfRule type="cellIs" dxfId="6521" priority="94" stopIfTrue="1" operator="equal">
      <formula>"1 Modify"</formula>
    </cfRule>
  </conditionalFormatting>
  <conditionalFormatting sqref="C33">
    <cfRule type="cellIs" dxfId="6520" priority="95" stopIfTrue="1" operator="equal">
      <formula>"2 Add"</formula>
    </cfRule>
  </conditionalFormatting>
  <conditionalFormatting sqref="C33">
    <cfRule type="cellIs" dxfId="6519" priority="96" stopIfTrue="1" operator="equal">
      <formula>"3 Delete"</formula>
    </cfRule>
  </conditionalFormatting>
  <conditionalFormatting sqref="C34">
    <cfRule type="cellIs" dxfId="6518" priority="97" stopIfTrue="1" operator="equal">
      <formula>"1 Modify"</formula>
    </cfRule>
  </conditionalFormatting>
  <conditionalFormatting sqref="C34">
    <cfRule type="cellIs" dxfId="6517" priority="98" stopIfTrue="1" operator="equal">
      <formula>"2 Add"</formula>
    </cfRule>
  </conditionalFormatting>
  <conditionalFormatting sqref="C34">
    <cfRule type="cellIs" dxfId="6516" priority="99" stopIfTrue="1" operator="equal">
      <formula>"3 Delete"</formula>
    </cfRule>
  </conditionalFormatting>
  <conditionalFormatting sqref="C35">
    <cfRule type="cellIs" dxfId="6515" priority="100" stopIfTrue="1" operator="equal">
      <formula>"1 Modify"</formula>
    </cfRule>
  </conditionalFormatting>
  <conditionalFormatting sqref="C35">
    <cfRule type="cellIs" dxfId="6514" priority="101" stopIfTrue="1" operator="equal">
      <formula>"2 Add"</formula>
    </cfRule>
  </conditionalFormatting>
  <conditionalFormatting sqref="C35">
    <cfRule type="cellIs" dxfId="6513" priority="102" stopIfTrue="1" operator="equal">
      <formula>"3 Delete"</formula>
    </cfRule>
  </conditionalFormatting>
  <conditionalFormatting sqref="C36">
    <cfRule type="cellIs" dxfId="6512" priority="103" stopIfTrue="1" operator="equal">
      <formula>"1 Modify"</formula>
    </cfRule>
  </conditionalFormatting>
  <conditionalFormatting sqref="C36">
    <cfRule type="cellIs" dxfId="6511" priority="104" stopIfTrue="1" operator="equal">
      <formula>"2 Add"</formula>
    </cfRule>
  </conditionalFormatting>
  <conditionalFormatting sqref="C36">
    <cfRule type="cellIs" dxfId="6510" priority="105" stopIfTrue="1" operator="equal">
      <formula>"3 Delete"</formula>
    </cfRule>
  </conditionalFormatting>
  <conditionalFormatting sqref="C37">
    <cfRule type="cellIs" dxfId="6509" priority="106" stopIfTrue="1" operator="equal">
      <formula>"1 Modify"</formula>
    </cfRule>
  </conditionalFormatting>
  <conditionalFormatting sqref="C37">
    <cfRule type="cellIs" dxfId="6508" priority="107" stopIfTrue="1" operator="equal">
      <formula>"2 Add"</formula>
    </cfRule>
  </conditionalFormatting>
  <conditionalFormatting sqref="C37">
    <cfRule type="cellIs" dxfId="6507" priority="108" stopIfTrue="1" operator="equal">
      <formula>"3 Delete"</formula>
    </cfRule>
  </conditionalFormatting>
  <conditionalFormatting sqref="C38">
    <cfRule type="cellIs" dxfId="6506" priority="109" stopIfTrue="1" operator="equal">
      <formula>"1 Modify"</formula>
    </cfRule>
  </conditionalFormatting>
  <conditionalFormatting sqref="C38">
    <cfRule type="cellIs" dxfId="6505" priority="110" stopIfTrue="1" operator="equal">
      <formula>"2 Add"</formula>
    </cfRule>
  </conditionalFormatting>
  <conditionalFormatting sqref="C38">
    <cfRule type="cellIs" dxfId="6504" priority="111" stopIfTrue="1" operator="equal">
      <formula>"3 Delete"</formula>
    </cfRule>
  </conditionalFormatting>
  <conditionalFormatting sqref="C39">
    <cfRule type="cellIs" dxfId="6503" priority="112" stopIfTrue="1" operator="equal">
      <formula>"1 Modify"</formula>
    </cfRule>
  </conditionalFormatting>
  <conditionalFormatting sqref="C39">
    <cfRule type="cellIs" dxfId="6502" priority="113" stopIfTrue="1" operator="equal">
      <formula>"2 Add"</formula>
    </cfRule>
  </conditionalFormatting>
  <conditionalFormatting sqref="C39">
    <cfRule type="cellIs" dxfId="6501" priority="114" stopIfTrue="1" operator="equal">
      <formula>"3 Delete"</formula>
    </cfRule>
  </conditionalFormatting>
  <conditionalFormatting sqref="C40">
    <cfRule type="cellIs" dxfId="6500" priority="115" stopIfTrue="1" operator="equal">
      <formula>"1 Modify"</formula>
    </cfRule>
  </conditionalFormatting>
  <conditionalFormatting sqref="C40">
    <cfRule type="cellIs" dxfId="6499" priority="116" stopIfTrue="1" operator="equal">
      <formula>"2 Add"</formula>
    </cfRule>
  </conditionalFormatting>
  <conditionalFormatting sqref="C40">
    <cfRule type="cellIs" dxfId="6498" priority="117" stopIfTrue="1" operator="equal">
      <formula>"3 Delete"</formula>
    </cfRule>
  </conditionalFormatting>
  <conditionalFormatting sqref="C41">
    <cfRule type="cellIs" dxfId="6497" priority="118" stopIfTrue="1" operator="equal">
      <formula>"1 Modify"</formula>
    </cfRule>
  </conditionalFormatting>
  <conditionalFormatting sqref="C41">
    <cfRule type="cellIs" dxfId="6496" priority="119" stopIfTrue="1" operator="equal">
      <formula>"2 Add"</formula>
    </cfRule>
  </conditionalFormatting>
  <conditionalFormatting sqref="C41">
    <cfRule type="cellIs" dxfId="6495" priority="120" stopIfTrue="1" operator="equal">
      <formula>"3 Delete"</formula>
    </cfRule>
  </conditionalFormatting>
  <conditionalFormatting sqref="C42">
    <cfRule type="cellIs" dxfId="6494" priority="121" stopIfTrue="1" operator="equal">
      <formula>"1 Modify"</formula>
    </cfRule>
  </conditionalFormatting>
  <conditionalFormatting sqref="C42">
    <cfRule type="cellIs" dxfId="6493" priority="122" stopIfTrue="1" operator="equal">
      <formula>"2 Add"</formula>
    </cfRule>
  </conditionalFormatting>
  <conditionalFormatting sqref="C42">
    <cfRule type="cellIs" dxfId="6492" priority="123" stopIfTrue="1" operator="equal">
      <formula>"3 Delete"</formula>
    </cfRule>
  </conditionalFormatting>
  <conditionalFormatting sqref="C43">
    <cfRule type="cellIs" dxfId="6491" priority="124" stopIfTrue="1" operator="equal">
      <formula>"1 Modify"</formula>
    </cfRule>
  </conditionalFormatting>
  <conditionalFormatting sqref="C43">
    <cfRule type="cellIs" dxfId="6490" priority="125" stopIfTrue="1" operator="equal">
      <formula>"2 Add"</formula>
    </cfRule>
  </conditionalFormatting>
  <conditionalFormatting sqref="C43">
    <cfRule type="cellIs" dxfId="6489" priority="126" stopIfTrue="1" operator="equal">
      <formula>"3 Delete"</formula>
    </cfRule>
  </conditionalFormatting>
  <conditionalFormatting sqref="C44">
    <cfRule type="cellIs" dxfId="6488" priority="127" stopIfTrue="1" operator="equal">
      <formula>"1 Modify"</formula>
    </cfRule>
  </conditionalFormatting>
  <conditionalFormatting sqref="C44">
    <cfRule type="cellIs" dxfId="6487" priority="128" stopIfTrue="1" operator="equal">
      <formula>"2 Add"</formula>
    </cfRule>
  </conditionalFormatting>
  <conditionalFormatting sqref="C44">
    <cfRule type="cellIs" dxfId="6486" priority="129" stopIfTrue="1" operator="equal">
      <formula>"3 Delete"</formula>
    </cfRule>
  </conditionalFormatting>
  <conditionalFormatting sqref="C45">
    <cfRule type="cellIs" dxfId="6485" priority="130" stopIfTrue="1" operator="equal">
      <formula>"1 Modify"</formula>
    </cfRule>
  </conditionalFormatting>
  <conditionalFormatting sqref="C45">
    <cfRule type="cellIs" dxfId="6484" priority="131" stopIfTrue="1" operator="equal">
      <formula>"2 Add"</formula>
    </cfRule>
  </conditionalFormatting>
  <conditionalFormatting sqref="C45">
    <cfRule type="cellIs" dxfId="6483" priority="132" stopIfTrue="1" operator="equal">
      <formula>"3 Delete"</formula>
    </cfRule>
  </conditionalFormatting>
  <conditionalFormatting sqref="C46">
    <cfRule type="cellIs" dxfId="6482" priority="133" stopIfTrue="1" operator="equal">
      <formula>"1 Modify"</formula>
    </cfRule>
  </conditionalFormatting>
  <conditionalFormatting sqref="C46">
    <cfRule type="cellIs" dxfId="6481" priority="134" stopIfTrue="1" operator="equal">
      <formula>"2 Add"</formula>
    </cfRule>
  </conditionalFormatting>
  <conditionalFormatting sqref="C46">
    <cfRule type="cellIs" dxfId="6480" priority="135" stopIfTrue="1" operator="equal">
      <formula>"3 Delete"</formula>
    </cfRule>
  </conditionalFormatting>
  <conditionalFormatting sqref="C47">
    <cfRule type="cellIs" dxfId="6479" priority="136" stopIfTrue="1" operator="equal">
      <formula>"1 Modify"</formula>
    </cfRule>
  </conditionalFormatting>
  <conditionalFormatting sqref="C47">
    <cfRule type="cellIs" dxfId="6478" priority="137" stopIfTrue="1" operator="equal">
      <formula>"2 Add"</formula>
    </cfRule>
  </conditionalFormatting>
  <conditionalFormatting sqref="C47">
    <cfRule type="cellIs" dxfId="6477" priority="138" stopIfTrue="1" operator="equal">
      <formula>"3 Delete"</formula>
    </cfRule>
  </conditionalFormatting>
  <conditionalFormatting sqref="C48">
    <cfRule type="cellIs" dxfId="6476" priority="139" stopIfTrue="1" operator="equal">
      <formula>"1 Modify"</formula>
    </cfRule>
  </conditionalFormatting>
  <conditionalFormatting sqref="C48">
    <cfRule type="cellIs" dxfId="6475" priority="140" stopIfTrue="1" operator="equal">
      <formula>"2 Add"</formula>
    </cfRule>
  </conditionalFormatting>
  <conditionalFormatting sqref="C48">
    <cfRule type="cellIs" dxfId="6474" priority="141" stopIfTrue="1" operator="equal">
      <formula>"3 Delete"</formula>
    </cfRule>
  </conditionalFormatting>
  <conditionalFormatting sqref="C49">
    <cfRule type="cellIs" dxfId="6473" priority="142" stopIfTrue="1" operator="equal">
      <formula>"1 Modify"</formula>
    </cfRule>
  </conditionalFormatting>
  <conditionalFormatting sqref="C49">
    <cfRule type="cellIs" dxfId="6472" priority="143" stopIfTrue="1" operator="equal">
      <formula>"2 Add"</formula>
    </cfRule>
  </conditionalFormatting>
  <conditionalFormatting sqref="C49">
    <cfRule type="cellIs" dxfId="6471" priority="144" stopIfTrue="1" operator="equal">
      <formula>"3 Delete"</formula>
    </cfRule>
  </conditionalFormatting>
  <conditionalFormatting sqref="C50">
    <cfRule type="cellIs" dxfId="6470" priority="145" stopIfTrue="1" operator="equal">
      <formula>"1 Modify"</formula>
    </cfRule>
  </conditionalFormatting>
  <conditionalFormatting sqref="C50">
    <cfRule type="cellIs" dxfId="6469" priority="146" stopIfTrue="1" operator="equal">
      <formula>"2 Add"</formula>
    </cfRule>
  </conditionalFormatting>
  <conditionalFormatting sqref="C50">
    <cfRule type="cellIs" dxfId="6468" priority="147" stopIfTrue="1" operator="equal">
      <formula>"3 Delete"</formula>
    </cfRule>
  </conditionalFormatting>
  <conditionalFormatting sqref="C51">
    <cfRule type="cellIs" dxfId="6467" priority="148" stopIfTrue="1" operator="equal">
      <formula>"1 Modify"</formula>
    </cfRule>
  </conditionalFormatting>
  <conditionalFormatting sqref="C51">
    <cfRule type="cellIs" dxfId="6466" priority="149" stopIfTrue="1" operator="equal">
      <formula>"2 Add"</formula>
    </cfRule>
  </conditionalFormatting>
  <conditionalFormatting sqref="C51">
    <cfRule type="cellIs" dxfId="6465" priority="150" stopIfTrue="1" operator="equal">
      <formula>"3 Delete"</formula>
    </cfRule>
  </conditionalFormatting>
  <conditionalFormatting sqref="C52">
    <cfRule type="cellIs" dxfId="6464" priority="151" stopIfTrue="1" operator="equal">
      <formula>"1 Modify"</formula>
    </cfRule>
  </conditionalFormatting>
  <conditionalFormatting sqref="C52">
    <cfRule type="cellIs" dxfId="6463" priority="152" stopIfTrue="1" operator="equal">
      <formula>"2 Add"</formula>
    </cfRule>
  </conditionalFormatting>
  <conditionalFormatting sqref="C52">
    <cfRule type="cellIs" dxfId="6462" priority="153" stopIfTrue="1" operator="equal">
      <formula>"3 Delete"</formula>
    </cfRule>
  </conditionalFormatting>
  <conditionalFormatting sqref="C53">
    <cfRule type="cellIs" dxfId="6461" priority="154" stopIfTrue="1" operator="equal">
      <formula>"1 Modify"</formula>
    </cfRule>
  </conditionalFormatting>
  <conditionalFormatting sqref="C53">
    <cfRule type="cellIs" dxfId="6460" priority="155" stopIfTrue="1" operator="equal">
      <formula>"2 Add"</formula>
    </cfRule>
  </conditionalFormatting>
  <conditionalFormatting sqref="C53">
    <cfRule type="cellIs" dxfId="6459" priority="156" stopIfTrue="1" operator="equal">
      <formula>"3 Delete"</formula>
    </cfRule>
  </conditionalFormatting>
  <conditionalFormatting sqref="C54">
    <cfRule type="cellIs" dxfId="6458" priority="157" stopIfTrue="1" operator="equal">
      <formula>"1 Modify"</formula>
    </cfRule>
  </conditionalFormatting>
  <conditionalFormatting sqref="C54">
    <cfRule type="cellIs" dxfId="6457" priority="158" stopIfTrue="1" operator="equal">
      <formula>"2 Add"</formula>
    </cfRule>
  </conditionalFormatting>
  <conditionalFormatting sqref="C54">
    <cfRule type="cellIs" dxfId="6456" priority="159" stopIfTrue="1" operator="equal">
      <formula>"3 Delete"</formula>
    </cfRule>
  </conditionalFormatting>
  <conditionalFormatting sqref="C55">
    <cfRule type="cellIs" dxfId="6455" priority="160" stopIfTrue="1" operator="equal">
      <formula>"1 Modify"</formula>
    </cfRule>
  </conditionalFormatting>
  <conditionalFormatting sqref="C55">
    <cfRule type="cellIs" dxfId="6454" priority="161" stopIfTrue="1" operator="equal">
      <formula>"2 Add"</formula>
    </cfRule>
  </conditionalFormatting>
  <conditionalFormatting sqref="C55">
    <cfRule type="cellIs" dxfId="6453" priority="162" stopIfTrue="1" operator="equal">
      <formula>"3 Delete"</formula>
    </cfRule>
  </conditionalFormatting>
  <conditionalFormatting sqref="C56">
    <cfRule type="cellIs" dxfId="6452" priority="163" stopIfTrue="1" operator="equal">
      <formula>"1 Modify"</formula>
    </cfRule>
  </conditionalFormatting>
  <conditionalFormatting sqref="C56">
    <cfRule type="cellIs" dxfId="6451" priority="164" stopIfTrue="1" operator="equal">
      <formula>"2 Add"</formula>
    </cfRule>
  </conditionalFormatting>
  <conditionalFormatting sqref="C56">
    <cfRule type="cellIs" dxfId="6450" priority="165" stopIfTrue="1" operator="equal">
      <formula>"3 Delete"</formula>
    </cfRule>
  </conditionalFormatting>
  <conditionalFormatting sqref="C57">
    <cfRule type="cellIs" dxfId="6449" priority="166" stopIfTrue="1" operator="equal">
      <formula>"1 Modify"</formula>
    </cfRule>
  </conditionalFormatting>
  <conditionalFormatting sqref="C57">
    <cfRule type="cellIs" dxfId="6448" priority="167" stopIfTrue="1" operator="equal">
      <formula>"2 Add"</formula>
    </cfRule>
  </conditionalFormatting>
  <conditionalFormatting sqref="C57">
    <cfRule type="cellIs" dxfId="6447" priority="168" stopIfTrue="1" operator="equal">
      <formula>"3 Delete"</formula>
    </cfRule>
  </conditionalFormatting>
  <conditionalFormatting sqref="C58">
    <cfRule type="cellIs" dxfId="6446" priority="169" stopIfTrue="1" operator="equal">
      <formula>"1 Modify"</formula>
    </cfRule>
  </conditionalFormatting>
  <conditionalFormatting sqref="C58">
    <cfRule type="cellIs" dxfId="6445" priority="170" stopIfTrue="1" operator="equal">
      <formula>"2 Add"</formula>
    </cfRule>
  </conditionalFormatting>
  <conditionalFormatting sqref="C58">
    <cfRule type="cellIs" dxfId="6444" priority="171" stopIfTrue="1" operator="equal">
      <formula>"3 Delete"</formula>
    </cfRule>
  </conditionalFormatting>
  <conditionalFormatting sqref="C59">
    <cfRule type="cellIs" dxfId="6443" priority="172" stopIfTrue="1" operator="equal">
      <formula>"1 Modify"</formula>
    </cfRule>
  </conditionalFormatting>
  <conditionalFormatting sqref="C59">
    <cfRule type="cellIs" dxfId="6442" priority="173" stopIfTrue="1" operator="equal">
      <formula>"2 Add"</formula>
    </cfRule>
  </conditionalFormatting>
  <conditionalFormatting sqref="C59">
    <cfRule type="cellIs" dxfId="6441" priority="174" stopIfTrue="1" operator="equal">
      <formula>"3 Delete"</formula>
    </cfRule>
  </conditionalFormatting>
  <conditionalFormatting sqref="C60">
    <cfRule type="cellIs" dxfId="6440" priority="175" stopIfTrue="1" operator="equal">
      <formula>"1 Modify"</formula>
    </cfRule>
  </conditionalFormatting>
  <conditionalFormatting sqref="C60">
    <cfRule type="cellIs" dxfId="6439" priority="176" stopIfTrue="1" operator="equal">
      <formula>"2 Add"</formula>
    </cfRule>
  </conditionalFormatting>
  <conditionalFormatting sqref="C60">
    <cfRule type="cellIs" dxfId="6438" priority="177" stopIfTrue="1" operator="equal">
      <formula>"3 Delete"</formula>
    </cfRule>
  </conditionalFormatting>
  <conditionalFormatting sqref="C61">
    <cfRule type="cellIs" dxfId="6437" priority="178" stopIfTrue="1" operator="equal">
      <formula>"1 Modify"</formula>
    </cfRule>
  </conditionalFormatting>
  <conditionalFormatting sqref="C61">
    <cfRule type="cellIs" dxfId="6436" priority="179" stopIfTrue="1" operator="equal">
      <formula>"2 Add"</formula>
    </cfRule>
  </conditionalFormatting>
  <conditionalFormatting sqref="C61">
    <cfRule type="cellIs" dxfId="6435" priority="180" stopIfTrue="1" operator="equal">
      <formula>"3 Delete"</formula>
    </cfRule>
  </conditionalFormatting>
  <conditionalFormatting sqref="C62">
    <cfRule type="cellIs" dxfId="6434" priority="181" stopIfTrue="1" operator="equal">
      <formula>"1 Modify"</formula>
    </cfRule>
  </conditionalFormatting>
  <conditionalFormatting sqref="C62">
    <cfRule type="cellIs" dxfId="6433" priority="182" stopIfTrue="1" operator="equal">
      <formula>"2 Add"</formula>
    </cfRule>
  </conditionalFormatting>
  <conditionalFormatting sqref="C62">
    <cfRule type="cellIs" dxfId="6432" priority="183" stopIfTrue="1" operator="equal">
      <formula>"3 Delete"</formula>
    </cfRule>
  </conditionalFormatting>
  <conditionalFormatting sqref="C63">
    <cfRule type="cellIs" dxfId="6431" priority="184" stopIfTrue="1" operator="equal">
      <formula>"1 Modify"</formula>
    </cfRule>
  </conditionalFormatting>
  <conditionalFormatting sqref="C63">
    <cfRule type="cellIs" dxfId="6430" priority="185" stopIfTrue="1" operator="equal">
      <formula>"2 Add"</formula>
    </cfRule>
  </conditionalFormatting>
  <conditionalFormatting sqref="C63">
    <cfRule type="cellIs" dxfId="6429" priority="186" stopIfTrue="1" operator="equal">
      <formula>"3 Delete"</formula>
    </cfRule>
  </conditionalFormatting>
  <conditionalFormatting sqref="C64">
    <cfRule type="cellIs" dxfId="6428" priority="187" stopIfTrue="1" operator="equal">
      <formula>"1 Modify"</formula>
    </cfRule>
  </conditionalFormatting>
  <conditionalFormatting sqref="C64">
    <cfRule type="cellIs" dxfId="6427" priority="188" stopIfTrue="1" operator="equal">
      <formula>"2 Add"</formula>
    </cfRule>
  </conditionalFormatting>
  <conditionalFormatting sqref="C64">
    <cfRule type="cellIs" dxfId="6426" priority="189" stopIfTrue="1" operator="equal">
      <formula>"3 Delete"</formula>
    </cfRule>
  </conditionalFormatting>
  <conditionalFormatting sqref="C65">
    <cfRule type="cellIs" dxfId="6425" priority="190" stopIfTrue="1" operator="equal">
      <formula>"1 Modify"</formula>
    </cfRule>
  </conditionalFormatting>
  <conditionalFormatting sqref="C65">
    <cfRule type="cellIs" dxfId="6424" priority="191" stopIfTrue="1" operator="equal">
      <formula>"2 Add"</formula>
    </cfRule>
  </conditionalFormatting>
  <conditionalFormatting sqref="C65">
    <cfRule type="cellIs" dxfId="6423" priority="192" stopIfTrue="1" operator="equal">
      <formula>"3 Delete"</formula>
    </cfRule>
  </conditionalFormatting>
  <conditionalFormatting sqref="C66">
    <cfRule type="cellIs" dxfId="6422" priority="193" stopIfTrue="1" operator="equal">
      <formula>"1 Modify"</formula>
    </cfRule>
  </conditionalFormatting>
  <conditionalFormatting sqref="C66">
    <cfRule type="cellIs" dxfId="6421" priority="194" stopIfTrue="1" operator="equal">
      <formula>"2 Add"</formula>
    </cfRule>
  </conditionalFormatting>
  <conditionalFormatting sqref="C66">
    <cfRule type="cellIs" dxfId="6420" priority="195" stopIfTrue="1" operator="equal">
      <formula>"3 Delete"</formula>
    </cfRule>
  </conditionalFormatting>
  <conditionalFormatting sqref="C67">
    <cfRule type="cellIs" dxfId="6419" priority="196" stopIfTrue="1" operator="equal">
      <formula>"1 Modify"</formula>
    </cfRule>
  </conditionalFormatting>
  <conditionalFormatting sqref="C67">
    <cfRule type="cellIs" dxfId="6418" priority="197" stopIfTrue="1" operator="equal">
      <formula>"2 Add"</formula>
    </cfRule>
  </conditionalFormatting>
  <conditionalFormatting sqref="C67">
    <cfRule type="cellIs" dxfId="6417" priority="198" stopIfTrue="1" operator="equal">
      <formula>"3 Delete"</formula>
    </cfRule>
  </conditionalFormatting>
  <conditionalFormatting sqref="C68">
    <cfRule type="cellIs" dxfId="6416" priority="199" stopIfTrue="1" operator="equal">
      <formula>"1 Modify"</formula>
    </cfRule>
  </conditionalFormatting>
  <conditionalFormatting sqref="C68">
    <cfRule type="cellIs" dxfId="6415" priority="200" stopIfTrue="1" operator="equal">
      <formula>"2 Add"</formula>
    </cfRule>
  </conditionalFormatting>
  <conditionalFormatting sqref="C68">
    <cfRule type="cellIs" dxfId="6414" priority="201" stopIfTrue="1" operator="equal">
      <formula>"3 Delete"</formula>
    </cfRule>
  </conditionalFormatting>
  <conditionalFormatting sqref="C69">
    <cfRule type="cellIs" dxfId="6413" priority="202" stopIfTrue="1" operator="equal">
      <formula>"1 Modify"</formula>
    </cfRule>
  </conditionalFormatting>
  <conditionalFormatting sqref="C69">
    <cfRule type="cellIs" dxfId="6412" priority="203" stopIfTrue="1" operator="equal">
      <formula>"2 Add"</formula>
    </cfRule>
  </conditionalFormatting>
  <conditionalFormatting sqref="C69">
    <cfRule type="cellIs" dxfId="6411" priority="204" stopIfTrue="1" operator="equal">
      <formula>"3 Delete"</formula>
    </cfRule>
  </conditionalFormatting>
  <conditionalFormatting sqref="C70">
    <cfRule type="cellIs" dxfId="6410" priority="205" stopIfTrue="1" operator="equal">
      <formula>"1 Modify"</formula>
    </cfRule>
  </conditionalFormatting>
  <conditionalFormatting sqref="C70">
    <cfRule type="cellIs" dxfId="6409" priority="206" stopIfTrue="1" operator="equal">
      <formula>"2 Add"</formula>
    </cfRule>
  </conditionalFormatting>
  <conditionalFormatting sqref="C70">
    <cfRule type="cellIs" dxfId="6408" priority="207" stopIfTrue="1" operator="equal">
      <formula>"3 Delete"</formula>
    </cfRule>
  </conditionalFormatting>
  <conditionalFormatting sqref="C71">
    <cfRule type="cellIs" dxfId="6407" priority="208" stopIfTrue="1" operator="equal">
      <formula>"1 Modify"</formula>
    </cfRule>
  </conditionalFormatting>
  <conditionalFormatting sqref="C71">
    <cfRule type="cellIs" dxfId="6406" priority="209" stopIfTrue="1" operator="equal">
      <formula>"2 Add"</formula>
    </cfRule>
  </conditionalFormatting>
  <conditionalFormatting sqref="C71">
    <cfRule type="cellIs" dxfId="6405" priority="210" stopIfTrue="1" operator="equal">
      <formula>"3 Delete"</formula>
    </cfRule>
  </conditionalFormatting>
  <conditionalFormatting sqref="C72">
    <cfRule type="cellIs" dxfId="6404" priority="211" stopIfTrue="1" operator="equal">
      <formula>"1 Modify"</formula>
    </cfRule>
  </conditionalFormatting>
  <conditionalFormatting sqref="C72">
    <cfRule type="cellIs" dxfId="6403" priority="212" stopIfTrue="1" operator="equal">
      <formula>"2 Add"</formula>
    </cfRule>
  </conditionalFormatting>
  <conditionalFormatting sqref="C72">
    <cfRule type="cellIs" dxfId="6402" priority="213" stopIfTrue="1" operator="equal">
      <formula>"3 Delete"</formula>
    </cfRule>
  </conditionalFormatting>
  <conditionalFormatting sqref="C73">
    <cfRule type="cellIs" dxfId="6401" priority="214" stopIfTrue="1" operator="equal">
      <formula>"1 Modify"</formula>
    </cfRule>
  </conditionalFormatting>
  <conditionalFormatting sqref="C73">
    <cfRule type="cellIs" dxfId="6400" priority="215" stopIfTrue="1" operator="equal">
      <formula>"2 Add"</formula>
    </cfRule>
  </conditionalFormatting>
  <conditionalFormatting sqref="C73">
    <cfRule type="cellIs" dxfId="6399" priority="216" stopIfTrue="1" operator="equal">
      <formula>"3 Delete"</formula>
    </cfRule>
  </conditionalFormatting>
  <conditionalFormatting sqref="C74">
    <cfRule type="cellIs" dxfId="6398" priority="217" stopIfTrue="1" operator="equal">
      <formula>"1 Modify"</formula>
    </cfRule>
  </conditionalFormatting>
  <conditionalFormatting sqref="C74">
    <cfRule type="cellIs" dxfId="6397" priority="218" stopIfTrue="1" operator="equal">
      <formula>"2 Add"</formula>
    </cfRule>
  </conditionalFormatting>
  <conditionalFormatting sqref="C74">
    <cfRule type="cellIs" dxfId="6396" priority="219" stopIfTrue="1" operator="equal">
      <formula>"3 Delete"</formula>
    </cfRule>
  </conditionalFormatting>
  <conditionalFormatting sqref="C75">
    <cfRule type="cellIs" dxfId="6395" priority="220" stopIfTrue="1" operator="equal">
      <formula>"1 Modify"</formula>
    </cfRule>
  </conditionalFormatting>
  <conditionalFormatting sqref="C75">
    <cfRule type="cellIs" dxfId="6394" priority="221" stopIfTrue="1" operator="equal">
      <formula>"2 Add"</formula>
    </cfRule>
  </conditionalFormatting>
  <conditionalFormatting sqref="C75">
    <cfRule type="cellIs" dxfId="6393" priority="222" stopIfTrue="1" operator="equal">
      <formula>"3 Delete"</formula>
    </cfRule>
  </conditionalFormatting>
  <conditionalFormatting sqref="C76">
    <cfRule type="cellIs" dxfId="6392" priority="223" stopIfTrue="1" operator="equal">
      <formula>"1 Modify"</formula>
    </cfRule>
  </conditionalFormatting>
  <conditionalFormatting sqref="C76">
    <cfRule type="cellIs" dxfId="6391" priority="224" stopIfTrue="1" operator="equal">
      <formula>"2 Add"</formula>
    </cfRule>
  </conditionalFormatting>
  <conditionalFormatting sqref="C76">
    <cfRule type="cellIs" dxfId="6390" priority="225" stopIfTrue="1" operator="equal">
      <formula>"3 Delete"</formula>
    </cfRule>
  </conditionalFormatting>
  <conditionalFormatting sqref="C77">
    <cfRule type="cellIs" dxfId="6389" priority="226" stopIfTrue="1" operator="equal">
      <formula>"1 Modify"</formula>
    </cfRule>
  </conditionalFormatting>
  <conditionalFormatting sqref="C77">
    <cfRule type="cellIs" dxfId="6388" priority="227" stopIfTrue="1" operator="equal">
      <formula>"2 Add"</formula>
    </cfRule>
  </conditionalFormatting>
  <conditionalFormatting sqref="C77">
    <cfRule type="cellIs" dxfId="6387" priority="228" stopIfTrue="1" operator="equal">
      <formula>"3 Delete"</formula>
    </cfRule>
  </conditionalFormatting>
  <conditionalFormatting sqref="C78">
    <cfRule type="cellIs" dxfId="6386" priority="229" stopIfTrue="1" operator="equal">
      <formula>"1 Modify"</formula>
    </cfRule>
  </conditionalFormatting>
  <conditionalFormatting sqref="C78">
    <cfRule type="cellIs" dxfId="6385" priority="230" stopIfTrue="1" operator="equal">
      <formula>"2 Add"</formula>
    </cfRule>
  </conditionalFormatting>
  <conditionalFormatting sqref="C78">
    <cfRule type="cellIs" dxfId="6384" priority="231" stopIfTrue="1" operator="equal">
      <formula>"3 Delete"</formula>
    </cfRule>
  </conditionalFormatting>
  <conditionalFormatting sqref="C79">
    <cfRule type="cellIs" dxfId="6383" priority="232" stopIfTrue="1" operator="equal">
      <formula>"1 Modify"</formula>
    </cfRule>
  </conditionalFormatting>
  <conditionalFormatting sqref="C79">
    <cfRule type="cellIs" dxfId="6382" priority="233" stopIfTrue="1" operator="equal">
      <formula>"2 Add"</formula>
    </cfRule>
  </conditionalFormatting>
  <conditionalFormatting sqref="C79">
    <cfRule type="cellIs" dxfId="6381" priority="234" stopIfTrue="1" operator="equal">
      <formula>"3 Delete"</formula>
    </cfRule>
  </conditionalFormatting>
  <conditionalFormatting sqref="C80">
    <cfRule type="cellIs" dxfId="6380" priority="235" stopIfTrue="1" operator="equal">
      <formula>"1 Modify"</formula>
    </cfRule>
  </conditionalFormatting>
  <conditionalFormatting sqref="C80">
    <cfRule type="cellIs" dxfId="6379" priority="236" stopIfTrue="1" operator="equal">
      <formula>"2 Add"</formula>
    </cfRule>
  </conditionalFormatting>
  <conditionalFormatting sqref="C80">
    <cfRule type="cellIs" dxfId="6378" priority="237" stopIfTrue="1" operator="equal">
      <formula>"3 Delete"</formula>
    </cfRule>
  </conditionalFormatting>
  <conditionalFormatting sqref="C81">
    <cfRule type="cellIs" dxfId="6377" priority="238" stopIfTrue="1" operator="equal">
      <formula>"1 Modify"</formula>
    </cfRule>
  </conditionalFormatting>
  <conditionalFormatting sqref="C81">
    <cfRule type="cellIs" dxfId="6376" priority="239" stopIfTrue="1" operator="equal">
      <formula>"2 Add"</formula>
    </cfRule>
  </conditionalFormatting>
  <conditionalFormatting sqref="C81">
    <cfRule type="cellIs" dxfId="6375" priority="240" stopIfTrue="1" operator="equal">
      <formula>"3 Delete"</formula>
    </cfRule>
  </conditionalFormatting>
  <conditionalFormatting sqref="C82">
    <cfRule type="cellIs" dxfId="6374" priority="241" stopIfTrue="1" operator="equal">
      <formula>"1 Modify"</formula>
    </cfRule>
  </conditionalFormatting>
  <conditionalFormatting sqref="C82">
    <cfRule type="cellIs" dxfId="6373" priority="242" stopIfTrue="1" operator="equal">
      <formula>"2 Add"</formula>
    </cfRule>
  </conditionalFormatting>
  <conditionalFormatting sqref="C82">
    <cfRule type="cellIs" dxfId="6372" priority="243" stopIfTrue="1" operator="equal">
      <formula>"3 Delete"</formula>
    </cfRule>
  </conditionalFormatting>
  <conditionalFormatting sqref="C83">
    <cfRule type="cellIs" dxfId="6371" priority="244" stopIfTrue="1" operator="equal">
      <formula>"1 Modify"</formula>
    </cfRule>
  </conditionalFormatting>
  <conditionalFormatting sqref="C83">
    <cfRule type="cellIs" dxfId="6370" priority="245" stopIfTrue="1" operator="equal">
      <formula>"2 Add"</formula>
    </cfRule>
  </conditionalFormatting>
  <conditionalFormatting sqref="C83">
    <cfRule type="cellIs" dxfId="6369" priority="246" stopIfTrue="1" operator="equal">
      <formula>"3 Delete"</formula>
    </cfRule>
  </conditionalFormatting>
  <conditionalFormatting sqref="C84">
    <cfRule type="cellIs" dxfId="6368" priority="247" stopIfTrue="1" operator="equal">
      <formula>"1 Modify"</formula>
    </cfRule>
  </conditionalFormatting>
  <conditionalFormatting sqref="C84">
    <cfRule type="cellIs" dxfId="6367" priority="248" stopIfTrue="1" operator="equal">
      <formula>"2 Add"</formula>
    </cfRule>
  </conditionalFormatting>
  <conditionalFormatting sqref="C84">
    <cfRule type="cellIs" dxfId="6366" priority="249" stopIfTrue="1" operator="equal">
      <formula>"3 Delete"</formula>
    </cfRule>
  </conditionalFormatting>
  <conditionalFormatting sqref="C85">
    <cfRule type="cellIs" dxfId="6365" priority="250" stopIfTrue="1" operator="equal">
      <formula>"1 Modify"</formula>
    </cfRule>
  </conditionalFormatting>
  <conditionalFormatting sqref="C85">
    <cfRule type="cellIs" dxfId="6364" priority="251" stopIfTrue="1" operator="equal">
      <formula>"2 Add"</formula>
    </cfRule>
  </conditionalFormatting>
  <conditionalFormatting sqref="C85">
    <cfRule type="cellIs" dxfId="6363" priority="252" stopIfTrue="1" operator="equal">
      <formula>"3 Delete"</formula>
    </cfRule>
  </conditionalFormatting>
  <conditionalFormatting sqref="C86">
    <cfRule type="cellIs" dxfId="6362" priority="253" stopIfTrue="1" operator="equal">
      <formula>"1 Modify"</formula>
    </cfRule>
  </conditionalFormatting>
  <conditionalFormatting sqref="C86">
    <cfRule type="cellIs" dxfId="6361" priority="254" stopIfTrue="1" operator="equal">
      <formula>"2 Add"</formula>
    </cfRule>
  </conditionalFormatting>
  <conditionalFormatting sqref="C86">
    <cfRule type="cellIs" dxfId="6360" priority="255" stopIfTrue="1" operator="equal">
      <formula>"3 Delete"</formula>
    </cfRule>
  </conditionalFormatting>
  <conditionalFormatting sqref="C87">
    <cfRule type="cellIs" dxfId="6359" priority="256" stopIfTrue="1" operator="equal">
      <formula>"1 Modify"</formula>
    </cfRule>
  </conditionalFormatting>
  <conditionalFormatting sqref="C87">
    <cfRule type="cellIs" dxfId="6358" priority="257" stopIfTrue="1" operator="equal">
      <formula>"2 Add"</formula>
    </cfRule>
  </conditionalFormatting>
  <conditionalFormatting sqref="C87">
    <cfRule type="cellIs" dxfId="6357" priority="258" stopIfTrue="1" operator="equal">
      <formula>"3 Delete"</formula>
    </cfRule>
  </conditionalFormatting>
  <conditionalFormatting sqref="C88">
    <cfRule type="cellIs" dxfId="6356" priority="259" stopIfTrue="1" operator="equal">
      <formula>"1 Modify"</formula>
    </cfRule>
  </conditionalFormatting>
  <conditionalFormatting sqref="C88">
    <cfRule type="cellIs" dxfId="6355" priority="260" stopIfTrue="1" operator="equal">
      <formula>"2 Add"</formula>
    </cfRule>
  </conditionalFormatting>
  <conditionalFormatting sqref="C88">
    <cfRule type="cellIs" dxfId="6354" priority="261" stopIfTrue="1" operator="equal">
      <formula>"3 Delete"</formula>
    </cfRule>
  </conditionalFormatting>
  <conditionalFormatting sqref="C89">
    <cfRule type="cellIs" dxfId="6353" priority="262" stopIfTrue="1" operator="equal">
      <formula>"1 Modify"</formula>
    </cfRule>
  </conditionalFormatting>
  <conditionalFormatting sqref="C89">
    <cfRule type="cellIs" dxfId="6352" priority="263" stopIfTrue="1" operator="equal">
      <formula>"2 Add"</formula>
    </cfRule>
  </conditionalFormatting>
  <conditionalFormatting sqref="C89">
    <cfRule type="cellIs" dxfId="6351" priority="264" stopIfTrue="1" operator="equal">
      <formula>"3 Delete"</formula>
    </cfRule>
  </conditionalFormatting>
  <conditionalFormatting sqref="C90">
    <cfRule type="cellIs" dxfId="6350" priority="265" stopIfTrue="1" operator="equal">
      <formula>"1 Modify"</formula>
    </cfRule>
  </conditionalFormatting>
  <conditionalFormatting sqref="C90">
    <cfRule type="cellIs" dxfId="6349" priority="266" stopIfTrue="1" operator="equal">
      <formula>"2 Add"</formula>
    </cfRule>
  </conditionalFormatting>
  <conditionalFormatting sqref="C90">
    <cfRule type="cellIs" dxfId="6348" priority="267" stopIfTrue="1" operator="equal">
      <formula>"3 Delete"</formula>
    </cfRule>
  </conditionalFormatting>
  <conditionalFormatting sqref="C91">
    <cfRule type="cellIs" dxfId="6347" priority="268" stopIfTrue="1" operator="equal">
      <formula>"1 Modify"</formula>
    </cfRule>
  </conditionalFormatting>
  <conditionalFormatting sqref="C91">
    <cfRule type="cellIs" dxfId="6346" priority="269" stopIfTrue="1" operator="equal">
      <formula>"2 Add"</formula>
    </cfRule>
  </conditionalFormatting>
  <conditionalFormatting sqref="C91">
    <cfRule type="cellIs" dxfId="6345" priority="270" stopIfTrue="1" operator="equal">
      <formula>"3 Delete"</formula>
    </cfRule>
  </conditionalFormatting>
  <conditionalFormatting sqref="C92">
    <cfRule type="cellIs" dxfId="6344" priority="271" stopIfTrue="1" operator="equal">
      <formula>"1 Modify"</formula>
    </cfRule>
  </conditionalFormatting>
  <conditionalFormatting sqref="C92">
    <cfRule type="cellIs" dxfId="6343" priority="272" stopIfTrue="1" operator="equal">
      <formula>"2 Add"</formula>
    </cfRule>
  </conditionalFormatting>
  <conditionalFormatting sqref="C92">
    <cfRule type="cellIs" dxfId="6342" priority="273" stopIfTrue="1" operator="equal">
      <formula>"3 Delete"</formula>
    </cfRule>
  </conditionalFormatting>
  <conditionalFormatting sqref="C93">
    <cfRule type="cellIs" dxfId="6341" priority="274" stopIfTrue="1" operator="equal">
      <formula>"1 Modify"</formula>
    </cfRule>
  </conditionalFormatting>
  <conditionalFormatting sqref="C93">
    <cfRule type="cellIs" dxfId="6340" priority="275" stopIfTrue="1" operator="equal">
      <formula>"2 Add"</formula>
    </cfRule>
  </conditionalFormatting>
  <conditionalFormatting sqref="C93">
    <cfRule type="cellIs" dxfId="6339" priority="276" stopIfTrue="1" operator="equal">
      <formula>"3 Delete"</formula>
    </cfRule>
  </conditionalFormatting>
  <conditionalFormatting sqref="C94">
    <cfRule type="cellIs" dxfId="6338" priority="277" stopIfTrue="1" operator="equal">
      <formula>"1 Modify"</formula>
    </cfRule>
  </conditionalFormatting>
  <conditionalFormatting sqref="C94">
    <cfRule type="cellIs" dxfId="6337" priority="278" stopIfTrue="1" operator="equal">
      <formula>"2 Add"</formula>
    </cfRule>
  </conditionalFormatting>
  <conditionalFormatting sqref="C94">
    <cfRule type="cellIs" dxfId="6336" priority="279" stopIfTrue="1" operator="equal">
      <formula>"3 Delete"</formula>
    </cfRule>
  </conditionalFormatting>
  <conditionalFormatting sqref="C95">
    <cfRule type="cellIs" dxfId="6335" priority="280" stopIfTrue="1" operator="equal">
      <formula>"1 Modify"</formula>
    </cfRule>
  </conditionalFormatting>
  <conditionalFormatting sqref="C95">
    <cfRule type="cellIs" dxfId="6334" priority="281" stopIfTrue="1" operator="equal">
      <formula>"2 Add"</formula>
    </cfRule>
  </conditionalFormatting>
  <conditionalFormatting sqref="C95">
    <cfRule type="cellIs" dxfId="6333" priority="282" stopIfTrue="1" operator="equal">
      <formula>"3 Delete"</formula>
    </cfRule>
  </conditionalFormatting>
  <conditionalFormatting sqref="C96">
    <cfRule type="cellIs" dxfId="6332" priority="283" stopIfTrue="1" operator="equal">
      <formula>"1 Modify"</formula>
    </cfRule>
  </conditionalFormatting>
  <conditionalFormatting sqref="C96">
    <cfRule type="cellIs" dxfId="6331" priority="284" stopIfTrue="1" operator="equal">
      <formula>"2 Add"</formula>
    </cfRule>
  </conditionalFormatting>
  <conditionalFormatting sqref="C96">
    <cfRule type="cellIs" dxfId="6330" priority="285" stopIfTrue="1" operator="equal">
      <formula>"3 Delete"</formula>
    </cfRule>
  </conditionalFormatting>
  <conditionalFormatting sqref="C97">
    <cfRule type="cellIs" dxfId="6329" priority="286" stopIfTrue="1" operator="equal">
      <formula>"1 Modify"</formula>
    </cfRule>
  </conditionalFormatting>
  <conditionalFormatting sqref="C97">
    <cfRule type="cellIs" dxfId="6328" priority="287" stopIfTrue="1" operator="equal">
      <formula>"2 Add"</formula>
    </cfRule>
  </conditionalFormatting>
  <conditionalFormatting sqref="C97">
    <cfRule type="cellIs" dxfId="6327" priority="288" stopIfTrue="1" operator="equal">
      <formula>"3 Delete"</formula>
    </cfRule>
  </conditionalFormatting>
  <conditionalFormatting sqref="C98">
    <cfRule type="cellIs" dxfId="6326" priority="289" stopIfTrue="1" operator="equal">
      <formula>"1 Modify"</formula>
    </cfRule>
  </conditionalFormatting>
  <conditionalFormatting sqref="C98">
    <cfRule type="cellIs" dxfId="6325" priority="290" stopIfTrue="1" operator="equal">
      <formula>"2 Add"</formula>
    </cfRule>
  </conditionalFormatting>
  <conditionalFormatting sqref="C98">
    <cfRule type="cellIs" dxfId="6324" priority="291" stopIfTrue="1" operator="equal">
      <formula>"3 Delete"</formula>
    </cfRule>
  </conditionalFormatting>
  <conditionalFormatting sqref="C99">
    <cfRule type="cellIs" dxfId="6323" priority="292" stopIfTrue="1" operator="equal">
      <formula>"1 Modify"</formula>
    </cfRule>
  </conditionalFormatting>
  <conditionalFormatting sqref="C99">
    <cfRule type="cellIs" dxfId="6322" priority="293" stopIfTrue="1" operator="equal">
      <formula>"2 Add"</formula>
    </cfRule>
  </conditionalFormatting>
  <conditionalFormatting sqref="C99">
    <cfRule type="cellIs" dxfId="6321" priority="294" stopIfTrue="1" operator="equal">
      <formula>"3 Delete"</formula>
    </cfRule>
  </conditionalFormatting>
  <conditionalFormatting sqref="C100">
    <cfRule type="cellIs" dxfId="6320" priority="295" stopIfTrue="1" operator="equal">
      <formula>"1 Modify"</formula>
    </cfRule>
  </conditionalFormatting>
  <conditionalFormatting sqref="C100">
    <cfRule type="cellIs" dxfId="6319" priority="296" stopIfTrue="1" operator="equal">
      <formula>"2 Add"</formula>
    </cfRule>
  </conditionalFormatting>
  <conditionalFormatting sqref="C100">
    <cfRule type="cellIs" dxfId="6318" priority="297" stopIfTrue="1" operator="equal">
      <formula>"3 Delete"</formula>
    </cfRule>
  </conditionalFormatting>
  <conditionalFormatting sqref="C101">
    <cfRule type="cellIs" dxfId="6317" priority="298" stopIfTrue="1" operator="equal">
      <formula>"1 Modify"</formula>
    </cfRule>
  </conditionalFormatting>
  <conditionalFormatting sqref="C101">
    <cfRule type="cellIs" dxfId="6316" priority="299" stopIfTrue="1" operator="equal">
      <formula>"2 Add"</formula>
    </cfRule>
  </conditionalFormatting>
  <conditionalFormatting sqref="C101">
    <cfRule type="cellIs" dxfId="6315" priority="300" stopIfTrue="1" operator="equal">
      <formula>"3 Delete"</formula>
    </cfRule>
  </conditionalFormatting>
  <conditionalFormatting sqref="C102">
    <cfRule type="cellIs" dxfId="6314" priority="301" stopIfTrue="1" operator="equal">
      <formula>"1 Modify"</formula>
    </cfRule>
  </conditionalFormatting>
  <conditionalFormatting sqref="C102">
    <cfRule type="cellIs" dxfId="6313" priority="302" stopIfTrue="1" operator="equal">
      <formula>"2 Add"</formula>
    </cfRule>
  </conditionalFormatting>
  <conditionalFormatting sqref="C102">
    <cfRule type="cellIs" dxfId="6312" priority="303" stopIfTrue="1" operator="equal">
      <formula>"3 Delete"</formula>
    </cfRule>
  </conditionalFormatting>
  <conditionalFormatting sqref="C103">
    <cfRule type="cellIs" dxfId="6311" priority="304" stopIfTrue="1" operator="equal">
      <formula>"1 Modify"</formula>
    </cfRule>
  </conditionalFormatting>
  <conditionalFormatting sqref="C103">
    <cfRule type="cellIs" dxfId="6310" priority="305" stopIfTrue="1" operator="equal">
      <formula>"2 Add"</formula>
    </cfRule>
  </conditionalFormatting>
  <conditionalFormatting sqref="C103">
    <cfRule type="cellIs" dxfId="6309" priority="306" stopIfTrue="1" operator="equal">
      <formula>"3 Delete"</formula>
    </cfRule>
  </conditionalFormatting>
  <conditionalFormatting sqref="C104">
    <cfRule type="cellIs" dxfId="6308" priority="307" stopIfTrue="1" operator="equal">
      <formula>"1 Modify"</formula>
    </cfRule>
  </conditionalFormatting>
  <conditionalFormatting sqref="C104">
    <cfRule type="cellIs" dxfId="6307" priority="308" stopIfTrue="1" operator="equal">
      <formula>"2 Add"</formula>
    </cfRule>
  </conditionalFormatting>
  <conditionalFormatting sqref="C104">
    <cfRule type="cellIs" dxfId="6306" priority="309" stopIfTrue="1" operator="equal">
      <formula>"3 Delete"</formula>
    </cfRule>
  </conditionalFormatting>
  <conditionalFormatting sqref="C105">
    <cfRule type="cellIs" dxfId="6305" priority="310" stopIfTrue="1" operator="equal">
      <formula>"1 Modify"</formula>
    </cfRule>
  </conditionalFormatting>
  <conditionalFormatting sqref="C105">
    <cfRule type="cellIs" dxfId="6304" priority="311" stopIfTrue="1" operator="equal">
      <formula>"2 Add"</formula>
    </cfRule>
  </conditionalFormatting>
  <conditionalFormatting sqref="C105">
    <cfRule type="cellIs" dxfId="6303" priority="312" stopIfTrue="1" operator="equal">
      <formula>"3 Delete"</formula>
    </cfRule>
  </conditionalFormatting>
  <conditionalFormatting sqref="C106">
    <cfRule type="cellIs" dxfId="6302" priority="313" stopIfTrue="1" operator="equal">
      <formula>"1 Modify"</formula>
    </cfRule>
  </conditionalFormatting>
  <conditionalFormatting sqref="C106">
    <cfRule type="cellIs" dxfId="6301" priority="314" stopIfTrue="1" operator="equal">
      <formula>"2 Add"</formula>
    </cfRule>
  </conditionalFormatting>
  <conditionalFormatting sqref="C106">
    <cfRule type="cellIs" dxfId="6300" priority="315" stopIfTrue="1" operator="equal">
      <formula>"3 Delete"</formula>
    </cfRule>
  </conditionalFormatting>
  <conditionalFormatting sqref="C107">
    <cfRule type="cellIs" dxfId="6299" priority="316" stopIfTrue="1" operator="equal">
      <formula>"1 Modify"</formula>
    </cfRule>
  </conditionalFormatting>
  <conditionalFormatting sqref="C107">
    <cfRule type="cellIs" dxfId="6298" priority="317" stopIfTrue="1" operator="equal">
      <formula>"2 Add"</formula>
    </cfRule>
  </conditionalFormatting>
  <conditionalFormatting sqref="C107">
    <cfRule type="cellIs" dxfId="6297" priority="318" stopIfTrue="1" operator="equal">
      <formula>"3 Delete"</formula>
    </cfRule>
  </conditionalFormatting>
  <conditionalFormatting sqref="C108">
    <cfRule type="cellIs" dxfId="6296" priority="319" stopIfTrue="1" operator="equal">
      <formula>"1 Modify"</formula>
    </cfRule>
  </conditionalFormatting>
  <conditionalFormatting sqref="C108">
    <cfRule type="cellIs" dxfId="6295" priority="320" stopIfTrue="1" operator="equal">
      <formula>"2 Add"</formula>
    </cfRule>
  </conditionalFormatting>
  <conditionalFormatting sqref="C108">
    <cfRule type="cellIs" dxfId="6294" priority="321" stopIfTrue="1" operator="equal">
      <formula>"3 Delete"</formula>
    </cfRule>
  </conditionalFormatting>
  <conditionalFormatting sqref="C109">
    <cfRule type="cellIs" dxfId="6293" priority="322" stopIfTrue="1" operator="equal">
      <formula>"1 Modify"</formula>
    </cfRule>
  </conditionalFormatting>
  <conditionalFormatting sqref="C109">
    <cfRule type="cellIs" dxfId="6292" priority="323" stopIfTrue="1" operator="equal">
      <formula>"2 Add"</formula>
    </cfRule>
  </conditionalFormatting>
  <conditionalFormatting sqref="C109">
    <cfRule type="cellIs" dxfId="6291" priority="324" stopIfTrue="1" operator="equal">
      <formula>"3 Delete"</formula>
    </cfRule>
  </conditionalFormatting>
  <conditionalFormatting sqref="C110">
    <cfRule type="cellIs" dxfId="6290" priority="325" stopIfTrue="1" operator="equal">
      <formula>"1 Modify"</formula>
    </cfRule>
  </conditionalFormatting>
  <conditionalFormatting sqref="C110">
    <cfRule type="cellIs" dxfId="6289" priority="326" stopIfTrue="1" operator="equal">
      <formula>"2 Add"</formula>
    </cfRule>
  </conditionalFormatting>
  <conditionalFormatting sqref="C110">
    <cfRule type="cellIs" dxfId="6288" priority="327" stopIfTrue="1" operator="equal">
      <formula>"3 Delete"</formula>
    </cfRule>
  </conditionalFormatting>
  <conditionalFormatting sqref="C111">
    <cfRule type="cellIs" dxfId="6287" priority="328" stopIfTrue="1" operator="equal">
      <formula>"1 Modify"</formula>
    </cfRule>
  </conditionalFormatting>
  <conditionalFormatting sqref="C111">
    <cfRule type="cellIs" dxfId="6286" priority="329" stopIfTrue="1" operator="equal">
      <formula>"2 Add"</formula>
    </cfRule>
  </conditionalFormatting>
  <conditionalFormatting sqref="C111">
    <cfRule type="cellIs" dxfId="6285" priority="330" stopIfTrue="1" operator="equal">
      <formula>"3 Delete"</formula>
    </cfRule>
  </conditionalFormatting>
  <conditionalFormatting sqref="C112">
    <cfRule type="cellIs" dxfId="6284" priority="331" stopIfTrue="1" operator="equal">
      <formula>"1 Modify"</formula>
    </cfRule>
  </conditionalFormatting>
  <conditionalFormatting sqref="C112">
    <cfRule type="cellIs" dxfId="6283" priority="332" stopIfTrue="1" operator="equal">
      <formula>"2 Add"</formula>
    </cfRule>
  </conditionalFormatting>
  <conditionalFormatting sqref="C112">
    <cfRule type="cellIs" dxfId="6282" priority="333" stopIfTrue="1" operator="equal">
      <formula>"3 Delete"</formula>
    </cfRule>
  </conditionalFormatting>
  <conditionalFormatting sqref="C113">
    <cfRule type="cellIs" dxfId="6281" priority="334" stopIfTrue="1" operator="equal">
      <formula>"1 Modify"</formula>
    </cfRule>
  </conditionalFormatting>
  <conditionalFormatting sqref="C113">
    <cfRule type="cellIs" dxfId="6280" priority="335" stopIfTrue="1" operator="equal">
      <formula>"2 Add"</formula>
    </cfRule>
  </conditionalFormatting>
  <conditionalFormatting sqref="C113">
    <cfRule type="cellIs" dxfId="6279" priority="336" stopIfTrue="1" operator="equal">
      <formula>"3 Delete"</formula>
    </cfRule>
  </conditionalFormatting>
  <conditionalFormatting sqref="C114">
    <cfRule type="cellIs" dxfId="6278" priority="337" stopIfTrue="1" operator="equal">
      <formula>"1 Modify"</formula>
    </cfRule>
  </conditionalFormatting>
  <conditionalFormatting sqref="C114">
    <cfRule type="cellIs" dxfId="6277" priority="338" stopIfTrue="1" operator="equal">
      <formula>"2 Add"</formula>
    </cfRule>
  </conditionalFormatting>
  <conditionalFormatting sqref="C114">
    <cfRule type="cellIs" dxfId="6276" priority="339" stopIfTrue="1" operator="equal">
      <formula>"3 Delete"</formula>
    </cfRule>
  </conditionalFormatting>
  <conditionalFormatting sqref="C115">
    <cfRule type="cellIs" dxfId="6275" priority="340" stopIfTrue="1" operator="equal">
      <formula>"1 Modify"</formula>
    </cfRule>
  </conditionalFormatting>
  <conditionalFormatting sqref="C115">
    <cfRule type="cellIs" dxfId="6274" priority="341" stopIfTrue="1" operator="equal">
      <formula>"2 Add"</formula>
    </cfRule>
  </conditionalFormatting>
  <conditionalFormatting sqref="C115">
    <cfRule type="cellIs" dxfId="6273" priority="342" stopIfTrue="1" operator="equal">
      <formula>"3 Delete"</formula>
    </cfRule>
  </conditionalFormatting>
  <conditionalFormatting sqref="C116">
    <cfRule type="cellIs" dxfId="6272" priority="343" stopIfTrue="1" operator="equal">
      <formula>"1 Modify"</formula>
    </cfRule>
  </conditionalFormatting>
  <conditionalFormatting sqref="C116">
    <cfRule type="cellIs" dxfId="6271" priority="344" stopIfTrue="1" operator="equal">
      <formula>"2 Add"</formula>
    </cfRule>
  </conditionalFormatting>
  <conditionalFormatting sqref="C116">
    <cfRule type="cellIs" dxfId="6270" priority="345" stopIfTrue="1" operator="equal">
      <formula>"3 Delete"</formula>
    </cfRule>
  </conditionalFormatting>
  <conditionalFormatting sqref="C117">
    <cfRule type="cellIs" dxfId="6269" priority="346" stopIfTrue="1" operator="equal">
      <formula>"1 Modify"</formula>
    </cfRule>
  </conditionalFormatting>
  <conditionalFormatting sqref="C117">
    <cfRule type="cellIs" dxfId="6268" priority="347" stopIfTrue="1" operator="equal">
      <formula>"2 Add"</formula>
    </cfRule>
  </conditionalFormatting>
  <conditionalFormatting sqref="C117">
    <cfRule type="cellIs" dxfId="6267" priority="348" stopIfTrue="1" operator="equal">
      <formula>"3 Delete"</formula>
    </cfRule>
  </conditionalFormatting>
  <conditionalFormatting sqref="C118">
    <cfRule type="cellIs" dxfId="6266" priority="349" stopIfTrue="1" operator="equal">
      <formula>"1 Modify"</formula>
    </cfRule>
  </conditionalFormatting>
  <conditionalFormatting sqref="C118">
    <cfRule type="cellIs" dxfId="6265" priority="350" stopIfTrue="1" operator="equal">
      <formula>"2 Add"</formula>
    </cfRule>
  </conditionalFormatting>
  <conditionalFormatting sqref="C118">
    <cfRule type="cellIs" dxfId="6264" priority="351" stopIfTrue="1" operator="equal">
      <formula>"3 Delete"</formula>
    </cfRule>
  </conditionalFormatting>
  <conditionalFormatting sqref="C119">
    <cfRule type="cellIs" dxfId="6263" priority="352" stopIfTrue="1" operator="equal">
      <formula>"1 Modify"</formula>
    </cfRule>
  </conditionalFormatting>
  <conditionalFormatting sqref="C119">
    <cfRule type="cellIs" dxfId="6262" priority="353" stopIfTrue="1" operator="equal">
      <formula>"2 Add"</formula>
    </cfRule>
  </conditionalFormatting>
  <conditionalFormatting sqref="C119">
    <cfRule type="cellIs" dxfId="6261" priority="354" stopIfTrue="1" operator="equal">
      <formula>"3 Delete"</formula>
    </cfRule>
  </conditionalFormatting>
  <conditionalFormatting sqref="C120">
    <cfRule type="cellIs" dxfId="6260" priority="355" stopIfTrue="1" operator="equal">
      <formula>"1 Modify"</formula>
    </cfRule>
  </conditionalFormatting>
  <conditionalFormatting sqref="C120">
    <cfRule type="cellIs" dxfId="6259" priority="356" stopIfTrue="1" operator="equal">
      <formula>"2 Add"</formula>
    </cfRule>
  </conditionalFormatting>
  <conditionalFormatting sqref="C120">
    <cfRule type="cellIs" dxfId="6258" priority="357" stopIfTrue="1" operator="equal">
      <formula>"3 Delete"</formula>
    </cfRule>
  </conditionalFormatting>
  <conditionalFormatting sqref="C121">
    <cfRule type="cellIs" dxfId="6257" priority="358" stopIfTrue="1" operator="equal">
      <formula>"1 Modify"</formula>
    </cfRule>
  </conditionalFormatting>
  <conditionalFormatting sqref="C121">
    <cfRule type="cellIs" dxfId="6256" priority="359" stopIfTrue="1" operator="equal">
      <formula>"2 Add"</formula>
    </cfRule>
  </conditionalFormatting>
  <conditionalFormatting sqref="C121">
    <cfRule type="cellIs" dxfId="6255" priority="360" stopIfTrue="1" operator="equal">
      <formula>"3 Delete"</formula>
    </cfRule>
  </conditionalFormatting>
  <conditionalFormatting sqref="C122">
    <cfRule type="cellIs" dxfId="6254" priority="361" stopIfTrue="1" operator="equal">
      <formula>"1 Modify"</formula>
    </cfRule>
  </conditionalFormatting>
  <conditionalFormatting sqref="C122">
    <cfRule type="cellIs" dxfId="6253" priority="362" stopIfTrue="1" operator="equal">
      <formula>"2 Add"</formula>
    </cfRule>
  </conditionalFormatting>
  <conditionalFormatting sqref="C122">
    <cfRule type="cellIs" dxfId="6252" priority="363" stopIfTrue="1" operator="equal">
      <formula>"3 Delete"</formula>
    </cfRule>
  </conditionalFormatting>
  <conditionalFormatting sqref="C123">
    <cfRule type="cellIs" dxfId="6251" priority="364" stopIfTrue="1" operator="equal">
      <formula>"1 Modify"</formula>
    </cfRule>
  </conditionalFormatting>
  <conditionalFormatting sqref="C123">
    <cfRule type="cellIs" dxfId="6250" priority="365" stopIfTrue="1" operator="equal">
      <formula>"2 Add"</formula>
    </cfRule>
  </conditionalFormatting>
  <conditionalFormatting sqref="C123">
    <cfRule type="cellIs" dxfId="6249" priority="366" stopIfTrue="1" operator="equal">
      <formula>"3 Delete"</formula>
    </cfRule>
  </conditionalFormatting>
  <conditionalFormatting sqref="C124">
    <cfRule type="cellIs" dxfId="6248" priority="367" stopIfTrue="1" operator="equal">
      <formula>"1 Modify"</formula>
    </cfRule>
  </conditionalFormatting>
  <conditionalFormatting sqref="C124">
    <cfRule type="cellIs" dxfId="6247" priority="368" stopIfTrue="1" operator="equal">
      <formula>"2 Add"</formula>
    </cfRule>
  </conditionalFormatting>
  <conditionalFormatting sqref="C124">
    <cfRule type="cellIs" dxfId="6246" priority="369" stopIfTrue="1" operator="equal">
      <formula>"3 Delete"</formula>
    </cfRule>
  </conditionalFormatting>
  <conditionalFormatting sqref="C125">
    <cfRule type="cellIs" dxfId="6245" priority="370" stopIfTrue="1" operator="equal">
      <formula>"1 Modify"</formula>
    </cfRule>
  </conditionalFormatting>
  <conditionalFormatting sqref="C125">
    <cfRule type="cellIs" dxfId="6244" priority="371" stopIfTrue="1" operator="equal">
      <formula>"2 Add"</formula>
    </cfRule>
  </conditionalFormatting>
  <conditionalFormatting sqref="C125">
    <cfRule type="cellIs" dxfId="6243" priority="372" stopIfTrue="1" operator="equal">
      <formula>"3 Delete"</formula>
    </cfRule>
  </conditionalFormatting>
  <conditionalFormatting sqref="C126">
    <cfRule type="cellIs" dxfId="6242" priority="373" stopIfTrue="1" operator="equal">
      <formula>"1 Modify"</formula>
    </cfRule>
  </conditionalFormatting>
  <conditionalFormatting sqref="C126">
    <cfRule type="cellIs" dxfId="6241" priority="374" stopIfTrue="1" operator="equal">
      <formula>"2 Add"</formula>
    </cfRule>
  </conditionalFormatting>
  <conditionalFormatting sqref="C126">
    <cfRule type="cellIs" dxfId="6240" priority="375" stopIfTrue="1" operator="equal">
      <formula>"3 Delete"</formula>
    </cfRule>
  </conditionalFormatting>
  <conditionalFormatting sqref="C127">
    <cfRule type="cellIs" dxfId="6239" priority="376" stopIfTrue="1" operator="equal">
      <formula>"1 Modify"</formula>
    </cfRule>
  </conditionalFormatting>
  <conditionalFormatting sqref="C127">
    <cfRule type="cellIs" dxfId="6238" priority="377" stopIfTrue="1" operator="equal">
      <formula>"2 Add"</formula>
    </cfRule>
  </conditionalFormatting>
  <conditionalFormatting sqref="C127">
    <cfRule type="cellIs" dxfId="6237" priority="378" stopIfTrue="1" operator="equal">
      <formula>"3 Delete"</formula>
    </cfRule>
  </conditionalFormatting>
  <conditionalFormatting sqref="C128">
    <cfRule type="cellIs" dxfId="6236" priority="379" stopIfTrue="1" operator="equal">
      <formula>"1 Modify"</formula>
    </cfRule>
  </conditionalFormatting>
  <conditionalFormatting sqref="C128">
    <cfRule type="cellIs" dxfId="6235" priority="380" stopIfTrue="1" operator="equal">
      <formula>"2 Add"</formula>
    </cfRule>
  </conditionalFormatting>
  <conditionalFormatting sqref="C128">
    <cfRule type="cellIs" dxfId="6234" priority="381" stopIfTrue="1" operator="equal">
      <formula>"3 Delete"</formula>
    </cfRule>
  </conditionalFormatting>
  <conditionalFormatting sqref="C129">
    <cfRule type="cellIs" dxfId="6233" priority="382" stopIfTrue="1" operator="equal">
      <formula>"1 Modify"</formula>
    </cfRule>
  </conditionalFormatting>
  <conditionalFormatting sqref="C129">
    <cfRule type="cellIs" dxfId="6232" priority="383" stopIfTrue="1" operator="equal">
      <formula>"2 Add"</formula>
    </cfRule>
  </conditionalFormatting>
  <conditionalFormatting sqref="C129">
    <cfRule type="cellIs" dxfId="6231" priority="384" stopIfTrue="1" operator="equal">
      <formula>"3 Delete"</formula>
    </cfRule>
  </conditionalFormatting>
  <conditionalFormatting sqref="C130">
    <cfRule type="cellIs" dxfId="6230" priority="385" stopIfTrue="1" operator="equal">
      <formula>"1 Modify"</formula>
    </cfRule>
  </conditionalFormatting>
  <conditionalFormatting sqref="C130">
    <cfRule type="cellIs" dxfId="6229" priority="386" stopIfTrue="1" operator="equal">
      <formula>"2 Add"</formula>
    </cfRule>
  </conditionalFormatting>
  <conditionalFormatting sqref="C130">
    <cfRule type="cellIs" dxfId="6228" priority="387" stopIfTrue="1" operator="equal">
      <formula>"3 Delete"</formula>
    </cfRule>
  </conditionalFormatting>
  <conditionalFormatting sqref="C131">
    <cfRule type="cellIs" dxfId="6227" priority="388" stopIfTrue="1" operator="equal">
      <formula>"1 Modify"</formula>
    </cfRule>
  </conditionalFormatting>
  <conditionalFormatting sqref="C131">
    <cfRule type="cellIs" dxfId="6226" priority="389" stopIfTrue="1" operator="equal">
      <formula>"2 Add"</formula>
    </cfRule>
  </conditionalFormatting>
  <conditionalFormatting sqref="C131">
    <cfRule type="cellIs" dxfId="6225" priority="390" stopIfTrue="1" operator="equal">
      <formula>"3 Delete"</formula>
    </cfRule>
  </conditionalFormatting>
  <conditionalFormatting sqref="C132">
    <cfRule type="cellIs" dxfId="6224" priority="391" stopIfTrue="1" operator="equal">
      <formula>"1 Modify"</formula>
    </cfRule>
  </conditionalFormatting>
  <conditionalFormatting sqref="C132">
    <cfRule type="cellIs" dxfId="6223" priority="392" stopIfTrue="1" operator="equal">
      <formula>"2 Add"</formula>
    </cfRule>
  </conditionalFormatting>
  <conditionalFormatting sqref="C132">
    <cfRule type="cellIs" dxfId="6222" priority="393" stopIfTrue="1" operator="equal">
      <formula>"3 Delete"</formula>
    </cfRule>
  </conditionalFormatting>
  <conditionalFormatting sqref="C133">
    <cfRule type="cellIs" dxfId="6221" priority="394" stopIfTrue="1" operator="equal">
      <formula>"1 Modify"</formula>
    </cfRule>
  </conditionalFormatting>
  <conditionalFormatting sqref="C133">
    <cfRule type="cellIs" dxfId="6220" priority="395" stopIfTrue="1" operator="equal">
      <formula>"2 Add"</formula>
    </cfRule>
  </conditionalFormatting>
  <conditionalFormatting sqref="C133">
    <cfRule type="cellIs" dxfId="6219" priority="396" stopIfTrue="1" operator="equal">
      <formula>"3 Delete"</formula>
    </cfRule>
  </conditionalFormatting>
  <conditionalFormatting sqref="C134">
    <cfRule type="cellIs" dxfId="6218" priority="397" stopIfTrue="1" operator="equal">
      <formula>"1 Modify"</formula>
    </cfRule>
  </conditionalFormatting>
  <conditionalFormatting sqref="C134">
    <cfRule type="cellIs" dxfId="6217" priority="398" stopIfTrue="1" operator="equal">
      <formula>"2 Add"</formula>
    </cfRule>
  </conditionalFormatting>
  <conditionalFormatting sqref="C134">
    <cfRule type="cellIs" dxfId="6216" priority="399" stopIfTrue="1" operator="equal">
      <formula>"3 Delete"</formula>
    </cfRule>
  </conditionalFormatting>
  <conditionalFormatting sqref="C135">
    <cfRule type="cellIs" dxfId="6215" priority="400" stopIfTrue="1" operator="equal">
      <formula>"1 Modify"</formula>
    </cfRule>
  </conditionalFormatting>
  <conditionalFormatting sqref="C135">
    <cfRule type="cellIs" dxfId="6214" priority="401" stopIfTrue="1" operator="equal">
      <formula>"2 Add"</formula>
    </cfRule>
  </conditionalFormatting>
  <conditionalFormatting sqref="C135">
    <cfRule type="cellIs" dxfId="6213" priority="402" stopIfTrue="1" operator="equal">
      <formula>"3 Delete"</formula>
    </cfRule>
  </conditionalFormatting>
  <conditionalFormatting sqref="C136">
    <cfRule type="cellIs" dxfId="6212" priority="403" stopIfTrue="1" operator="equal">
      <formula>"1 Modify"</formula>
    </cfRule>
  </conditionalFormatting>
  <conditionalFormatting sqref="C136">
    <cfRule type="cellIs" dxfId="6211" priority="404" stopIfTrue="1" operator="equal">
      <formula>"2 Add"</formula>
    </cfRule>
  </conditionalFormatting>
  <conditionalFormatting sqref="C136">
    <cfRule type="cellIs" dxfId="6210" priority="405" stopIfTrue="1" operator="equal">
      <formula>"3 Delete"</formula>
    </cfRule>
  </conditionalFormatting>
  <conditionalFormatting sqref="C137">
    <cfRule type="cellIs" dxfId="6209" priority="406" stopIfTrue="1" operator="equal">
      <formula>"1 Modify"</formula>
    </cfRule>
  </conditionalFormatting>
  <conditionalFormatting sqref="C137">
    <cfRule type="cellIs" dxfId="6208" priority="407" stopIfTrue="1" operator="equal">
      <formula>"2 Add"</formula>
    </cfRule>
  </conditionalFormatting>
  <conditionalFormatting sqref="C137">
    <cfRule type="cellIs" dxfId="6207" priority="408" stopIfTrue="1" operator="equal">
      <formula>"3 Delete"</formula>
    </cfRule>
  </conditionalFormatting>
  <conditionalFormatting sqref="C138">
    <cfRule type="cellIs" dxfId="6206" priority="409" stopIfTrue="1" operator="equal">
      <formula>"1 Modify"</formula>
    </cfRule>
  </conditionalFormatting>
  <conditionalFormatting sqref="C138">
    <cfRule type="cellIs" dxfId="6205" priority="410" stopIfTrue="1" operator="equal">
      <formula>"2 Add"</formula>
    </cfRule>
  </conditionalFormatting>
  <conditionalFormatting sqref="C138">
    <cfRule type="cellIs" dxfId="6204" priority="411" stopIfTrue="1" operator="equal">
      <formula>"3 Delete"</formula>
    </cfRule>
  </conditionalFormatting>
  <conditionalFormatting sqref="C139">
    <cfRule type="cellIs" dxfId="6203" priority="412" stopIfTrue="1" operator="equal">
      <formula>"1 Modify"</formula>
    </cfRule>
  </conditionalFormatting>
  <conditionalFormatting sqref="C139">
    <cfRule type="cellIs" dxfId="6202" priority="413" stopIfTrue="1" operator="equal">
      <formula>"2 Add"</formula>
    </cfRule>
  </conditionalFormatting>
  <conditionalFormatting sqref="C139">
    <cfRule type="cellIs" dxfId="6201" priority="414" stopIfTrue="1" operator="equal">
      <formula>"3 Delete"</formula>
    </cfRule>
  </conditionalFormatting>
  <conditionalFormatting sqref="C140">
    <cfRule type="cellIs" dxfId="6200" priority="415" stopIfTrue="1" operator="equal">
      <formula>"1 Modify"</formula>
    </cfRule>
  </conditionalFormatting>
  <conditionalFormatting sqref="C140">
    <cfRule type="cellIs" dxfId="6199" priority="416" stopIfTrue="1" operator="equal">
      <formula>"2 Add"</formula>
    </cfRule>
  </conditionalFormatting>
  <conditionalFormatting sqref="C140">
    <cfRule type="cellIs" dxfId="6198" priority="417" stopIfTrue="1" operator="equal">
      <formula>"3 Delete"</formula>
    </cfRule>
  </conditionalFormatting>
  <conditionalFormatting sqref="C141">
    <cfRule type="cellIs" dxfId="6197" priority="418" stopIfTrue="1" operator="equal">
      <formula>"1 Modify"</formula>
    </cfRule>
  </conditionalFormatting>
  <conditionalFormatting sqref="C141">
    <cfRule type="cellIs" dxfId="6196" priority="419" stopIfTrue="1" operator="equal">
      <formula>"2 Add"</formula>
    </cfRule>
  </conditionalFormatting>
  <conditionalFormatting sqref="C141">
    <cfRule type="cellIs" dxfId="6195" priority="420" stopIfTrue="1" operator="equal">
      <formula>"3 Delete"</formula>
    </cfRule>
  </conditionalFormatting>
  <conditionalFormatting sqref="C142">
    <cfRule type="cellIs" dxfId="6194" priority="421" stopIfTrue="1" operator="equal">
      <formula>"1 Modify"</formula>
    </cfRule>
  </conditionalFormatting>
  <conditionalFormatting sqref="C142">
    <cfRule type="cellIs" dxfId="6193" priority="422" stopIfTrue="1" operator="equal">
      <formula>"2 Add"</formula>
    </cfRule>
  </conditionalFormatting>
  <conditionalFormatting sqref="C142">
    <cfRule type="cellIs" dxfId="6192" priority="423" stopIfTrue="1" operator="equal">
      <formula>"3 Delete"</formula>
    </cfRule>
  </conditionalFormatting>
  <conditionalFormatting sqref="C143">
    <cfRule type="cellIs" dxfId="6191" priority="424" stopIfTrue="1" operator="equal">
      <formula>"1 Modify"</formula>
    </cfRule>
  </conditionalFormatting>
  <conditionalFormatting sqref="C143">
    <cfRule type="cellIs" dxfId="6190" priority="425" stopIfTrue="1" operator="equal">
      <formula>"2 Add"</formula>
    </cfRule>
  </conditionalFormatting>
  <conditionalFormatting sqref="C143">
    <cfRule type="cellIs" dxfId="6189" priority="426" stopIfTrue="1" operator="equal">
      <formula>"3 Delete"</formula>
    </cfRule>
  </conditionalFormatting>
  <conditionalFormatting sqref="C144">
    <cfRule type="cellIs" dxfId="6188" priority="427" stopIfTrue="1" operator="equal">
      <formula>"1 Modify"</formula>
    </cfRule>
  </conditionalFormatting>
  <conditionalFormatting sqref="C144">
    <cfRule type="cellIs" dxfId="6187" priority="428" stopIfTrue="1" operator="equal">
      <formula>"2 Add"</formula>
    </cfRule>
  </conditionalFormatting>
  <conditionalFormatting sqref="C144">
    <cfRule type="cellIs" dxfId="6186" priority="429" stopIfTrue="1" operator="equal">
      <formula>"3 Delete"</formula>
    </cfRule>
  </conditionalFormatting>
  <conditionalFormatting sqref="C145">
    <cfRule type="cellIs" dxfId="6185" priority="430" stopIfTrue="1" operator="equal">
      <formula>"1 Modify"</formula>
    </cfRule>
  </conditionalFormatting>
  <conditionalFormatting sqref="C145">
    <cfRule type="cellIs" dxfId="6184" priority="431" stopIfTrue="1" operator="equal">
      <formula>"2 Add"</formula>
    </cfRule>
  </conditionalFormatting>
  <conditionalFormatting sqref="C145">
    <cfRule type="cellIs" dxfId="6183" priority="432" stopIfTrue="1" operator="equal">
      <formula>"3 Delete"</formula>
    </cfRule>
  </conditionalFormatting>
  <conditionalFormatting sqref="C146">
    <cfRule type="cellIs" dxfId="6182" priority="433" stopIfTrue="1" operator="equal">
      <formula>"1 Modify"</formula>
    </cfRule>
  </conditionalFormatting>
  <conditionalFormatting sqref="C146">
    <cfRule type="cellIs" dxfId="6181" priority="434" stopIfTrue="1" operator="equal">
      <formula>"2 Add"</formula>
    </cfRule>
  </conditionalFormatting>
  <conditionalFormatting sqref="C146">
    <cfRule type="cellIs" dxfId="6180" priority="435" stopIfTrue="1" operator="equal">
      <formula>"3 Delete"</formula>
    </cfRule>
  </conditionalFormatting>
  <conditionalFormatting sqref="C147">
    <cfRule type="cellIs" dxfId="6179" priority="436" stopIfTrue="1" operator="equal">
      <formula>"1 Modify"</formula>
    </cfRule>
  </conditionalFormatting>
  <conditionalFormatting sqref="C147">
    <cfRule type="cellIs" dxfId="6178" priority="437" stopIfTrue="1" operator="equal">
      <formula>"2 Add"</formula>
    </cfRule>
  </conditionalFormatting>
  <conditionalFormatting sqref="C147">
    <cfRule type="cellIs" dxfId="6177" priority="438" stopIfTrue="1" operator="equal">
      <formula>"3 Delete"</formula>
    </cfRule>
  </conditionalFormatting>
  <conditionalFormatting sqref="C148">
    <cfRule type="cellIs" dxfId="6176" priority="439" stopIfTrue="1" operator="equal">
      <formula>"1 Modify"</formula>
    </cfRule>
  </conditionalFormatting>
  <conditionalFormatting sqref="C148">
    <cfRule type="cellIs" dxfId="6175" priority="440" stopIfTrue="1" operator="equal">
      <formula>"2 Add"</formula>
    </cfRule>
  </conditionalFormatting>
  <conditionalFormatting sqref="C148">
    <cfRule type="cellIs" dxfId="6174" priority="441" stopIfTrue="1" operator="equal">
      <formula>"3 Delete"</formula>
    </cfRule>
  </conditionalFormatting>
  <conditionalFormatting sqref="C149">
    <cfRule type="cellIs" dxfId="6173" priority="442" stopIfTrue="1" operator="equal">
      <formula>"1 Modify"</formula>
    </cfRule>
  </conditionalFormatting>
  <conditionalFormatting sqref="C149">
    <cfRule type="cellIs" dxfId="6172" priority="443" stopIfTrue="1" operator="equal">
      <formula>"2 Add"</formula>
    </cfRule>
  </conditionalFormatting>
  <conditionalFormatting sqref="C149">
    <cfRule type="cellIs" dxfId="6171" priority="444" stopIfTrue="1" operator="equal">
      <formula>"3 Delete"</formula>
    </cfRule>
  </conditionalFormatting>
  <conditionalFormatting sqref="C150">
    <cfRule type="cellIs" dxfId="6170" priority="445" stopIfTrue="1" operator="equal">
      <formula>"1 Modify"</formula>
    </cfRule>
  </conditionalFormatting>
  <conditionalFormatting sqref="C150">
    <cfRule type="cellIs" dxfId="6169" priority="446" stopIfTrue="1" operator="equal">
      <formula>"2 Add"</formula>
    </cfRule>
  </conditionalFormatting>
  <conditionalFormatting sqref="C150">
    <cfRule type="cellIs" dxfId="6168" priority="447" stopIfTrue="1" operator="equal">
      <formula>"3 Delete"</formula>
    </cfRule>
  </conditionalFormatting>
  <conditionalFormatting sqref="C151">
    <cfRule type="cellIs" dxfId="6167" priority="448" stopIfTrue="1" operator="equal">
      <formula>"1 Modify"</formula>
    </cfRule>
  </conditionalFormatting>
  <conditionalFormatting sqref="C151">
    <cfRule type="cellIs" dxfId="6166" priority="449" stopIfTrue="1" operator="equal">
      <formula>"2 Add"</formula>
    </cfRule>
  </conditionalFormatting>
  <conditionalFormatting sqref="C151">
    <cfRule type="cellIs" dxfId="6165" priority="450" stopIfTrue="1" operator="equal">
      <formula>"3 Delete"</formula>
    </cfRule>
  </conditionalFormatting>
  <conditionalFormatting sqref="C152">
    <cfRule type="cellIs" dxfId="6164" priority="451" stopIfTrue="1" operator="equal">
      <formula>"1 Modify"</formula>
    </cfRule>
  </conditionalFormatting>
  <conditionalFormatting sqref="C152">
    <cfRule type="cellIs" dxfId="6163" priority="452" stopIfTrue="1" operator="equal">
      <formula>"2 Add"</formula>
    </cfRule>
  </conditionalFormatting>
  <conditionalFormatting sqref="C152">
    <cfRule type="cellIs" dxfId="6162" priority="453" stopIfTrue="1" operator="equal">
      <formula>"3 Delete"</formula>
    </cfRule>
  </conditionalFormatting>
  <conditionalFormatting sqref="C153">
    <cfRule type="cellIs" dxfId="6161" priority="454" stopIfTrue="1" operator="equal">
      <formula>"1 Modify"</formula>
    </cfRule>
  </conditionalFormatting>
  <conditionalFormatting sqref="C153">
    <cfRule type="cellIs" dxfId="6160" priority="455" stopIfTrue="1" operator="equal">
      <formula>"2 Add"</formula>
    </cfRule>
  </conditionalFormatting>
  <conditionalFormatting sqref="C153">
    <cfRule type="cellIs" dxfId="6159" priority="456" stopIfTrue="1" operator="equal">
      <formula>"3 Delete"</formula>
    </cfRule>
  </conditionalFormatting>
  <conditionalFormatting sqref="C154">
    <cfRule type="cellIs" dxfId="6158" priority="457" stopIfTrue="1" operator="equal">
      <formula>"1 Modify"</formula>
    </cfRule>
  </conditionalFormatting>
  <conditionalFormatting sqref="C154">
    <cfRule type="cellIs" dxfId="6157" priority="458" stopIfTrue="1" operator="equal">
      <formula>"2 Add"</formula>
    </cfRule>
  </conditionalFormatting>
  <conditionalFormatting sqref="C154">
    <cfRule type="cellIs" dxfId="6156" priority="459" stopIfTrue="1" operator="equal">
      <formula>"3 Delete"</formula>
    </cfRule>
  </conditionalFormatting>
  <conditionalFormatting sqref="C155">
    <cfRule type="cellIs" dxfId="6155" priority="460" stopIfTrue="1" operator="equal">
      <formula>"1 Modify"</formula>
    </cfRule>
  </conditionalFormatting>
  <conditionalFormatting sqref="C155">
    <cfRule type="cellIs" dxfId="6154" priority="461" stopIfTrue="1" operator="equal">
      <formula>"2 Add"</formula>
    </cfRule>
  </conditionalFormatting>
  <conditionalFormatting sqref="C155">
    <cfRule type="cellIs" dxfId="6153" priority="462" stopIfTrue="1" operator="equal">
      <formula>"3 Delete"</formula>
    </cfRule>
  </conditionalFormatting>
  <conditionalFormatting sqref="C156">
    <cfRule type="cellIs" dxfId="6152" priority="463" stopIfTrue="1" operator="equal">
      <formula>"1 Modify"</formula>
    </cfRule>
  </conditionalFormatting>
  <conditionalFormatting sqref="C156">
    <cfRule type="cellIs" dxfId="6151" priority="464" stopIfTrue="1" operator="equal">
      <formula>"2 Add"</formula>
    </cfRule>
  </conditionalFormatting>
  <conditionalFormatting sqref="C156">
    <cfRule type="cellIs" dxfId="6150" priority="465" stopIfTrue="1" operator="equal">
      <formula>"3 Delete"</formula>
    </cfRule>
  </conditionalFormatting>
  <conditionalFormatting sqref="C157">
    <cfRule type="cellIs" dxfId="6149" priority="466" stopIfTrue="1" operator="equal">
      <formula>"1 Modify"</formula>
    </cfRule>
  </conditionalFormatting>
  <conditionalFormatting sqref="C157">
    <cfRule type="cellIs" dxfId="6148" priority="467" stopIfTrue="1" operator="equal">
      <formula>"2 Add"</formula>
    </cfRule>
  </conditionalFormatting>
  <conditionalFormatting sqref="C157">
    <cfRule type="cellIs" dxfId="6147" priority="468" stopIfTrue="1" operator="equal">
      <formula>"3 Delete"</formula>
    </cfRule>
  </conditionalFormatting>
  <conditionalFormatting sqref="C158">
    <cfRule type="cellIs" dxfId="6146" priority="469" stopIfTrue="1" operator="equal">
      <formula>"1 Modify"</formula>
    </cfRule>
  </conditionalFormatting>
  <conditionalFormatting sqref="C158">
    <cfRule type="cellIs" dxfId="6145" priority="470" stopIfTrue="1" operator="equal">
      <formula>"2 Add"</formula>
    </cfRule>
  </conditionalFormatting>
  <conditionalFormatting sqref="C158">
    <cfRule type="cellIs" dxfId="6144" priority="471" stopIfTrue="1" operator="equal">
      <formula>"3 Delete"</formula>
    </cfRule>
  </conditionalFormatting>
  <conditionalFormatting sqref="C159">
    <cfRule type="cellIs" dxfId="6143" priority="472" stopIfTrue="1" operator="equal">
      <formula>"1 Modify"</formula>
    </cfRule>
  </conditionalFormatting>
  <conditionalFormatting sqref="C159">
    <cfRule type="cellIs" dxfId="6142" priority="473" stopIfTrue="1" operator="equal">
      <formula>"2 Add"</formula>
    </cfRule>
  </conditionalFormatting>
  <conditionalFormatting sqref="C159">
    <cfRule type="cellIs" dxfId="6141" priority="474" stopIfTrue="1" operator="equal">
      <formula>"3 Delete"</formula>
    </cfRule>
  </conditionalFormatting>
  <conditionalFormatting sqref="C160">
    <cfRule type="cellIs" dxfId="6140" priority="475" stopIfTrue="1" operator="equal">
      <formula>"1 Modify"</formula>
    </cfRule>
  </conditionalFormatting>
  <conditionalFormatting sqref="C160">
    <cfRule type="cellIs" dxfId="6139" priority="476" stopIfTrue="1" operator="equal">
      <formula>"2 Add"</formula>
    </cfRule>
  </conditionalFormatting>
  <conditionalFormatting sqref="C160">
    <cfRule type="cellIs" dxfId="6138" priority="477" stopIfTrue="1" operator="equal">
      <formula>"3 Delete"</formula>
    </cfRule>
  </conditionalFormatting>
  <conditionalFormatting sqref="C161">
    <cfRule type="cellIs" dxfId="6137" priority="478" stopIfTrue="1" operator="equal">
      <formula>"1 Modify"</formula>
    </cfRule>
  </conditionalFormatting>
  <conditionalFormatting sqref="C161">
    <cfRule type="cellIs" dxfId="6136" priority="479" stopIfTrue="1" operator="equal">
      <formula>"2 Add"</formula>
    </cfRule>
  </conditionalFormatting>
  <conditionalFormatting sqref="C161">
    <cfRule type="cellIs" dxfId="6135" priority="480" stopIfTrue="1" operator="equal">
      <formula>"3 Delete"</formula>
    </cfRule>
  </conditionalFormatting>
  <conditionalFormatting sqref="C162">
    <cfRule type="cellIs" dxfId="6134" priority="481" stopIfTrue="1" operator="equal">
      <formula>"1 Modify"</formula>
    </cfRule>
  </conditionalFormatting>
  <conditionalFormatting sqref="C162">
    <cfRule type="cellIs" dxfId="6133" priority="482" stopIfTrue="1" operator="equal">
      <formula>"2 Add"</formula>
    </cfRule>
  </conditionalFormatting>
  <conditionalFormatting sqref="C162">
    <cfRule type="cellIs" dxfId="6132" priority="483" stopIfTrue="1" operator="equal">
      <formula>"3 Delete"</formula>
    </cfRule>
  </conditionalFormatting>
  <conditionalFormatting sqref="C163">
    <cfRule type="cellIs" dxfId="6131" priority="484" stopIfTrue="1" operator="equal">
      <formula>"1 Modify"</formula>
    </cfRule>
  </conditionalFormatting>
  <conditionalFormatting sqref="C163">
    <cfRule type="cellIs" dxfId="6130" priority="485" stopIfTrue="1" operator="equal">
      <formula>"2 Add"</formula>
    </cfRule>
  </conditionalFormatting>
  <conditionalFormatting sqref="C163">
    <cfRule type="cellIs" dxfId="6129" priority="486" stopIfTrue="1" operator="equal">
      <formula>"3 Delete"</formula>
    </cfRule>
  </conditionalFormatting>
  <conditionalFormatting sqref="C164">
    <cfRule type="cellIs" dxfId="6128" priority="487" stopIfTrue="1" operator="equal">
      <formula>"1 Modify"</formula>
    </cfRule>
  </conditionalFormatting>
  <conditionalFormatting sqref="C164">
    <cfRule type="cellIs" dxfId="6127" priority="488" stopIfTrue="1" operator="equal">
      <formula>"2 Add"</formula>
    </cfRule>
  </conditionalFormatting>
  <conditionalFormatting sqref="C164">
    <cfRule type="cellIs" dxfId="6126" priority="489" stopIfTrue="1" operator="equal">
      <formula>"3 Delete"</formula>
    </cfRule>
  </conditionalFormatting>
  <conditionalFormatting sqref="C165">
    <cfRule type="cellIs" dxfId="6125" priority="490" stopIfTrue="1" operator="equal">
      <formula>"1 Modify"</formula>
    </cfRule>
  </conditionalFormatting>
  <conditionalFormatting sqref="C165">
    <cfRule type="cellIs" dxfId="6124" priority="491" stopIfTrue="1" operator="equal">
      <formula>"2 Add"</formula>
    </cfRule>
  </conditionalFormatting>
  <conditionalFormatting sqref="C165">
    <cfRule type="cellIs" dxfId="6123" priority="492" stopIfTrue="1" operator="equal">
      <formula>"3 Delete"</formula>
    </cfRule>
  </conditionalFormatting>
  <conditionalFormatting sqref="C166">
    <cfRule type="cellIs" dxfId="6122" priority="493" stopIfTrue="1" operator="equal">
      <formula>"1 Modify"</formula>
    </cfRule>
  </conditionalFormatting>
  <conditionalFormatting sqref="C166">
    <cfRule type="cellIs" dxfId="6121" priority="494" stopIfTrue="1" operator="equal">
      <formula>"2 Add"</formula>
    </cfRule>
  </conditionalFormatting>
  <conditionalFormatting sqref="C166">
    <cfRule type="cellIs" dxfId="6120" priority="495" stopIfTrue="1" operator="equal">
      <formula>"3 Delete"</formula>
    </cfRule>
  </conditionalFormatting>
  <conditionalFormatting sqref="C167">
    <cfRule type="cellIs" dxfId="6119" priority="496" stopIfTrue="1" operator="equal">
      <formula>"1 Modify"</formula>
    </cfRule>
  </conditionalFormatting>
  <conditionalFormatting sqref="C167">
    <cfRule type="cellIs" dxfId="6118" priority="497" stopIfTrue="1" operator="equal">
      <formula>"2 Add"</formula>
    </cfRule>
  </conditionalFormatting>
  <conditionalFormatting sqref="C167">
    <cfRule type="cellIs" dxfId="6117" priority="498" stopIfTrue="1" operator="equal">
      <formula>"3 Delete"</formula>
    </cfRule>
  </conditionalFormatting>
  <conditionalFormatting sqref="C168">
    <cfRule type="cellIs" dxfId="6116" priority="499" stopIfTrue="1" operator="equal">
      <formula>"1 Modify"</formula>
    </cfRule>
  </conditionalFormatting>
  <conditionalFormatting sqref="C168">
    <cfRule type="cellIs" dxfId="6115" priority="500" stopIfTrue="1" operator="equal">
      <formula>"2 Add"</formula>
    </cfRule>
  </conditionalFormatting>
  <conditionalFormatting sqref="C168">
    <cfRule type="cellIs" dxfId="6114" priority="501" stopIfTrue="1" operator="equal">
      <formula>"3 Delete"</formula>
    </cfRule>
  </conditionalFormatting>
  <conditionalFormatting sqref="C169">
    <cfRule type="cellIs" dxfId="6113" priority="502" stopIfTrue="1" operator="equal">
      <formula>"1 Modify"</formula>
    </cfRule>
  </conditionalFormatting>
  <conditionalFormatting sqref="C169">
    <cfRule type="cellIs" dxfId="6112" priority="503" stopIfTrue="1" operator="equal">
      <formula>"2 Add"</formula>
    </cfRule>
  </conditionalFormatting>
  <conditionalFormatting sqref="C169">
    <cfRule type="cellIs" dxfId="6111" priority="504" stopIfTrue="1" operator="equal">
      <formula>"3 Delete"</formula>
    </cfRule>
  </conditionalFormatting>
  <conditionalFormatting sqref="C170">
    <cfRule type="cellIs" dxfId="6110" priority="505" stopIfTrue="1" operator="equal">
      <formula>"1 Modify"</formula>
    </cfRule>
  </conditionalFormatting>
  <conditionalFormatting sqref="C170">
    <cfRule type="cellIs" dxfId="6109" priority="506" stopIfTrue="1" operator="equal">
      <formula>"2 Add"</formula>
    </cfRule>
  </conditionalFormatting>
  <conditionalFormatting sqref="C170">
    <cfRule type="cellIs" dxfId="6108" priority="507" stopIfTrue="1" operator="equal">
      <formula>"3 Delete"</formula>
    </cfRule>
  </conditionalFormatting>
  <conditionalFormatting sqref="C171">
    <cfRule type="cellIs" dxfId="6107" priority="508" stopIfTrue="1" operator="equal">
      <formula>"1 Modify"</formula>
    </cfRule>
  </conditionalFormatting>
  <conditionalFormatting sqref="C171">
    <cfRule type="cellIs" dxfId="6106" priority="509" stopIfTrue="1" operator="equal">
      <formula>"2 Add"</formula>
    </cfRule>
  </conditionalFormatting>
  <conditionalFormatting sqref="C171">
    <cfRule type="cellIs" dxfId="6105" priority="510" stopIfTrue="1" operator="equal">
      <formula>"3 Delete"</formula>
    </cfRule>
  </conditionalFormatting>
  <conditionalFormatting sqref="C172">
    <cfRule type="cellIs" dxfId="6104" priority="511" stopIfTrue="1" operator="equal">
      <formula>"1 Modify"</formula>
    </cfRule>
  </conditionalFormatting>
  <conditionalFormatting sqref="C172">
    <cfRule type="cellIs" dxfId="6103" priority="512" stopIfTrue="1" operator="equal">
      <formula>"2 Add"</formula>
    </cfRule>
  </conditionalFormatting>
  <conditionalFormatting sqref="C172">
    <cfRule type="cellIs" dxfId="6102" priority="513" stopIfTrue="1" operator="equal">
      <formula>"3 Delete"</formula>
    </cfRule>
  </conditionalFormatting>
  <conditionalFormatting sqref="C173">
    <cfRule type="cellIs" dxfId="6101" priority="514" stopIfTrue="1" operator="equal">
      <formula>"1 Modify"</formula>
    </cfRule>
  </conditionalFormatting>
  <conditionalFormatting sqref="C173">
    <cfRule type="cellIs" dxfId="6100" priority="515" stopIfTrue="1" operator="equal">
      <formula>"2 Add"</formula>
    </cfRule>
  </conditionalFormatting>
  <conditionalFormatting sqref="C173">
    <cfRule type="cellIs" dxfId="6099" priority="516" stopIfTrue="1" operator="equal">
      <formula>"3 Delete"</formula>
    </cfRule>
  </conditionalFormatting>
  <conditionalFormatting sqref="C174">
    <cfRule type="cellIs" dxfId="6098" priority="517" stopIfTrue="1" operator="equal">
      <formula>"1 Modify"</formula>
    </cfRule>
  </conditionalFormatting>
  <conditionalFormatting sqref="C174">
    <cfRule type="cellIs" dxfId="6097" priority="518" stopIfTrue="1" operator="equal">
      <formula>"2 Add"</formula>
    </cfRule>
  </conditionalFormatting>
  <conditionalFormatting sqref="C174">
    <cfRule type="cellIs" dxfId="6096" priority="519" stopIfTrue="1" operator="equal">
      <formula>"3 Delete"</formula>
    </cfRule>
  </conditionalFormatting>
  <conditionalFormatting sqref="C175">
    <cfRule type="cellIs" dxfId="6095" priority="520" stopIfTrue="1" operator="equal">
      <formula>"1 Modify"</formula>
    </cfRule>
  </conditionalFormatting>
  <conditionalFormatting sqref="C175">
    <cfRule type="cellIs" dxfId="6094" priority="521" stopIfTrue="1" operator="equal">
      <formula>"2 Add"</formula>
    </cfRule>
  </conditionalFormatting>
  <conditionalFormatting sqref="C175">
    <cfRule type="cellIs" dxfId="6093" priority="522" stopIfTrue="1" operator="equal">
      <formula>"3 Delete"</formula>
    </cfRule>
  </conditionalFormatting>
  <conditionalFormatting sqref="C176">
    <cfRule type="cellIs" dxfId="6092" priority="523" stopIfTrue="1" operator="equal">
      <formula>"1 Modify"</formula>
    </cfRule>
  </conditionalFormatting>
  <conditionalFormatting sqref="C176">
    <cfRule type="cellIs" dxfId="6091" priority="524" stopIfTrue="1" operator="equal">
      <formula>"2 Add"</formula>
    </cfRule>
  </conditionalFormatting>
  <conditionalFormatting sqref="C176">
    <cfRule type="cellIs" dxfId="6090" priority="525" stopIfTrue="1" operator="equal">
      <formula>"3 Delete"</formula>
    </cfRule>
  </conditionalFormatting>
  <dataValidations count="15">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is read-only" sqref="E2:E1048576">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decimal" operator="greaterThan" allowBlank="1" showInputMessage="1" showErrorMessage="1" error="Value must be a Decimal Number" sqref="G2:G1048576">
      <formula1>-999999</formula1>
    </dataValidation>
    <dataValidation type="custom" allowBlank="1" showInputMessage="1" showErrorMessage="1" error="Column Headers are read-only" sqref="G1">
      <formula1>FALSE</formula1>
    </dataValidation>
    <dataValidation type="custom" allowBlank="1" showInputMessage="1" showErrorMessage="1" error="Column Headers are read-only" sqref="H1">
      <formula1>FALSE</formula1>
    </dataValidation>
    <dataValidation type="custom" allowBlank="1" showInputMessage="1" showErrorMessage="1" error="Column Headers are read-only" sqref="I1">
      <formula1>FALSE</formula1>
    </dataValidation>
    <dataValidation type="custom" allowBlank="1" showInputMessage="1" showErrorMessage="1" error="Column Headers are read-only" sqref="J1">
      <formula1>FALSE</formula1>
    </dataValidation>
    <dataValidation type="date" operator="greaterThan" allowBlank="1" showInputMessage="1" showErrorMessage="1" error="Value must be a Date" sqref="K2:K1048576">
      <formula1>1</formula1>
    </dataValidation>
    <dataValidation type="custom" allowBlank="1" showInputMessage="1" showErrorMessage="1" error="Column Headers are read-only" sqref="K1">
      <formula1>FALSE</formula1>
    </dataValidation>
    <dataValidation type="custom" allowBlank="1" showInputMessage="1" showErrorMessage="1" error="Column Headers are read-only" sqref="A1">
      <formula1>FALSE</formula1>
    </dataValidation>
  </dataValidations>
  <hyperlinks>
    <hyperlink ref="A2" tooltip="macro:RefreshSheet" display="Load"/>
    <hyperlink ref="A3" tooltip="macro:SaveActiveSheet" display="Save"/>
  </hyperlink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K2002"/>
  <sheetViews>
    <sheetView workbookViewId="0">
      <selection activeCell="G5" sqref="G5"/>
    </sheetView>
  </sheetViews>
  <sheetFormatPr baseColWidth="10" defaultRowHeight="15" x14ac:dyDescent="0.25"/>
  <cols>
    <col min="4" max="4" width="11.42578125" style="3"/>
    <col min="5" max="5" width="11.42578125" style="5"/>
    <col min="8" max="8" width="11.42578125" style="7"/>
    <col min="9" max="9" width="11.42578125" style="5"/>
    <col min="10" max="10" width="11.42578125" style="3"/>
    <col min="11" max="11" width="11.42578125" style="9"/>
  </cols>
  <sheetData>
    <row r="1" spans="1:11" x14ac:dyDescent="0.25">
      <c r="A1" s="1" t="s">
        <v>0</v>
      </c>
      <c r="C1" s="1" t="s">
        <v>16</v>
      </c>
      <c r="D1" s="4" t="s">
        <v>17</v>
      </c>
      <c r="E1" s="6" t="s">
        <v>18</v>
      </c>
      <c r="F1" s="1" t="s">
        <v>621</v>
      </c>
      <c r="G1" s="1" t="s">
        <v>622</v>
      </c>
      <c r="H1" s="8" t="s">
        <v>623</v>
      </c>
      <c r="I1" s="6" t="s">
        <v>624</v>
      </c>
      <c r="J1" s="4" t="s">
        <v>23</v>
      </c>
      <c r="K1" s="10" t="s">
        <v>24</v>
      </c>
    </row>
    <row r="2" spans="1:11" x14ac:dyDescent="0.25">
      <c r="A2" s="2" t="s">
        <v>619</v>
      </c>
      <c r="C2" t="str">
        <f>IF(COUNTBLANK(E2:K2) = 7,"",IF(AND(NOT(ISBLANK(E2)),COUNTBLANK(E2:K2) = 6),"3 Delete",IF(ISBLANK(E2),"2 Add",IF(SHA1Range(E2:K2) = "c7eb31533df764e8af01a819196265cd0c1dcf15","0 Original","1 Modify"))))</f>
        <v>0 Original</v>
      </c>
      <c r="D2" s="3" t="s">
        <v>625</v>
      </c>
      <c r="E2" s="5">
        <v>2</v>
      </c>
      <c r="F2">
        <v>1</v>
      </c>
      <c r="G2" t="s">
        <v>285</v>
      </c>
      <c r="H2" s="7">
        <v>4.99</v>
      </c>
      <c r="I2" s="5">
        <v>2</v>
      </c>
      <c r="J2" s="3" t="s">
        <v>29</v>
      </c>
      <c r="K2" s="9">
        <v>42483.62572916667</v>
      </c>
    </row>
    <row r="3" spans="1:11" x14ac:dyDescent="0.25">
      <c r="A3" s="2" t="s">
        <v>620</v>
      </c>
      <c r="C3" t="str">
        <f>IF(COUNTBLANK(E3:K3) = 7,"",IF(AND(NOT(ISBLANK(E3)),COUNTBLANK(E3:K3) = 6),"3 Delete",IF(ISBLANK(E3),"2 Add",IF(SHA1Range(E3:K3) = "040e9ca5fb6a9d95099eecf231bbd990a8416fdd","0 Original","1 Modify"))))</f>
        <v>0 Original</v>
      </c>
      <c r="D3" s="3" t="s">
        <v>626</v>
      </c>
      <c r="E3" s="5">
        <v>3</v>
      </c>
      <c r="F3">
        <v>1</v>
      </c>
      <c r="G3" t="s">
        <v>30</v>
      </c>
      <c r="H3" s="7">
        <v>9.99</v>
      </c>
      <c r="I3" s="5">
        <v>2</v>
      </c>
      <c r="J3" s="3" t="s">
        <v>29</v>
      </c>
      <c r="K3" s="9">
        <v>42483.62572916667</v>
      </c>
    </row>
    <row r="4" spans="1:11" x14ac:dyDescent="0.25">
      <c r="A4" s="2" t="s">
        <v>1625</v>
      </c>
      <c r="C4" t="str">
        <f>IF(COUNTBLANK(E4:K4) = 7,"",IF(AND(NOT(ISBLANK(E4)),COUNTBLANK(E4:K4) = 6),"3 Delete",IF(ISBLANK(E4),"2 Add",IF(SHA1Range(E4:K4) = "63ad135fc893abc100c5ee25746fe49e2d4049aa","0 Original","1 Modify"))))</f>
        <v>0 Original</v>
      </c>
      <c r="D4" s="3" t="s">
        <v>627</v>
      </c>
      <c r="E4" s="5">
        <v>4</v>
      </c>
      <c r="F4">
        <v>1</v>
      </c>
      <c r="G4" t="s">
        <v>207</v>
      </c>
      <c r="H4" s="7">
        <v>5.99</v>
      </c>
      <c r="I4" s="5">
        <v>2</v>
      </c>
      <c r="J4" s="3" t="s">
        <v>29</v>
      </c>
      <c r="K4" s="9">
        <v>42483.62572916667</v>
      </c>
    </row>
    <row r="5" spans="1:11" x14ac:dyDescent="0.25">
      <c r="C5" t="str">
        <f>IF(COUNTBLANK(E5:K5) = 7,"",IF(AND(NOT(ISBLANK(E5)),COUNTBLANK(E5:K5) = 6),"3 Delete",IF(ISBLANK(E5),"2 Add",IF(SHA1Range(E5:K5) = "5266c80ff96fe5403f59ea27e32df56b260c27fb","0 Original","1 Modify"))))</f>
        <v>0 Original</v>
      </c>
      <c r="D5" s="3" t="s">
        <v>628</v>
      </c>
      <c r="E5" s="5">
        <v>5</v>
      </c>
      <c r="F5">
        <v>2</v>
      </c>
      <c r="G5" t="s">
        <v>338</v>
      </c>
      <c r="H5" s="7">
        <v>4.99</v>
      </c>
      <c r="I5" s="5">
        <v>1</v>
      </c>
      <c r="J5" s="3" t="s">
        <v>29</v>
      </c>
      <c r="K5" s="9">
        <v>42483.62572916667</v>
      </c>
    </row>
    <row r="6" spans="1:11" x14ac:dyDescent="0.25">
      <c r="C6" t="str">
        <f>IF(COUNTBLANK(E6:K6) = 7,"",IF(AND(NOT(ISBLANK(E6)),COUNTBLANK(E6:K6) = 6),"3 Delete",IF(ISBLANK(E6),"2 Add",IF(SHA1Range(E6:K6) = "95d64743114a9fa51e86bc3800da826d275767d4","0 Original","1 Modify"))))</f>
        <v>0 Original</v>
      </c>
      <c r="D6" s="3" t="s">
        <v>629</v>
      </c>
      <c r="E6" s="5">
        <v>7</v>
      </c>
      <c r="F6">
        <v>3</v>
      </c>
      <c r="G6" t="s">
        <v>172</v>
      </c>
      <c r="H6" s="7">
        <v>5.99</v>
      </c>
      <c r="I6" s="5">
        <v>1</v>
      </c>
      <c r="J6" s="3" t="s">
        <v>29</v>
      </c>
      <c r="K6" s="9">
        <v>42483.62572916667</v>
      </c>
    </row>
    <row r="7" spans="1:11" x14ac:dyDescent="0.25">
      <c r="C7" t="str">
        <f>IF(COUNTBLANK(E7:K7) = 7,"",IF(AND(NOT(ISBLANK(E7)),COUNTBLANK(E7:K7) = 6),"3 Delete",IF(ISBLANK(E7),"2 Add",IF(SHA1Range(E7:K7) = "5621fecc8dfcf36c9c55fd1b99a0d7bec4ae4f44","0 Original","1 Modify"))))</f>
        <v>0 Original</v>
      </c>
      <c r="D7" s="3" t="s">
        <v>630</v>
      </c>
      <c r="E7" s="5">
        <v>8</v>
      </c>
      <c r="F7">
        <v>3</v>
      </c>
      <c r="G7" t="s">
        <v>118</v>
      </c>
      <c r="H7" s="7">
        <v>4.99</v>
      </c>
      <c r="I7" s="5">
        <v>1</v>
      </c>
      <c r="J7" s="3" t="s">
        <v>29</v>
      </c>
      <c r="K7" s="9">
        <v>42483.62572916667</v>
      </c>
    </row>
    <row r="8" spans="1:11" x14ac:dyDescent="0.25">
      <c r="C8" t="str">
        <f>IF(COUNTBLANK(E8:K8) = 7,"",IF(AND(NOT(ISBLANK(E8)),COUNTBLANK(E8:K8) = 6),"3 Delete",IF(ISBLANK(E8),"2 Add",IF(SHA1Range(E8:K8) = "a72009d21154f8085261dd77356c92242b371ade","0 Original","1 Modify"))))</f>
        <v>0 Original</v>
      </c>
      <c r="D8" s="3" t="s">
        <v>631</v>
      </c>
      <c r="E8" s="5">
        <v>9</v>
      </c>
      <c r="F8">
        <v>3</v>
      </c>
      <c r="G8" t="s">
        <v>176</v>
      </c>
      <c r="H8" s="7">
        <v>7.99</v>
      </c>
      <c r="I8" s="5">
        <v>1</v>
      </c>
      <c r="J8" s="3" t="s">
        <v>29</v>
      </c>
      <c r="K8" s="9">
        <v>42483.62572916667</v>
      </c>
    </row>
    <row r="9" spans="1:11" x14ac:dyDescent="0.25">
      <c r="C9" t="str">
        <f>IF(COUNTBLANK(E9:K9) = 7,"",IF(AND(NOT(ISBLANK(E9)),COUNTBLANK(E9:K9) = 6),"3 Delete",IF(ISBLANK(E9),"2 Add",IF(SHA1Range(E9:K9) = "04e3404162c6eebd039a6d5965eb31066b7a54b2","0 Original","1 Modify"))))</f>
        <v>0 Original</v>
      </c>
      <c r="D9" s="3" t="s">
        <v>632</v>
      </c>
      <c r="E9" s="5">
        <v>10</v>
      </c>
      <c r="F9">
        <v>4</v>
      </c>
      <c r="G9" t="s">
        <v>238</v>
      </c>
      <c r="H9" s="7">
        <v>5.99</v>
      </c>
      <c r="I9" s="5">
        <v>1</v>
      </c>
      <c r="J9" s="3" t="s">
        <v>29</v>
      </c>
      <c r="K9" s="9">
        <v>42483.62572916667</v>
      </c>
    </row>
    <row r="10" spans="1:11" x14ac:dyDescent="0.25">
      <c r="C10" t="str">
        <f>IF(COUNTBLANK(E10:K10) = 7,"",IF(AND(NOT(ISBLANK(E10)),COUNTBLANK(E10:K10) = 6),"3 Delete",IF(ISBLANK(E10),"2 Add",IF(SHA1Range(E10:K10) = "cd4ab52ad078cdbc447e5a5415b1922e21118048","0 Original","1 Modify"))))</f>
        <v>0 Original</v>
      </c>
      <c r="D10" s="3" t="s">
        <v>633</v>
      </c>
      <c r="E10" s="5">
        <v>11</v>
      </c>
      <c r="F10">
        <v>4</v>
      </c>
      <c r="G10" t="s">
        <v>562</v>
      </c>
      <c r="H10" s="7">
        <v>5.99</v>
      </c>
      <c r="I10" s="5">
        <v>2</v>
      </c>
      <c r="J10" s="3" t="s">
        <v>29</v>
      </c>
      <c r="K10" s="9">
        <v>42483.62572916667</v>
      </c>
    </row>
    <row r="11" spans="1:11" x14ac:dyDescent="0.25">
      <c r="C11" t="str">
        <f>IF(COUNTBLANK(E11:K11) = 7,"",IF(AND(NOT(ISBLANK(E11)),COUNTBLANK(E11:K11) = 6),"3 Delete",IF(ISBLANK(E11),"2 Add",IF(SHA1Range(E11:K11) = "85e5972721bc43ef091684579be67704d1acb681","0 Original","1 Modify"))))</f>
        <v>0 Original</v>
      </c>
      <c r="D11" s="3" t="s">
        <v>634</v>
      </c>
      <c r="E11" s="5">
        <v>12</v>
      </c>
      <c r="F11">
        <v>4</v>
      </c>
      <c r="G11" t="s">
        <v>295</v>
      </c>
      <c r="H11" s="7">
        <v>7.99</v>
      </c>
      <c r="I11" s="5">
        <v>1</v>
      </c>
      <c r="J11" s="3" t="s">
        <v>29</v>
      </c>
      <c r="K11" s="9">
        <v>42483.62572916667</v>
      </c>
    </row>
    <row r="12" spans="1:11" x14ac:dyDescent="0.25">
      <c r="C12" t="str">
        <f>IF(COUNTBLANK(E12:K12) = 7,"",IF(AND(NOT(ISBLANK(E12)),COUNTBLANK(E12:K12) = 6),"3 Delete",IF(ISBLANK(E12),"2 Add",IF(SHA1Range(E12:K12) = "cc4e0936d7d59a8bbf8e23a94108cb73ca4e621c","0 Original","1 Modify"))))</f>
        <v>0 Original</v>
      </c>
      <c r="D12" s="3" t="s">
        <v>635</v>
      </c>
      <c r="E12" s="5">
        <v>13</v>
      </c>
      <c r="F12">
        <v>4</v>
      </c>
      <c r="G12" t="s">
        <v>488</v>
      </c>
      <c r="H12" s="7">
        <v>8.99</v>
      </c>
      <c r="I12" s="5">
        <v>2</v>
      </c>
      <c r="J12" s="3" t="s">
        <v>29</v>
      </c>
      <c r="K12" s="9">
        <v>42483.62572916667</v>
      </c>
    </row>
    <row r="13" spans="1:11" x14ac:dyDescent="0.25">
      <c r="C13" t="str">
        <f>IF(COUNTBLANK(E13:K13) = 7,"",IF(AND(NOT(ISBLANK(E13)),COUNTBLANK(E13:K13) = 6),"3 Delete",IF(ISBLANK(E13),"2 Add",IF(SHA1Range(E13:K13) = "11391a5612b63a0dfbbfa7fe33f30882a69743d2","0 Original","1 Modify"))))</f>
        <v>0 Original</v>
      </c>
      <c r="D13" s="3" t="s">
        <v>636</v>
      </c>
      <c r="E13" s="5">
        <v>14</v>
      </c>
      <c r="F13">
        <v>4</v>
      </c>
      <c r="G13" t="s">
        <v>605</v>
      </c>
      <c r="H13" s="7">
        <v>6.99</v>
      </c>
      <c r="I13" s="5">
        <v>2</v>
      </c>
      <c r="J13" s="3" t="s">
        <v>29</v>
      </c>
      <c r="K13" s="9">
        <v>42483.62572916667</v>
      </c>
    </row>
    <row r="14" spans="1:11" x14ac:dyDescent="0.25">
      <c r="C14" t="str">
        <f>IF(COUNTBLANK(E14:K14) = 7,"",IF(AND(NOT(ISBLANK(E14)),COUNTBLANK(E14:K14) = 6),"3 Delete",IF(ISBLANK(E14),"2 Add",IF(SHA1Range(E14:K14) = "e44b0269c0b232ba7d5fbb38eed7609013cea39f","0 Original","1 Modify"))))</f>
        <v>0 Original</v>
      </c>
      <c r="D14" s="3" t="s">
        <v>637</v>
      </c>
      <c r="E14" s="5">
        <v>15</v>
      </c>
      <c r="F14">
        <v>4</v>
      </c>
      <c r="G14" t="s">
        <v>375</v>
      </c>
      <c r="H14" s="7">
        <v>9.99</v>
      </c>
      <c r="I14" s="5">
        <v>1</v>
      </c>
      <c r="J14" s="3" t="s">
        <v>29</v>
      </c>
      <c r="K14" s="9">
        <v>42483.62572916667</v>
      </c>
    </row>
    <row r="15" spans="1:11" x14ac:dyDescent="0.25">
      <c r="C15" t="str">
        <f>IF(COUNTBLANK(E15:K15) = 7,"",IF(AND(NOT(ISBLANK(E15)),COUNTBLANK(E15:K15) = 6),"3 Delete",IF(ISBLANK(E15),"2 Add",IF(SHA1Range(E15:K15) = "4a78e01278af01729b2e0c3d28975a67a0fe1565","0 Original","1 Modify"))))</f>
        <v>0 Original</v>
      </c>
      <c r="D15" s="3" t="s">
        <v>638</v>
      </c>
      <c r="E15" s="5">
        <v>16</v>
      </c>
      <c r="F15">
        <v>5</v>
      </c>
      <c r="G15" t="s">
        <v>492</v>
      </c>
      <c r="H15" s="7">
        <v>7.99</v>
      </c>
      <c r="I15" s="5">
        <v>1</v>
      </c>
      <c r="J15" s="3" t="s">
        <v>29</v>
      </c>
      <c r="K15" s="9">
        <v>42483.62572916667</v>
      </c>
    </row>
    <row r="16" spans="1:11" x14ac:dyDescent="0.25">
      <c r="C16" t="str">
        <f>IF(COUNTBLANK(E16:K16) = 7,"",IF(AND(NOT(ISBLANK(E16)),COUNTBLANK(E16:K16) = 6),"3 Delete",IF(ISBLANK(E16),"2 Add",IF(SHA1Range(E16:K16) = "8197e54f8ce15bde7fe794bcc8cf4509b096e2c3","0 Original","1 Modify"))))</f>
        <v>0 Original</v>
      </c>
      <c r="D16" s="3" t="s">
        <v>639</v>
      </c>
      <c r="E16" s="5">
        <v>17</v>
      </c>
      <c r="F16">
        <v>5</v>
      </c>
      <c r="G16" t="s">
        <v>298</v>
      </c>
      <c r="H16" s="7">
        <v>7.99</v>
      </c>
      <c r="I16" s="5">
        <v>1</v>
      </c>
      <c r="J16" s="3" t="s">
        <v>29</v>
      </c>
      <c r="K16" s="9">
        <v>42483.62572916667</v>
      </c>
    </row>
    <row r="17" spans="3:11" x14ac:dyDescent="0.25">
      <c r="C17" t="str">
        <f>IF(COUNTBLANK(E17:K17) = 7,"",IF(AND(NOT(ISBLANK(E17)),COUNTBLANK(E17:K17) = 6),"3 Delete",IF(ISBLANK(E17),"2 Add",IF(SHA1Range(E17:K17) = "b60f0b7b69e27fca335bb5a2631ee4debb5910dc","0 Original","1 Modify"))))</f>
        <v>0 Original</v>
      </c>
      <c r="D17" s="3" t="s">
        <v>640</v>
      </c>
      <c r="E17" s="5">
        <v>18</v>
      </c>
      <c r="F17">
        <v>6</v>
      </c>
      <c r="G17" t="s">
        <v>199</v>
      </c>
      <c r="H17" s="7">
        <v>5.99</v>
      </c>
      <c r="I17" s="5">
        <v>2</v>
      </c>
      <c r="J17" s="3" t="s">
        <v>29</v>
      </c>
      <c r="K17" s="9">
        <v>42483.62572916667</v>
      </c>
    </row>
    <row r="18" spans="3:11" x14ac:dyDescent="0.25">
      <c r="C18" t="str">
        <f>IF(COUNTBLANK(E18:K18) = 7,"",IF(AND(NOT(ISBLANK(E18)),COUNTBLANK(E18:K18) = 6),"3 Delete",IF(ISBLANK(E18),"2 Add",IF(SHA1Range(E18:K18) = "12754d40cf92520ce9ae7713498ff93809d1ebec","0 Original","1 Modify"))))</f>
        <v>0 Original</v>
      </c>
      <c r="D18" s="3" t="s">
        <v>641</v>
      </c>
      <c r="E18" s="5">
        <v>19</v>
      </c>
      <c r="F18">
        <v>6</v>
      </c>
      <c r="G18" t="s">
        <v>368</v>
      </c>
      <c r="H18" s="7">
        <v>4.99</v>
      </c>
      <c r="I18" s="5">
        <v>1</v>
      </c>
      <c r="J18" s="3" t="s">
        <v>29</v>
      </c>
      <c r="K18" s="9">
        <v>42483.62572916667</v>
      </c>
    </row>
    <row r="19" spans="3:11" x14ac:dyDescent="0.25">
      <c r="C19" t="str">
        <f>IF(COUNTBLANK(E19:K19) = 7,"",IF(AND(NOT(ISBLANK(E19)),COUNTBLANK(E19:K19) = 6),"3 Delete",IF(ISBLANK(E19),"2 Add",IF(SHA1Range(E19:K19) = "dabf5b4ff0e1b4633d880f44b971b9f704b0884f","0 Original","1 Modify"))))</f>
        <v>0 Original</v>
      </c>
      <c r="D19" s="3" t="s">
        <v>642</v>
      </c>
      <c r="E19" s="5">
        <v>20</v>
      </c>
      <c r="F19">
        <v>6</v>
      </c>
      <c r="G19" t="s">
        <v>587</v>
      </c>
      <c r="H19" s="7">
        <v>7.99</v>
      </c>
      <c r="I19" s="5">
        <v>1</v>
      </c>
      <c r="J19" s="3" t="s">
        <v>29</v>
      </c>
      <c r="K19" s="9">
        <v>42483.62572916667</v>
      </c>
    </row>
    <row r="20" spans="3:11" x14ac:dyDescent="0.25">
      <c r="C20" t="str">
        <f>IF(COUNTBLANK(E20:K20) = 7,"",IF(AND(NOT(ISBLANK(E20)),COUNTBLANK(E20:K20) = 6),"3 Delete",IF(ISBLANK(E20),"2 Add",IF(SHA1Range(E20:K20) = "d756680e7604994f8034a6260d35eb32b1332509","0 Original","1 Modify"))))</f>
        <v>0 Original</v>
      </c>
      <c r="D20" s="3" t="s">
        <v>643</v>
      </c>
      <c r="E20" s="5">
        <v>21</v>
      </c>
      <c r="F20">
        <v>7</v>
      </c>
      <c r="G20" t="s">
        <v>126</v>
      </c>
      <c r="H20" s="7">
        <v>6.99</v>
      </c>
      <c r="I20" s="5">
        <v>1</v>
      </c>
      <c r="J20" s="3" t="s">
        <v>29</v>
      </c>
      <c r="K20" s="9">
        <v>42483.62572916667</v>
      </c>
    </row>
    <row r="21" spans="3:11" x14ac:dyDescent="0.25">
      <c r="C21" t="str">
        <f>IF(COUNTBLANK(E21:K21) = 7,"",IF(AND(NOT(ISBLANK(E21)),COUNTBLANK(E21:K21) = 6),"3 Delete",IF(ISBLANK(E21),"2 Add",IF(SHA1Range(E21:K21) = "bf72f920f24796da4637d10b51a45f667110b20c","0 Original","1 Modify"))))</f>
        <v>0 Original</v>
      </c>
      <c r="D21" s="3" t="s">
        <v>644</v>
      </c>
      <c r="E21" s="5">
        <v>22</v>
      </c>
      <c r="F21">
        <v>7</v>
      </c>
      <c r="G21" t="s">
        <v>77</v>
      </c>
      <c r="H21" s="7">
        <v>8.99</v>
      </c>
      <c r="I21" s="5">
        <v>1</v>
      </c>
      <c r="J21" s="3" t="s">
        <v>29</v>
      </c>
      <c r="K21" s="9">
        <v>42483.62572916667</v>
      </c>
    </row>
    <row r="22" spans="3:11" x14ac:dyDescent="0.25">
      <c r="C22" t="str">
        <f>IF(COUNTBLANK(E22:K22) = 7,"",IF(AND(NOT(ISBLANK(E22)),COUNTBLANK(E22:K22) = 6),"3 Delete",IF(ISBLANK(E22),"2 Add",IF(SHA1Range(E22:K22) = "a8823654308e76117661e88519fa3a1eb3f6b434","0 Original","1 Modify"))))</f>
        <v>0 Original</v>
      </c>
      <c r="D22" s="3" t="s">
        <v>645</v>
      </c>
      <c r="E22" s="5">
        <v>23</v>
      </c>
      <c r="F22">
        <v>7</v>
      </c>
      <c r="G22" t="s">
        <v>169</v>
      </c>
      <c r="H22" s="7">
        <v>5.99</v>
      </c>
      <c r="I22" s="5">
        <v>1</v>
      </c>
      <c r="J22" s="3" t="s">
        <v>29</v>
      </c>
      <c r="K22" s="9">
        <v>42483.62572916667</v>
      </c>
    </row>
    <row r="23" spans="3:11" x14ac:dyDescent="0.25">
      <c r="C23" t="str">
        <f>IF(COUNTBLANK(E23:K23) = 7,"",IF(AND(NOT(ISBLANK(E23)),COUNTBLANK(E23:K23) = 6),"3 Delete",IF(ISBLANK(E23),"2 Add",IF(SHA1Range(E23:K23) = "d27e5d0a5d30cf7e7b36c183367f7ccd150e7563","0 Original","1 Modify"))))</f>
        <v>0 Original</v>
      </c>
      <c r="D23" s="3" t="s">
        <v>646</v>
      </c>
      <c r="E23" s="5">
        <v>24</v>
      </c>
      <c r="F23">
        <v>7</v>
      </c>
      <c r="G23" t="s">
        <v>446</v>
      </c>
      <c r="H23" s="7">
        <v>4.99</v>
      </c>
      <c r="I23" s="5">
        <v>1</v>
      </c>
      <c r="J23" s="3" t="s">
        <v>29</v>
      </c>
      <c r="K23" s="9">
        <v>42483.62572916667</v>
      </c>
    </row>
    <row r="24" spans="3:11" x14ac:dyDescent="0.25">
      <c r="C24" t="str">
        <f>IF(COUNTBLANK(E24:K24) = 7,"",IF(AND(NOT(ISBLANK(E24)),COUNTBLANK(E24:K24) = 6),"3 Delete",IF(ISBLANK(E24),"2 Add",IF(SHA1Range(E24:K24) = "b39d50a87c366382afa1508eb5fd12844f002ed4","0 Original","1 Modify"))))</f>
        <v>0 Original</v>
      </c>
      <c r="D24" s="3" t="s">
        <v>647</v>
      </c>
      <c r="E24" s="5">
        <v>25</v>
      </c>
      <c r="F24">
        <v>8</v>
      </c>
      <c r="G24" t="s">
        <v>214</v>
      </c>
      <c r="H24" s="7">
        <v>5.99</v>
      </c>
      <c r="I24" s="5">
        <v>1</v>
      </c>
      <c r="J24" s="3" t="s">
        <v>29</v>
      </c>
      <c r="K24" s="9">
        <v>42483.62572916667</v>
      </c>
    </row>
    <row r="25" spans="3:11" x14ac:dyDescent="0.25">
      <c r="C25" t="str">
        <f>IF(COUNTBLANK(E25:K25) = 7,"",IF(AND(NOT(ISBLANK(E25)),COUNTBLANK(E25:K25) = 6),"3 Delete",IF(ISBLANK(E25),"2 Add",IF(SHA1Range(E25:K25) = "3e4d5f1ffff4067c514213e2f005038f9f9f5d66","0 Original","1 Modify"))))</f>
        <v>0 Original</v>
      </c>
      <c r="D25" s="3" t="s">
        <v>648</v>
      </c>
      <c r="E25" s="5">
        <v>26</v>
      </c>
      <c r="F25">
        <v>8</v>
      </c>
      <c r="G25" t="s">
        <v>391</v>
      </c>
      <c r="H25" s="7">
        <v>7.99</v>
      </c>
      <c r="I25" s="5">
        <v>1</v>
      </c>
      <c r="J25" s="3" t="s">
        <v>29</v>
      </c>
      <c r="K25" s="9">
        <v>42483.62572916667</v>
      </c>
    </row>
    <row r="26" spans="3:11" x14ac:dyDescent="0.25">
      <c r="C26" t="str">
        <f>IF(COUNTBLANK(E26:K26) = 7,"",IF(AND(NOT(ISBLANK(E26)),COUNTBLANK(E26:K26) = 6),"3 Delete",IF(ISBLANK(E26),"2 Add",IF(SHA1Range(E26:K26) = "cacecc284ed855b36bef88c7e07ccaab2da15624","0 Original","1 Modify"))))</f>
        <v>0 Original</v>
      </c>
      <c r="D26" s="3" t="s">
        <v>649</v>
      </c>
      <c r="E26" s="5">
        <v>27</v>
      </c>
      <c r="F26">
        <v>8</v>
      </c>
      <c r="G26" t="s">
        <v>569</v>
      </c>
      <c r="H26" s="7">
        <v>9.99</v>
      </c>
      <c r="I26" s="5">
        <v>1</v>
      </c>
      <c r="J26" s="3" t="s">
        <v>29</v>
      </c>
      <c r="K26" s="9">
        <v>42483.62572916667</v>
      </c>
    </row>
    <row r="27" spans="3:11" x14ac:dyDescent="0.25">
      <c r="C27" t="str">
        <f>IF(COUNTBLANK(E27:K27) = 7,"",IF(AND(NOT(ISBLANK(E27)),COUNTBLANK(E27:K27) = 6),"3 Delete",IF(ISBLANK(E27),"2 Add",IF(SHA1Range(E27:K27) = "175a739db0c98aa2d98144cadf56350e915f7866","0 Original","1 Modify"))))</f>
        <v>0 Original</v>
      </c>
      <c r="D27" s="3" t="s">
        <v>650</v>
      </c>
      <c r="E27" s="5">
        <v>28</v>
      </c>
      <c r="F27">
        <v>8</v>
      </c>
      <c r="G27" t="s">
        <v>242</v>
      </c>
      <c r="H27" s="7">
        <v>7.99</v>
      </c>
      <c r="I27" s="5">
        <v>2</v>
      </c>
      <c r="J27" s="3" t="s">
        <v>29</v>
      </c>
      <c r="K27" s="9">
        <v>42483.62572916667</v>
      </c>
    </row>
    <row r="28" spans="3:11" x14ac:dyDescent="0.25">
      <c r="C28" t="str">
        <f>IF(COUNTBLANK(E28:K28) = 7,"",IF(AND(NOT(ISBLANK(E28)),COUNTBLANK(E28:K28) = 6),"3 Delete",IF(ISBLANK(E28),"2 Add",IF(SHA1Range(E28:K28) = "d4c5acf4b7b614ace8302fcb2bd0c6a459adecf4","0 Original","1 Modify"))))</f>
        <v>0 Original</v>
      </c>
      <c r="D28" s="3" t="s">
        <v>651</v>
      </c>
      <c r="E28" s="5">
        <v>29</v>
      </c>
      <c r="F28">
        <v>8</v>
      </c>
      <c r="G28" t="s">
        <v>301</v>
      </c>
      <c r="H28" s="7">
        <v>9.99</v>
      </c>
      <c r="I28" s="5">
        <v>1</v>
      </c>
      <c r="J28" s="3" t="s">
        <v>29</v>
      </c>
      <c r="K28" s="9">
        <v>42483.62572916667</v>
      </c>
    </row>
    <row r="29" spans="3:11" x14ac:dyDescent="0.25">
      <c r="C29" t="str">
        <f>IF(COUNTBLANK(E29:K29) = 7,"",IF(AND(NOT(ISBLANK(E29)),COUNTBLANK(E29:K29) = 6),"3 Delete",IF(ISBLANK(E29),"2 Add",IF(SHA1Range(E29:K29) = "65fa47fe1e07acfe440244f5d441b48c304e8671","0 Original","1 Modify"))))</f>
        <v>0 Original</v>
      </c>
      <c r="D29" s="3" t="s">
        <v>652</v>
      </c>
      <c r="E29" s="5">
        <v>30</v>
      </c>
      <c r="F29">
        <v>9</v>
      </c>
      <c r="G29" t="s">
        <v>199</v>
      </c>
      <c r="H29" s="7">
        <v>5.99</v>
      </c>
      <c r="I29" s="5">
        <v>2</v>
      </c>
      <c r="J29" s="3" t="s">
        <v>29</v>
      </c>
      <c r="K29" s="9">
        <v>42483.62572916667</v>
      </c>
    </row>
    <row r="30" spans="3:11" x14ac:dyDescent="0.25">
      <c r="C30" t="str">
        <f>IF(COUNTBLANK(E30:K30) = 7,"",IF(AND(NOT(ISBLANK(E30)),COUNTBLANK(E30:K30) = 6),"3 Delete",IF(ISBLANK(E30),"2 Add",IF(SHA1Range(E30:K30) = "96c0be3d08484c5f54a22216cdfdec2e38050956","0 Original","1 Modify"))))</f>
        <v>0 Original</v>
      </c>
      <c r="D30" s="3" t="s">
        <v>653</v>
      </c>
      <c r="E30" s="5">
        <v>31</v>
      </c>
      <c r="F30">
        <v>9</v>
      </c>
      <c r="G30" t="s">
        <v>65</v>
      </c>
      <c r="H30" s="7">
        <v>6.99</v>
      </c>
      <c r="I30" s="5">
        <v>2</v>
      </c>
      <c r="J30" s="3" t="s">
        <v>29</v>
      </c>
      <c r="K30" s="9">
        <v>42483.62572916667</v>
      </c>
    </row>
    <row r="31" spans="3:11" x14ac:dyDescent="0.25">
      <c r="C31" t="str">
        <f>IF(COUNTBLANK(E31:K31) = 7,"",IF(AND(NOT(ISBLANK(E31)),COUNTBLANK(E31:K31) = 6),"3 Delete",IF(ISBLANK(E31),"2 Add",IF(SHA1Range(E31:K31) = "af7e0b055435b54222b16168ef1c7534d92a3501","0 Original","1 Modify"))))</f>
        <v>0 Original</v>
      </c>
      <c r="D31" s="3" t="s">
        <v>654</v>
      </c>
      <c r="E31" s="5">
        <v>32</v>
      </c>
      <c r="F31">
        <v>9</v>
      </c>
      <c r="G31" t="s">
        <v>456</v>
      </c>
      <c r="H31" s="7">
        <v>9.99</v>
      </c>
      <c r="I31" s="5">
        <v>1</v>
      </c>
      <c r="J31" s="3" t="s">
        <v>29</v>
      </c>
      <c r="K31" s="9">
        <v>42483.62572916667</v>
      </c>
    </row>
    <row r="32" spans="3:11" x14ac:dyDescent="0.25">
      <c r="C32" t="str">
        <f>IF(COUNTBLANK(E32:K32) = 7,"",IF(AND(NOT(ISBLANK(E32)),COUNTBLANK(E32:K32) = 6),"3 Delete",IF(ISBLANK(E32),"2 Add",IF(SHA1Range(E32:K32) = "5620975ce4ad2dc070d143698c3f19760a5e677e","0 Original","1 Modify"))))</f>
        <v>0 Original</v>
      </c>
      <c r="D32" s="3" t="s">
        <v>655</v>
      </c>
      <c r="E32" s="5">
        <v>33</v>
      </c>
      <c r="F32">
        <v>9</v>
      </c>
      <c r="G32" t="s">
        <v>391</v>
      </c>
      <c r="H32" s="7">
        <v>7.99</v>
      </c>
      <c r="I32" s="5">
        <v>1</v>
      </c>
      <c r="J32" s="3" t="s">
        <v>29</v>
      </c>
      <c r="K32" s="9">
        <v>42483.62572916667</v>
      </c>
    </row>
    <row r="33" spans="3:11" x14ac:dyDescent="0.25">
      <c r="C33" t="str">
        <f>IF(COUNTBLANK(E33:K33) = 7,"",IF(AND(NOT(ISBLANK(E33)),COUNTBLANK(E33:K33) = 6),"3 Delete",IF(ISBLANK(E33),"2 Add",IF(SHA1Range(E33:K33) = "72693ed7738401b2f307f154b862f977e7a07e81","0 Original","1 Modify"))))</f>
        <v>0 Original</v>
      </c>
      <c r="D33" s="3" t="s">
        <v>656</v>
      </c>
      <c r="E33" s="5">
        <v>34</v>
      </c>
      <c r="F33">
        <v>9</v>
      </c>
      <c r="G33" t="s">
        <v>443</v>
      </c>
      <c r="H33" s="7">
        <v>6.99</v>
      </c>
      <c r="I33" s="5">
        <v>1</v>
      </c>
      <c r="J33" s="3" t="s">
        <v>29</v>
      </c>
      <c r="K33" s="9">
        <v>42483.62572916667</v>
      </c>
    </row>
    <row r="34" spans="3:11" x14ac:dyDescent="0.25">
      <c r="C34" t="str">
        <f>IF(COUNTBLANK(E34:K34) = 7,"",IF(AND(NOT(ISBLANK(E34)),COUNTBLANK(E34:K34) = 6),"3 Delete",IF(ISBLANK(E34),"2 Add",IF(SHA1Range(E34:K34) = "b4e8ca3539c6b90fde1b3d15788ef08ee6e63b99","0 Original","1 Modify"))))</f>
        <v>0 Original</v>
      </c>
      <c r="D34" s="3" t="s">
        <v>657</v>
      </c>
      <c r="E34" s="5">
        <v>35</v>
      </c>
      <c r="F34">
        <v>9</v>
      </c>
      <c r="G34" t="s">
        <v>335</v>
      </c>
      <c r="H34" s="7">
        <v>5.99</v>
      </c>
      <c r="I34" s="5">
        <v>1</v>
      </c>
      <c r="J34" s="3" t="s">
        <v>29</v>
      </c>
      <c r="K34" s="9">
        <v>42483.62572916667</v>
      </c>
    </row>
    <row r="35" spans="3:11" x14ac:dyDescent="0.25">
      <c r="C35" t="str">
        <f>IF(COUNTBLANK(E35:K35) = 7,"",IF(AND(NOT(ISBLANK(E35)),COUNTBLANK(E35:K35) = 6),"3 Delete",IF(ISBLANK(E35),"2 Add",IF(SHA1Range(E35:K35) = "24d19932e78b7a52a4054e24064d67ea05a320b9","0 Original","1 Modify"))))</f>
        <v>0 Original</v>
      </c>
      <c r="D35" s="3" t="s">
        <v>658</v>
      </c>
      <c r="E35" s="5">
        <v>36</v>
      </c>
      <c r="F35">
        <v>9</v>
      </c>
      <c r="G35" t="s">
        <v>605</v>
      </c>
      <c r="H35" s="7">
        <v>6.99</v>
      </c>
      <c r="I35" s="5">
        <v>1</v>
      </c>
      <c r="J35" s="3" t="s">
        <v>29</v>
      </c>
      <c r="K35" s="9">
        <v>42483.62572916667</v>
      </c>
    </row>
    <row r="36" spans="3:11" x14ac:dyDescent="0.25">
      <c r="C36" t="str">
        <f>IF(COUNTBLANK(E36:K36) = 7,"",IF(AND(NOT(ISBLANK(E36)),COUNTBLANK(E36:K36) = 6),"3 Delete",IF(ISBLANK(E36),"2 Add",IF(SHA1Range(E36:K36) = "9f31f1daa063b3ecf82170a42f96217ce898b261","0 Original","1 Modify"))))</f>
        <v>0 Original</v>
      </c>
      <c r="D36" s="3" t="s">
        <v>659</v>
      </c>
      <c r="E36" s="5">
        <v>37</v>
      </c>
      <c r="F36">
        <v>10</v>
      </c>
      <c r="G36" t="s">
        <v>414</v>
      </c>
      <c r="H36" s="7">
        <v>4.99</v>
      </c>
      <c r="I36" s="5">
        <v>2</v>
      </c>
      <c r="J36" s="3" t="s">
        <v>29</v>
      </c>
      <c r="K36" s="9">
        <v>42483.62572916667</v>
      </c>
    </row>
    <row r="37" spans="3:11" x14ac:dyDescent="0.25">
      <c r="C37" t="str">
        <f>IF(COUNTBLANK(E37:K37) = 7,"",IF(AND(NOT(ISBLANK(E37)),COUNTBLANK(E37:K37) = 6),"3 Delete",IF(ISBLANK(E37),"2 Add",IF(SHA1Range(E37:K37) = "48b890c7a54da830a168e52169718e5674d6e3d9","0 Original","1 Modify"))))</f>
        <v>0 Original</v>
      </c>
      <c r="D37" s="3" t="s">
        <v>660</v>
      </c>
      <c r="E37" s="5">
        <v>38</v>
      </c>
      <c r="F37">
        <v>10</v>
      </c>
      <c r="G37" t="s">
        <v>500</v>
      </c>
      <c r="H37" s="7">
        <v>4.99</v>
      </c>
      <c r="I37" s="5">
        <v>1</v>
      </c>
      <c r="J37" s="3" t="s">
        <v>29</v>
      </c>
      <c r="K37" s="9">
        <v>42483.62572916667</v>
      </c>
    </row>
    <row r="38" spans="3:11" x14ac:dyDescent="0.25">
      <c r="C38" t="str">
        <f>IF(COUNTBLANK(E38:K38) = 7,"",IF(AND(NOT(ISBLANK(E38)),COUNTBLANK(E38:K38) = 6),"3 Delete",IF(ISBLANK(E38),"2 Add",IF(SHA1Range(E38:K38) = "5d1dda93d603d9a83cd60c35f91e5b66583d26bf","0 Original","1 Modify"))))</f>
        <v>0 Original</v>
      </c>
      <c r="D38" s="3" t="s">
        <v>661</v>
      </c>
      <c r="E38" s="5">
        <v>39</v>
      </c>
      <c r="F38">
        <v>10</v>
      </c>
      <c r="G38" t="s">
        <v>602</v>
      </c>
      <c r="H38" s="7">
        <v>7.99</v>
      </c>
      <c r="I38" s="5">
        <v>1</v>
      </c>
      <c r="J38" s="3" t="s">
        <v>29</v>
      </c>
      <c r="K38" s="9">
        <v>42483.62572916667</v>
      </c>
    </row>
    <row r="39" spans="3:11" x14ac:dyDescent="0.25">
      <c r="C39" t="str">
        <f>IF(COUNTBLANK(E39:K39) = 7,"",IF(AND(NOT(ISBLANK(E39)),COUNTBLANK(E39:K39) = 6),"3 Delete",IF(ISBLANK(E39),"2 Add",IF(SHA1Range(E39:K39) = "cf84cbe8a86524889eb07e026d4af1dadaa622f2","0 Original","1 Modify"))))</f>
        <v>0 Original</v>
      </c>
      <c r="D39" s="3" t="s">
        <v>662</v>
      </c>
      <c r="E39" s="5">
        <v>40</v>
      </c>
      <c r="F39">
        <v>10</v>
      </c>
      <c r="G39" t="s">
        <v>421</v>
      </c>
      <c r="H39" s="7">
        <v>6.99</v>
      </c>
      <c r="I39" s="5">
        <v>2</v>
      </c>
      <c r="J39" s="3" t="s">
        <v>29</v>
      </c>
      <c r="K39" s="9">
        <v>42483.62572916667</v>
      </c>
    </row>
    <row r="40" spans="3:11" x14ac:dyDescent="0.25">
      <c r="C40" t="str">
        <f>IF(COUNTBLANK(E40:K40) = 7,"",IF(AND(NOT(ISBLANK(E40)),COUNTBLANK(E40:K40) = 6),"3 Delete",IF(ISBLANK(E40),"2 Add",IF(SHA1Range(E40:K40) = "fb6c3f2a2cfb621989778caeccc211934428b271","0 Original","1 Modify"))))</f>
        <v>0 Original</v>
      </c>
      <c r="D40" s="3" t="s">
        <v>663</v>
      </c>
      <c r="E40" s="5">
        <v>41</v>
      </c>
      <c r="F40">
        <v>10</v>
      </c>
      <c r="G40" t="s">
        <v>307</v>
      </c>
      <c r="H40" s="7">
        <v>8.99</v>
      </c>
      <c r="I40" s="5">
        <v>1</v>
      </c>
      <c r="J40" s="3" t="s">
        <v>29</v>
      </c>
      <c r="K40" s="9">
        <v>42483.62572916667</v>
      </c>
    </row>
    <row r="41" spans="3:11" x14ac:dyDescent="0.25">
      <c r="C41" t="str">
        <f>IF(COUNTBLANK(E41:K41) = 7,"",IF(AND(NOT(ISBLANK(E41)),COUNTBLANK(E41:K41) = 6),"3 Delete",IF(ISBLANK(E41),"2 Add",IF(SHA1Range(E41:K41) = "30c7d2b9bda7c968caaf265656c3d2a48ce9d4f7","0 Original","1 Modify"))))</f>
        <v>0 Original</v>
      </c>
      <c r="D41" s="3" t="s">
        <v>664</v>
      </c>
      <c r="E41" s="5">
        <v>42</v>
      </c>
      <c r="F41">
        <v>11</v>
      </c>
      <c r="G41" t="s">
        <v>602</v>
      </c>
      <c r="H41" s="7">
        <v>7.99</v>
      </c>
      <c r="I41" s="5">
        <v>1</v>
      </c>
      <c r="J41" s="3" t="s">
        <v>29</v>
      </c>
      <c r="K41" s="9">
        <v>42483.62572916667</v>
      </c>
    </row>
    <row r="42" spans="3:11" x14ac:dyDescent="0.25">
      <c r="C42" t="str">
        <f>IF(COUNTBLANK(E42:K42) = 7,"",IF(AND(NOT(ISBLANK(E42)),COUNTBLANK(E42:K42) = 6),"3 Delete",IF(ISBLANK(E42),"2 Add",IF(SHA1Range(E42:K42) = "ef0f68ed5aeebbe8f5d454a50ea85619fe969038","0 Original","1 Modify"))))</f>
        <v>0 Original</v>
      </c>
      <c r="D42" s="3" t="s">
        <v>665</v>
      </c>
      <c r="E42" s="5">
        <v>43</v>
      </c>
      <c r="F42">
        <v>11</v>
      </c>
      <c r="G42" t="s">
        <v>318</v>
      </c>
      <c r="H42" s="7">
        <v>6.99</v>
      </c>
      <c r="I42" s="5">
        <v>1</v>
      </c>
      <c r="J42" s="3" t="s">
        <v>29</v>
      </c>
      <c r="K42" s="9">
        <v>42483.62572916667</v>
      </c>
    </row>
    <row r="43" spans="3:11" x14ac:dyDescent="0.25">
      <c r="C43" t="str">
        <f>IF(COUNTBLANK(E43:K43) = 7,"",IF(AND(NOT(ISBLANK(E43)),COUNTBLANK(E43:K43) = 6),"3 Delete",IF(ISBLANK(E43),"2 Add",IF(SHA1Range(E43:K43) = "d751247fc512f3e8e36b871223d0e5196a6266dd","0 Original","1 Modify"))))</f>
        <v>0 Original</v>
      </c>
      <c r="D43" s="3" t="s">
        <v>666</v>
      </c>
      <c r="E43" s="5">
        <v>44</v>
      </c>
      <c r="F43">
        <v>12</v>
      </c>
      <c r="G43" t="s">
        <v>88</v>
      </c>
      <c r="H43" s="7">
        <v>7.99</v>
      </c>
      <c r="I43" s="5">
        <v>1</v>
      </c>
      <c r="J43" s="3" t="s">
        <v>29</v>
      </c>
      <c r="K43" s="9">
        <v>42483.62572916667</v>
      </c>
    </row>
    <row r="44" spans="3:11" x14ac:dyDescent="0.25">
      <c r="C44" t="str">
        <f>IF(COUNTBLANK(E44:K44) = 7,"",IF(AND(NOT(ISBLANK(E44)),COUNTBLANK(E44:K44) = 6),"3 Delete",IF(ISBLANK(E44),"2 Add",IF(SHA1Range(E44:K44) = "764d5d0b47035aee2b3efd53012b0bc410e7c43e","0 Original","1 Modify"))))</f>
        <v>0 Original</v>
      </c>
      <c r="D44" s="3" t="s">
        <v>667</v>
      </c>
      <c r="E44" s="5">
        <v>45</v>
      </c>
      <c r="F44">
        <v>13</v>
      </c>
      <c r="G44" t="s">
        <v>573</v>
      </c>
      <c r="H44" s="7">
        <v>9.99</v>
      </c>
      <c r="I44" s="5">
        <v>2</v>
      </c>
      <c r="J44" s="3" t="s">
        <v>29</v>
      </c>
      <c r="K44" s="9">
        <v>42483.62572916667</v>
      </c>
    </row>
    <row r="45" spans="3:11" x14ac:dyDescent="0.25">
      <c r="C45" t="str">
        <f>IF(COUNTBLANK(E45:K45) = 7,"",IF(AND(NOT(ISBLANK(E45)),COUNTBLANK(E45:K45) = 6),"3 Delete",IF(ISBLANK(E45),"2 Add",IF(SHA1Range(E45:K45) = "623fc28a73c55219a84c4d9bd5e8548ad61df0a0","0 Original","1 Modify"))))</f>
        <v>0 Original</v>
      </c>
      <c r="D45" s="3" t="s">
        <v>668</v>
      </c>
      <c r="E45" s="5">
        <v>46</v>
      </c>
      <c r="F45">
        <v>13</v>
      </c>
      <c r="G45" t="s">
        <v>41</v>
      </c>
      <c r="H45" s="7">
        <v>5.99</v>
      </c>
      <c r="I45" s="5">
        <v>1</v>
      </c>
      <c r="J45" s="3" t="s">
        <v>29</v>
      </c>
      <c r="K45" s="9">
        <v>42483.62572916667</v>
      </c>
    </row>
    <row r="46" spans="3:11" x14ac:dyDescent="0.25">
      <c r="C46" t="str">
        <f>IF(COUNTBLANK(E46:K46) = 7,"",IF(AND(NOT(ISBLANK(E46)),COUNTBLANK(E46:K46) = 6),"3 Delete",IF(ISBLANK(E46),"2 Add",IF(SHA1Range(E46:K46) = "695683e48dcd7ec46c7aabf605902ef8b4011230","0 Original","1 Modify"))))</f>
        <v>0 Original</v>
      </c>
      <c r="D46" s="3" t="s">
        <v>669</v>
      </c>
      <c r="E46" s="5">
        <v>47</v>
      </c>
      <c r="F46">
        <v>13</v>
      </c>
      <c r="G46" t="s">
        <v>172</v>
      </c>
      <c r="H46" s="7">
        <v>5.99</v>
      </c>
      <c r="I46" s="5">
        <v>1</v>
      </c>
      <c r="J46" s="3" t="s">
        <v>29</v>
      </c>
      <c r="K46" s="9">
        <v>42483.62572916667</v>
      </c>
    </row>
    <row r="47" spans="3:11" x14ac:dyDescent="0.25">
      <c r="C47" t="str">
        <f>IF(COUNTBLANK(E47:K47) = 7,"",IF(AND(NOT(ISBLANK(E47)),COUNTBLANK(E47:K47) = 6),"3 Delete",IF(ISBLANK(E47),"2 Add",IF(SHA1Range(E47:K47) = "912ae40e8b15d628b076734d6f00b26ba2a69a3f","0 Original","1 Modify"))))</f>
        <v>0 Original</v>
      </c>
      <c r="D47" s="3" t="s">
        <v>670</v>
      </c>
      <c r="E47" s="5">
        <v>48</v>
      </c>
      <c r="F47">
        <v>13</v>
      </c>
      <c r="G47" t="s">
        <v>41</v>
      </c>
      <c r="H47" s="7">
        <v>5.99</v>
      </c>
      <c r="I47" s="5">
        <v>1</v>
      </c>
      <c r="J47" s="3" t="s">
        <v>29</v>
      </c>
      <c r="K47" s="9">
        <v>42483.62572916667</v>
      </c>
    </row>
    <row r="48" spans="3:11" x14ac:dyDescent="0.25">
      <c r="C48" t="str">
        <f>IF(COUNTBLANK(E48:K48) = 7,"",IF(AND(NOT(ISBLANK(E48)),COUNTBLANK(E48:K48) = 6),"3 Delete",IF(ISBLANK(E48),"2 Add",IF(SHA1Range(E48:K48) = "a795e78fe359b44a449a80e08fc899f0c0b4b633","0 Original","1 Modify"))))</f>
        <v>0 Original</v>
      </c>
      <c r="D48" s="3" t="s">
        <v>671</v>
      </c>
      <c r="E48" s="5">
        <v>49</v>
      </c>
      <c r="F48">
        <v>14</v>
      </c>
      <c r="G48" t="s">
        <v>562</v>
      </c>
      <c r="H48" s="7">
        <v>5.99</v>
      </c>
      <c r="I48" s="5">
        <v>1</v>
      </c>
      <c r="J48" s="3" t="s">
        <v>29</v>
      </c>
      <c r="K48" s="9">
        <v>42483.62572916667</v>
      </c>
    </row>
    <row r="49" spans="3:11" x14ac:dyDescent="0.25">
      <c r="C49" t="str">
        <f>IF(COUNTBLANK(E49:K49) = 7,"",IF(AND(NOT(ISBLANK(E49)),COUNTBLANK(E49:K49) = 6),"3 Delete",IF(ISBLANK(E49),"2 Add",IF(SHA1Range(E49:K49) = "e7c7c91a53c17ef17e011213200c611d925b3983","0 Original","1 Modify"))))</f>
        <v>0 Original</v>
      </c>
      <c r="D49" s="3" t="s">
        <v>672</v>
      </c>
      <c r="E49" s="5">
        <v>50</v>
      </c>
      <c r="F49">
        <v>14</v>
      </c>
      <c r="G49" t="s">
        <v>446</v>
      </c>
      <c r="H49" s="7">
        <v>4.99</v>
      </c>
      <c r="I49" s="5">
        <v>1</v>
      </c>
      <c r="J49" s="3" t="s">
        <v>29</v>
      </c>
      <c r="K49" s="9">
        <v>42483.62572916667</v>
      </c>
    </row>
    <row r="50" spans="3:11" x14ac:dyDescent="0.25">
      <c r="C50" t="str">
        <f>IF(COUNTBLANK(E50:K50) = 7,"",IF(AND(NOT(ISBLANK(E50)),COUNTBLANK(E50:K50) = 6),"3 Delete",IF(ISBLANK(E50),"2 Add",IF(SHA1Range(E50:K50) = "3ca904b0516b11d5cbcaf8af718d0b8c1394d252","0 Original","1 Modify"))))</f>
        <v>0 Original</v>
      </c>
      <c r="D50" s="3" t="s">
        <v>673</v>
      </c>
      <c r="E50" s="5">
        <v>51</v>
      </c>
      <c r="F50">
        <v>14</v>
      </c>
      <c r="G50" t="s">
        <v>267</v>
      </c>
      <c r="H50" s="7">
        <v>6.99</v>
      </c>
      <c r="I50" s="5">
        <v>1</v>
      </c>
      <c r="J50" s="3" t="s">
        <v>29</v>
      </c>
      <c r="K50" s="9">
        <v>42483.62572916667</v>
      </c>
    </row>
    <row r="51" spans="3:11" x14ac:dyDescent="0.25">
      <c r="C51" t="str">
        <f>IF(COUNTBLANK(E51:K51) = 7,"",IF(AND(NOT(ISBLANK(E51)),COUNTBLANK(E51:K51) = 6),"3 Delete",IF(ISBLANK(E51),"2 Add",IF(SHA1Range(E51:K51) = "c701c279ef08e5b9498ddc08a59a50560e4b0e12","0 Original","1 Modify"))))</f>
        <v>0 Original</v>
      </c>
      <c r="D51" s="3" t="s">
        <v>674</v>
      </c>
      <c r="E51" s="5">
        <v>52</v>
      </c>
      <c r="F51">
        <v>15</v>
      </c>
      <c r="G51" t="s">
        <v>304</v>
      </c>
      <c r="H51" s="7">
        <v>8.99</v>
      </c>
      <c r="I51" s="5">
        <v>1</v>
      </c>
      <c r="J51" s="3" t="s">
        <v>29</v>
      </c>
      <c r="K51" s="9">
        <v>42483.62572916667</v>
      </c>
    </row>
    <row r="52" spans="3:11" x14ac:dyDescent="0.25">
      <c r="C52" t="str">
        <f>IF(COUNTBLANK(E52:K52) = 7,"",IF(AND(NOT(ISBLANK(E52)),COUNTBLANK(E52:K52) = 6),"3 Delete",IF(ISBLANK(E52),"2 Add",IF(SHA1Range(E52:K52) = "5a20b0c50d49f1864130d29b83ac4279fee3f73c","0 Original","1 Modify"))))</f>
        <v>0 Original</v>
      </c>
      <c r="D52" s="3" t="s">
        <v>675</v>
      </c>
      <c r="E52" s="5">
        <v>53</v>
      </c>
      <c r="F52">
        <v>16</v>
      </c>
      <c r="G52" t="s">
        <v>227</v>
      </c>
      <c r="H52" s="7">
        <v>8.99</v>
      </c>
      <c r="I52" s="5">
        <v>1</v>
      </c>
      <c r="J52" s="3" t="s">
        <v>29</v>
      </c>
      <c r="K52" s="9">
        <v>42483.62572916667</v>
      </c>
    </row>
    <row r="53" spans="3:11" x14ac:dyDescent="0.25">
      <c r="C53" t="str">
        <f>IF(COUNTBLANK(E53:K53) = 7,"",IF(AND(NOT(ISBLANK(E53)),COUNTBLANK(E53:K53) = 6),"3 Delete",IF(ISBLANK(E53),"2 Add",IF(SHA1Range(E53:K53) = "e0a3155685c4d9136c097c2d41eeb98afaf22adc","0 Original","1 Modify"))))</f>
        <v>0 Original</v>
      </c>
      <c r="D53" s="3" t="s">
        <v>676</v>
      </c>
      <c r="E53" s="5">
        <v>54</v>
      </c>
      <c r="F53">
        <v>16</v>
      </c>
      <c r="G53" t="s">
        <v>267</v>
      </c>
      <c r="H53" s="7">
        <v>6.99</v>
      </c>
      <c r="I53" s="5">
        <v>2</v>
      </c>
      <c r="J53" s="3" t="s">
        <v>29</v>
      </c>
      <c r="K53" s="9">
        <v>42483.62572916667</v>
      </c>
    </row>
    <row r="54" spans="3:11" x14ac:dyDescent="0.25">
      <c r="C54" t="str">
        <f>IF(COUNTBLANK(E54:K54) = 7,"",IF(AND(NOT(ISBLANK(E54)),COUNTBLANK(E54:K54) = 6),"3 Delete",IF(ISBLANK(E54),"2 Add",IF(SHA1Range(E54:K54) = "180b8e80fc9a39f5e134b073b78b689aa4505928","0 Original","1 Modify"))))</f>
        <v>0 Original</v>
      </c>
      <c r="D54" s="3" t="s">
        <v>677</v>
      </c>
      <c r="E54" s="5">
        <v>55</v>
      </c>
      <c r="F54">
        <v>16</v>
      </c>
      <c r="G54" t="s">
        <v>54</v>
      </c>
      <c r="H54" s="7">
        <v>5.99</v>
      </c>
      <c r="I54" s="5">
        <v>1</v>
      </c>
      <c r="J54" s="3" t="s">
        <v>29</v>
      </c>
      <c r="K54" s="9">
        <v>42483.62572916667</v>
      </c>
    </row>
    <row r="55" spans="3:11" x14ac:dyDescent="0.25">
      <c r="C55" t="str">
        <f>IF(COUNTBLANK(E55:K55) = 7,"",IF(AND(NOT(ISBLANK(E55)),COUNTBLANK(E55:K55) = 6),"3 Delete",IF(ISBLANK(E55),"2 Add",IF(SHA1Range(E55:K55) = "07a26ecbc3012ec0eecfb3807f47f41d891b0192","0 Original","1 Modify"))))</f>
        <v>0 Original</v>
      </c>
      <c r="D55" s="3" t="s">
        <v>678</v>
      </c>
      <c r="E55" s="5">
        <v>56</v>
      </c>
      <c r="F55">
        <v>16</v>
      </c>
      <c r="G55" t="s">
        <v>122</v>
      </c>
      <c r="H55" s="7">
        <v>8.99</v>
      </c>
      <c r="I55" s="5">
        <v>1</v>
      </c>
      <c r="J55" s="3" t="s">
        <v>29</v>
      </c>
      <c r="K55" s="9">
        <v>42483.62572916667</v>
      </c>
    </row>
    <row r="56" spans="3:11" x14ac:dyDescent="0.25">
      <c r="C56" t="str">
        <f>IF(COUNTBLANK(E56:K56) = 7,"",IF(AND(NOT(ISBLANK(E56)),COUNTBLANK(E56:K56) = 6),"3 Delete",IF(ISBLANK(E56),"2 Add",IF(SHA1Range(E56:K56) = "02c58636ab82f5ec1227340e85e350ee3576e605","0 Original","1 Modify"))))</f>
        <v>0 Original</v>
      </c>
      <c r="D56" s="3" t="s">
        <v>679</v>
      </c>
      <c r="E56" s="5">
        <v>57</v>
      </c>
      <c r="F56">
        <v>16</v>
      </c>
      <c r="G56" t="s">
        <v>136</v>
      </c>
      <c r="H56" s="7">
        <v>8.99</v>
      </c>
      <c r="I56" s="5">
        <v>2</v>
      </c>
      <c r="J56" s="3" t="s">
        <v>29</v>
      </c>
      <c r="K56" s="9">
        <v>42483.62572916667</v>
      </c>
    </row>
    <row r="57" spans="3:11" x14ac:dyDescent="0.25">
      <c r="C57" t="str">
        <f>IF(COUNTBLANK(E57:K57) = 7,"",IF(AND(NOT(ISBLANK(E57)),COUNTBLANK(E57:K57) = 6),"3 Delete",IF(ISBLANK(E57),"2 Add",IF(SHA1Range(E57:K57) = "ff8174a83abf1d471488359ce3216abab598325e","0 Original","1 Modify"))))</f>
        <v>0 Original</v>
      </c>
      <c r="D57" s="3" t="s">
        <v>680</v>
      </c>
      <c r="E57" s="5">
        <v>58</v>
      </c>
      <c r="F57">
        <v>16</v>
      </c>
      <c r="G57" t="s">
        <v>270</v>
      </c>
      <c r="H57" s="7">
        <v>8.99</v>
      </c>
      <c r="I57" s="5">
        <v>1</v>
      </c>
      <c r="J57" s="3" t="s">
        <v>29</v>
      </c>
      <c r="K57" s="9">
        <v>42483.62572916667</v>
      </c>
    </row>
    <row r="58" spans="3:11" x14ac:dyDescent="0.25">
      <c r="C58" t="str">
        <f>IF(COUNTBLANK(E58:K58) = 7,"",IF(AND(NOT(ISBLANK(E58)),COUNTBLANK(E58:K58) = 6),"3 Delete",IF(ISBLANK(E58),"2 Add",IF(SHA1Range(E58:K58) = "b20891807e0818d5e0ab2d58b6b5bd13438b7a90","0 Original","1 Modify"))))</f>
        <v>0 Original</v>
      </c>
      <c r="D58" s="3" t="s">
        <v>681</v>
      </c>
      <c r="E58" s="5">
        <v>59</v>
      </c>
      <c r="F58">
        <v>16</v>
      </c>
      <c r="G58" t="s">
        <v>105</v>
      </c>
      <c r="H58" s="7">
        <v>8.99</v>
      </c>
      <c r="I58" s="5">
        <v>1</v>
      </c>
      <c r="J58" s="3" t="s">
        <v>29</v>
      </c>
      <c r="K58" s="9">
        <v>42483.62572916667</v>
      </c>
    </row>
    <row r="59" spans="3:11" x14ac:dyDescent="0.25">
      <c r="C59" t="str">
        <f>IF(COUNTBLANK(E59:K59) = 7,"",IF(AND(NOT(ISBLANK(E59)),COUNTBLANK(E59:K59) = 6),"3 Delete",IF(ISBLANK(E59),"2 Add",IF(SHA1Range(E59:K59) = "9687ecaefa61e28013e6ed204f26f434348f8f83","0 Original","1 Modify"))))</f>
        <v>0 Original</v>
      </c>
      <c r="D59" s="3" t="s">
        <v>682</v>
      </c>
      <c r="E59" s="5">
        <v>60</v>
      </c>
      <c r="F59">
        <v>16</v>
      </c>
      <c r="G59" t="s">
        <v>295</v>
      </c>
      <c r="H59" s="7">
        <v>7.99</v>
      </c>
      <c r="I59" s="5">
        <v>2</v>
      </c>
      <c r="J59" s="3" t="s">
        <v>29</v>
      </c>
      <c r="K59" s="9">
        <v>42483.62572916667</v>
      </c>
    </row>
    <row r="60" spans="3:11" x14ac:dyDescent="0.25">
      <c r="C60" t="str">
        <f>IF(COUNTBLANK(E60:K60) = 7,"",IF(AND(NOT(ISBLANK(E60)),COUNTBLANK(E60:K60) = 6),"3 Delete",IF(ISBLANK(E60),"2 Add",IF(SHA1Range(E60:K60) = "b2df8af9326e79649f516fb9b7d99f8db0049c7a","0 Original","1 Modify"))))</f>
        <v>0 Original</v>
      </c>
      <c r="D60" s="3" t="s">
        <v>683</v>
      </c>
      <c r="E60" s="5">
        <v>61</v>
      </c>
      <c r="F60">
        <v>17</v>
      </c>
      <c r="G60" t="s">
        <v>85</v>
      </c>
      <c r="H60" s="7">
        <v>6.99</v>
      </c>
      <c r="I60" s="5">
        <v>1</v>
      </c>
      <c r="J60" s="3" t="s">
        <v>29</v>
      </c>
      <c r="K60" s="9">
        <v>42483.62572916667</v>
      </c>
    </row>
    <row r="61" spans="3:11" x14ac:dyDescent="0.25">
      <c r="C61" t="str">
        <f>IF(COUNTBLANK(E61:K61) = 7,"",IF(AND(NOT(ISBLANK(E61)),COUNTBLANK(E61:K61) = 6),"3 Delete",IF(ISBLANK(E61),"2 Add",IF(SHA1Range(E61:K61) = "3f4e96afb76048aff5c8c9fa4cac37f7a401190e","0 Original","1 Modify"))))</f>
        <v>0 Original</v>
      </c>
      <c r="D61" s="3" t="s">
        <v>684</v>
      </c>
      <c r="E61" s="5">
        <v>62</v>
      </c>
      <c r="F61">
        <v>17</v>
      </c>
      <c r="G61" t="s">
        <v>92</v>
      </c>
      <c r="H61" s="7">
        <v>8.99</v>
      </c>
      <c r="I61" s="5">
        <v>1</v>
      </c>
      <c r="J61" s="3" t="s">
        <v>29</v>
      </c>
      <c r="K61" s="9">
        <v>42483.62572916667</v>
      </c>
    </row>
    <row r="62" spans="3:11" x14ac:dyDescent="0.25">
      <c r="C62" t="str">
        <f>IF(COUNTBLANK(E62:K62) = 7,"",IF(AND(NOT(ISBLANK(E62)),COUNTBLANK(E62:K62) = 6),"3 Delete",IF(ISBLANK(E62),"2 Add",IF(SHA1Range(E62:K62) = "8f63d0651e1b8e4dae9450058d6c9753b87b6594","0 Original","1 Modify"))))</f>
        <v>0 Original</v>
      </c>
      <c r="D62" s="3" t="s">
        <v>685</v>
      </c>
      <c r="E62" s="5">
        <v>63</v>
      </c>
      <c r="F62">
        <v>17</v>
      </c>
      <c r="G62" t="s">
        <v>44</v>
      </c>
      <c r="H62" s="7">
        <v>6.99</v>
      </c>
      <c r="I62" s="5">
        <v>1</v>
      </c>
      <c r="J62" s="3" t="s">
        <v>29</v>
      </c>
      <c r="K62" s="9">
        <v>42483.62572916667</v>
      </c>
    </row>
    <row r="63" spans="3:11" x14ac:dyDescent="0.25">
      <c r="C63" t="str">
        <f>IF(COUNTBLANK(E63:K63) = 7,"",IF(AND(NOT(ISBLANK(E63)),COUNTBLANK(E63:K63) = 6),"3 Delete",IF(ISBLANK(E63),"2 Add",IF(SHA1Range(E63:K63) = "8df1d43058aaef938e5ac63bbbf94308cc5e41dc","0 Original","1 Modify"))))</f>
        <v>0 Original</v>
      </c>
      <c r="D63" s="3" t="s">
        <v>686</v>
      </c>
      <c r="E63" s="5">
        <v>64</v>
      </c>
      <c r="F63">
        <v>18</v>
      </c>
      <c r="G63" t="s">
        <v>149</v>
      </c>
      <c r="H63" s="7">
        <v>7.99</v>
      </c>
      <c r="I63" s="5">
        <v>2</v>
      </c>
      <c r="J63" s="3" t="s">
        <v>29</v>
      </c>
      <c r="K63" s="9">
        <v>42483.62572916667</v>
      </c>
    </row>
    <row r="64" spans="3:11" x14ac:dyDescent="0.25">
      <c r="C64" t="str">
        <f>IF(COUNTBLANK(E64:K64) = 7,"",IF(AND(NOT(ISBLANK(E64)),COUNTBLANK(E64:K64) = 6),"3 Delete",IF(ISBLANK(E64),"2 Add",IF(SHA1Range(E64:K64) = "3acff6124648166f7de262ca01b0db19ec498b63","0 Original","1 Modify"))))</f>
        <v>0 Original</v>
      </c>
      <c r="D64" s="3" t="s">
        <v>687</v>
      </c>
      <c r="E64" s="5">
        <v>65</v>
      </c>
      <c r="F64">
        <v>18</v>
      </c>
      <c r="G64" t="s">
        <v>485</v>
      </c>
      <c r="H64" s="7">
        <v>6.99</v>
      </c>
      <c r="I64" s="5">
        <v>2</v>
      </c>
      <c r="J64" s="3" t="s">
        <v>29</v>
      </c>
      <c r="K64" s="9">
        <v>42483.62572916667</v>
      </c>
    </row>
    <row r="65" spans="3:11" x14ac:dyDescent="0.25">
      <c r="C65" t="str">
        <f>IF(COUNTBLANK(E65:K65) = 7,"",IF(AND(NOT(ISBLANK(E65)),COUNTBLANK(E65:K65) = 6),"3 Delete",IF(ISBLANK(E65),"2 Add",IF(SHA1Range(E65:K65) = "2870d96d9ed34fc706c9f1248f6cc81829bc068e","0 Original","1 Modify"))))</f>
        <v>0 Original</v>
      </c>
      <c r="D65" s="3" t="s">
        <v>688</v>
      </c>
      <c r="E65" s="5">
        <v>66</v>
      </c>
      <c r="F65">
        <v>18</v>
      </c>
      <c r="G65" t="s">
        <v>482</v>
      </c>
      <c r="H65" s="7">
        <v>9.99</v>
      </c>
      <c r="I65" s="5">
        <v>2</v>
      </c>
      <c r="J65" s="3" t="s">
        <v>29</v>
      </c>
      <c r="K65" s="9">
        <v>42483.62572916667</v>
      </c>
    </row>
    <row r="66" spans="3:11" x14ac:dyDescent="0.25">
      <c r="C66" t="str">
        <f>IF(COUNTBLANK(E66:K66) = 7,"",IF(AND(NOT(ISBLANK(E66)),COUNTBLANK(E66:K66) = 6),"3 Delete",IF(ISBLANK(E66),"2 Add",IF(SHA1Range(E66:K66) = "90099d9ee2fd6644eb1b77fb4108493bf2cff6bf","0 Original","1 Modify"))))</f>
        <v>0 Original</v>
      </c>
      <c r="D66" s="3" t="s">
        <v>689</v>
      </c>
      <c r="E66" s="5">
        <v>67</v>
      </c>
      <c r="F66">
        <v>18</v>
      </c>
      <c r="G66" t="s">
        <v>492</v>
      </c>
      <c r="H66" s="7">
        <v>7.99</v>
      </c>
      <c r="I66" s="5">
        <v>2</v>
      </c>
      <c r="J66" s="3" t="s">
        <v>29</v>
      </c>
      <c r="K66" s="9">
        <v>42483.62572916667</v>
      </c>
    </row>
    <row r="67" spans="3:11" x14ac:dyDescent="0.25">
      <c r="C67" t="str">
        <f>IF(COUNTBLANK(E67:K67) = 7,"",IF(AND(NOT(ISBLANK(E67)),COUNTBLANK(E67:K67) = 6),"3 Delete",IF(ISBLANK(E67),"2 Add",IF(SHA1Range(E67:K67) = "3069833712f2abd13f0a1110e73dc566296fff00","0 Original","1 Modify"))))</f>
        <v>0 Original</v>
      </c>
      <c r="D67" s="3" t="s">
        <v>690</v>
      </c>
      <c r="E67" s="5">
        <v>68</v>
      </c>
      <c r="F67">
        <v>18</v>
      </c>
      <c r="G67" t="s">
        <v>573</v>
      </c>
      <c r="H67" s="7">
        <v>9.99</v>
      </c>
      <c r="I67" s="5">
        <v>2</v>
      </c>
      <c r="J67" s="3" t="s">
        <v>29</v>
      </c>
      <c r="K67" s="9">
        <v>42483.62572916667</v>
      </c>
    </row>
    <row r="68" spans="3:11" x14ac:dyDescent="0.25">
      <c r="C68" t="str">
        <f>IF(COUNTBLANK(E68:K68) = 7,"",IF(AND(NOT(ISBLANK(E68)),COUNTBLANK(E68:K68) = 6),"3 Delete",IF(ISBLANK(E68),"2 Add",IF(SHA1Range(E68:K68) = "86f065701ff2ed41ed53fca18ac8f67bb0fc4ca0","0 Original","1 Modify"))))</f>
        <v>0 Original</v>
      </c>
      <c r="D68" s="3" t="s">
        <v>691</v>
      </c>
      <c r="E68" s="5">
        <v>69</v>
      </c>
      <c r="F68">
        <v>19</v>
      </c>
      <c r="G68" t="s">
        <v>25</v>
      </c>
      <c r="H68" s="7">
        <v>8.99</v>
      </c>
      <c r="I68" s="5">
        <v>1</v>
      </c>
      <c r="J68" s="3" t="s">
        <v>29</v>
      </c>
      <c r="K68" s="9">
        <v>42483.62572916667</v>
      </c>
    </row>
    <row r="69" spans="3:11" x14ac:dyDescent="0.25">
      <c r="C69" t="str">
        <f>IF(COUNTBLANK(E69:K69) = 7,"",IF(AND(NOT(ISBLANK(E69)),COUNTBLANK(E69:K69) = 6),"3 Delete",IF(ISBLANK(E69),"2 Add",IF(SHA1Range(E69:K69) = "624247a62bbe92c95d6e783f9c00ddcf79347459","0 Original","1 Modify"))))</f>
        <v>0 Original</v>
      </c>
      <c r="D69" s="3" t="s">
        <v>692</v>
      </c>
      <c r="E69" s="5">
        <v>70</v>
      </c>
      <c r="F69">
        <v>19</v>
      </c>
      <c r="G69" t="s">
        <v>88</v>
      </c>
      <c r="H69" s="7">
        <v>7.99</v>
      </c>
      <c r="I69" s="5">
        <v>2</v>
      </c>
      <c r="J69" s="3" t="s">
        <v>29</v>
      </c>
      <c r="K69" s="9">
        <v>42483.62572916667</v>
      </c>
    </row>
    <row r="70" spans="3:11" x14ac:dyDescent="0.25">
      <c r="C70" t="str">
        <f>IF(COUNTBLANK(E70:K70) = 7,"",IF(AND(NOT(ISBLANK(E70)),COUNTBLANK(E70:K70) = 6),"3 Delete",IF(ISBLANK(E70),"2 Add",IF(SHA1Range(E70:K70) = "88dc3ef205295125f1bdb483fd3fea3074a63761","0 Original","1 Modify"))))</f>
        <v>0 Original</v>
      </c>
      <c r="D70" s="3" t="s">
        <v>693</v>
      </c>
      <c r="E70" s="5">
        <v>71</v>
      </c>
      <c r="F70">
        <v>19</v>
      </c>
      <c r="G70" t="s">
        <v>41</v>
      </c>
      <c r="H70" s="7">
        <v>5.99</v>
      </c>
      <c r="I70" s="5">
        <v>1</v>
      </c>
      <c r="J70" s="3" t="s">
        <v>29</v>
      </c>
      <c r="K70" s="9">
        <v>42483.62572916667</v>
      </c>
    </row>
    <row r="71" spans="3:11" x14ac:dyDescent="0.25">
      <c r="C71" t="str">
        <f>IF(COUNTBLANK(E71:K71) = 7,"",IF(AND(NOT(ISBLANK(E71)),COUNTBLANK(E71:K71) = 6),"3 Delete",IF(ISBLANK(E71),"2 Add",IF(SHA1Range(E71:K71) = "7b1745793d64b146cc23ad5c7b73dccda74144af","0 Original","1 Modify"))))</f>
        <v>0 Original</v>
      </c>
      <c r="D71" s="3" t="s">
        <v>694</v>
      </c>
      <c r="E71" s="5">
        <v>72</v>
      </c>
      <c r="F71">
        <v>19</v>
      </c>
      <c r="G71" t="s">
        <v>277</v>
      </c>
      <c r="H71" s="7">
        <v>4.99</v>
      </c>
      <c r="I71" s="5">
        <v>1</v>
      </c>
      <c r="J71" s="3" t="s">
        <v>29</v>
      </c>
      <c r="K71" s="9">
        <v>42483.62572916667</v>
      </c>
    </row>
    <row r="72" spans="3:11" x14ac:dyDescent="0.25">
      <c r="C72" t="str">
        <f>IF(COUNTBLANK(E72:K72) = 7,"",IF(AND(NOT(ISBLANK(E72)),COUNTBLANK(E72:K72) = 6),"3 Delete",IF(ISBLANK(E72),"2 Add",IF(SHA1Range(E72:K72) = "679d9a18f59920fb370eb7f5edda2a671423e4ee","0 Original","1 Modify"))))</f>
        <v>0 Original</v>
      </c>
      <c r="D72" s="3" t="s">
        <v>695</v>
      </c>
      <c r="E72" s="5">
        <v>73</v>
      </c>
      <c r="F72">
        <v>20</v>
      </c>
      <c r="G72" t="s">
        <v>435</v>
      </c>
      <c r="H72" s="7">
        <v>6.99</v>
      </c>
      <c r="I72" s="5">
        <v>1</v>
      </c>
      <c r="J72" s="3" t="s">
        <v>29</v>
      </c>
      <c r="K72" s="9">
        <v>42483.62572916667</v>
      </c>
    </row>
    <row r="73" spans="3:11" x14ac:dyDescent="0.25">
      <c r="C73" t="str">
        <f>IF(COUNTBLANK(E73:K73) = 7,"",IF(AND(NOT(ISBLANK(E73)),COUNTBLANK(E73:K73) = 6),"3 Delete",IF(ISBLANK(E73),"2 Add",IF(SHA1Range(E73:K73) = "e74e1f845311f22a16bb97897d4f91e1862ea65e","0 Original","1 Modify"))))</f>
        <v>0 Original</v>
      </c>
      <c r="D73" s="3" t="s">
        <v>696</v>
      </c>
      <c r="E73" s="5">
        <v>74</v>
      </c>
      <c r="F73">
        <v>20</v>
      </c>
      <c r="G73" t="s">
        <v>115</v>
      </c>
      <c r="H73" s="7">
        <v>4.99</v>
      </c>
      <c r="I73" s="5">
        <v>2</v>
      </c>
      <c r="J73" s="3" t="s">
        <v>29</v>
      </c>
      <c r="K73" s="9">
        <v>42483.62572916667</v>
      </c>
    </row>
    <row r="74" spans="3:11" x14ac:dyDescent="0.25">
      <c r="C74" t="str">
        <f>IF(COUNTBLANK(E74:K74) = 7,"",IF(AND(NOT(ISBLANK(E74)),COUNTBLANK(E74:K74) = 6),"3 Delete",IF(ISBLANK(E74),"2 Add",IF(SHA1Range(E74:K74) = "6dc13a0362e163e7b77ea823bd22169ac4f03dac","0 Original","1 Modify"))))</f>
        <v>0 Original</v>
      </c>
      <c r="D74" s="3" t="s">
        <v>697</v>
      </c>
      <c r="E74" s="5">
        <v>75</v>
      </c>
      <c r="F74">
        <v>21</v>
      </c>
      <c r="G74" t="s">
        <v>435</v>
      </c>
      <c r="H74" s="7">
        <v>6.99</v>
      </c>
      <c r="I74" s="5">
        <v>2</v>
      </c>
      <c r="J74" s="3" t="s">
        <v>29</v>
      </c>
      <c r="K74" s="9">
        <v>42483.62572916667</v>
      </c>
    </row>
    <row r="75" spans="3:11" x14ac:dyDescent="0.25">
      <c r="C75" t="str">
        <f>IF(COUNTBLANK(E75:K75) = 7,"",IF(AND(NOT(ISBLANK(E75)),COUNTBLANK(E75:K75) = 6),"3 Delete",IF(ISBLANK(E75),"2 Add",IF(SHA1Range(E75:K75) = "d46206abfc77aae00f13c0cf2008520f03e985a9","0 Original","1 Modify"))))</f>
        <v>0 Original</v>
      </c>
      <c r="D75" s="3" t="s">
        <v>698</v>
      </c>
      <c r="E75" s="5">
        <v>76</v>
      </c>
      <c r="F75">
        <v>21</v>
      </c>
      <c r="G75" t="s">
        <v>122</v>
      </c>
      <c r="H75" s="7">
        <v>8.99</v>
      </c>
      <c r="I75" s="5">
        <v>1</v>
      </c>
      <c r="J75" s="3" t="s">
        <v>29</v>
      </c>
      <c r="K75" s="9">
        <v>42483.62572916667</v>
      </c>
    </row>
    <row r="76" spans="3:11" x14ac:dyDescent="0.25">
      <c r="C76" t="str">
        <f>IF(COUNTBLANK(E76:K76) = 7,"",IF(AND(NOT(ISBLANK(E76)),COUNTBLANK(E76:K76) = 6),"3 Delete",IF(ISBLANK(E76),"2 Add",IF(SHA1Range(E76:K76) = "a8ea9f2f312282cccc72628ac9df9bda21851bfc","0 Original","1 Modify"))))</f>
        <v>0 Original</v>
      </c>
      <c r="D76" s="3" t="s">
        <v>699</v>
      </c>
      <c r="E76" s="5">
        <v>77</v>
      </c>
      <c r="F76">
        <v>21</v>
      </c>
      <c r="G76" t="s">
        <v>534</v>
      </c>
      <c r="H76" s="7">
        <v>8.99</v>
      </c>
      <c r="I76" s="5">
        <v>1</v>
      </c>
      <c r="J76" s="3" t="s">
        <v>29</v>
      </c>
      <c r="K76" s="9">
        <v>42483.62572916667</v>
      </c>
    </row>
    <row r="77" spans="3:11" x14ac:dyDescent="0.25">
      <c r="C77" t="str">
        <f>IF(COUNTBLANK(E77:K77) = 7,"",IF(AND(NOT(ISBLANK(E77)),COUNTBLANK(E77:K77) = 6),"3 Delete",IF(ISBLANK(E77),"2 Add",IF(SHA1Range(E77:K77) = "672478c3d03e6f567c936644566e9348180bb289","0 Original","1 Modify"))))</f>
        <v>0 Original</v>
      </c>
      <c r="D77" s="3" t="s">
        <v>700</v>
      </c>
      <c r="E77" s="5">
        <v>78</v>
      </c>
      <c r="F77">
        <v>21</v>
      </c>
      <c r="G77" t="s">
        <v>361</v>
      </c>
      <c r="H77" s="7">
        <v>6.99</v>
      </c>
      <c r="I77" s="5">
        <v>2</v>
      </c>
      <c r="J77" s="3" t="s">
        <v>29</v>
      </c>
      <c r="K77" s="9">
        <v>42483.62572916667</v>
      </c>
    </row>
    <row r="78" spans="3:11" x14ac:dyDescent="0.25">
      <c r="C78" t="str">
        <f>IF(COUNTBLANK(E78:K78) = 7,"",IF(AND(NOT(ISBLANK(E78)),COUNTBLANK(E78:K78) = 6),"3 Delete",IF(ISBLANK(E78),"2 Add",IF(SHA1Range(E78:K78) = "d1ff70b5b9b1e83c4e844b8b4797ac55e864ae83","0 Original","1 Modify"))))</f>
        <v>0 Original</v>
      </c>
      <c r="D78" s="3" t="s">
        <v>701</v>
      </c>
      <c r="E78" s="5">
        <v>79</v>
      </c>
      <c r="F78">
        <v>22</v>
      </c>
      <c r="G78" t="s">
        <v>88</v>
      </c>
      <c r="H78" s="7">
        <v>7.99</v>
      </c>
      <c r="I78" s="5">
        <v>1</v>
      </c>
      <c r="J78" s="3" t="s">
        <v>29</v>
      </c>
      <c r="K78" s="9">
        <v>42483.62572916667</v>
      </c>
    </row>
    <row r="79" spans="3:11" x14ac:dyDescent="0.25">
      <c r="C79" t="str">
        <f>IF(COUNTBLANK(E79:K79) = 7,"",IF(AND(NOT(ISBLANK(E79)),COUNTBLANK(E79:K79) = 6),"3 Delete",IF(ISBLANK(E79),"2 Add",IF(SHA1Range(E79:K79) = "1d9af6405c0daa5990a4ca6b244b0dfbf27409c4","0 Original","1 Modify"))))</f>
        <v>0 Original</v>
      </c>
      <c r="D79" s="3" t="s">
        <v>702</v>
      </c>
      <c r="E79" s="5">
        <v>80</v>
      </c>
      <c r="F79">
        <v>22</v>
      </c>
      <c r="G79" t="s">
        <v>382</v>
      </c>
      <c r="H79" s="7">
        <v>9.99</v>
      </c>
      <c r="I79" s="5">
        <v>2</v>
      </c>
      <c r="J79" s="3" t="s">
        <v>29</v>
      </c>
      <c r="K79" s="9">
        <v>42483.62572916667</v>
      </c>
    </row>
    <row r="80" spans="3:11" x14ac:dyDescent="0.25">
      <c r="C80" t="str">
        <f>IF(COUNTBLANK(E80:K80) = 7,"",IF(AND(NOT(ISBLANK(E80)),COUNTBLANK(E80:K80) = 6),"3 Delete",IF(ISBLANK(E80),"2 Add",IF(SHA1Range(E80:K80) = "f26045fcc248f79f1f4aa4ea6a46b81033e9c09e","0 Original","1 Modify"))))</f>
        <v>0 Original</v>
      </c>
      <c r="D80" s="3" t="s">
        <v>703</v>
      </c>
      <c r="E80" s="5">
        <v>81</v>
      </c>
      <c r="F80">
        <v>23</v>
      </c>
      <c r="G80" t="s">
        <v>388</v>
      </c>
      <c r="H80" s="7">
        <v>5.99</v>
      </c>
      <c r="I80" s="5">
        <v>1</v>
      </c>
      <c r="J80" s="3" t="s">
        <v>29</v>
      </c>
      <c r="K80" s="9">
        <v>42483.62572916667</v>
      </c>
    </row>
    <row r="81" spans="3:11" x14ac:dyDescent="0.25">
      <c r="C81" t="str">
        <f>IF(COUNTBLANK(E81:K81) = 7,"",IF(AND(NOT(ISBLANK(E81)),COUNTBLANK(E81:K81) = 6),"3 Delete",IF(ISBLANK(E81),"2 Add",IF(SHA1Range(E81:K81) = "f80c0123afa634093324d5a51ad01ece9d61c303","0 Original","1 Modify"))))</f>
        <v>0 Original</v>
      </c>
      <c r="D81" s="3" t="s">
        <v>704</v>
      </c>
      <c r="E81" s="5">
        <v>82</v>
      </c>
      <c r="F81">
        <v>23</v>
      </c>
      <c r="G81" t="s">
        <v>537</v>
      </c>
      <c r="H81" s="7">
        <v>7.99</v>
      </c>
      <c r="I81" s="5">
        <v>1</v>
      </c>
      <c r="J81" s="3" t="s">
        <v>29</v>
      </c>
      <c r="K81" s="9">
        <v>42483.62572916667</v>
      </c>
    </row>
    <row r="82" spans="3:11" x14ac:dyDescent="0.25">
      <c r="C82" t="str">
        <f>IF(COUNTBLANK(E82:K82) = 7,"",IF(AND(NOT(ISBLANK(E82)),COUNTBLANK(E82:K82) = 6),"3 Delete",IF(ISBLANK(E82),"2 Add",IF(SHA1Range(E82:K82) = "e3265538f9c3d917b873c04f83d22fefa70e9477","0 Original","1 Modify"))))</f>
        <v>0 Original</v>
      </c>
      <c r="D82" s="3" t="s">
        <v>705</v>
      </c>
      <c r="E82" s="5">
        <v>83</v>
      </c>
      <c r="F82">
        <v>23</v>
      </c>
      <c r="G82" t="s">
        <v>407</v>
      </c>
      <c r="H82" s="7">
        <v>9.99</v>
      </c>
      <c r="I82" s="5">
        <v>1</v>
      </c>
      <c r="J82" s="3" t="s">
        <v>29</v>
      </c>
      <c r="K82" s="9">
        <v>42483.62572916667</v>
      </c>
    </row>
    <row r="83" spans="3:11" x14ac:dyDescent="0.25">
      <c r="C83" t="str">
        <f>IF(COUNTBLANK(E83:K83) = 7,"",IF(AND(NOT(ISBLANK(E83)),COUNTBLANK(E83:K83) = 6),"3 Delete",IF(ISBLANK(E83),"2 Add",IF(SHA1Range(E83:K83) = "3d328242657cd802b76f41ce9c1c44d3dd4ba1e5","0 Original","1 Modify"))))</f>
        <v>0 Original</v>
      </c>
      <c r="D83" s="3" t="s">
        <v>706</v>
      </c>
      <c r="E83" s="5">
        <v>84</v>
      </c>
      <c r="F83">
        <v>23</v>
      </c>
      <c r="G83" t="s">
        <v>257</v>
      </c>
      <c r="H83" s="7">
        <v>9.99</v>
      </c>
      <c r="I83" s="5">
        <v>1</v>
      </c>
      <c r="J83" s="3" t="s">
        <v>29</v>
      </c>
      <c r="K83" s="9">
        <v>42483.62572916667</v>
      </c>
    </row>
    <row r="84" spans="3:11" x14ac:dyDescent="0.25">
      <c r="C84" t="str">
        <f>IF(COUNTBLANK(E84:K84) = 7,"",IF(AND(NOT(ISBLANK(E84)),COUNTBLANK(E84:K84) = 6),"3 Delete",IF(ISBLANK(E84),"2 Add",IF(SHA1Range(E84:K84) = "20300ef7fc7749a51c8c2127383de3fae1b256a4","0 Original","1 Modify"))))</f>
        <v>0 Original</v>
      </c>
      <c r="D84" s="3" t="s">
        <v>707</v>
      </c>
      <c r="E84" s="5">
        <v>85</v>
      </c>
      <c r="F84">
        <v>24</v>
      </c>
      <c r="G84" t="s">
        <v>92</v>
      </c>
      <c r="H84" s="7">
        <v>8.99</v>
      </c>
      <c r="I84" s="5">
        <v>1</v>
      </c>
      <c r="J84" s="3" t="s">
        <v>29</v>
      </c>
      <c r="K84" s="9">
        <v>42483.62572916667</v>
      </c>
    </row>
    <row r="85" spans="3:11" x14ac:dyDescent="0.25">
      <c r="C85" t="str">
        <f>IF(COUNTBLANK(E85:K85) = 7,"",IF(AND(NOT(ISBLANK(E85)),COUNTBLANK(E85:K85) = 6),"3 Delete",IF(ISBLANK(E85),"2 Add",IF(SHA1Range(E85:K85) = "641f83317210f8eec89c35c045eb65ab62c090db","0 Original","1 Modify"))))</f>
        <v>0 Original</v>
      </c>
      <c r="D85" s="3" t="s">
        <v>708</v>
      </c>
      <c r="E85" s="5">
        <v>86</v>
      </c>
      <c r="F85">
        <v>24</v>
      </c>
      <c r="G85" t="s">
        <v>590</v>
      </c>
      <c r="H85" s="7">
        <v>4.99</v>
      </c>
      <c r="I85" s="5">
        <v>1</v>
      </c>
      <c r="J85" s="3" t="s">
        <v>29</v>
      </c>
      <c r="K85" s="9">
        <v>42483.62572916667</v>
      </c>
    </row>
    <row r="86" spans="3:11" x14ac:dyDescent="0.25">
      <c r="C86" t="str">
        <f>IF(COUNTBLANK(E86:K86) = 7,"",IF(AND(NOT(ISBLANK(E86)),COUNTBLANK(E86:K86) = 6),"3 Delete",IF(ISBLANK(E86),"2 Add",IF(SHA1Range(E86:K86) = "7c23f405a7da86698c0242c3a64a417393e36c1f","0 Original","1 Modify"))))</f>
        <v>0 Original</v>
      </c>
      <c r="D86" s="3" t="s">
        <v>709</v>
      </c>
      <c r="E86" s="5">
        <v>87</v>
      </c>
      <c r="F86">
        <v>24</v>
      </c>
      <c r="G86" t="s">
        <v>102</v>
      </c>
      <c r="H86" s="7">
        <v>4.99</v>
      </c>
      <c r="I86" s="5">
        <v>1</v>
      </c>
      <c r="J86" s="3" t="s">
        <v>29</v>
      </c>
      <c r="K86" s="9">
        <v>42483.62572916667</v>
      </c>
    </row>
    <row r="87" spans="3:11" x14ac:dyDescent="0.25">
      <c r="C87" t="str">
        <f>IF(COUNTBLANK(E87:K87) = 7,"",IF(AND(NOT(ISBLANK(E87)),COUNTBLANK(E87:K87) = 6),"3 Delete",IF(ISBLANK(E87),"2 Add",IF(SHA1Range(E87:K87) = "91237a4d3359a71ddfcb2a4f850d6f92997b929c","0 Original","1 Modify"))))</f>
        <v>0 Original</v>
      </c>
      <c r="D87" s="3" t="s">
        <v>710</v>
      </c>
      <c r="E87" s="5">
        <v>88</v>
      </c>
      <c r="F87">
        <v>24</v>
      </c>
      <c r="G87" t="s">
        <v>77</v>
      </c>
      <c r="H87" s="7">
        <v>8.99</v>
      </c>
      <c r="I87" s="5">
        <v>1</v>
      </c>
      <c r="J87" s="3" t="s">
        <v>29</v>
      </c>
      <c r="K87" s="9">
        <v>42483.62572916667</v>
      </c>
    </row>
    <row r="88" spans="3:11" x14ac:dyDescent="0.25">
      <c r="C88" t="str">
        <f>IF(COUNTBLANK(E88:K88) = 7,"",IF(AND(NOT(ISBLANK(E88)),COUNTBLANK(E88:K88) = 6),"3 Delete",IF(ISBLANK(E88),"2 Add",IF(SHA1Range(E88:K88) = "5434592a616f0dcc3e750dc0341b94d5b511cc5a","0 Original","1 Modify"))))</f>
        <v>0 Original</v>
      </c>
      <c r="D88" s="3" t="s">
        <v>711</v>
      </c>
      <c r="E88" s="5">
        <v>89</v>
      </c>
      <c r="F88">
        <v>24</v>
      </c>
      <c r="G88" t="s">
        <v>573</v>
      </c>
      <c r="H88" s="7">
        <v>9.99</v>
      </c>
      <c r="I88" s="5">
        <v>1</v>
      </c>
      <c r="J88" s="3" t="s">
        <v>29</v>
      </c>
      <c r="K88" s="9">
        <v>42483.62572916667</v>
      </c>
    </row>
    <row r="89" spans="3:11" x14ac:dyDescent="0.25">
      <c r="C89" t="str">
        <f>IF(COUNTBLANK(E89:K89) = 7,"",IF(AND(NOT(ISBLANK(E89)),COUNTBLANK(E89:K89) = 6),"3 Delete",IF(ISBLANK(E89),"2 Add",IF(SHA1Range(E89:K89) = "18da8d3ce9836ecc701fb7a651a5db97d6a50a7c","0 Original","1 Modify"))))</f>
        <v>0 Original</v>
      </c>
      <c r="D89" s="3" t="s">
        <v>712</v>
      </c>
      <c r="E89" s="5">
        <v>90</v>
      </c>
      <c r="F89">
        <v>25</v>
      </c>
      <c r="G89" t="s">
        <v>556</v>
      </c>
      <c r="H89" s="7">
        <v>8.99</v>
      </c>
      <c r="I89" s="5">
        <v>1</v>
      </c>
      <c r="J89" s="3" t="s">
        <v>29</v>
      </c>
      <c r="K89" s="9">
        <v>42483.62572916667</v>
      </c>
    </row>
    <row r="90" spans="3:11" x14ac:dyDescent="0.25">
      <c r="C90" t="str">
        <f>IF(COUNTBLANK(E90:K90) = 7,"",IF(AND(NOT(ISBLANK(E90)),COUNTBLANK(E90:K90) = 6),"3 Delete",IF(ISBLANK(E90),"2 Add",IF(SHA1Range(E90:K90) = "62b1af39dfd9dfc9b5eb49b782c1ebf56cd2a8e2","0 Original","1 Modify"))))</f>
        <v>0 Original</v>
      </c>
      <c r="D90" s="3" t="s">
        <v>713</v>
      </c>
      <c r="E90" s="5">
        <v>91</v>
      </c>
      <c r="F90">
        <v>25</v>
      </c>
      <c r="G90" t="s">
        <v>528</v>
      </c>
      <c r="H90" s="7">
        <v>7.99</v>
      </c>
      <c r="I90" s="5">
        <v>2</v>
      </c>
      <c r="J90" s="3" t="s">
        <v>29</v>
      </c>
      <c r="K90" s="9">
        <v>42483.62572916667</v>
      </c>
    </row>
    <row r="91" spans="3:11" x14ac:dyDescent="0.25">
      <c r="C91" t="str">
        <f>IF(COUNTBLANK(E91:K91) = 7,"",IF(AND(NOT(ISBLANK(E91)),COUNTBLANK(E91:K91) = 6),"3 Delete",IF(ISBLANK(E91),"2 Add",IF(SHA1Range(E91:K91) = "cc588bb45dd86c96708deb01d11627124055e189","0 Original","1 Modify"))))</f>
        <v>0 Original</v>
      </c>
      <c r="D91" s="3" t="s">
        <v>714</v>
      </c>
      <c r="E91" s="5">
        <v>92</v>
      </c>
      <c r="F91">
        <v>26</v>
      </c>
      <c r="G91" t="s">
        <v>142</v>
      </c>
      <c r="H91" s="7">
        <v>4.99</v>
      </c>
      <c r="I91" s="5">
        <v>1</v>
      </c>
      <c r="J91" s="3" t="s">
        <v>29</v>
      </c>
      <c r="K91" s="9">
        <v>42483.62572916667</v>
      </c>
    </row>
    <row r="92" spans="3:11" x14ac:dyDescent="0.25">
      <c r="C92" t="str">
        <f>IF(COUNTBLANK(E92:K92) = 7,"",IF(AND(NOT(ISBLANK(E92)),COUNTBLANK(E92:K92) = 6),"3 Delete",IF(ISBLANK(E92),"2 Add",IF(SHA1Range(E92:K92) = "9b5387dccf3953ab45ec51ed20b247afc31bc936","0 Original","1 Modify"))))</f>
        <v>0 Original</v>
      </c>
      <c r="D92" s="3" t="s">
        <v>715</v>
      </c>
      <c r="E92" s="5">
        <v>93</v>
      </c>
      <c r="F92">
        <v>26</v>
      </c>
      <c r="G92" t="s">
        <v>152</v>
      </c>
      <c r="H92" s="7">
        <v>5.99</v>
      </c>
      <c r="I92" s="5">
        <v>1</v>
      </c>
      <c r="J92" s="3" t="s">
        <v>29</v>
      </c>
      <c r="K92" s="9">
        <v>42483.62572916667</v>
      </c>
    </row>
    <row r="93" spans="3:11" x14ac:dyDescent="0.25">
      <c r="C93" t="str">
        <f>IF(COUNTBLANK(E93:K93) = 7,"",IF(AND(NOT(ISBLANK(E93)),COUNTBLANK(E93:K93) = 6),"3 Delete",IF(ISBLANK(E93),"2 Add",IF(SHA1Range(E93:K93) = "61e47522966f996ea4652bb9912d3590a089c250","0 Original","1 Modify"))))</f>
        <v>0 Original</v>
      </c>
      <c r="D93" s="3" t="s">
        <v>716</v>
      </c>
      <c r="E93" s="5">
        <v>94</v>
      </c>
      <c r="F93">
        <v>27</v>
      </c>
      <c r="G93" t="s">
        <v>348</v>
      </c>
      <c r="H93" s="7">
        <v>9.99</v>
      </c>
      <c r="I93" s="5">
        <v>1</v>
      </c>
      <c r="J93" s="3" t="s">
        <v>29</v>
      </c>
      <c r="K93" s="9">
        <v>42483.62572916667</v>
      </c>
    </row>
    <row r="94" spans="3:11" x14ac:dyDescent="0.25">
      <c r="C94" t="str">
        <f>IF(COUNTBLANK(E94:K94) = 7,"",IF(AND(NOT(ISBLANK(E94)),COUNTBLANK(E94:K94) = 6),"3 Delete",IF(ISBLANK(E94),"2 Add",IF(SHA1Range(E94:K94) = "77916a339781342050650cb6ecd4eac8605064ad","0 Original","1 Modify"))))</f>
        <v>0 Original</v>
      </c>
      <c r="D94" s="3" t="s">
        <v>717</v>
      </c>
      <c r="E94" s="5">
        <v>95</v>
      </c>
      <c r="F94">
        <v>27</v>
      </c>
      <c r="G94" t="s">
        <v>41</v>
      </c>
      <c r="H94" s="7">
        <v>5.99</v>
      </c>
      <c r="I94" s="5">
        <v>1</v>
      </c>
      <c r="J94" s="3" t="s">
        <v>29</v>
      </c>
      <c r="K94" s="9">
        <v>42483.62572916667</v>
      </c>
    </row>
    <row r="95" spans="3:11" x14ac:dyDescent="0.25">
      <c r="C95" t="str">
        <f>IF(COUNTBLANK(E95:K95) = 7,"",IF(AND(NOT(ISBLANK(E95)),COUNTBLANK(E95:K95) = 6),"3 Delete",IF(ISBLANK(E95),"2 Add",IF(SHA1Range(E95:K95) = "131139e5a001cd541ab84274ba9c7532b7308044","0 Original","1 Modify"))))</f>
        <v>0 Original</v>
      </c>
      <c r="D95" s="3" t="s">
        <v>718</v>
      </c>
      <c r="E95" s="5">
        <v>96</v>
      </c>
      <c r="F95">
        <v>28</v>
      </c>
      <c r="G95" t="s">
        <v>250</v>
      </c>
      <c r="H95" s="7">
        <v>8.99</v>
      </c>
      <c r="I95" s="5">
        <v>1</v>
      </c>
      <c r="J95" s="3" t="s">
        <v>29</v>
      </c>
      <c r="K95" s="9">
        <v>42483.62572916667</v>
      </c>
    </row>
    <row r="96" spans="3:11" x14ac:dyDescent="0.25">
      <c r="C96" t="str">
        <f>IF(COUNTBLANK(E96:K96) = 7,"",IF(AND(NOT(ISBLANK(E96)),COUNTBLANK(E96:K96) = 6),"3 Delete",IF(ISBLANK(E96),"2 Add",IF(SHA1Range(E96:K96) = "392d3d853b121ab3ebb4a5b0c93e7300dc9a5873","0 Original","1 Modify"))))</f>
        <v>0 Original</v>
      </c>
      <c r="D96" s="3" t="s">
        <v>719</v>
      </c>
      <c r="E96" s="5">
        <v>97</v>
      </c>
      <c r="F96">
        <v>28</v>
      </c>
      <c r="G96" t="s">
        <v>180</v>
      </c>
      <c r="H96" s="7">
        <v>5.99</v>
      </c>
      <c r="I96" s="5">
        <v>2</v>
      </c>
      <c r="J96" s="3" t="s">
        <v>29</v>
      </c>
      <c r="K96" s="9">
        <v>42483.62572916667</v>
      </c>
    </row>
    <row r="97" spans="3:11" x14ac:dyDescent="0.25">
      <c r="C97" t="str">
        <f>IF(COUNTBLANK(E97:K97) = 7,"",IF(AND(NOT(ISBLANK(E97)),COUNTBLANK(E97:K97) = 6),"3 Delete",IF(ISBLANK(E97),"2 Add",IF(SHA1Range(E97:K97) = "8f667c8efac5557ea9983619d7de1f6e9b6b51bf","0 Original","1 Modify"))))</f>
        <v>0 Original</v>
      </c>
      <c r="D97" s="3" t="s">
        <v>720</v>
      </c>
      <c r="E97" s="5">
        <v>98</v>
      </c>
      <c r="F97">
        <v>28</v>
      </c>
      <c r="G97" t="s">
        <v>410</v>
      </c>
      <c r="H97" s="7">
        <v>6.99</v>
      </c>
      <c r="I97" s="5">
        <v>2</v>
      </c>
      <c r="J97" s="3" t="s">
        <v>29</v>
      </c>
      <c r="K97" s="9">
        <v>42483.62572916667</v>
      </c>
    </row>
    <row r="98" spans="3:11" x14ac:dyDescent="0.25">
      <c r="C98" t="str">
        <f>IF(COUNTBLANK(E98:K98) = 7,"",IF(AND(NOT(ISBLANK(E98)),COUNTBLANK(E98:K98) = 6),"3 Delete",IF(ISBLANK(E98),"2 Add",IF(SHA1Range(E98:K98) = "935d86c6896702965f2dc584ca55517e71a26754","0 Original","1 Modify"))))</f>
        <v>0 Original</v>
      </c>
      <c r="D98" s="3" t="s">
        <v>721</v>
      </c>
      <c r="E98" s="5">
        <v>99</v>
      </c>
      <c r="F98">
        <v>29</v>
      </c>
      <c r="G98" t="s">
        <v>149</v>
      </c>
      <c r="H98" s="7">
        <v>7.99</v>
      </c>
      <c r="I98" s="5">
        <v>2</v>
      </c>
      <c r="J98" s="3" t="s">
        <v>29</v>
      </c>
      <c r="K98" s="9">
        <v>42483.62572916667</v>
      </c>
    </row>
    <row r="99" spans="3:11" x14ac:dyDescent="0.25">
      <c r="C99" t="str">
        <f>IF(COUNTBLANK(E99:K99) = 7,"",IF(AND(NOT(ISBLANK(E99)),COUNTBLANK(E99:K99) = 6),"3 Delete",IF(ISBLANK(E99),"2 Add",IF(SHA1Range(E99:K99) = "f69cf4901350937a294047d1f5013bb4dc88f232","0 Original","1 Modify"))))</f>
        <v>0 Original</v>
      </c>
      <c r="D99" s="3" t="s">
        <v>722</v>
      </c>
      <c r="E99" s="5">
        <v>100</v>
      </c>
      <c r="F99">
        <v>29</v>
      </c>
      <c r="G99" t="s">
        <v>372</v>
      </c>
      <c r="H99" s="7">
        <v>9.99</v>
      </c>
      <c r="I99" s="5">
        <v>1</v>
      </c>
      <c r="J99" s="3" t="s">
        <v>29</v>
      </c>
      <c r="K99" s="9">
        <v>42483.62572916667</v>
      </c>
    </row>
    <row r="100" spans="3:11" x14ac:dyDescent="0.25">
      <c r="C100" t="str">
        <f>IF(COUNTBLANK(E100:K100) = 7,"",IF(AND(NOT(ISBLANK(E100)),COUNTBLANK(E100:K100) = 6),"3 Delete",IF(ISBLANK(E100),"2 Add",IF(SHA1Range(E100:K100) = "814417cb959850a5629b5ba77fcebff0c15531fe","0 Original","1 Modify"))))</f>
        <v>0 Original</v>
      </c>
      <c r="D100" s="3" t="s">
        <v>723</v>
      </c>
      <c r="E100" s="5">
        <v>101</v>
      </c>
      <c r="F100">
        <v>30</v>
      </c>
      <c r="G100" t="s">
        <v>385</v>
      </c>
      <c r="H100" s="7">
        <v>9.99</v>
      </c>
      <c r="I100" s="5">
        <v>2</v>
      </c>
      <c r="J100" s="3" t="s">
        <v>29</v>
      </c>
      <c r="K100" s="9">
        <v>42483.62572916667</v>
      </c>
    </row>
    <row r="101" spans="3:11" x14ac:dyDescent="0.25">
      <c r="C101" t="str">
        <f>IF(COUNTBLANK(E101:K101) = 7,"",IF(AND(NOT(ISBLANK(E101)),COUNTBLANK(E101:K101) = 6),"3 Delete",IF(ISBLANK(E101),"2 Add",IF(SHA1Range(E101:K101) = "05b49902f1692064d3acabb2a8ab51ec6aab0b80","0 Original","1 Modify"))))</f>
        <v>0 Original</v>
      </c>
      <c r="D101" s="3" t="s">
        <v>724</v>
      </c>
      <c r="E101" s="5">
        <v>102</v>
      </c>
      <c r="F101">
        <v>30</v>
      </c>
      <c r="G101" t="s">
        <v>298</v>
      </c>
      <c r="H101" s="7">
        <v>7.99</v>
      </c>
      <c r="I101" s="5">
        <v>2</v>
      </c>
      <c r="J101" s="3" t="s">
        <v>29</v>
      </c>
      <c r="K101" s="9">
        <v>42483.62572916667</v>
      </c>
    </row>
    <row r="102" spans="3:11" x14ac:dyDescent="0.25">
      <c r="C102" t="str">
        <f>IF(COUNTBLANK(E102:K102) = 7,"",IF(AND(NOT(ISBLANK(E102)),COUNTBLANK(E102:K102) = 6),"3 Delete",IF(ISBLANK(E102),"2 Add",IF(SHA1Range(E102:K102) = "ac572bfb0c7a94915321a0dbc8948f504d70892b","0 Original","1 Modify"))))</f>
        <v>0 Original</v>
      </c>
      <c r="D102" s="3" t="s">
        <v>725</v>
      </c>
      <c r="E102" s="5">
        <v>103</v>
      </c>
      <c r="F102">
        <v>30</v>
      </c>
      <c r="G102" t="s">
        <v>210</v>
      </c>
      <c r="H102" s="7">
        <v>4.99</v>
      </c>
      <c r="I102" s="5">
        <v>1</v>
      </c>
      <c r="J102" s="3" t="s">
        <v>29</v>
      </c>
      <c r="K102" s="9">
        <v>42483.62572916667</v>
      </c>
    </row>
    <row r="103" spans="3:11" x14ac:dyDescent="0.25">
      <c r="C103" t="str">
        <f>IF(COUNTBLANK(E103:K103) = 7,"",IF(AND(NOT(ISBLANK(E103)),COUNTBLANK(E103:K103) = 6),"3 Delete",IF(ISBLANK(E103),"2 Add",IF(SHA1Range(E103:K103) = "cdf89af2cef8100e164aac9cef07453b3081b6c1","0 Original","1 Modify"))))</f>
        <v>0 Original</v>
      </c>
      <c r="D103" s="3" t="s">
        <v>726</v>
      </c>
      <c r="E103" s="5">
        <v>104</v>
      </c>
      <c r="F103">
        <v>31</v>
      </c>
      <c r="G103" t="s">
        <v>388</v>
      </c>
      <c r="H103" s="7">
        <v>5.99</v>
      </c>
      <c r="I103" s="5">
        <v>1</v>
      </c>
      <c r="J103" s="3" t="s">
        <v>29</v>
      </c>
      <c r="K103" s="9">
        <v>42483.62572916667</v>
      </c>
    </row>
    <row r="104" spans="3:11" x14ac:dyDescent="0.25">
      <c r="C104" t="str">
        <f>IF(COUNTBLANK(E104:K104) = 7,"",IF(AND(NOT(ISBLANK(E104)),COUNTBLANK(E104:K104) = 6),"3 Delete",IF(ISBLANK(E104),"2 Add",IF(SHA1Range(E104:K104) = "4b2b75df12811298066469bd2326b0a45444c331","0 Original","1 Modify"))))</f>
        <v>0 Original</v>
      </c>
      <c r="D104" s="3" t="s">
        <v>727</v>
      </c>
      <c r="E104" s="5">
        <v>105</v>
      </c>
      <c r="F104">
        <v>31</v>
      </c>
      <c r="G104" t="s">
        <v>210</v>
      </c>
      <c r="H104" s="7">
        <v>4.99</v>
      </c>
      <c r="I104" s="5">
        <v>1</v>
      </c>
      <c r="J104" s="3" t="s">
        <v>29</v>
      </c>
      <c r="K104" s="9">
        <v>42483.62572916667</v>
      </c>
    </row>
    <row r="105" spans="3:11" x14ac:dyDescent="0.25">
      <c r="C105" t="str">
        <f>IF(COUNTBLANK(E105:K105) = 7,"",IF(AND(NOT(ISBLANK(E105)),COUNTBLANK(E105:K105) = 6),"3 Delete",IF(ISBLANK(E105),"2 Add",IF(SHA1Range(E105:K105) = "9761ead4e3bf545df955acead9aa77d4a8d48e93","0 Original","1 Modify"))))</f>
        <v>0 Original</v>
      </c>
      <c r="D105" s="3" t="s">
        <v>728</v>
      </c>
      <c r="E105" s="5">
        <v>106</v>
      </c>
      <c r="F105">
        <v>31</v>
      </c>
      <c r="G105" t="s">
        <v>92</v>
      </c>
      <c r="H105" s="7">
        <v>8.99</v>
      </c>
      <c r="I105" s="5">
        <v>1</v>
      </c>
      <c r="J105" s="3" t="s">
        <v>29</v>
      </c>
      <c r="K105" s="9">
        <v>42483.62572916667</v>
      </c>
    </row>
    <row r="106" spans="3:11" x14ac:dyDescent="0.25">
      <c r="C106" t="str">
        <f>IF(COUNTBLANK(E106:K106) = 7,"",IF(AND(NOT(ISBLANK(E106)),COUNTBLANK(E106:K106) = 6),"3 Delete",IF(ISBLANK(E106),"2 Add",IF(SHA1Range(E106:K106) = "6e45a9feff1e3d72d84ff3a4712dedb327a10d19","0 Original","1 Modify"))))</f>
        <v>0 Original</v>
      </c>
      <c r="D106" s="3" t="s">
        <v>729</v>
      </c>
      <c r="E106" s="5">
        <v>107</v>
      </c>
      <c r="F106">
        <v>31</v>
      </c>
      <c r="G106" t="s">
        <v>51</v>
      </c>
      <c r="H106" s="7">
        <v>9.99</v>
      </c>
      <c r="I106" s="5">
        <v>1</v>
      </c>
      <c r="J106" s="3" t="s">
        <v>29</v>
      </c>
      <c r="K106" s="9">
        <v>42483.62572916667</v>
      </c>
    </row>
    <row r="107" spans="3:11" x14ac:dyDescent="0.25">
      <c r="C107" t="str">
        <f>IF(COUNTBLANK(E107:K107) = 7,"",IF(AND(NOT(ISBLANK(E107)),COUNTBLANK(E107:K107) = 6),"3 Delete",IF(ISBLANK(E107),"2 Add",IF(SHA1Range(E107:K107) = "3a180d291b193aad865fab1541dcf99cf88369dc","0 Original","1 Modify"))))</f>
        <v>0 Original</v>
      </c>
      <c r="D107" s="3" t="s">
        <v>730</v>
      </c>
      <c r="E107" s="5">
        <v>108</v>
      </c>
      <c r="F107">
        <v>31</v>
      </c>
      <c r="G107" t="s">
        <v>462</v>
      </c>
      <c r="H107" s="7">
        <v>9.99</v>
      </c>
      <c r="I107" s="5">
        <v>2</v>
      </c>
      <c r="J107" s="3" t="s">
        <v>29</v>
      </c>
      <c r="K107" s="9">
        <v>42483.62572916667</v>
      </c>
    </row>
    <row r="108" spans="3:11" x14ac:dyDescent="0.25">
      <c r="C108" t="str">
        <f>IF(COUNTBLANK(E108:K108) = 7,"",IF(AND(NOT(ISBLANK(E108)),COUNTBLANK(E108:K108) = 6),"3 Delete",IF(ISBLANK(E108),"2 Add",IF(SHA1Range(E108:K108) = "fbb5c2ce30c369e23772218f8e15150dbbea29a6","0 Original","1 Modify"))))</f>
        <v>0 Original</v>
      </c>
      <c r="D108" s="3" t="s">
        <v>731</v>
      </c>
      <c r="E108" s="5">
        <v>109</v>
      </c>
      <c r="F108">
        <v>32</v>
      </c>
      <c r="G108" t="s">
        <v>311</v>
      </c>
      <c r="H108" s="7">
        <v>8.99</v>
      </c>
      <c r="I108" s="5">
        <v>2</v>
      </c>
      <c r="J108" s="3" t="s">
        <v>29</v>
      </c>
      <c r="K108" s="9">
        <v>42483.62572916667</v>
      </c>
    </row>
    <row r="109" spans="3:11" x14ac:dyDescent="0.25">
      <c r="C109" t="str">
        <f>IF(COUNTBLANK(E109:K109) = 7,"",IF(AND(NOT(ISBLANK(E109)),COUNTBLANK(E109:K109) = 6),"3 Delete",IF(ISBLANK(E109),"2 Add",IF(SHA1Range(E109:K109) = "669bea57a48953b1024cb57b77302d287ba5405d","0 Original","1 Modify"))))</f>
        <v>0 Original</v>
      </c>
      <c r="D109" s="3" t="s">
        <v>732</v>
      </c>
      <c r="E109" s="5">
        <v>110</v>
      </c>
      <c r="F109">
        <v>33</v>
      </c>
      <c r="G109" t="s">
        <v>230</v>
      </c>
      <c r="H109" s="7">
        <v>5.99</v>
      </c>
      <c r="I109" s="5">
        <v>1</v>
      </c>
      <c r="J109" s="3" t="s">
        <v>29</v>
      </c>
      <c r="K109" s="9">
        <v>42483.62572916667</v>
      </c>
    </row>
    <row r="110" spans="3:11" x14ac:dyDescent="0.25">
      <c r="C110" t="str">
        <f>IF(COUNTBLANK(E110:K110) = 7,"",IF(AND(NOT(ISBLANK(E110)),COUNTBLANK(E110:K110) = 6),"3 Delete",IF(ISBLANK(E110),"2 Add",IF(SHA1Range(E110:K110) = "eb1ec58d0bb7e85c3296750faee985d4b3107d9e","0 Original","1 Modify"))))</f>
        <v>0 Original</v>
      </c>
      <c r="D110" s="3" t="s">
        <v>733</v>
      </c>
      <c r="E110" s="5">
        <v>111</v>
      </c>
      <c r="F110">
        <v>33</v>
      </c>
      <c r="G110" t="s">
        <v>48</v>
      </c>
      <c r="H110" s="7">
        <v>9.99</v>
      </c>
      <c r="I110" s="5">
        <v>1</v>
      </c>
      <c r="J110" s="3" t="s">
        <v>29</v>
      </c>
      <c r="K110" s="9">
        <v>42483.62572916667</v>
      </c>
    </row>
    <row r="111" spans="3:11" x14ac:dyDescent="0.25">
      <c r="C111" t="str">
        <f>IF(COUNTBLANK(E111:K111) = 7,"",IF(AND(NOT(ISBLANK(E111)),COUNTBLANK(E111:K111) = 6),"3 Delete",IF(ISBLANK(E111),"2 Add",IF(SHA1Range(E111:K111) = "d467f6fef619220aa47ae0aa97597e72c6903279","0 Original","1 Modify"))))</f>
        <v>0 Original</v>
      </c>
      <c r="D111" s="3" t="s">
        <v>734</v>
      </c>
      <c r="E111" s="5">
        <v>112</v>
      </c>
      <c r="F111">
        <v>34</v>
      </c>
      <c r="G111" t="s">
        <v>149</v>
      </c>
      <c r="H111" s="7">
        <v>7.99</v>
      </c>
      <c r="I111" s="5">
        <v>1</v>
      </c>
      <c r="J111" s="3" t="s">
        <v>29</v>
      </c>
      <c r="K111" s="9">
        <v>42483.62572916667</v>
      </c>
    </row>
    <row r="112" spans="3:11" x14ac:dyDescent="0.25">
      <c r="C112" t="str">
        <f>IF(COUNTBLANK(E112:K112) = 7,"",IF(AND(NOT(ISBLANK(E112)),COUNTBLANK(E112:K112) = 6),"3 Delete",IF(ISBLANK(E112),"2 Add",IF(SHA1Range(E112:K112) = "6595bdf03f34af596c450bcf5b026621d5acca3c","0 Original","1 Modify"))))</f>
        <v>0 Original</v>
      </c>
      <c r="D112" s="3" t="s">
        <v>735</v>
      </c>
      <c r="E112" s="5">
        <v>113</v>
      </c>
      <c r="F112">
        <v>34</v>
      </c>
      <c r="G112" t="s">
        <v>615</v>
      </c>
      <c r="H112" s="7">
        <v>9.99</v>
      </c>
      <c r="I112" s="5">
        <v>1</v>
      </c>
      <c r="J112" s="3" t="s">
        <v>29</v>
      </c>
      <c r="K112" s="9">
        <v>42483.62572916667</v>
      </c>
    </row>
    <row r="113" spans="3:11" x14ac:dyDescent="0.25">
      <c r="C113" t="str">
        <f>IF(COUNTBLANK(E113:K113) = 7,"",IF(AND(NOT(ISBLANK(E113)),COUNTBLANK(E113:K113) = 6),"3 Delete",IF(ISBLANK(E113),"2 Add",IF(SHA1Range(E113:K113) = "8ccbbc4c562d62e762b12710b49788cd574c33f0","0 Original","1 Modify"))))</f>
        <v>0 Original</v>
      </c>
      <c r="D113" s="3" t="s">
        <v>736</v>
      </c>
      <c r="E113" s="5">
        <v>114</v>
      </c>
      <c r="F113">
        <v>34</v>
      </c>
      <c r="G113" t="s">
        <v>559</v>
      </c>
      <c r="H113" s="7">
        <v>4.99</v>
      </c>
      <c r="I113" s="5">
        <v>1</v>
      </c>
      <c r="J113" s="3" t="s">
        <v>29</v>
      </c>
      <c r="K113" s="9">
        <v>42483.62572916667</v>
      </c>
    </row>
    <row r="114" spans="3:11" x14ac:dyDescent="0.25">
      <c r="C114" t="str">
        <f>IF(COUNTBLANK(E114:K114) = 7,"",IF(AND(NOT(ISBLANK(E114)),COUNTBLANK(E114:K114) = 6),"3 Delete",IF(ISBLANK(E114),"2 Add",IF(SHA1Range(E114:K114) = "57f6c6c176243427406d8662bb34efea2af6ac20","0 Original","1 Modify"))))</f>
        <v>0 Original</v>
      </c>
      <c r="D114" s="3" t="s">
        <v>737</v>
      </c>
      <c r="E114" s="5">
        <v>115</v>
      </c>
      <c r="F114">
        <v>34</v>
      </c>
      <c r="G114" t="s">
        <v>48</v>
      </c>
      <c r="H114" s="7">
        <v>9.99</v>
      </c>
      <c r="I114" s="5">
        <v>2</v>
      </c>
      <c r="J114" s="3" t="s">
        <v>29</v>
      </c>
      <c r="K114" s="9">
        <v>42483.62572916667</v>
      </c>
    </row>
    <row r="115" spans="3:11" x14ac:dyDescent="0.25">
      <c r="C115" t="str">
        <f>IF(COUNTBLANK(E115:K115) = 7,"",IF(AND(NOT(ISBLANK(E115)),COUNTBLANK(E115:K115) = 6),"3 Delete",IF(ISBLANK(E115),"2 Add",IF(SHA1Range(E115:K115) = "e873d25c3e7772a62fb77d9a5ac3fdb1e8f424c6","0 Original","1 Modify"))))</f>
        <v>0 Original</v>
      </c>
      <c r="D115" s="3" t="s">
        <v>738</v>
      </c>
      <c r="E115" s="5">
        <v>116</v>
      </c>
      <c r="F115">
        <v>35</v>
      </c>
      <c r="G115" t="s">
        <v>133</v>
      </c>
      <c r="H115" s="7">
        <v>7.99</v>
      </c>
      <c r="I115" s="5">
        <v>2</v>
      </c>
      <c r="J115" s="3" t="s">
        <v>29</v>
      </c>
      <c r="K115" s="9">
        <v>42483.62572916667</v>
      </c>
    </row>
    <row r="116" spans="3:11" x14ac:dyDescent="0.25">
      <c r="C116" t="str">
        <f>IF(COUNTBLANK(E116:K116) = 7,"",IF(AND(NOT(ISBLANK(E116)),COUNTBLANK(E116:K116) = 6),"3 Delete",IF(ISBLANK(E116),"2 Add",IF(SHA1Range(E116:K116) = "f5147054cd900e1d7a55ddd4934cf98fa6b05458","0 Original","1 Modify"))))</f>
        <v>0 Original</v>
      </c>
      <c r="D116" s="3" t="s">
        <v>739</v>
      </c>
      <c r="E116" s="5">
        <v>117</v>
      </c>
      <c r="F116">
        <v>35</v>
      </c>
      <c r="G116" t="s">
        <v>58</v>
      </c>
      <c r="H116" s="7">
        <v>8.99</v>
      </c>
      <c r="I116" s="5">
        <v>2</v>
      </c>
      <c r="J116" s="3" t="s">
        <v>29</v>
      </c>
      <c r="K116" s="9">
        <v>42483.62572916667</v>
      </c>
    </row>
    <row r="117" spans="3:11" x14ac:dyDescent="0.25">
      <c r="C117" t="str">
        <f>IF(COUNTBLANK(E117:K117) = 7,"",IF(AND(NOT(ISBLANK(E117)),COUNTBLANK(E117:K117) = 6),"3 Delete",IF(ISBLANK(E117),"2 Add",IF(SHA1Range(E117:K117) = "678f7c1842fe1205f68762b178a188a92f47971e","0 Original","1 Modify"))))</f>
        <v>0 Original</v>
      </c>
      <c r="D117" s="3" t="s">
        <v>740</v>
      </c>
      <c r="E117" s="5">
        <v>118</v>
      </c>
      <c r="F117">
        <v>36</v>
      </c>
      <c r="G117" t="s">
        <v>230</v>
      </c>
      <c r="H117" s="7">
        <v>5.99</v>
      </c>
      <c r="I117" s="5">
        <v>1</v>
      </c>
      <c r="J117" s="3" t="s">
        <v>29</v>
      </c>
      <c r="K117" s="9">
        <v>42483.62572916667</v>
      </c>
    </row>
    <row r="118" spans="3:11" x14ac:dyDescent="0.25">
      <c r="C118" t="str">
        <f>IF(COUNTBLANK(E118:K118) = 7,"",IF(AND(NOT(ISBLANK(E118)),COUNTBLANK(E118:K118) = 6),"3 Delete",IF(ISBLANK(E118),"2 Add",IF(SHA1Range(E118:K118) = "1b34f7e307f66bafd1ef23c5b24ae9c30dce6892","0 Original","1 Modify"))))</f>
        <v>0 Original</v>
      </c>
      <c r="D118" s="3" t="s">
        <v>741</v>
      </c>
      <c r="E118" s="5">
        <v>119</v>
      </c>
      <c r="F118">
        <v>36</v>
      </c>
      <c r="G118" t="s">
        <v>593</v>
      </c>
      <c r="H118" s="7">
        <v>9.99</v>
      </c>
      <c r="I118" s="5">
        <v>1</v>
      </c>
      <c r="J118" s="3" t="s">
        <v>29</v>
      </c>
      <c r="K118" s="9">
        <v>42483.62572916667</v>
      </c>
    </row>
    <row r="119" spans="3:11" x14ac:dyDescent="0.25">
      <c r="C119" t="str">
        <f>IF(COUNTBLANK(E119:K119) = 7,"",IF(AND(NOT(ISBLANK(E119)),COUNTBLANK(E119:K119) = 6),"3 Delete",IF(ISBLANK(E119),"2 Add",IF(SHA1Range(E119:K119) = "c0ae590868462c7743d1c20a5a4a7b782a28a8c7","0 Original","1 Modify"))))</f>
        <v>0 Original</v>
      </c>
      <c r="D119" s="3" t="s">
        <v>742</v>
      </c>
      <c r="E119" s="5">
        <v>120</v>
      </c>
      <c r="F119">
        <v>36</v>
      </c>
      <c r="G119" t="s">
        <v>37</v>
      </c>
      <c r="H119" s="7">
        <v>6.99</v>
      </c>
      <c r="I119" s="5">
        <v>1</v>
      </c>
      <c r="J119" s="3" t="s">
        <v>29</v>
      </c>
      <c r="K119" s="9">
        <v>42483.62572916667</v>
      </c>
    </row>
    <row r="120" spans="3:11" x14ac:dyDescent="0.25">
      <c r="C120" t="str">
        <f>IF(COUNTBLANK(E120:K120) = 7,"",IF(AND(NOT(ISBLANK(E120)),COUNTBLANK(E120:K120) = 6),"3 Delete",IF(ISBLANK(E120),"2 Add",IF(SHA1Range(E120:K120) = "269c5f56c0de2fcc50d9d7d6703c74e094919f93","0 Original","1 Modify"))))</f>
        <v>0 Original</v>
      </c>
      <c r="D120" s="3" t="s">
        <v>743</v>
      </c>
      <c r="E120" s="5">
        <v>121</v>
      </c>
      <c r="F120">
        <v>36</v>
      </c>
      <c r="G120" t="s">
        <v>81</v>
      </c>
      <c r="H120" s="7">
        <v>4.99</v>
      </c>
      <c r="I120" s="5">
        <v>1</v>
      </c>
      <c r="J120" s="3" t="s">
        <v>29</v>
      </c>
      <c r="K120" s="9">
        <v>42483.62572916667</v>
      </c>
    </row>
    <row r="121" spans="3:11" x14ac:dyDescent="0.25">
      <c r="C121" t="str">
        <f>IF(COUNTBLANK(E121:K121) = 7,"",IF(AND(NOT(ISBLANK(E121)),COUNTBLANK(E121:K121) = 6),"3 Delete",IF(ISBLANK(E121),"2 Add",IF(SHA1Range(E121:K121) = "eb0563ba26cfa86d343c0ee6a2d8c4c8a5a1fa19","0 Original","1 Modify"))))</f>
        <v>0 Original</v>
      </c>
      <c r="D121" s="3" t="s">
        <v>744</v>
      </c>
      <c r="E121" s="5">
        <v>122</v>
      </c>
      <c r="F121">
        <v>37</v>
      </c>
      <c r="G121" t="s">
        <v>341</v>
      </c>
      <c r="H121" s="7">
        <v>6.99</v>
      </c>
      <c r="I121" s="5">
        <v>1</v>
      </c>
      <c r="J121" s="3" t="s">
        <v>29</v>
      </c>
      <c r="K121" s="9">
        <v>42483.62572916667</v>
      </c>
    </row>
    <row r="122" spans="3:11" x14ac:dyDescent="0.25">
      <c r="C122" t="str">
        <f>IF(COUNTBLANK(E122:K122) = 7,"",IF(AND(NOT(ISBLANK(E122)),COUNTBLANK(E122:K122) = 6),"3 Delete",IF(ISBLANK(E122),"2 Add",IF(SHA1Range(E122:K122) = "7bdb630466f394e7ffeac00fefc3d2efd0baa2d9","0 Original","1 Modify"))))</f>
        <v>0 Original</v>
      </c>
      <c r="D122" s="3" t="s">
        <v>745</v>
      </c>
      <c r="E122" s="5">
        <v>123</v>
      </c>
      <c r="F122">
        <v>37</v>
      </c>
      <c r="G122" t="s">
        <v>163</v>
      </c>
      <c r="H122" s="7">
        <v>5.99</v>
      </c>
      <c r="I122" s="5">
        <v>1</v>
      </c>
      <c r="J122" s="3" t="s">
        <v>29</v>
      </c>
      <c r="K122" s="9">
        <v>42483.62572916667</v>
      </c>
    </row>
    <row r="123" spans="3:11" x14ac:dyDescent="0.25">
      <c r="C123" t="str">
        <f>IF(COUNTBLANK(E123:K123) = 7,"",IF(AND(NOT(ISBLANK(E123)),COUNTBLANK(E123:K123) = 6),"3 Delete",IF(ISBLANK(E123),"2 Add",IF(SHA1Range(E123:K123) = "002dbdf21e7ba7df55eeb79813be364d891b9c5e","0 Original","1 Modify"))))</f>
        <v>0 Original</v>
      </c>
      <c r="D123" s="3" t="s">
        <v>746</v>
      </c>
      <c r="E123" s="5">
        <v>124</v>
      </c>
      <c r="F123">
        <v>38</v>
      </c>
      <c r="G123" t="s">
        <v>492</v>
      </c>
      <c r="H123" s="7">
        <v>7.99</v>
      </c>
      <c r="I123" s="5">
        <v>1</v>
      </c>
      <c r="J123" s="3" t="s">
        <v>29</v>
      </c>
      <c r="K123" s="9">
        <v>42483.62572916667</v>
      </c>
    </row>
    <row r="124" spans="3:11" x14ac:dyDescent="0.25">
      <c r="C124" t="str">
        <f>IF(COUNTBLANK(E124:K124) = 7,"",IF(AND(NOT(ISBLANK(E124)),COUNTBLANK(E124:K124) = 6),"3 Delete",IF(ISBLANK(E124),"2 Add",IF(SHA1Range(E124:K124) = "3409865db1d26b24e7bc944b768e5da6fa673e01","0 Original","1 Modify"))))</f>
        <v>0 Original</v>
      </c>
      <c r="D124" s="3" t="s">
        <v>747</v>
      </c>
      <c r="E124" s="5">
        <v>125</v>
      </c>
      <c r="F124">
        <v>38</v>
      </c>
      <c r="G124" t="s">
        <v>596</v>
      </c>
      <c r="H124" s="7">
        <v>8.99</v>
      </c>
      <c r="I124" s="5">
        <v>1</v>
      </c>
      <c r="J124" s="3" t="s">
        <v>29</v>
      </c>
      <c r="K124" s="9">
        <v>42483.62572916667</v>
      </c>
    </row>
    <row r="125" spans="3:11" x14ac:dyDescent="0.25">
      <c r="C125" t="str">
        <f>IF(COUNTBLANK(E125:K125) = 7,"",IF(AND(NOT(ISBLANK(E125)),COUNTBLANK(E125:K125) = 6),"3 Delete",IF(ISBLANK(E125),"2 Add",IF(SHA1Range(E125:K125) = "e2c60ebc32e879368d622323f3f46d4bbb1daa20","0 Original","1 Modify"))))</f>
        <v>0 Original</v>
      </c>
      <c r="D125" s="3" t="s">
        <v>748</v>
      </c>
      <c r="E125" s="5">
        <v>126</v>
      </c>
      <c r="F125">
        <v>38</v>
      </c>
      <c r="G125" t="s">
        <v>537</v>
      </c>
      <c r="H125" s="7">
        <v>7.99</v>
      </c>
      <c r="I125" s="5">
        <v>1</v>
      </c>
      <c r="J125" s="3" t="s">
        <v>29</v>
      </c>
      <c r="K125" s="9">
        <v>42483.62572916667</v>
      </c>
    </row>
    <row r="126" spans="3:11" x14ac:dyDescent="0.25">
      <c r="C126" t="str">
        <f>IF(COUNTBLANK(E126:K126) = 7,"",IF(AND(NOT(ISBLANK(E126)),COUNTBLANK(E126:K126) = 6),"3 Delete",IF(ISBLANK(E126),"2 Add",IF(SHA1Range(E126:K126) = "5fb22e9e907fa3b68e789e942207dd82a3825236","0 Original","1 Modify"))))</f>
        <v>0 Original</v>
      </c>
      <c r="D126" s="3" t="s">
        <v>749</v>
      </c>
      <c r="E126" s="5">
        <v>127</v>
      </c>
      <c r="F126">
        <v>39</v>
      </c>
      <c r="G126" t="s">
        <v>81</v>
      </c>
      <c r="H126" s="7">
        <v>4.99</v>
      </c>
      <c r="I126" s="5">
        <v>2</v>
      </c>
      <c r="J126" s="3" t="s">
        <v>29</v>
      </c>
      <c r="K126" s="9">
        <v>42483.62572916667</v>
      </c>
    </row>
    <row r="127" spans="3:11" x14ac:dyDescent="0.25">
      <c r="C127" t="str">
        <f>IF(COUNTBLANK(E127:K127) = 7,"",IF(AND(NOT(ISBLANK(E127)),COUNTBLANK(E127:K127) = 6),"3 Delete",IF(ISBLANK(E127),"2 Add",IF(SHA1Range(E127:K127) = "9804e7e8305a70d80402fd86e4194decb10dd187","0 Original","1 Modify"))))</f>
        <v>0 Original</v>
      </c>
      <c r="D127" s="3" t="s">
        <v>750</v>
      </c>
      <c r="E127" s="5">
        <v>128</v>
      </c>
      <c r="F127">
        <v>40</v>
      </c>
      <c r="G127" t="s">
        <v>328</v>
      </c>
      <c r="H127" s="7">
        <v>8.99</v>
      </c>
      <c r="I127" s="5">
        <v>3</v>
      </c>
      <c r="J127" s="3" t="s">
        <v>29</v>
      </c>
      <c r="K127" s="9">
        <v>42483.62572916667</v>
      </c>
    </row>
    <row r="128" spans="3:11" x14ac:dyDescent="0.25">
      <c r="C128" t="str">
        <f>IF(COUNTBLANK(E128:K128) = 7,"",IF(AND(NOT(ISBLANK(E128)),COUNTBLANK(E128:K128) = 6),"3 Delete",IF(ISBLANK(E128),"2 Add",IF(SHA1Range(E128:K128) = "2f79f9c3e254bfb8149e703c26f9e28e3508b76a","0 Original","1 Modify"))))</f>
        <v>0 Original</v>
      </c>
      <c r="D128" s="3" t="s">
        <v>751</v>
      </c>
      <c r="E128" s="5">
        <v>129</v>
      </c>
      <c r="F128">
        <v>41</v>
      </c>
      <c r="G128" t="s">
        <v>462</v>
      </c>
      <c r="H128" s="7">
        <v>9.99</v>
      </c>
      <c r="I128" s="5">
        <v>1</v>
      </c>
      <c r="J128" s="3" t="s">
        <v>29</v>
      </c>
      <c r="K128" s="9">
        <v>42483.62572916667</v>
      </c>
    </row>
    <row r="129" spans="3:11" x14ac:dyDescent="0.25">
      <c r="C129" t="str">
        <f>IF(COUNTBLANK(E129:K129) = 7,"",IF(AND(NOT(ISBLANK(E129)),COUNTBLANK(E129:K129) = 6),"3 Delete",IF(ISBLANK(E129),"2 Add",IF(SHA1Range(E129:K129) = "80b3cf7a2e3cad6bee5a763ecb08631ee6048210","0 Original","1 Modify"))))</f>
        <v>0 Original</v>
      </c>
      <c r="D129" s="3" t="s">
        <v>752</v>
      </c>
      <c r="E129" s="5">
        <v>130</v>
      </c>
      <c r="F129">
        <v>41</v>
      </c>
      <c r="G129" t="s">
        <v>214</v>
      </c>
      <c r="H129" s="7">
        <v>5.99</v>
      </c>
      <c r="I129" s="5">
        <v>1</v>
      </c>
      <c r="J129" s="3" t="s">
        <v>29</v>
      </c>
      <c r="K129" s="9">
        <v>42483.62572916667</v>
      </c>
    </row>
    <row r="130" spans="3:11" x14ac:dyDescent="0.25">
      <c r="C130" t="str">
        <f>IF(COUNTBLANK(E130:K130) = 7,"",IF(AND(NOT(ISBLANK(E130)),COUNTBLANK(E130:K130) = 6),"3 Delete",IF(ISBLANK(E130),"2 Add",IF(SHA1Range(E130:K130) = "0b196ba3c7e40a587357e1a71f698aadfb7d4c62","0 Original","1 Modify"))))</f>
        <v>0 Original</v>
      </c>
      <c r="D130" s="3" t="s">
        <v>753</v>
      </c>
      <c r="E130" s="5">
        <v>131</v>
      </c>
      <c r="F130">
        <v>41</v>
      </c>
      <c r="G130" t="s">
        <v>368</v>
      </c>
      <c r="H130" s="7">
        <v>4.99</v>
      </c>
      <c r="I130" s="5">
        <v>2</v>
      </c>
      <c r="J130" s="3" t="s">
        <v>29</v>
      </c>
      <c r="K130" s="9">
        <v>42483.62572916667</v>
      </c>
    </row>
    <row r="131" spans="3:11" x14ac:dyDescent="0.25">
      <c r="C131" t="str">
        <f>IF(COUNTBLANK(E131:K131) = 7,"",IF(AND(NOT(ISBLANK(E131)),COUNTBLANK(E131:K131) = 6),"3 Delete",IF(ISBLANK(E131),"2 Add",IF(SHA1Range(E131:K131) = "55fa40aac9317ff5649a0d54ad23f735eb276952","0 Original","1 Modify"))))</f>
        <v>0 Original</v>
      </c>
      <c r="D131" s="3" t="s">
        <v>754</v>
      </c>
      <c r="E131" s="5">
        <v>132</v>
      </c>
      <c r="F131">
        <v>42</v>
      </c>
      <c r="G131" t="s">
        <v>431</v>
      </c>
      <c r="H131" s="7">
        <v>5.99</v>
      </c>
      <c r="I131" s="5">
        <v>1</v>
      </c>
      <c r="J131" s="3" t="s">
        <v>29</v>
      </c>
      <c r="K131" s="9">
        <v>42483.62572916667</v>
      </c>
    </row>
    <row r="132" spans="3:11" x14ac:dyDescent="0.25">
      <c r="C132" t="str">
        <f>IF(COUNTBLANK(E132:K132) = 7,"",IF(AND(NOT(ISBLANK(E132)),COUNTBLANK(E132:K132) = 6),"3 Delete",IF(ISBLANK(E132),"2 Add",IF(SHA1Range(E132:K132) = "ccac13652c75a61d26b69c256a2c7b470f921a2b","0 Original","1 Modify"))))</f>
        <v>0 Original</v>
      </c>
      <c r="D132" s="3" t="s">
        <v>755</v>
      </c>
      <c r="E132" s="5">
        <v>133</v>
      </c>
      <c r="F132">
        <v>42</v>
      </c>
      <c r="G132" t="s">
        <v>325</v>
      </c>
      <c r="H132" s="7">
        <v>7.99</v>
      </c>
      <c r="I132" s="5">
        <v>2</v>
      </c>
      <c r="J132" s="3" t="s">
        <v>29</v>
      </c>
      <c r="K132" s="9">
        <v>42483.62572916667</v>
      </c>
    </row>
    <row r="133" spans="3:11" x14ac:dyDescent="0.25">
      <c r="C133" t="str">
        <f>IF(COUNTBLANK(E133:K133) = 7,"",IF(AND(NOT(ISBLANK(E133)),COUNTBLANK(E133:K133) = 6),"3 Delete",IF(ISBLANK(E133),"2 Add",IF(SHA1Range(E133:K133) = "c2d8e449dc9e1d65863ab63add24c195975f5920","0 Original","1 Modify"))))</f>
        <v>0 Original</v>
      </c>
      <c r="D133" s="3" t="s">
        <v>756</v>
      </c>
      <c r="E133" s="5">
        <v>134</v>
      </c>
      <c r="F133">
        <v>42</v>
      </c>
      <c r="G133" t="s">
        <v>328</v>
      </c>
      <c r="H133" s="7">
        <v>8.99</v>
      </c>
      <c r="I133" s="5">
        <v>2</v>
      </c>
      <c r="J133" s="3" t="s">
        <v>29</v>
      </c>
      <c r="K133" s="9">
        <v>42483.62572916667</v>
      </c>
    </row>
    <row r="134" spans="3:11" x14ac:dyDescent="0.25">
      <c r="C134" t="str">
        <f>IF(COUNTBLANK(E134:K134) = 7,"",IF(AND(NOT(ISBLANK(E134)),COUNTBLANK(E134:K134) = 6),"3 Delete",IF(ISBLANK(E134),"2 Add",IF(SHA1Range(E134:K134) = "57bbff8f44fc2da965ae3ca2625d5747eca2da89","0 Original","1 Modify"))))</f>
        <v>0 Original</v>
      </c>
      <c r="D134" s="3" t="s">
        <v>757</v>
      </c>
      <c r="E134" s="5">
        <v>135</v>
      </c>
      <c r="F134">
        <v>42</v>
      </c>
      <c r="G134" t="s">
        <v>139</v>
      </c>
      <c r="H134" s="7">
        <v>7.99</v>
      </c>
      <c r="I134" s="5">
        <v>2</v>
      </c>
      <c r="J134" s="3" t="s">
        <v>29</v>
      </c>
      <c r="K134" s="9">
        <v>42483.62572916667</v>
      </c>
    </row>
    <row r="135" spans="3:11" x14ac:dyDescent="0.25">
      <c r="C135" t="str">
        <f>IF(COUNTBLANK(E135:K135) = 7,"",IF(AND(NOT(ISBLANK(E135)),COUNTBLANK(E135:K135) = 6),"3 Delete",IF(ISBLANK(E135),"2 Add",IF(SHA1Range(E135:K135) = "3cbdee8849ba9345d6073e3747cf5f392c04c8f7","0 Original","1 Modify"))))</f>
        <v>0 Original</v>
      </c>
      <c r="D135" s="3" t="s">
        <v>758</v>
      </c>
      <c r="E135" s="5">
        <v>136</v>
      </c>
      <c r="F135">
        <v>42</v>
      </c>
      <c r="G135" t="s">
        <v>152</v>
      </c>
      <c r="H135" s="7">
        <v>5.99</v>
      </c>
      <c r="I135" s="5">
        <v>2</v>
      </c>
      <c r="J135" s="3" t="s">
        <v>29</v>
      </c>
      <c r="K135" s="9">
        <v>42483.62572916667</v>
      </c>
    </row>
    <row r="136" spans="3:11" x14ac:dyDescent="0.25">
      <c r="C136" t="str">
        <f>IF(COUNTBLANK(E136:K136) = 7,"",IF(AND(NOT(ISBLANK(E136)),COUNTBLANK(E136:K136) = 6),"3 Delete",IF(ISBLANK(E136),"2 Add",IF(SHA1Range(E136:K136) = "4d7e4c4d6c3cbc1180b8ce9454de90e6d4163614","0 Original","1 Modify"))))</f>
        <v>0 Original</v>
      </c>
      <c r="D136" s="3" t="s">
        <v>759</v>
      </c>
      <c r="E136" s="5">
        <v>137</v>
      </c>
      <c r="F136">
        <v>42</v>
      </c>
      <c r="G136" t="s">
        <v>335</v>
      </c>
      <c r="H136" s="7">
        <v>5.99</v>
      </c>
      <c r="I136" s="5">
        <v>2</v>
      </c>
      <c r="J136" s="3" t="s">
        <v>29</v>
      </c>
      <c r="K136" s="9">
        <v>42483.62572916667</v>
      </c>
    </row>
    <row r="137" spans="3:11" x14ac:dyDescent="0.25">
      <c r="C137" t="str">
        <f>IF(COUNTBLANK(E137:K137) = 7,"",IF(AND(NOT(ISBLANK(E137)),COUNTBLANK(E137:K137) = 6),"3 Delete",IF(ISBLANK(E137),"2 Add",IF(SHA1Range(E137:K137) = "490cef6bc004303cd2498345be3d23909fe6f853","0 Original","1 Modify"))))</f>
        <v>0 Original</v>
      </c>
      <c r="D137" s="3" t="s">
        <v>760</v>
      </c>
      <c r="E137" s="5">
        <v>138</v>
      </c>
      <c r="F137">
        <v>43</v>
      </c>
      <c r="G137" t="s">
        <v>522</v>
      </c>
      <c r="H137" s="7">
        <v>6.99</v>
      </c>
      <c r="I137" s="5">
        <v>2</v>
      </c>
      <c r="J137" s="3" t="s">
        <v>29</v>
      </c>
      <c r="K137" s="9">
        <v>42483.62572916667</v>
      </c>
    </row>
    <row r="138" spans="3:11" x14ac:dyDescent="0.25">
      <c r="C138" t="str">
        <f>IF(COUNTBLANK(E138:K138) = 7,"",IF(AND(NOT(ISBLANK(E138)),COUNTBLANK(E138:K138) = 6),"3 Delete",IF(ISBLANK(E138),"2 Add",IF(SHA1Range(E138:K138) = "dadbc18cf256bcfecc0cffa3a90ac8412df5f33b","0 Original","1 Modify"))))</f>
        <v>0 Original</v>
      </c>
      <c r="D138" s="3" t="s">
        <v>761</v>
      </c>
      <c r="E138" s="5">
        <v>139</v>
      </c>
      <c r="F138">
        <v>43</v>
      </c>
      <c r="G138" t="s">
        <v>379</v>
      </c>
      <c r="H138" s="7">
        <v>9.99</v>
      </c>
      <c r="I138" s="5">
        <v>1</v>
      </c>
      <c r="J138" s="3" t="s">
        <v>29</v>
      </c>
      <c r="K138" s="9">
        <v>42483.62572916667</v>
      </c>
    </row>
    <row r="139" spans="3:11" x14ac:dyDescent="0.25">
      <c r="C139" t="str">
        <f>IF(COUNTBLANK(E139:K139) = 7,"",IF(AND(NOT(ISBLANK(E139)),COUNTBLANK(E139:K139) = 6),"3 Delete",IF(ISBLANK(E139),"2 Add",IF(SHA1Range(E139:K139) = "4d7591df41edcb1afe3d6432f9e9df93708b0464","0 Original","1 Modify"))))</f>
        <v>0 Original</v>
      </c>
      <c r="D139" s="3" t="s">
        <v>762</v>
      </c>
      <c r="E139" s="5">
        <v>140</v>
      </c>
      <c r="F139">
        <v>44</v>
      </c>
      <c r="G139" t="s">
        <v>609</v>
      </c>
      <c r="H139" s="7">
        <v>5.99</v>
      </c>
      <c r="I139" s="5">
        <v>1</v>
      </c>
      <c r="J139" s="3" t="s">
        <v>29</v>
      </c>
      <c r="K139" s="9">
        <v>42483.62572916667</v>
      </c>
    </row>
    <row r="140" spans="3:11" x14ac:dyDescent="0.25">
      <c r="C140" t="str">
        <f>IF(COUNTBLANK(E140:K140) = 7,"",IF(AND(NOT(ISBLANK(E140)),COUNTBLANK(E140:K140) = 6),"3 Delete",IF(ISBLANK(E140),"2 Add",IF(SHA1Range(E140:K140) = "f107397ebf630ce87d9ac1a0c0707aa30a29a4bf","0 Original","1 Modify"))))</f>
        <v>0 Original</v>
      </c>
      <c r="D140" s="3" t="s">
        <v>763</v>
      </c>
      <c r="E140" s="5">
        <v>141</v>
      </c>
      <c r="F140">
        <v>44</v>
      </c>
      <c r="G140" t="s">
        <v>73</v>
      </c>
      <c r="H140" s="7">
        <v>8.99</v>
      </c>
      <c r="I140" s="5">
        <v>1</v>
      </c>
      <c r="J140" s="3" t="s">
        <v>29</v>
      </c>
      <c r="K140" s="9">
        <v>42483.62572916667</v>
      </c>
    </row>
    <row r="141" spans="3:11" x14ac:dyDescent="0.25">
      <c r="C141" t="str">
        <f>IF(COUNTBLANK(E141:K141) = 7,"",IF(AND(NOT(ISBLANK(E141)),COUNTBLANK(E141:K141) = 6),"3 Delete",IF(ISBLANK(E141),"2 Add",IF(SHA1Range(E141:K141) = "f0f452e46fc29b265e2a227d3b9e86047e6bd8d1","0 Original","1 Modify"))))</f>
        <v>0 Original</v>
      </c>
      <c r="D141" s="3" t="s">
        <v>764</v>
      </c>
      <c r="E141" s="5">
        <v>142</v>
      </c>
      <c r="F141">
        <v>44</v>
      </c>
      <c r="G141" t="s">
        <v>304</v>
      </c>
      <c r="H141" s="7">
        <v>8.99</v>
      </c>
      <c r="I141" s="5">
        <v>1</v>
      </c>
      <c r="J141" s="3" t="s">
        <v>29</v>
      </c>
      <c r="K141" s="9">
        <v>42483.62572916667</v>
      </c>
    </row>
    <row r="142" spans="3:11" x14ac:dyDescent="0.25">
      <c r="C142" t="str">
        <f>IF(COUNTBLANK(E142:K142) = 7,"",IF(AND(NOT(ISBLANK(E142)),COUNTBLANK(E142:K142) = 6),"3 Delete",IF(ISBLANK(E142),"2 Add",IF(SHA1Range(E142:K142) = "8801aadba72377b362bce338ef71f80bf3719f19","0 Original","1 Modify"))))</f>
        <v>0 Original</v>
      </c>
      <c r="D142" s="3" t="s">
        <v>765</v>
      </c>
      <c r="E142" s="5">
        <v>143</v>
      </c>
      <c r="F142">
        <v>44</v>
      </c>
      <c r="G142" t="s">
        <v>295</v>
      </c>
      <c r="H142" s="7">
        <v>7.99</v>
      </c>
      <c r="I142" s="5">
        <v>1</v>
      </c>
      <c r="J142" s="3" t="s">
        <v>29</v>
      </c>
      <c r="K142" s="9">
        <v>42483.62572916667</v>
      </c>
    </row>
    <row r="143" spans="3:11" x14ac:dyDescent="0.25">
      <c r="C143" t="str">
        <f>IF(COUNTBLANK(E143:K143) = 7,"",IF(AND(NOT(ISBLANK(E143)),COUNTBLANK(E143:K143) = 6),"3 Delete",IF(ISBLANK(E143),"2 Add",IF(SHA1Range(E143:K143) = "ebfbca03ce2a7e0c9ede22c956c735d3d6d7d36d","0 Original","1 Modify"))))</f>
        <v>0 Original</v>
      </c>
      <c r="D143" s="3" t="s">
        <v>766</v>
      </c>
      <c r="E143" s="5">
        <v>144</v>
      </c>
      <c r="F143">
        <v>45</v>
      </c>
      <c r="G143" t="s">
        <v>142</v>
      </c>
      <c r="H143" s="7">
        <v>4.99</v>
      </c>
      <c r="I143" s="5">
        <v>1</v>
      </c>
      <c r="J143" s="3" t="s">
        <v>29</v>
      </c>
      <c r="K143" s="9">
        <v>42483.62572916667</v>
      </c>
    </row>
    <row r="144" spans="3:11" x14ac:dyDescent="0.25">
      <c r="C144" t="str">
        <f>IF(COUNTBLANK(E144:K144) = 7,"",IF(AND(NOT(ISBLANK(E144)),COUNTBLANK(E144:K144) = 6),"3 Delete",IF(ISBLANK(E144),"2 Add",IF(SHA1Range(E144:K144) = "34563f8e065b9c36ecc9c3d6bcae8dcbe50368b0","0 Original","1 Modify"))))</f>
        <v>0 Original</v>
      </c>
      <c r="D144" s="3" t="s">
        <v>767</v>
      </c>
      <c r="E144" s="5">
        <v>145</v>
      </c>
      <c r="F144">
        <v>45</v>
      </c>
      <c r="G144" t="s">
        <v>331</v>
      </c>
      <c r="H144" s="7">
        <v>9.99</v>
      </c>
      <c r="I144" s="5">
        <v>2</v>
      </c>
      <c r="J144" s="3" t="s">
        <v>29</v>
      </c>
      <c r="K144" s="9">
        <v>42483.62572916667</v>
      </c>
    </row>
    <row r="145" spans="3:11" x14ac:dyDescent="0.25">
      <c r="C145" t="str">
        <f>IF(COUNTBLANK(E145:K145) = 7,"",IF(AND(NOT(ISBLANK(E145)),COUNTBLANK(E145:K145) = 6),"3 Delete",IF(ISBLANK(E145),"2 Add",IF(SHA1Range(E145:K145) = "e163e57df8366b6db65c8a1b3a5ad9b93e3338f4","0 Original","1 Modify"))))</f>
        <v>0 Original</v>
      </c>
      <c r="D145" s="3" t="s">
        <v>768</v>
      </c>
      <c r="E145" s="5">
        <v>146</v>
      </c>
      <c r="F145">
        <v>46</v>
      </c>
      <c r="G145" t="s">
        <v>546</v>
      </c>
      <c r="H145" s="7">
        <v>9.99</v>
      </c>
      <c r="I145" s="5">
        <v>1</v>
      </c>
      <c r="J145" s="3" t="s">
        <v>29</v>
      </c>
      <c r="K145" s="9">
        <v>42483.62572916667</v>
      </c>
    </row>
    <row r="146" spans="3:11" x14ac:dyDescent="0.25">
      <c r="C146" t="str">
        <f>IF(COUNTBLANK(E146:K146) = 7,"",IF(AND(NOT(ISBLANK(E146)),COUNTBLANK(E146:K146) = 6),"3 Delete",IF(ISBLANK(E146),"2 Add",IF(SHA1Range(E146:K146) = "92c8edd1ff893fb84e6d4e3f5d9db5fb973c8f12","0 Original","1 Modify"))))</f>
        <v>0 Original</v>
      </c>
      <c r="D146" s="3" t="s">
        <v>769</v>
      </c>
      <c r="E146" s="5">
        <v>147</v>
      </c>
      <c r="F146">
        <v>46</v>
      </c>
      <c r="G146" t="s">
        <v>112</v>
      </c>
      <c r="H146" s="7">
        <v>8.99</v>
      </c>
      <c r="I146" s="5">
        <v>2</v>
      </c>
      <c r="J146" s="3" t="s">
        <v>29</v>
      </c>
      <c r="K146" s="9">
        <v>42483.62572916667</v>
      </c>
    </row>
    <row r="147" spans="3:11" x14ac:dyDescent="0.25">
      <c r="C147" t="str">
        <f>IF(COUNTBLANK(E147:K147) = 7,"",IF(AND(NOT(ISBLANK(E147)),COUNTBLANK(E147:K147) = 6),"3 Delete",IF(ISBLANK(E147),"2 Add",IF(SHA1Range(E147:K147) = "4015211485b9cffae4573583a22b280f3e87dc1d","0 Original","1 Modify"))))</f>
        <v>0 Original</v>
      </c>
      <c r="D147" s="3" t="s">
        <v>770</v>
      </c>
      <c r="E147" s="5">
        <v>148</v>
      </c>
      <c r="F147">
        <v>46</v>
      </c>
      <c r="G147" t="s">
        <v>81</v>
      </c>
      <c r="H147" s="7">
        <v>4.99</v>
      </c>
      <c r="I147" s="5">
        <v>2</v>
      </c>
      <c r="J147" s="3" t="s">
        <v>29</v>
      </c>
      <c r="K147" s="9">
        <v>42483.62572916667</v>
      </c>
    </row>
    <row r="148" spans="3:11" x14ac:dyDescent="0.25">
      <c r="C148" t="str">
        <f>IF(COUNTBLANK(E148:K148) = 7,"",IF(AND(NOT(ISBLANK(E148)),COUNTBLANK(E148:K148) = 6),"3 Delete",IF(ISBLANK(E148),"2 Add",IF(SHA1Range(E148:K148) = "6ac6840a0d9084eb14d2f6a24f7c003e61c3a30a","0 Original","1 Modify"))))</f>
        <v>0 Original</v>
      </c>
      <c r="D148" s="3" t="s">
        <v>771</v>
      </c>
      <c r="E148" s="5">
        <v>149</v>
      </c>
      <c r="F148">
        <v>46</v>
      </c>
      <c r="G148" t="s">
        <v>217</v>
      </c>
      <c r="H148" s="7">
        <v>9.99</v>
      </c>
      <c r="I148" s="5">
        <v>1</v>
      </c>
      <c r="J148" s="3" t="s">
        <v>29</v>
      </c>
      <c r="K148" s="9">
        <v>42483.62572916667</v>
      </c>
    </row>
    <row r="149" spans="3:11" x14ac:dyDescent="0.25">
      <c r="C149" t="str">
        <f>IF(COUNTBLANK(E149:K149) = 7,"",IF(AND(NOT(ISBLANK(E149)),COUNTBLANK(E149:K149) = 6),"3 Delete",IF(ISBLANK(E149),"2 Add",IF(SHA1Range(E149:K149) = "4e6ca0cc8c1aa37d8ae917fc44aff5e143567c0d","0 Original","1 Modify"))))</f>
        <v>0 Original</v>
      </c>
      <c r="D149" s="3" t="s">
        <v>772</v>
      </c>
      <c r="E149" s="5">
        <v>150</v>
      </c>
      <c r="F149">
        <v>47</v>
      </c>
      <c r="G149" t="s">
        <v>291</v>
      </c>
      <c r="H149" s="7">
        <v>5.99</v>
      </c>
      <c r="I149" s="5">
        <v>1</v>
      </c>
      <c r="J149" s="3" t="s">
        <v>29</v>
      </c>
      <c r="K149" s="9">
        <v>42483.62572916667</v>
      </c>
    </row>
    <row r="150" spans="3:11" x14ac:dyDescent="0.25">
      <c r="C150" t="str">
        <f>IF(COUNTBLANK(E150:K150) = 7,"",IF(AND(NOT(ISBLANK(E150)),COUNTBLANK(E150:K150) = 6),"3 Delete",IF(ISBLANK(E150),"2 Add",IF(SHA1Range(E150:K150) = "ccbc75f12a571686135738f99c1daa4f5d121a78","0 Original","1 Modify"))))</f>
        <v>0 Original</v>
      </c>
      <c r="D150" s="3" t="s">
        <v>773</v>
      </c>
      <c r="E150" s="5">
        <v>151</v>
      </c>
      <c r="F150">
        <v>48</v>
      </c>
      <c r="G150" t="s">
        <v>431</v>
      </c>
      <c r="H150" s="7">
        <v>5.99</v>
      </c>
      <c r="I150" s="5">
        <v>1</v>
      </c>
      <c r="J150" s="3" t="s">
        <v>29</v>
      </c>
      <c r="K150" s="9">
        <v>42483.62572916667</v>
      </c>
    </row>
    <row r="151" spans="3:11" x14ac:dyDescent="0.25">
      <c r="C151" t="str">
        <f>IF(COUNTBLANK(E151:K151) = 7,"",IF(AND(NOT(ISBLANK(E151)),COUNTBLANK(E151:K151) = 6),"3 Delete",IF(ISBLANK(E151),"2 Add",IF(SHA1Range(E151:K151) = "8638d72a8e6f9924cc85635c1c955e79df41c745","0 Original","1 Modify"))))</f>
        <v>0 Original</v>
      </c>
      <c r="D151" s="3" t="s">
        <v>774</v>
      </c>
      <c r="E151" s="5">
        <v>152</v>
      </c>
      <c r="F151">
        <v>48</v>
      </c>
      <c r="G151" t="s">
        <v>525</v>
      </c>
      <c r="H151" s="7">
        <v>4.99</v>
      </c>
      <c r="I151" s="5">
        <v>1</v>
      </c>
      <c r="J151" s="3" t="s">
        <v>29</v>
      </c>
      <c r="K151" s="9">
        <v>42483.62572916667</v>
      </c>
    </row>
    <row r="152" spans="3:11" x14ac:dyDescent="0.25">
      <c r="C152" t="str">
        <f>IF(COUNTBLANK(E152:K152) = 7,"",IF(AND(NOT(ISBLANK(E152)),COUNTBLANK(E152:K152) = 6),"3 Delete",IF(ISBLANK(E152),"2 Add",IF(SHA1Range(E152:K152) = "9098725678fc4415e0ad2671264515c6f566758d","0 Original","1 Modify"))))</f>
        <v>0 Original</v>
      </c>
      <c r="D152" s="3" t="s">
        <v>775</v>
      </c>
      <c r="E152" s="5">
        <v>153</v>
      </c>
      <c r="F152">
        <v>48</v>
      </c>
      <c r="G152" t="s">
        <v>546</v>
      </c>
      <c r="H152" s="7">
        <v>9.99</v>
      </c>
      <c r="I152" s="5">
        <v>1</v>
      </c>
      <c r="J152" s="3" t="s">
        <v>29</v>
      </c>
      <c r="K152" s="9">
        <v>42483.62572916667</v>
      </c>
    </row>
    <row r="153" spans="3:11" x14ac:dyDescent="0.25">
      <c r="C153" t="str">
        <f>IF(COUNTBLANK(E153:K153) = 7,"",IF(AND(NOT(ISBLANK(E153)),COUNTBLANK(E153:K153) = 6),"3 Delete",IF(ISBLANK(E153),"2 Add",IF(SHA1Range(E153:K153) = "5a3a88ac2a0a520e49ca7e42ed2860d73ffc593a","0 Original","1 Modify"))))</f>
        <v>0 Original</v>
      </c>
      <c r="D153" s="3" t="s">
        <v>776</v>
      </c>
      <c r="E153" s="5">
        <v>154</v>
      </c>
      <c r="F153">
        <v>49</v>
      </c>
      <c r="G153" t="s">
        <v>398</v>
      </c>
      <c r="H153" s="7">
        <v>4.99</v>
      </c>
      <c r="I153" s="5">
        <v>1</v>
      </c>
      <c r="J153" s="3" t="s">
        <v>29</v>
      </c>
      <c r="K153" s="9">
        <v>42483.62572916667</v>
      </c>
    </row>
    <row r="154" spans="3:11" x14ac:dyDescent="0.25">
      <c r="C154" t="str">
        <f>IF(COUNTBLANK(E154:K154) = 7,"",IF(AND(NOT(ISBLANK(E154)),COUNTBLANK(E154:K154) = 6),"3 Delete",IF(ISBLANK(E154),"2 Add",IF(SHA1Range(E154:K154) = "b35c3c6142ec20137b67a510fb0d66da37c81a41","0 Original","1 Modify"))))</f>
        <v>0 Original</v>
      </c>
      <c r="D154" s="3" t="s">
        <v>777</v>
      </c>
      <c r="E154" s="5">
        <v>155</v>
      </c>
      <c r="F154">
        <v>49</v>
      </c>
      <c r="G154" t="s">
        <v>379</v>
      </c>
      <c r="H154" s="7">
        <v>9.99</v>
      </c>
      <c r="I154" s="5">
        <v>1</v>
      </c>
      <c r="J154" s="3" t="s">
        <v>29</v>
      </c>
      <c r="K154" s="9">
        <v>42483.62572916667</v>
      </c>
    </row>
    <row r="155" spans="3:11" x14ac:dyDescent="0.25">
      <c r="C155" t="str">
        <f>IF(COUNTBLANK(E155:K155) = 7,"",IF(AND(NOT(ISBLANK(E155)),COUNTBLANK(E155:K155) = 6),"3 Delete",IF(ISBLANK(E155),"2 Add",IF(SHA1Range(E155:K155) = "30c2a9f7cd38aae6d1145203c081e643f48b20c2","0 Original","1 Modify"))))</f>
        <v>0 Original</v>
      </c>
      <c r="D155" s="3" t="s">
        <v>778</v>
      </c>
      <c r="E155" s="5">
        <v>156</v>
      </c>
      <c r="F155">
        <v>49</v>
      </c>
      <c r="G155" t="s">
        <v>492</v>
      </c>
      <c r="H155" s="7">
        <v>7.99</v>
      </c>
      <c r="I155" s="5">
        <v>1</v>
      </c>
      <c r="J155" s="3" t="s">
        <v>29</v>
      </c>
      <c r="K155" s="9">
        <v>42483.62572916667</v>
      </c>
    </row>
    <row r="156" spans="3:11" x14ac:dyDescent="0.25">
      <c r="C156" t="str">
        <f>IF(COUNTBLANK(E156:K156) = 7,"",IF(AND(NOT(ISBLANK(E156)),COUNTBLANK(E156:K156) = 6),"3 Delete",IF(ISBLANK(E156),"2 Add",IF(SHA1Range(E156:K156) = "5e2cab88fef3c627c9fab9f4b74a520415f6696d","0 Original","1 Modify"))))</f>
        <v>0 Original</v>
      </c>
      <c r="D156" s="3" t="s">
        <v>779</v>
      </c>
      <c r="E156" s="5">
        <v>157</v>
      </c>
      <c r="F156">
        <v>49</v>
      </c>
      <c r="G156" t="s">
        <v>33</v>
      </c>
      <c r="H156" s="7">
        <v>4.99</v>
      </c>
      <c r="I156" s="5">
        <v>1</v>
      </c>
      <c r="J156" s="3" t="s">
        <v>29</v>
      </c>
      <c r="K156" s="9">
        <v>42483.62572916667</v>
      </c>
    </row>
    <row r="157" spans="3:11" x14ac:dyDescent="0.25">
      <c r="C157" t="str">
        <f>IF(COUNTBLANK(E157:K157) = 7,"",IF(AND(NOT(ISBLANK(E157)),COUNTBLANK(E157:K157) = 6),"3 Delete",IF(ISBLANK(E157),"2 Add",IF(SHA1Range(E157:K157) = "8e613ed63b0b83ad57637a7e58c82de7ece039c2","0 Original","1 Modify"))))</f>
        <v>0 Original</v>
      </c>
      <c r="D157" s="3" t="s">
        <v>780</v>
      </c>
      <c r="E157" s="5">
        <v>158</v>
      </c>
      <c r="F157">
        <v>50</v>
      </c>
      <c r="G157" t="s">
        <v>479</v>
      </c>
      <c r="H157" s="7">
        <v>6.99</v>
      </c>
      <c r="I157" s="5">
        <v>1</v>
      </c>
      <c r="J157" s="3" t="s">
        <v>29</v>
      </c>
      <c r="K157" s="9">
        <v>42483.62572916667</v>
      </c>
    </row>
    <row r="158" spans="3:11" x14ac:dyDescent="0.25">
      <c r="C158" t="str">
        <f>IF(COUNTBLANK(E158:K158) = 7,"",IF(AND(NOT(ISBLANK(E158)),COUNTBLANK(E158:K158) = 6),"3 Delete",IF(ISBLANK(E158),"2 Add",IF(SHA1Range(E158:K158) = "e0b77400031e26f2ecba8d971f046cfc311d5d82","0 Original","1 Modify"))))</f>
        <v>0 Original</v>
      </c>
      <c r="D158" s="3" t="s">
        <v>781</v>
      </c>
      <c r="E158" s="5">
        <v>159</v>
      </c>
      <c r="F158">
        <v>50</v>
      </c>
      <c r="G158" t="s">
        <v>573</v>
      </c>
      <c r="H158" s="7">
        <v>9.99</v>
      </c>
      <c r="I158" s="5">
        <v>2</v>
      </c>
      <c r="J158" s="3" t="s">
        <v>29</v>
      </c>
      <c r="K158" s="9">
        <v>42483.62572916667</v>
      </c>
    </row>
    <row r="159" spans="3:11" x14ac:dyDescent="0.25">
      <c r="C159" t="str">
        <f>IF(COUNTBLANK(E159:K159) = 7,"",IF(AND(NOT(ISBLANK(E159)),COUNTBLANK(E159:K159) = 6),"3 Delete",IF(ISBLANK(E159),"2 Add",IF(SHA1Range(E159:K159) = "009ef1c18f0f9ee68c295da6a4ad4ca33eb80d58","0 Original","1 Modify"))))</f>
        <v>0 Original</v>
      </c>
      <c r="D159" s="3" t="s">
        <v>782</v>
      </c>
      <c r="E159" s="5">
        <v>160</v>
      </c>
      <c r="F159">
        <v>50</v>
      </c>
      <c r="G159" t="s">
        <v>30</v>
      </c>
      <c r="H159" s="7">
        <v>9.99</v>
      </c>
      <c r="I159" s="5">
        <v>1</v>
      </c>
      <c r="J159" s="3" t="s">
        <v>29</v>
      </c>
      <c r="K159" s="9">
        <v>42483.62572916667</v>
      </c>
    </row>
    <row r="160" spans="3:11" x14ac:dyDescent="0.25">
      <c r="C160" t="str">
        <f>IF(COUNTBLANK(E160:K160) = 7,"",IF(AND(NOT(ISBLANK(E160)),COUNTBLANK(E160:K160) = 6),"3 Delete",IF(ISBLANK(E160),"2 Add",IF(SHA1Range(E160:K160) = "ac3dd6af236682ad1c8c9ce6e96940d9672ef736","0 Original","1 Modify"))))</f>
        <v>0 Original</v>
      </c>
      <c r="D160" s="3" t="s">
        <v>783</v>
      </c>
      <c r="E160" s="5">
        <v>161</v>
      </c>
      <c r="F160">
        <v>50</v>
      </c>
      <c r="G160" t="s">
        <v>270</v>
      </c>
      <c r="H160" s="7">
        <v>8.99</v>
      </c>
      <c r="I160" s="5">
        <v>1</v>
      </c>
      <c r="J160" s="3" t="s">
        <v>29</v>
      </c>
      <c r="K160" s="9">
        <v>42483.62572916667</v>
      </c>
    </row>
    <row r="161" spans="3:11" x14ac:dyDescent="0.25">
      <c r="C161" t="str">
        <f>IF(COUNTBLANK(E161:K161) = 7,"",IF(AND(NOT(ISBLANK(E161)),COUNTBLANK(E161:K161) = 6),"3 Delete",IF(ISBLANK(E161),"2 Add",IF(SHA1Range(E161:K161) = "031585978b566c265f39dc20d3c6b0df04be9d6b","0 Original","1 Modify"))))</f>
        <v>0 Original</v>
      </c>
      <c r="D161" s="3" t="s">
        <v>784</v>
      </c>
      <c r="E161" s="5">
        <v>162</v>
      </c>
      <c r="F161">
        <v>50</v>
      </c>
      <c r="G161" t="s">
        <v>122</v>
      </c>
      <c r="H161" s="7">
        <v>8.99</v>
      </c>
      <c r="I161" s="5">
        <v>1</v>
      </c>
      <c r="J161" s="3" t="s">
        <v>29</v>
      </c>
      <c r="K161" s="9">
        <v>42483.62572916667</v>
      </c>
    </row>
    <row r="162" spans="3:11" x14ac:dyDescent="0.25">
      <c r="C162" t="str">
        <f>IF(COUNTBLANK(E162:K162) = 7,"",IF(AND(NOT(ISBLANK(E162)),COUNTBLANK(E162:K162) = 6),"3 Delete",IF(ISBLANK(E162),"2 Add",IF(SHA1Range(E162:K162) = "3547f30710c57aa76555cd30057a6705f85b9453","0 Original","1 Modify"))))</f>
        <v>0 Original</v>
      </c>
      <c r="D162" s="3" t="s">
        <v>785</v>
      </c>
      <c r="E162" s="5">
        <v>163</v>
      </c>
      <c r="F162">
        <v>50</v>
      </c>
      <c r="G162" t="s">
        <v>513</v>
      </c>
      <c r="H162" s="7">
        <v>4.99</v>
      </c>
      <c r="I162" s="5">
        <v>1</v>
      </c>
      <c r="J162" s="3" t="s">
        <v>29</v>
      </c>
      <c r="K162" s="9">
        <v>42483.62572916667</v>
      </c>
    </row>
    <row r="163" spans="3:11" x14ac:dyDescent="0.25">
      <c r="C163" t="str">
        <f>IF(COUNTBLANK(E163:K163) = 7,"",IF(AND(NOT(ISBLANK(E163)),COUNTBLANK(E163:K163) = 6),"3 Delete",IF(ISBLANK(E163),"2 Add",IF(SHA1Range(E163:K163) = "6d38fb6bdff378e9489125eb8803be76adcb1889","0 Original","1 Modify"))))</f>
        <v>0 Original</v>
      </c>
      <c r="D163" s="3" t="s">
        <v>786</v>
      </c>
      <c r="E163" s="5">
        <v>164</v>
      </c>
      <c r="F163">
        <v>50</v>
      </c>
      <c r="G163" t="s">
        <v>338</v>
      </c>
      <c r="H163" s="7">
        <v>4.99</v>
      </c>
      <c r="I163" s="5">
        <v>1</v>
      </c>
      <c r="J163" s="3" t="s">
        <v>29</v>
      </c>
      <c r="K163" s="9">
        <v>42483.62572916667</v>
      </c>
    </row>
    <row r="164" spans="3:11" x14ac:dyDescent="0.25">
      <c r="C164" t="str">
        <f>IF(COUNTBLANK(E164:K164) = 7,"",IF(AND(NOT(ISBLANK(E164)),COUNTBLANK(E164:K164) = 6),"3 Delete",IF(ISBLANK(E164),"2 Add",IF(SHA1Range(E164:K164) = "6a28b209b5ad2a2514e2d149e83b7fbc177019bd","0 Original","1 Modify"))))</f>
        <v>0 Original</v>
      </c>
      <c r="D164" s="3" t="s">
        <v>787</v>
      </c>
      <c r="E164" s="5">
        <v>165</v>
      </c>
      <c r="F164">
        <v>51</v>
      </c>
      <c r="G164" t="s">
        <v>163</v>
      </c>
      <c r="H164" s="7">
        <v>5.99</v>
      </c>
      <c r="I164" s="5">
        <v>1</v>
      </c>
      <c r="J164" s="3" t="s">
        <v>29</v>
      </c>
      <c r="K164" s="9">
        <v>42483.62572916667</v>
      </c>
    </row>
    <row r="165" spans="3:11" x14ac:dyDescent="0.25">
      <c r="C165" t="str">
        <f>IF(COUNTBLANK(E165:K165) = 7,"",IF(AND(NOT(ISBLANK(E165)),COUNTBLANK(E165:K165) = 6),"3 Delete",IF(ISBLANK(E165),"2 Add",IF(SHA1Range(E165:K165) = "8ff97d05f7396bf4b8b004f9ad9e0b60fd7d6b30","0 Original","1 Modify"))))</f>
        <v>0 Original</v>
      </c>
      <c r="D165" s="3" t="s">
        <v>788</v>
      </c>
      <c r="E165" s="5">
        <v>166</v>
      </c>
      <c r="F165">
        <v>51</v>
      </c>
      <c r="G165" t="s">
        <v>556</v>
      </c>
      <c r="H165" s="7">
        <v>8.99</v>
      </c>
      <c r="I165" s="5">
        <v>2</v>
      </c>
      <c r="J165" s="3" t="s">
        <v>29</v>
      </c>
      <c r="K165" s="9">
        <v>42483.62572916667</v>
      </c>
    </row>
    <row r="166" spans="3:11" x14ac:dyDescent="0.25">
      <c r="C166" t="str">
        <f>IF(COUNTBLANK(E166:K166) = 7,"",IF(AND(NOT(ISBLANK(E166)),COUNTBLANK(E166:K166) = 6),"3 Delete",IF(ISBLANK(E166),"2 Add",IF(SHA1Range(E166:K166) = "1fa4f10eb2bec2e1b1c567bedc8cd8f5d2e2833c","0 Original","1 Modify"))))</f>
        <v>0 Original</v>
      </c>
      <c r="D166" s="3" t="s">
        <v>789</v>
      </c>
      <c r="E166" s="5">
        <v>167</v>
      </c>
      <c r="F166">
        <v>51</v>
      </c>
      <c r="G166" t="s">
        <v>612</v>
      </c>
      <c r="H166" s="7">
        <v>4.99</v>
      </c>
      <c r="I166" s="5">
        <v>2</v>
      </c>
      <c r="J166" s="3" t="s">
        <v>29</v>
      </c>
      <c r="K166" s="9">
        <v>42483.62572916667</v>
      </c>
    </row>
    <row r="167" spans="3:11" x14ac:dyDescent="0.25">
      <c r="C167" t="str">
        <f>IF(COUNTBLANK(E167:K167) = 7,"",IF(AND(NOT(ISBLANK(E167)),COUNTBLANK(E167:K167) = 6),"3 Delete",IF(ISBLANK(E167),"2 Add",IF(SHA1Range(E167:K167) = "381bb1d5a8ab10d0467525fe64e99bae8e23a793","0 Original","1 Modify"))))</f>
        <v>0 Original</v>
      </c>
      <c r="D167" s="3" t="s">
        <v>790</v>
      </c>
      <c r="E167" s="5">
        <v>168</v>
      </c>
      <c r="F167">
        <v>52</v>
      </c>
      <c r="G167" t="s">
        <v>335</v>
      </c>
      <c r="H167" s="7">
        <v>5.99</v>
      </c>
      <c r="I167" s="5">
        <v>2</v>
      </c>
      <c r="J167" s="3" t="s">
        <v>29</v>
      </c>
      <c r="K167" s="9">
        <v>42483.62572916667</v>
      </c>
    </row>
    <row r="168" spans="3:11" x14ac:dyDescent="0.25">
      <c r="C168" t="str">
        <f>IF(COUNTBLANK(E168:K168) = 7,"",IF(AND(NOT(ISBLANK(E168)),COUNTBLANK(E168:K168) = 6),"3 Delete",IF(ISBLANK(E168),"2 Add",IF(SHA1Range(E168:K168) = "3b792351c9125f49df909a45539c4a11fb85834e","0 Original","1 Modify"))))</f>
        <v>0 Original</v>
      </c>
      <c r="D168" s="3" t="s">
        <v>791</v>
      </c>
      <c r="E168" s="5">
        <v>169</v>
      </c>
      <c r="F168">
        <v>52</v>
      </c>
      <c r="G168" t="s">
        <v>372</v>
      </c>
      <c r="H168" s="7">
        <v>9.99</v>
      </c>
      <c r="I168" s="5">
        <v>1</v>
      </c>
      <c r="J168" s="3" t="s">
        <v>29</v>
      </c>
      <c r="K168" s="9">
        <v>42483.62572916667</v>
      </c>
    </row>
    <row r="169" spans="3:11" x14ac:dyDescent="0.25">
      <c r="C169" t="str">
        <f>IF(COUNTBLANK(E169:K169) = 7,"",IF(AND(NOT(ISBLANK(E169)),COUNTBLANK(E169:K169) = 6),"3 Delete",IF(ISBLANK(E169),"2 Add",IF(SHA1Range(E169:K169) = "34235ea3177374f9e9776de51967a5a6b1064c0b","0 Original","1 Modify"))))</f>
        <v>0 Original</v>
      </c>
      <c r="D169" s="3" t="s">
        <v>792</v>
      </c>
      <c r="E169" s="5">
        <v>170</v>
      </c>
      <c r="F169">
        <v>52</v>
      </c>
      <c r="G169" t="s">
        <v>562</v>
      </c>
      <c r="H169" s="7">
        <v>5.99</v>
      </c>
      <c r="I169" s="5">
        <v>1</v>
      </c>
      <c r="J169" s="3" t="s">
        <v>29</v>
      </c>
      <c r="K169" s="9">
        <v>42483.62572916667</v>
      </c>
    </row>
    <row r="170" spans="3:11" x14ac:dyDescent="0.25">
      <c r="C170" t="str">
        <f>IF(COUNTBLANK(E170:K170) = 7,"",IF(AND(NOT(ISBLANK(E170)),COUNTBLANK(E170:K170) = 6),"3 Delete",IF(ISBLANK(E170),"2 Add",IF(SHA1Range(E170:K170) = "cfd0564a413d92fee7f0de77729cd25bb6a5a6b7","0 Original","1 Modify"))))</f>
        <v>0 Original</v>
      </c>
      <c r="D170" s="3" t="s">
        <v>793</v>
      </c>
      <c r="E170" s="5">
        <v>171</v>
      </c>
      <c r="F170">
        <v>53</v>
      </c>
      <c r="G170" t="s">
        <v>65</v>
      </c>
      <c r="H170" s="7">
        <v>6.99</v>
      </c>
      <c r="I170" s="5">
        <v>1</v>
      </c>
      <c r="J170" s="3" t="s">
        <v>29</v>
      </c>
      <c r="K170" s="9">
        <v>42483.62572916667</v>
      </c>
    </row>
    <row r="171" spans="3:11" x14ac:dyDescent="0.25">
      <c r="C171" t="str">
        <f>IF(COUNTBLANK(E171:K171) = 7,"",IF(AND(NOT(ISBLANK(E171)),COUNTBLANK(E171:K171) = 6),"3 Delete",IF(ISBLANK(E171),"2 Add",IF(SHA1Range(E171:K171) = "f4f5233ff6a5c10538acf456100f353d8be86986","0 Original","1 Modify"))))</f>
        <v>0 Original</v>
      </c>
      <c r="D171" s="3" t="s">
        <v>794</v>
      </c>
      <c r="E171" s="5">
        <v>172</v>
      </c>
      <c r="F171">
        <v>53</v>
      </c>
      <c r="G171" t="s">
        <v>379</v>
      </c>
      <c r="H171" s="7">
        <v>9.99</v>
      </c>
      <c r="I171" s="5">
        <v>1</v>
      </c>
      <c r="J171" s="3" t="s">
        <v>29</v>
      </c>
      <c r="K171" s="9">
        <v>42483.62572916667</v>
      </c>
    </row>
    <row r="172" spans="3:11" x14ac:dyDescent="0.25">
      <c r="C172" t="str">
        <f>IF(COUNTBLANK(E172:K172) = 7,"",IF(AND(NOT(ISBLANK(E172)),COUNTBLANK(E172:K172) = 6),"3 Delete",IF(ISBLANK(E172),"2 Add",IF(SHA1Range(E172:K172) = "9ac210f56f52e5fd55fc293a65c454aa73b93e07","0 Original","1 Modify"))))</f>
        <v>0 Original</v>
      </c>
      <c r="D172" s="3" t="s">
        <v>795</v>
      </c>
      <c r="E172" s="5">
        <v>173</v>
      </c>
      <c r="F172">
        <v>53</v>
      </c>
      <c r="G172" t="s">
        <v>130</v>
      </c>
      <c r="H172" s="7">
        <v>8.99</v>
      </c>
      <c r="I172" s="5">
        <v>2</v>
      </c>
      <c r="J172" s="3" t="s">
        <v>29</v>
      </c>
      <c r="K172" s="9">
        <v>42483.62572916667</v>
      </c>
    </row>
    <row r="173" spans="3:11" x14ac:dyDescent="0.25">
      <c r="C173" t="str">
        <f>IF(COUNTBLANK(E173:K173) = 7,"",IF(AND(NOT(ISBLANK(E173)),COUNTBLANK(E173:K173) = 6),"3 Delete",IF(ISBLANK(E173),"2 Add",IF(SHA1Range(E173:K173) = "8fd603db5e33c71c068d45172accca32c396394f","0 Original","1 Modify"))))</f>
        <v>0 Original</v>
      </c>
      <c r="D173" s="3" t="s">
        <v>796</v>
      </c>
      <c r="E173" s="5">
        <v>174</v>
      </c>
      <c r="F173">
        <v>54</v>
      </c>
      <c r="G173" t="s">
        <v>559</v>
      </c>
      <c r="H173" s="7">
        <v>4.99</v>
      </c>
      <c r="I173" s="5">
        <v>1</v>
      </c>
      <c r="J173" s="3" t="s">
        <v>29</v>
      </c>
      <c r="K173" s="9">
        <v>42483.62572916667</v>
      </c>
    </row>
    <row r="174" spans="3:11" x14ac:dyDescent="0.25">
      <c r="C174" t="str">
        <f>IF(COUNTBLANK(E174:K174) = 7,"",IF(AND(NOT(ISBLANK(E174)),COUNTBLANK(E174:K174) = 6),"3 Delete",IF(ISBLANK(E174),"2 Add",IF(SHA1Range(E174:K174) = "c7f1e1c67ad8c7ced061ea108a210607ff8b5304","0 Original","1 Modify"))))</f>
        <v>0 Original</v>
      </c>
      <c r="D174" s="3" t="s">
        <v>797</v>
      </c>
      <c r="E174" s="5">
        <v>175</v>
      </c>
      <c r="F174">
        <v>54</v>
      </c>
      <c r="G174" t="s">
        <v>115</v>
      </c>
      <c r="H174" s="7">
        <v>4.99</v>
      </c>
      <c r="I174" s="5">
        <v>1</v>
      </c>
      <c r="J174" s="3" t="s">
        <v>29</v>
      </c>
      <c r="K174" s="9">
        <v>42483.62572916667</v>
      </c>
    </row>
    <row r="175" spans="3:11" x14ac:dyDescent="0.25">
      <c r="C175" t="str">
        <f>IF(COUNTBLANK(E175:K175) = 7,"",IF(AND(NOT(ISBLANK(E175)),COUNTBLANK(E175:K175) = 6),"3 Delete",IF(ISBLANK(E175),"2 Add",IF(SHA1Range(E175:K175) = "d627ad481ad7a3d0fcd0c03565ca18ca9e878366","0 Original","1 Modify"))))</f>
        <v>0 Original</v>
      </c>
      <c r="D175" s="3" t="s">
        <v>798</v>
      </c>
      <c r="E175" s="5">
        <v>176</v>
      </c>
      <c r="F175">
        <v>54</v>
      </c>
      <c r="G175" t="s">
        <v>195</v>
      </c>
      <c r="H175" s="7">
        <v>9.99</v>
      </c>
      <c r="I175" s="5">
        <v>1</v>
      </c>
      <c r="J175" s="3" t="s">
        <v>29</v>
      </c>
      <c r="K175" s="9">
        <v>42483.62572916667</v>
      </c>
    </row>
    <row r="176" spans="3:11" x14ac:dyDescent="0.25">
      <c r="C176" t="str">
        <f>IF(COUNTBLANK(E176:K176) = 7,"",IF(AND(NOT(ISBLANK(E176)),COUNTBLANK(E176:K176) = 6),"3 Delete",IF(ISBLANK(E176),"2 Add",IF(SHA1Range(E176:K176) = "1cc92b9c7d2602ecc5dadac5f42816948db07d48","0 Original","1 Modify"))))</f>
        <v>0 Original</v>
      </c>
      <c r="D176" s="3" t="s">
        <v>799</v>
      </c>
      <c r="E176" s="5">
        <v>177</v>
      </c>
      <c r="F176">
        <v>54</v>
      </c>
      <c r="G176" t="s">
        <v>260</v>
      </c>
      <c r="H176" s="7">
        <v>8.99</v>
      </c>
      <c r="I176" s="5">
        <v>2</v>
      </c>
      <c r="J176" s="3" t="s">
        <v>29</v>
      </c>
      <c r="K176" s="9">
        <v>42483.62572916667</v>
      </c>
    </row>
    <row r="177" spans="3:11" x14ac:dyDescent="0.25">
      <c r="C177" t="str">
        <f>IF(COUNTBLANK(E177:K177) = 7,"",IF(AND(NOT(ISBLANK(E177)),COUNTBLANK(E177:K177) = 6),"3 Delete",IF(ISBLANK(E177),"2 Add",IF(SHA1Range(E177:K177) = "e422d02cbbaa3ca04a37aa04d49f966157e743c6","0 Original","1 Modify"))))</f>
        <v>0 Original</v>
      </c>
      <c r="D177" s="3" t="s">
        <v>800</v>
      </c>
      <c r="E177" s="5">
        <v>178</v>
      </c>
      <c r="F177">
        <v>54</v>
      </c>
      <c r="G177" t="s">
        <v>559</v>
      </c>
      <c r="H177" s="7">
        <v>4.99</v>
      </c>
      <c r="I177" s="5">
        <v>1</v>
      </c>
      <c r="J177" s="3" t="s">
        <v>29</v>
      </c>
      <c r="K177" s="9">
        <v>42483.62572916667</v>
      </c>
    </row>
    <row r="178" spans="3:11" x14ac:dyDescent="0.25">
      <c r="C178" t="str">
        <f>IF(COUNTBLANK(E178:K178) = 7,"",IF(AND(NOT(ISBLANK(E178)),COUNTBLANK(E178:K178) = 6),"3 Delete",IF(ISBLANK(E178),"2 Add",IF(SHA1Range(E178:K178) = "d2adc33a983ab66cfd82a6068168d74378bc1240","0 Original","1 Modify"))))</f>
        <v>0 Original</v>
      </c>
      <c r="D178" s="3" t="s">
        <v>801</v>
      </c>
      <c r="E178" s="5">
        <v>179</v>
      </c>
      <c r="F178">
        <v>55</v>
      </c>
      <c r="G178" t="s">
        <v>221</v>
      </c>
      <c r="H178" s="7">
        <v>6.99</v>
      </c>
      <c r="I178" s="5">
        <v>1</v>
      </c>
      <c r="J178" s="3" t="s">
        <v>29</v>
      </c>
      <c r="K178" s="9">
        <v>42483.62572916667</v>
      </c>
    </row>
    <row r="179" spans="3:11" x14ac:dyDescent="0.25">
      <c r="C179" t="str">
        <f>IF(COUNTBLANK(E179:K179) = 7,"",IF(AND(NOT(ISBLANK(E179)),COUNTBLANK(E179:K179) = 6),"3 Delete",IF(ISBLANK(E179),"2 Add",IF(SHA1Range(E179:K179) = "777e4de5ee030d92b8d2b18d3eea57d203479d21","0 Original","1 Modify"))))</f>
        <v>0 Original</v>
      </c>
      <c r="D179" s="3" t="s">
        <v>802</v>
      </c>
      <c r="E179" s="5">
        <v>180</v>
      </c>
      <c r="F179">
        <v>55</v>
      </c>
      <c r="G179" t="s">
        <v>163</v>
      </c>
      <c r="H179" s="7">
        <v>5.99</v>
      </c>
      <c r="I179" s="5">
        <v>1</v>
      </c>
      <c r="J179" s="3" t="s">
        <v>29</v>
      </c>
      <c r="K179" s="9">
        <v>42483.62572916667</v>
      </c>
    </row>
    <row r="180" spans="3:11" x14ac:dyDescent="0.25">
      <c r="C180" t="str">
        <f>IF(COUNTBLANK(E180:K180) = 7,"",IF(AND(NOT(ISBLANK(E180)),COUNTBLANK(E180:K180) = 6),"3 Delete",IF(ISBLANK(E180),"2 Add",IF(SHA1Range(E180:K180) = "c77f8c706c31c0167e5a8574f17a6694b5ec070d","0 Original","1 Modify"))))</f>
        <v>0 Original</v>
      </c>
      <c r="D180" s="3" t="s">
        <v>803</v>
      </c>
      <c r="E180" s="5">
        <v>181</v>
      </c>
      <c r="F180">
        <v>56</v>
      </c>
      <c r="G180" t="s">
        <v>590</v>
      </c>
      <c r="H180" s="7">
        <v>4.99</v>
      </c>
      <c r="I180" s="5">
        <v>1</v>
      </c>
      <c r="J180" s="3" t="s">
        <v>29</v>
      </c>
      <c r="K180" s="9">
        <v>42483.62572916667</v>
      </c>
    </row>
    <row r="181" spans="3:11" x14ac:dyDescent="0.25">
      <c r="C181" t="str">
        <f>IF(COUNTBLANK(E181:K181) = 7,"",IF(AND(NOT(ISBLANK(E181)),COUNTBLANK(E181:K181) = 6),"3 Delete",IF(ISBLANK(E181),"2 Add",IF(SHA1Range(E181:K181) = "bb861673e45745264d6c135648e32f8a061a15db","0 Original","1 Modify"))))</f>
        <v>0 Original</v>
      </c>
      <c r="D181" s="3" t="s">
        <v>804</v>
      </c>
      <c r="E181" s="5">
        <v>182</v>
      </c>
      <c r="F181">
        <v>56</v>
      </c>
      <c r="G181" t="s">
        <v>102</v>
      </c>
      <c r="H181" s="7">
        <v>4.99</v>
      </c>
      <c r="I181" s="5">
        <v>1</v>
      </c>
      <c r="J181" s="3" t="s">
        <v>29</v>
      </c>
      <c r="K181" s="9">
        <v>42483.62572916667</v>
      </c>
    </row>
    <row r="182" spans="3:11" x14ac:dyDescent="0.25">
      <c r="C182" t="str">
        <f>IF(COUNTBLANK(E182:K182) = 7,"",IF(AND(NOT(ISBLANK(E182)),COUNTBLANK(E182:K182) = 6),"3 Delete",IF(ISBLANK(E182),"2 Add",IF(SHA1Range(E182:K182) = "373f6f5f7043ade60991cc8528e9d1b0a7896f85","0 Original","1 Modify"))))</f>
        <v>0 Original</v>
      </c>
      <c r="D182" s="3" t="s">
        <v>805</v>
      </c>
      <c r="E182" s="5">
        <v>183</v>
      </c>
      <c r="F182">
        <v>56</v>
      </c>
      <c r="G182" t="s">
        <v>612</v>
      </c>
      <c r="H182" s="7">
        <v>4.99</v>
      </c>
      <c r="I182" s="5">
        <v>2</v>
      </c>
      <c r="J182" s="3" t="s">
        <v>29</v>
      </c>
      <c r="K182" s="9">
        <v>42483.62572916667</v>
      </c>
    </row>
    <row r="183" spans="3:11" x14ac:dyDescent="0.25">
      <c r="C183" t="str">
        <f>IF(COUNTBLANK(E183:K183) = 7,"",IF(AND(NOT(ISBLANK(E183)),COUNTBLANK(E183:K183) = 6),"3 Delete",IF(ISBLANK(E183),"2 Add",IF(SHA1Range(E183:K183) = "888d1c08d1d65c942fddb3170378d2f89eef495f","0 Original","1 Modify"))))</f>
        <v>0 Original</v>
      </c>
      <c r="D183" s="3" t="s">
        <v>806</v>
      </c>
      <c r="E183" s="5">
        <v>184</v>
      </c>
      <c r="F183">
        <v>56</v>
      </c>
      <c r="G183" t="s">
        <v>199</v>
      </c>
      <c r="H183" s="7">
        <v>5.99</v>
      </c>
      <c r="I183" s="5">
        <v>1</v>
      </c>
      <c r="J183" s="3" t="s">
        <v>29</v>
      </c>
      <c r="K183" s="9">
        <v>42483.62572916667</v>
      </c>
    </row>
    <row r="184" spans="3:11" x14ac:dyDescent="0.25">
      <c r="C184" t="str">
        <f>IF(COUNTBLANK(E184:K184) = 7,"",IF(AND(NOT(ISBLANK(E184)),COUNTBLANK(E184:K184) = 6),"3 Delete",IF(ISBLANK(E184),"2 Add",IF(SHA1Range(E184:K184) = "085f78cb20b5e344d5f16ed8f557aea568019262","0 Original","1 Modify"))))</f>
        <v>0 Original</v>
      </c>
      <c r="D184" s="3" t="s">
        <v>807</v>
      </c>
      <c r="E184" s="5">
        <v>185</v>
      </c>
      <c r="F184">
        <v>56</v>
      </c>
      <c r="G184" t="s">
        <v>210</v>
      </c>
      <c r="H184" s="7">
        <v>4.99</v>
      </c>
      <c r="I184" s="5">
        <v>2</v>
      </c>
      <c r="J184" s="3" t="s">
        <v>29</v>
      </c>
      <c r="K184" s="9">
        <v>42483.62572916667</v>
      </c>
    </row>
    <row r="185" spans="3:11" x14ac:dyDescent="0.25">
      <c r="C185" t="str">
        <f>IF(COUNTBLANK(E185:K185) = 7,"",IF(AND(NOT(ISBLANK(E185)),COUNTBLANK(E185:K185) = 6),"3 Delete",IF(ISBLANK(E185),"2 Add",IF(SHA1Range(E185:K185) = "124323d2c7531a7b5dcb0694ab3b718a927ac26c","0 Original","1 Modify"))))</f>
        <v>0 Original</v>
      </c>
      <c r="D185" s="3" t="s">
        <v>808</v>
      </c>
      <c r="E185" s="5">
        <v>186</v>
      </c>
      <c r="F185">
        <v>57</v>
      </c>
      <c r="G185" t="s">
        <v>465</v>
      </c>
      <c r="H185" s="7">
        <v>7.99</v>
      </c>
      <c r="I185" s="5">
        <v>1</v>
      </c>
      <c r="J185" s="3" t="s">
        <v>29</v>
      </c>
      <c r="K185" s="9">
        <v>42483.62572916667</v>
      </c>
    </row>
    <row r="186" spans="3:11" x14ac:dyDescent="0.25">
      <c r="C186" t="str">
        <f>IF(COUNTBLANK(E186:K186) = 7,"",IF(AND(NOT(ISBLANK(E186)),COUNTBLANK(E186:K186) = 6),"3 Delete",IF(ISBLANK(E186),"2 Add",IF(SHA1Range(E186:K186) = "50261af752695683d78b14b9d1b9e6a87e42d342","0 Original","1 Modify"))))</f>
        <v>0 Original</v>
      </c>
      <c r="D186" s="3" t="s">
        <v>809</v>
      </c>
      <c r="E186" s="5">
        <v>187</v>
      </c>
      <c r="F186">
        <v>57</v>
      </c>
      <c r="G186" t="s">
        <v>270</v>
      </c>
      <c r="H186" s="7">
        <v>8.99</v>
      </c>
      <c r="I186" s="5">
        <v>1</v>
      </c>
      <c r="J186" s="3" t="s">
        <v>29</v>
      </c>
      <c r="K186" s="9">
        <v>42483.62572916667</v>
      </c>
    </row>
    <row r="187" spans="3:11" x14ac:dyDescent="0.25">
      <c r="C187" t="str">
        <f>IF(COUNTBLANK(E187:K187) = 7,"",IF(AND(NOT(ISBLANK(E187)),COUNTBLANK(E187:K187) = 6),"3 Delete",IF(ISBLANK(E187),"2 Add",IF(SHA1Range(E187:K187) = "61f189a529120af5c0d2656b436ca5a0f23e7348","0 Original","1 Modify"))))</f>
        <v>0 Original</v>
      </c>
      <c r="D187" s="3" t="s">
        <v>810</v>
      </c>
      <c r="E187" s="5">
        <v>188</v>
      </c>
      <c r="F187">
        <v>57</v>
      </c>
      <c r="G187" t="s">
        <v>364</v>
      </c>
      <c r="H187" s="7">
        <v>9.99</v>
      </c>
      <c r="I187" s="5">
        <v>1</v>
      </c>
      <c r="J187" s="3" t="s">
        <v>29</v>
      </c>
      <c r="K187" s="9">
        <v>42483.62572916667</v>
      </c>
    </row>
    <row r="188" spans="3:11" x14ac:dyDescent="0.25">
      <c r="C188" t="str">
        <f>IF(COUNTBLANK(E188:K188) = 7,"",IF(AND(NOT(ISBLANK(E188)),COUNTBLANK(E188:K188) = 6),"3 Delete",IF(ISBLANK(E188),"2 Add",IF(SHA1Range(E188:K188) = "ac01013300b8f06c110302231bd6fff24bdb60dc","0 Original","1 Modify"))))</f>
        <v>0 Original</v>
      </c>
      <c r="D188" s="3" t="s">
        <v>811</v>
      </c>
      <c r="E188" s="5">
        <v>189</v>
      </c>
      <c r="F188">
        <v>58</v>
      </c>
      <c r="G188" t="s">
        <v>528</v>
      </c>
      <c r="H188" s="7">
        <v>7.99</v>
      </c>
      <c r="I188" s="5">
        <v>1</v>
      </c>
      <c r="J188" s="3" t="s">
        <v>29</v>
      </c>
      <c r="K188" s="9">
        <v>42483.62572916667</v>
      </c>
    </row>
    <row r="189" spans="3:11" x14ac:dyDescent="0.25">
      <c r="C189" t="str">
        <f>IF(COUNTBLANK(E189:K189) = 7,"",IF(AND(NOT(ISBLANK(E189)),COUNTBLANK(E189:K189) = 6),"3 Delete",IF(ISBLANK(E189),"2 Add",IF(SHA1Range(E189:K189) = "1cdd118ec492a034691c3d37ed4b9977d4d6ca2a","0 Original","1 Modify"))))</f>
        <v>0 Original</v>
      </c>
      <c r="D189" s="3" t="s">
        <v>812</v>
      </c>
      <c r="E189" s="5">
        <v>190</v>
      </c>
      <c r="F189">
        <v>58</v>
      </c>
      <c r="G189" t="s">
        <v>224</v>
      </c>
      <c r="H189" s="7">
        <v>9.99</v>
      </c>
      <c r="I189" s="5">
        <v>2</v>
      </c>
      <c r="J189" s="3" t="s">
        <v>29</v>
      </c>
      <c r="K189" s="9">
        <v>42483.62572916667</v>
      </c>
    </row>
    <row r="190" spans="3:11" x14ac:dyDescent="0.25">
      <c r="C190" t="str">
        <f>IF(COUNTBLANK(E190:K190) = 7,"",IF(AND(NOT(ISBLANK(E190)),COUNTBLANK(E190:K190) = 6),"3 Delete",IF(ISBLANK(E190),"2 Add",IF(SHA1Range(E190:K190) = "e8a29b2a9d3f24433493bda6a07c0e1f3330d91e","0 Original","1 Modify"))))</f>
        <v>0 Original</v>
      </c>
      <c r="D190" s="3" t="s">
        <v>813</v>
      </c>
      <c r="E190" s="5">
        <v>191</v>
      </c>
      <c r="F190">
        <v>58</v>
      </c>
      <c r="G190" t="s">
        <v>65</v>
      </c>
      <c r="H190" s="7">
        <v>6.99</v>
      </c>
      <c r="I190" s="5">
        <v>1</v>
      </c>
      <c r="J190" s="3" t="s">
        <v>29</v>
      </c>
      <c r="K190" s="9">
        <v>42483.62572916667</v>
      </c>
    </row>
    <row r="191" spans="3:11" x14ac:dyDescent="0.25">
      <c r="C191" t="str">
        <f>IF(COUNTBLANK(E191:K191) = 7,"",IF(AND(NOT(ISBLANK(E191)),COUNTBLANK(E191:K191) = 6),"3 Delete",IF(ISBLANK(E191),"2 Add",IF(SHA1Range(E191:K191) = "c57b64a69d022013a0bf68060e147ade50eda5b6","0 Original","1 Modify"))))</f>
        <v>0 Original</v>
      </c>
      <c r="D191" s="3" t="s">
        <v>814</v>
      </c>
      <c r="E191" s="5">
        <v>192</v>
      </c>
      <c r="F191">
        <v>58</v>
      </c>
      <c r="G191" t="s">
        <v>435</v>
      </c>
      <c r="H191" s="7">
        <v>6.99</v>
      </c>
      <c r="I191" s="5">
        <v>1</v>
      </c>
      <c r="J191" s="3" t="s">
        <v>29</v>
      </c>
      <c r="K191" s="9">
        <v>42483.62572916667</v>
      </c>
    </row>
    <row r="192" spans="3:11" x14ac:dyDescent="0.25">
      <c r="C192" t="str">
        <f>IF(COUNTBLANK(E192:K192) = 7,"",IF(AND(NOT(ISBLANK(E192)),COUNTBLANK(E192:K192) = 6),"3 Delete",IF(ISBLANK(E192),"2 Add",IF(SHA1Range(E192:K192) = "85987db7bf428c044683f9cfd37cd43ce0250813","0 Original","1 Modify"))))</f>
        <v>0 Original</v>
      </c>
      <c r="D192" s="3" t="s">
        <v>815</v>
      </c>
      <c r="E192" s="5">
        <v>193</v>
      </c>
      <c r="F192">
        <v>58</v>
      </c>
      <c r="G192" t="s">
        <v>605</v>
      </c>
      <c r="H192" s="7">
        <v>6.99</v>
      </c>
      <c r="I192" s="5">
        <v>1</v>
      </c>
      <c r="J192" s="3" t="s">
        <v>29</v>
      </c>
      <c r="K192" s="9">
        <v>42483.62572916667</v>
      </c>
    </row>
    <row r="193" spans="3:11" x14ac:dyDescent="0.25">
      <c r="C193" t="str">
        <f>IF(COUNTBLANK(E193:K193) = 7,"",IF(AND(NOT(ISBLANK(E193)),COUNTBLANK(E193:K193) = 6),"3 Delete",IF(ISBLANK(E193),"2 Add",IF(SHA1Range(E193:K193) = "2675dc1d748c5dd79b415128d15b41ed65b39f8c","0 Original","1 Modify"))))</f>
        <v>0 Original</v>
      </c>
      <c r="D193" s="3" t="s">
        <v>816</v>
      </c>
      <c r="E193" s="5">
        <v>194</v>
      </c>
      <c r="F193">
        <v>59</v>
      </c>
      <c r="G193" t="s">
        <v>435</v>
      </c>
      <c r="H193" s="7">
        <v>6.99</v>
      </c>
      <c r="I193" s="5">
        <v>1</v>
      </c>
      <c r="J193" s="3" t="s">
        <v>29</v>
      </c>
      <c r="K193" s="9">
        <v>42483.62572916667</v>
      </c>
    </row>
    <row r="194" spans="3:11" x14ac:dyDescent="0.25">
      <c r="C194" t="str">
        <f>IF(COUNTBLANK(E194:K194) = 7,"",IF(AND(NOT(ISBLANK(E194)),COUNTBLANK(E194:K194) = 6),"3 Delete",IF(ISBLANK(E194),"2 Add",IF(SHA1Range(E194:K194) = "3d02f01fc45e3b0869c11d7ba81425d4c59ea81f","0 Original","1 Modify"))))</f>
        <v>0 Original</v>
      </c>
      <c r="D194" s="3" t="s">
        <v>817</v>
      </c>
      <c r="E194" s="5">
        <v>195</v>
      </c>
      <c r="F194">
        <v>59</v>
      </c>
      <c r="G194" t="s">
        <v>379</v>
      </c>
      <c r="H194" s="7">
        <v>9.99</v>
      </c>
      <c r="I194" s="5">
        <v>1</v>
      </c>
      <c r="J194" s="3" t="s">
        <v>29</v>
      </c>
      <c r="K194" s="9">
        <v>42483.62572916667</v>
      </c>
    </row>
    <row r="195" spans="3:11" x14ac:dyDescent="0.25">
      <c r="C195" t="str">
        <f>IF(COUNTBLANK(E195:K195) = 7,"",IF(AND(NOT(ISBLANK(E195)),COUNTBLANK(E195:K195) = 6),"3 Delete",IF(ISBLANK(E195),"2 Add",IF(SHA1Range(E195:K195) = "5730c3e0c5cb4617a1a4770dadffb9e3b74b034c","0 Original","1 Modify"))))</f>
        <v>0 Original</v>
      </c>
      <c r="D195" s="3" t="s">
        <v>818</v>
      </c>
      <c r="E195" s="5">
        <v>196</v>
      </c>
      <c r="F195">
        <v>59</v>
      </c>
      <c r="G195" t="s">
        <v>615</v>
      </c>
      <c r="H195" s="7">
        <v>9.99</v>
      </c>
      <c r="I195" s="5">
        <v>1</v>
      </c>
      <c r="J195" s="3" t="s">
        <v>29</v>
      </c>
      <c r="K195" s="9">
        <v>42483.62572916667</v>
      </c>
    </row>
    <row r="196" spans="3:11" x14ac:dyDescent="0.25">
      <c r="C196" t="str">
        <f>IF(COUNTBLANK(E196:K196) = 7,"",IF(AND(NOT(ISBLANK(E196)),COUNTBLANK(E196:K196) = 6),"3 Delete",IF(ISBLANK(E196),"2 Add",IF(SHA1Range(E196:K196) = "565eb808bbceb6050d27c63eff15ee7773bd7479","0 Original","1 Modify"))))</f>
        <v>0 Original</v>
      </c>
      <c r="D196" s="3" t="s">
        <v>819</v>
      </c>
      <c r="E196" s="5">
        <v>197</v>
      </c>
      <c r="F196">
        <v>59</v>
      </c>
      <c r="G196" t="s">
        <v>328</v>
      </c>
      <c r="H196" s="7">
        <v>8.99</v>
      </c>
      <c r="I196" s="5">
        <v>2</v>
      </c>
      <c r="J196" s="3" t="s">
        <v>29</v>
      </c>
      <c r="K196" s="9">
        <v>42483.62572916667</v>
      </c>
    </row>
    <row r="197" spans="3:11" x14ac:dyDescent="0.25">
      <c r="C197" t="str">
        <f>IF(COUNTBLANK(E197:K197) = 7,"",IF(AND(NOT(ISBLANK(E197)),COUNTBLANK(E197:K197) = 6),"3 Delete",IF(ISBLANK(E197),"2 Add",IF(SHA1Range(E197:K197) = "265ae17af15d9644fcb5ad52183223a4154e6607","0 Original","1 Modify"))))</f>
        <v>0 Original</v>
      </c>
      <c r="D197" s="3" t="s">
        <v>820</v>
      </c>
      <c r="E197" s="5">
        <v>198</v>
      </c>
      <c r="F197">
        <v>60</v>
      </c>
      <c r="G197" t="s">
        <v>348</v>
      </c>
      <c r="H197" s="7">
        <v>9.99</v>
      </c>
      <c r="I197" s="5">
        <v>1</v>
      </c>
      <c r="J197" s="3" t="s">
        <v>29</v>
      </c>
      <c r="K197" s="9">
        <v>42483.62572916667</v>
      </c>
    </row>
    <row r="198" spans="3:11" x14ac:dyDescent="0.25">
      <c r="C198" t="str">
        <f>IF(COUNTBLANK(E198:K198) = 7,"",IF(AND(NOT(ISBLANK(E198)),COUNTBLANK(E198:K198) = 6),"3 Delete",IF(ISBLANK(E198),"2 Add",IF(SHA1Range(E198:K198) = "693b606d867705d6be375e9d983e3f76914d3ff4","0 Original","1 Modify"))))</f>
        <v>0 Original</v>
      </c>
      <c r="D198" s="3" t="s">
        <v>821</v>
      </c>
      <c r="E198" s="5">
        <v>199</v>
      </c>
      <c r="F198">
        <v>60</v>
      </c>
      <c r="G198" t="s">
        <v>73</v>
      </c>
      <c r="H198" s="7">
        <v>8.99</v>
      </c>
      <c r="I198" s="5">
        <v>1</v>
      </c>
      <c r="J198" s="3" t="s">
        <v>29</v>
      </c>
      <c r="K198" s="9">
        <v>42483.62572916667</v>
      </c>
    </row>
    <row r="199" spans="3:11" x14ac:dyDescent="0.25">
      <c r="C199" t="str">
        <f>IF(COUNTBLANK(E199:K199) = 7,"",IF(AND(NOT(ISBLANK(E199)),COUNTBLANK(E199:K199) = 6),"3 Delete",IF(ISBLANK(E199),"2 Add",IF(SHA1Range(E199:K199) = "2d991e58800512fb48cf275fbf2283fd4a8e22ba","0 Original","1 Modify"))))</f>
        <v>0 Original</v>
      </c>
      <c r="D199" s="3" t="s">
        <v>822</v>
      </c>
      <c r="E199" s="5">
        <v>200</v>
      </c>
      <c r="F199">
        <v>60</v>
      </c>
      <c r="G199" t="s">
        <v>149</v>
      </c>
      <c r="H199" s="7">
        <v>7.99</v>
      </c>
      <c r="I199" s="5">
        <v>1</v>
      </c>
      <c r="J199" s="3" t="s">
        <v>29</v>
      </c>
      <c r="K199" s="9">
        <v>42483.62572916667</v>
      </c>
    </row>
    <row r="200" spans="3:11" x14ac:dyDescent="0.25">
      <c r="C200" t="str">
        <f>IF(COUNTBLANK(E200:K200) = 7,"",IF(AND(NOT(ISBLANK(E200)),COUNTBLANK(E200:K200) = 6),"3 Delete",IF(ISBLANK(E200),"2 Add",IF(SHA1Range(E200:K200) = "148550d334ff38e6ee748f859f2a281c3221b597","0 Original","1 Modify"))))</f>
        <v>0 Original</v>
      </c>
      <c r="D200" s="3" t="s">
        <v>823</v>
      </c>
      <c r="E200" s="5">
        <v>201</v>
      </c>
      <c r="F200">
        <v>61</v>
      </c>
      <c r="G200" t="s">
        <v>126</v>
      </c>
      <c r="H200" s="7">
        <v>6.99</v>
      </c>
      <c r="I200" s="5">
        <v>2</v>
      </c>
      <c r="J200" s="3" t="s">
        <v>29</v>
      </c>
      <c r="K200" s="9">
        <v>42483.62572916667</v>
      </c>
    </row>
    <row r="201" spans="3:11" x14ac:dyDescent="0.25">
      <c r="C201" t="str">
        <f>IF(COUNTBLANK(E201:K201) = 7,"",IF(AND(NOT(ISBLANK(E201)),COUNTBLANK(E201:K201) = 6),"3 Delete",IF(ISBLANK(E201),"2 Add",IF(SHA1Range(E201:K201) = "71a88114ffaa5ad35a4c314e18e39f62eede2500","0 Original","1 Modify"))))</f>
        <v>0 Original</v>
      </c>
      <c r="D201" s="3" t="s">
        <v>824</v>
      </c>
      <c r="E201" s="5">
        <v>202</v>
      </c>
      <c r="F201">
        <v>61</v>
      </c>
      <c r="G201" t="s">
        <v>48</v>
      </c>
      <c r="H201" s="7">
        <v>9.99</v>
      </c>
      <c r="I201" s="5">
        <v>1</v>
      </c>
      <c r="J201" s="3" t="s">
        <v>29</v>
      </c>
      <c r="K201" s="9">
        <v>42483.62572916667</v>
      </c>
    </row>
    <row r="202" spans="3:11" x14ac:dyDescent="0.25">
      <c r="C202" t="str">
        <f>IF(COUNTBLANK(E202:K202) = 7,"",IF(AND(NOT(ISBLANK(E202)),COUNTBLANK(E202:K202) = 6),"3 Delete",IF(ISBLANK(E202),"2 Add",IF(SHA1Range(E202:K202) = "80d38aa7441483969a0a1862f8a0f9f3e7f6db79","0 Original","1 Modify"))))</f>
        <v>0 Original</v>
      </c>
      <c r="D202" s="3" t="s">
        <v>825</v>
      </c>
      <c r="E202" s="5">
        <v>203</v>
      </c>
      <c r="F202">
        <v>61</v>
      </c>
      <c r="G202" t="s">
        <v>519</v>
      </c>
      <c r="H202" s="7">
        <v>8.99</v>
      </c>
      <c r="I202" s="5">
        <v>1</v>
      </c>
      <c r="J202" s="3" t="s">
        <v>29</v>
      </c>
      <c r="K202" s="9">
        <v>42483.62572916667</v>
      </c>
    </row>
    <row r="203" spans="3:11" x14ac:dyDescent="0.25">
      <c r="C203" t="str">
        <f>IF(COUNTBLANK(E203:K203) = 7,"",IF(AND(NOT(ISBLANK(E203)),COUNTBLANK(E203:K203) = 6),"3 Delete",IF(ISBLANK(E203),"2 Add",IF(SHA1Range(E203:K203) = "d63dd7101507ad436dd472d5a12635d5ca58ff20","0 Original","1 Modify"))))</f>
        <v>0 Original</v>
      </c>
      <c r="D203" s="3" t="s">
        <v>826</v>
      </c>
      <c r="E203" s="5">
        <v>204</v>
      </c>
      <c r="F203">
        <v>62</v>
      </c>
      <c r="G203" t="s">
        <v>281</v>
      </c>
      <c r="H203" s="7">
        <v>7.99</v>
      </c>
      <c r="I203" s="5">
        <v>1</v>
      </c>
      <c r="J203" s="3" t="s">
        <v>29</v>
      </c>
      <c r="K203" s="9">
        <v>42483.62572916667</v>
      </c>
    </row>
    <row r="204" spans="3:11" x14ac:dyDescent="0.25">
      <c r="C204" t="str">
        <f>IF(COUNTBLANK(E204:K204) = 7,"",IF(AND(NOT(ISBLANK(E204)),COUNTBLANK(E204:K204) = 6),"3 Delete",IF(ISBLANK(E204),"2 Add",IF(SHA1Range(E204:K204) = "d18beb2c849fb2925409fbf5658d37f01e15c306","0 Original","1 Modify"))))</f>
        <v>0 Original</v>
      </c>
      <c r="D204" s="3" t="s">
        <v>827</v>
      </c>
      <c r="E204" s="5">
        <v>205</v>
      </c>
      <c r="F204">
        <v>63</v>
      </c>
      <c r="G204" t="s">
        <v>192</v>
      </c>
      <c r="H204" s="7">
        <v>8.99</v>
      </c>
      <c r="I204" s="5">
        <v>1</v>
      </c>
      <c r="J204" s="3" t="s">
        <v>29</v>
      </c>
      <c r="K204" s="9">
        <v>42483.62572916667</v>
      </c>
    </row>
    <row r="205" spans="3:11" x14ac:dyDescent="0.25">
      <c r="C205" t="str">
        <f>IF(COUNTBLANK(E205:K205) = 7,"",IF(AND(NOT(ISBLANK(E205)),COUNTBLANK(E205:K205) = 6),"3 Delete",IF(ISBLANK(E205),"2 Add",IF(SHA1Range(E205:K205) = "0d6ca92e7adfbecc1d8c6fb2520b1a1c4f760d42","0 Original","1 Modify"))))</f>
        <v>0 Original</v>
      </c>
      <c r="D205" s="3" t="s">
        <v>828</v>
      </c>
      <c r="E205" s="5">
        <v>206</v>
      </c>
      <c r="F205">
        <v>63</v>
      </c>
      <c r="G205" t="s">
        <v>328</v>
      </c>
      <c r="H205" s="7">
        <v>8.99</v>
      </c>
      <c r="I205" s="5">
        <v>1</v>
      </c>
      <c r="J205" s="3" t="s">
        <v>29</v>
      </c>
      <c r="K205" s="9">
        <v>42483.62572916667</v>
      </c>
    </row>
    <row r="206" spans="3:11" x14ac:dyDescent="0.25">
      <c r="C206" t="str">
        <f>IF(COUNTBLANK(E206:K206) = 7,"",IF(AND(NOT(ISBLANK(E206)),COUNTBLANK(E206:K206) = 6),"3 Delete",IF(ISBLANK(E206),"2 Add",IF(SHA1Range(E206:K206) = "af4be14eaeda30d41ba4a812718e4cf7acbda7f4","0 Original","1 Modify"))))</f>
        <v>0 Original</v>
      </c>
      <c r="D206" s="3" t="s">
        <v>829</v>
      </c>
      <c r="E206" s="5">
        <v>207</v>
      </c>
      <c r="F206">
        <v>63</v>
      </c>
      <c r="G206" t="s">
        <v>105</v>
      </c>
      <c r="H206" s="7">
        <v>8.99</v>
      </c>
      <c r="I206" s="5">
        <v>2</v>
      </c>
      <c r="J206" s="3" t="s">
        <v>29</v>
      </c>
      <c r="K206" s="9">
        <v>42483.62572916667</v>
      </c>
    </row>
    <row r="207" spans="3:11" x14ac:dyDescent="0.25">
      <c r="C207" t="str">
        <f>IF(COUNTBLANK(E207:K207) = 7,"",IF(AND(NOT(ISBLANK(E207)),COUNTBLANK(E207:K207) = 6),"3 Delete",IF(ISBLANK(E207),"2 Add",IF(SHA1Range(E207:K207) = "0b1133e468ee754ba4b68b769ead49d99f3f0c02","0 Original","1 Modify"))))</f>
        <v>0 Original</v>
      </c>
      <c r="D207" s="3" t="s">
        <v>830</v>
      </c>
      <c r="E207" s="5">
        <v>208</v>
      </c>
      <c r="F207">
        <v>63</v>
      </c>
      <c r="G207" t="s">
        <v>375</v>
      </c>
      <c r="H207" s="7">
        <v>9.99</v>
      </c>
      <c r="I207" s="5">
        <v>1</v>
      </c>
      <c r="J207" s="3" t="s">
        <v>29</v>
      </c>
      <c r="K207" s="9">
        <v>42483.62572916667</v>
      </c>
    </row>
    <row r="208" spans="3:11" x14ac:dyDescent="0.25">
      <c r="C208" t="str">
        <f>IF(COUNTBLANK(E208:K208) = 7,"",IF(AND(NOT(ISBLANK(E208)),COUNTBLANK(E208:K208) = 6),"3 Delete",IF(ISBLANK(E208),"2 Add",IF(SHA1Range(E208:K208) = "e5971fa64eacd51e1651c93bc38688d85c6619a9","0 Original","1 Modify"))))</f>
        <v>0 Original</v>
      </c>
      <c r="D208" s="3" t="s">
        <v>831</v>
      </c>
      <c r="E208" s="5">
        <v>209</v>
      </c>
      <c r="F208">
        <v>63</v>
      </c>
      <c r="G208" t="s">
        <v>176</v>
      </c>
      <c r="H208" s="7">
        <v>7.99</v>
      </c>
      <c r="I208" s="5">
        <v>2</v>
      </c>
      <c r="J208" s="3" t="s">
        <v>29</v>
      </c>
      <c r="K208" s="9">
        <v>42483.62572916667</v>
      </c>
    </row>
    <row r="209" spans="3:11" x14ac:dyDescent="0.25">
      <c r="C209" t="str">
        <f>IF(COUNTBLANK(E209:K209) = 7,"",IF(AND(NOT(ISBLANK(E209)),COUNTBLANK(E209:K209) = 6),"3 Delete",IF(ISBLANK(E209),"2 Add",IF(SHA1Range(E209:K209) = "e8e85ddaebbd1b88935638d5d018b25b2e158493","0 Original","1 Modify"))))</f>
        <v>0 Original</v>
      </c>
      <c r="D209" s="3" t="s">
        <v>832</v>
      </c>
      <c r="E209" s="5">
        <v>210</v>
      </c>
      <c r="F209">
        <v>63</v>
      </c>
      <c r="G209" t="s">
        <v>257</v>
      </c>
      <c r="H209" s="7">
        <v>9.99</v>
      </c>
      <c r="I209" s="5">
        <v>1</v>
      </c>
      <c r="J209" s="3" t="s">
        <v>29</v>
      </c>
      <c r="K209" s="9">
        <v>42483.62572916667</v>
      </c>
    </row>
    <row r="210" spans="3:11" x14ac:dyDescent="0.25">
      <c r="C210" t="str">
        <f>IF(COUNTBLANK(E210:K210) = 7,"",IF(AND(NOT(ISBLANK(E210)),COUNTBLANK(E210:K210) = 6),"3 Delete",IF(ISBLANK(E210),"2 Add",IF(SHA1Range(E210:K210) = "5851980ffc702926366a132df7180541aa5d1594","0 Original","1 Modify"))))</f>
        <v>0 Original</v>
      </c>
      <c r="D210" s="3" t="s">
        <v>833</v>
      </c>
      <c r="E210" s="5">
        <v>211</v>
      </c>
      <c r="F210">
        <v>63</v>
      </c>
      <c r="G210" t="s">
        <v>522</v>
      </c>
      <c r="H210" s="7">
        <v>6.99</v>
      </c>
      <c r="I210" s="5">
        <v>1</v>
      </c>
      <c r="J210" s="3" t="s">
        <v>29</v>
      </c>
      <c r="K210" s="9">
        <v>42483.62572916667</v>
      </c>
    </row>
    <row r="211" spans="3:11" x14ac:dyDescent="0.25">
      <c r="C211" t="str">
        <f>IF(COUNTBLANK(E211:K211) = 7,"",IF(AND(NOT(ISBLANK(E211)),COUNTBLANK(E211:K211) = 6),"3 Delete",IF(ISBLANK(E211),"2 Add",IF(SHA1Range(E211:K211) = "b327357810eea16ecae4ca6968d79c95b390541a","0 Original","1 Modify"))))</f>
        <v>0 Original</v>
      </c>
      <c r="D211" s="3" t="s">
        <v>834</v>
      </c>
      <c r="E211" s="5">
        <v>212</v>
      </c>
      <c r="F211">
        <v>63</v>
      </c>
      <c r="G211" t="s">
        <v>379</v>
      </c>
      <c r="H211" s="7">
        <v>9.99</v>
      </c>
      <c r="I211" s="5">
        <v>1</v>
      </c>
      <c r="J211" s="3" t="s">
        <v>29</v>
      </c>
      <c r="K211" s="9">
        <v>42483.62572916667</v>
      </c>
    </row>
    <row r="212" spans="3:11" x14ac:dyDescent="0.25">
      <c r="C212" t="str">
        <f>IF(COUNTBLANK(E212:K212) = 7,"",IF(AND(NOT(ISBLANK(E212)),COUNTBLANK(E212:K212) = 6),"3 Delete",IF(ISBLANK(E212),"2 Add",IF(SHA1Range(E212:K212) = "94b6b3d5ffaf130bbde7e8600a21c477dff6c4c9","0 Original","1 Modify"))))</f>
        <v>0 Original</v>
      </c>
      <c r="D212" s="3" t="s">
        <v>835</v>
      </c>
      <c r="E212" s="5">
        <v>213</v>
      </c>
      <c r="F212">
        <v>64</v>
      </c>
      <c r="G212" t="s">
        <v>546</v>
      </c>
      <c r="H212" s="7">
        <v>9.99</v>
      </c>
      <c r="I212" s="5">
        <v>1</v>
      </c>
      <c r="J212" s="3" t="s">
        <v>29</v>
      </c>
      <c r="K212" s="9">
        <v>42483.62572916667</v>
      </c>
    </row>
    <row r="213" spans="3:11" x14ac:dyDescent="0.25">
      <c r="C213" t="str">
        <f>IF(COUNTBLANK(E213:K213) = 7,"",IF(AND(NOT(ISBLANK(E213)),COUNTBLANK(E213:K213) = 6),"3 Delete",IF(ISBLANK(E213),"2 Add",IF(SHA1Range(E213:K213) = "eee1450f82b7d0762898f33ff537b2323fa74ccc","0 Original","1 Modify"))))</f>
        <v>0 Original</v>
      </c>
      <c r="D213" s="3" t="s">
        <v>836</v>
      </c>
      <c r="E213" s="5">
        <v>214</v>
      </c>
      <c r="F213">
        <v>64</v>
      </c>
      <c r="G213" t="s">
        <v>92</v>
      </c>
      <c r="H213" s="7">
        <v>8.99</v>
      </c>
      <c r="I213" s="5">
        <v>1</v>
      </c>
      <c r="J213" s="3" t="s">
        <v>29</v>
      </c>
      <c r="K213" s="9">
        <v>42483.62572916667</v>
      </c>
    </row>
    <row r="214" spans="3:11" x14ac:dyDescent="0.25">
      <c r="C214" t="str">
        <f>IF(COUNTBLANK(E214:K214) = 7,"",IF(AND(NOT(ISBLANK(E214)),COUNTBLANK(E214:K214) = 6),"3 Delete",IF(ISBLANK(E214),"2 Add",IF(SHA1Range(E214:K214) = "f78b353389e7336c13d09c962ee83098dee122a1","0 Original","1 Modify"))))</f>
        <v>0 Original</v>
      </c>
      <c r="D214" s="3" t="s">
        <v>837</v>
      </c>
      <c r="E214" s="5">
        <v>215</v>
      </c>
      <c r="F214">
        <v>64</v>
      </c>
      <c r="G214" t="s">
        <v>401</v>
      </c>
      <c r="H214" s="7">
        <v>9.99</v>
      </c>
      <c r="I214" s="5">
        <v>1</v>
      </c>
      <c r="J214" s="3" t="s">
        <v>29</v>
      </c>
      <c r="K214" s="9">
        <v>42483.62572916667</v>
      </c>
    </row>
    <row r="215" spans="3:11" x14ac:dyDescent="0.25">
      <c r="C215" t="str">
        <f>IF(COUNTBLANK(E215:K215) = 7,"",IF(AND(NOT(ISBLANK(E215)),COUNTBLANK(E215:K215) = 6),"3 Delete",IF(ISBLANK(E215),"2 Add",IF(SHA1Range(E215:K215) = "b1235717de29a1f085095d815b8a29cd2d63f6a8","0 Original","1 Modify"))))</f>
        <v>0 Original</v>
      </c>
      <c r="D215" s="3" t="s">
        <v>838</v>
      </c>
      <c r="E215" s="5">
        <v>216</v>
      </c>
      <c r="F215">
        <v>64</v>
      </c>
      <c r="G215" t="s">
        <v>88</v>
      </c>
      <c r="H215" s="7">
        <v>7.99</v>
      </c>
      <c r="I215" s="5">
        <v>1</v>
      </c>
      <c r="J215" s="3" t="s">
        <v>29</v>
      </c>
      <c r="K215" s="9">
        <v>42483.62572916667</v>
      </c>
    </row>
    <row r="216" spans="3:11" x14ac:dyDescent="0.25">
      <c r="C216" t="str">
        <f>IF(COUNTBLANK(E216:K216) = 7,"",IF(AND(NOT(ISBLANK(E216)),COUNTBLANK(E216:K216) = 6),"3 Delete",IF(ISBLANK(E216),"2 Add",IF(SHA1Range(E216:K216) = "3b831836fe30a2e6d44a9ed7148a853d763f5b59","0 Original","1 Modify"))))</f>
        <v>0 Original</v>
      </c>
      <c r="D216" s="3" t="s">
        <v>839</v>
      </c>
      <c r="E216" s="5">
        <v>217</v>
      </c>
      <c r="F216">
        <v>65</v>
      </c>
      <c r="G216" t="s">
        <v>105</v>
      </c>
      <c r="H216" s="7">
        <v>8.99</v>
      </c>
      <c r="I216" s="5">
        <v>1</v>
      </c>
      <c r="J216" s="3" t="s">
        <v>29</v>
      </c>
      <c r="K216" s="9">
        <v>42483.62572916667</v>
      </c>
    </row>
    <row r="217" spans="3:11" x14ac:dyDescent="0.25">
      <c r="C217" t="str">
        <f>IF(COUNTBLANK(E217:K217) = 7,"",IF(AND(NOT(ISBLANK(E217)),COUNTBLANK(E217:K217) = 6),"3 Delete",IF(ISBLANK(E217),"2 Add",IF(SHA1Range(E217:K217) = "239b17a12bb3ec39a1a2ef4a83bc642867cec439","0 Original","1 Modify"))))</f>
        <v>0 Original</v>
      </c>
      <c r="D217" s="3" t="s">
        <v>840</v>
      </c>
      <c r="E217" s="5">
        <v>218</v>
      </c>
      <c r="F217">
        <v>65</v>
      </c>
      <c r="G217" t="s">
        <v>122</v>
      </c>
      <c r="H217" s="7">
        <v>8.99</v>
      </c>
      <c r="I217" s="5">
        <v>2</v>
      </c>
      <c r="J217" s="3" t="s">
        <v>29</v>
      </c>
      <c r="K217" s="9">
        <v>42483.62572916667</v>
      </c>
    </row>
    <row r="218" spans="3:11" x14ac:dyDescent="0.25">
      <c r="C218" t="str">
        <f>IF(COUNTBLANK(E218:K218) = 7,"",IF(AND(NOT(ISBLANK(E218)),COUNTBLANK(E218:K218) = 6),"3 Delete",IF(ISBLANK(E218),"2 Add",IF(SHA1Range(E218:K218) = "7c93f8a9cf62157fc555c9b04a261db445bbc4e3","0 Original","1 Modify"))))</f>
        <v>0 Original</v>
      </c>
      <c r="D218" s="3" t="s">
        <v>841</v>
      </c>
      <c r="E218" s="5">
        <v>219</v>
      </c>
      <c r="F218">
        <v>65</v>
      </c>
      <c r="G218" t="s">
        <v>118</v>
      </c>
      <c r="H218" s="7">
        <v>4.99</v>
      </c>
      <c r="I218" s="5">
        <v>1</v>
      </c>
      <c r="J218" s="3" t="s">
        <v>29</v>
      </c>
      <c r="K218" s="9">
        <v>42483.62572916667</v>
      </c>
    </row>
    <row r="219" spans="3:11" x14ac:dyDescent="0.25">
      <c r="C219" t="str">
        <f>IF(COUNTBLANK(E219:K219) = 7,"",IF(AND(NOT(ISBLANK(E219)),COUNTBLANK(E219:K219) = 6),"3 Delete",IF(ISBLANK(E219),"2 Add",IF(SHA1Range(E219:K219) = "45d8caf602d2dc02b5d8e776327ca5e7889989fb","0 Original","1 Modify"))))</f>
        <v>0 Original</v>
      </c>
      <c r="D219" s="3" t="s">
        <v>842</v>
      </c>
      <c r="E219" s="5">
        <v>220</v>
      </c>
      <c r="F219">
        <v>66</v>
      </c>
      <c r="G219" t="s">
        <v>391</v>
      </c>
      <c r="H219" s="7">
        <v>7.99</v>
      </c>
      <c r="I219" s="5">
        <v>1</v>
      </c>
      <c r="J219" s="3" t="s">
        <v>29</v>
      </c>
      <c r="K219" s="9">
        <v>42483.62572916667</v>
      </c>
    </row>
    <row r="220" spans="3:11" x14ac:dyDescent="0.25">
      <c r="C220" t="str">
        <f>IF(COUNTBLANK(E220:K220) = 7,"",IF(AND(NOT(ISBLANK(E220)),COUNTBLANK(E220:K220) = 6),"3 Delete",IF(ISBLANK(E220),"2 Add",IF(SHA1Range(E220:K220) = "a8d5c2050f165e05549b98ea0c8ae03c7edbf1de","0 Original","1 Modify"))))</f>
        <v>0 Original</v>
      </c>
      <c r="D220" s="3" t="s">
        <v>843</v>
      </c>
      <c r="E220" s="5">
        <v>221</v>
      </c>
      <c r="F220">
        <v>67</v>
      </c>
      <c r="G220" t="s">
        <v>569</v>
      </c>
      <c r="H220" s="7">
        <v>9.99</v>
      </c>
      <c r="I220" s="5">
        <v>1</v>
      </c>
      <c r="J220" s="3" t="s">
        <v>29</v>
      </c>
      <c r="K220" s="9">
        <v>42483.62572916667</v>
      </c>
    </row>
    <row r="221" spans="3:11" x14ac:dyDescent="0.25">
      <c r="C221" t="str">
        <f>IF(COUNTBLANK(E221:K221) = 7,"",IF(AND(NOT(ISBLANK(E221)),COUNTBLANK(E221:K221) = 6),"3 Delete",IF(ISBLANK(E221),"2 Add",IF(SHA1Range(E221:K221) = "43da495636e1b6028d23d5ee7b5843e6621ca5f7","0 Original","1 Modify"))))</f>
        <v>0 Original</v>
      </c>
      <c r="D221" s="3" t="s">
        <v>844</v>
      </c>
      <c r="E221" s="5">
        <v>222</v>
      </c>
      <c r="F221">
        <v>67</v>
      </c>
      <c r="G221" t="s">
        <v>254</v>
      </c>
      <c r="H221" s="7">
        <v>4.99</v>
      </c>
      <c r="I221" s="5">
        <v>1</v>
      </c>
      <c r="J221" s="3" t="s">
        <v>29</v>
      </c>
      <c r="K221" s="9">
        <v>42483.62572916667</v>
      </c>
    </row>
    <row r="222" spans="3:11" x14ac:dyDescent="0.25">
      <c r="C222" t="str">
        <f>IF(COUNTBLANK(E222:K222) = 7,"",IF(AND(NOT(ISBLANK(E222)),COUNTBLANK(E222:K222) = 6),"3 Delete",IF(ISBLANK(E222),"2 Add",IF(SHA1Range(E222:K222) = "40ed184720898538e4d5cdb64a9e85dfd4f79a1d","0 Original","1 Modify"))))</f>
        <v>0 Original</v>
      </c>
      <c r="D222" s="3" t="s">
        <v>845</v>
      </c>
      <c r="E222" s="5">
        <v>223</v>
      </c>
      <c r="F222">
        <v>68</v>
      </c>
      <c r="G222" t="s">
        <v>221</v>
      </c>
      <c r="H222" s="7">
        <v>6.99</v>
      </c>
      <c r="I222" s="5">
        <v>2</v>
      </c>
      <c r="J222" s="3" t="s">
        <v>29</v>
      </c>
      <c r="K222" s="9">
        <v>42483.62572916667</v>
      </c>
    </row>
    <row r="223" spans="3:11" x14ac:dyDescent="0.25">
      <c r="C223" t="str">
        <f>IF(COUNTBLANK(E223:K223) = 7,"",IF(AND(NOT(ISBLANK(E223)),COUNTBLANK(E223:K223) = 6),"3 Delete",IF(ISBLANK(E223),"2 Add",IF(SHA1Range(E223:K223) = "7777b5a3204efb332adad94bc786b96d1e219e0c","0 Original","1 Modify"))))</f>
        <v>0 Original</v>
      </c>
      <c r="D223" s="3" t="s">
        <v>846</v>
      </c>
      <c r="E223" s="5">
        <v>224</v>
      </c>
      <c r="F223">
        <v>68</v>
      </c>
      <c r="G223" t="s">
        <v>576</v>
      </c>
      <c r="H223" s="7">
        <v>5.99</v>
      </c>
      <c r="I223" s="5">
        <v>1</v>
      </c>
      <c r="J223" s="3" t="s">
        <v>29</v>
      </c>
      <c r="K223" s="9">
        <v>42483.62572916667</v>
      </c>
    </row>
    <row r="224" spans="3:11" x14ac:dyDescent="0.25">
      <c r="C224" t="str">
        <f>IF(COUNTBLANK(E224:K224) = 7,"",IF(AND(NOT(ISBLANK(E224)),COUNTBLANK(E224:K224) = 6),"3 Delete",IF(ISBLANK(E224),"2 Add",IF(SHA1Range(E224:K224) = "7ab04bfe31a9b16e0fb5d10cdda8a890ea0859f1","0 Original","1 Modify"))))</f>
        <v>0 Original</v>
      </c>
      <c r="D224" s="3" t="s">
        <v>847</v>
      </c>
      <c r="E224" s="5">
        <v>225</v>
      </c>
      <c r="F224">
        <v>68</v>
      </c>
      <c r="G224" t="s">
        <v>540</v>
      </c>
      <c r="H224" s="7">
        <v>4.99</v>
      </c>
      <c r="I224" s="5">
        <v>2</v>
      </c>
      <c r="J224" s="3" t="s">
        <v>29</v>
      </c>
      <c r="K224" s="9">
        <v>42483.62572916667</v>
      </c>
    </row>
    <row r="225" spans="3:11" x14ac:dyDescent="0.25">
      <c r="C225" t="str">
        <f>IF(COUNTBLANK(E225:K225) = 7,"",IF(AND(NOT(ISBLANK(E225)),COUNTBLANK(E225:K225) = 6),"3 Delete",IF(ISBLANK(E225),"2 Add",IF(SHA1Range(E225:K225) = "e14aa2de31be7061551332268106cf13eb9cf17e","0 Original","1 Modify"))))</f>
        <v>0 Original</v>
      </c>
      <c r="D225" s="3" t="s">
        <v>848</v>
      </c>
      <c r="E225" s="5">
        <v>226</v>
      </c>
      <c r="F225">
        <v>68</v>
      </c>
      <c r="G225" t="s">
        <v>62</v>
      </c>
      <c r="H225" s="7">
        <v>9.99</v>
      </c>
      <c r="I225" s="5">
        <v>1</v>
      </c>
      <c r="J225" s="3" t="s">
        <v>29</v>
      </c>
      <c r="K225" s="9">
        <v>42483.62572916667</v>
      </c>
    </row>
    <row r="226" spans="3:11" x14ac:dyDescent="0.25">
      <c r="C226" t="str">
        <f>IF(COUNTBLANK(E226:K226) = 7,"",IF(AND(NOT(ISBLANK(E226)),COUNTBLANK(E226:K226) = 6),"3 Delete",IF(ISBLANK(E226),"2 Add",IF(SHA1Range(E226:K226) = "e8fa42568a4ffdb342c1508915d632179c73cb2c","0 Original","1 Modify"))))</f>
        <v>0 Original</v>
      </c>
      <c r="D226" s="3" t="s">
        <v>849</v>
      </c>
      <c r="E226" s="5">
        <v>227</v>
      </c>
      <c r="F226">
        <v>68</v>
      </c>
      <c r="G226" t="s">
        <v>593</v>
      </c>
      <c r="H226" s="7">
        <v>9.99</v>
      </c>
      <c r="I226" s="5">
        <v>1</v>
      </c>
      <c r="J226" s="3" t="s">
        <v>29</v>
      </c>
      <c r="K226" s="9">
        <v>42483.62572916667</v>
      </c>
    </row>
    <row r="227" spans="3:11" x14ac:dyDescent="0.25">
      <c r="C227" t="str">
        <f>IF(COUNTBLANK(E227:K227) = 7,"",IF(AND(NOT(ISBLANK(E227)),COUNTBLANK(E227:K227) = 6),"3 Delete",IF(ISBLANK(E227),"2 Add",IF(SHA1Range(E227:K227) = "bc3da905dde1c532a317c348f6f9936535fbd6f3","0 Original","1 Modify"))))</f>
        <v>0 Original</v>
      </c>
      <c r="D227" s="3" t="s">
        <v>850</v>
      </c>
      <c r="E227" s="5">
        <v>228</v>
      </c>
      <c r="F227">
        <v>69</v>
      </c>
      <c r="G227" t="s">
        <v>407</v>
      </c>
      <c r="H227" s="7">
        <v>9.99</v>
      </c>
      <c r="I227" s="5">
        <v>1</v>
      </c>
      <c r="J227" s="3" t="s">
        <v>29</v>
      </c>
      <c r="K227" s="9">
        <v>42483.62572916667</v>
      </c>
    </row>
    <row r="228" spans="3:11" x14ac:dyDescent="0.25">
      <c r="C228" t="str">
        <f>IF(COUNTBLANK(E228:K228) = 7,"",IF(AND(NOT(ISBLANK(E228)),COUNTBLANK(E228:K228) = 6),"3 Delete",IF(ISBLANK(E228),"2 Add",IF(SHA1Range(E228:K228) = "1b397d3d83fa7c62a5e6f48af563cc316dbcea13","0 Original","1 Modify"))))</f>
        <v>0 Original</v>
      </c>
      <c r="D228" s="3" t="s">
        <v>851</v>
      </c>
      <c r="E228" s="5">
        <v>229</v>
      </c>
      <c r="F228">
        <v>69</v>
      </c>
      <c r="G228" t="s">
        <v>217</v>
      </c>
      <c r="H228" s="7">
        <v>9.99</v>
      </c>
      <c r="I228" s="5">
        <v>2</v>
      </c>
      <c r="J228" s="3" t="s">
        <v>29</v>
      </c>
      <c r="K228" s="9">
        <v>42483.62572916667</v>
      </c>
    </row>
    <row r="229" spans="3:11" x14ac:dyDescent="0.25">
      <c r="C229" t="str">
        <f>IF(COUNTBLANK(E229:K229) = 7,"",IF(AND(NOT(ISBLANK(E229)),COUNTBLANK(E229:K229) = 6),"3 Delete",IF(ISBLANK(E229),"2 Add",IF(SHA1Range(E229:K229) = "f45f52a3dd7fa835a724d74a8d71dbbd7c277f79","0 Original","1 Modify"))))</f>
        <v>0 Original</v>
      </c>
      <c r="D229" s="3" t="s">
        <v>852</v>
      </c>
      <c r="E229" s="5">
        <v>230</v>
      </c>
      <c r="F229">
        <v>69</v>
      </c>
      <c r="G229" t="s">
        <v>214</v>
      </c>
      <c r="H229" s="7">
        <v>5.99</v>
      </c>
      <c r="I229" s="5">
        <v>2</v>
      </c>
      <c r="J229" s="3" t="s">
        <v>29</v>
      </c>
      <c r="K229" s="9">
        <v>42483.62572916667</v>
      </c>
    </row>
    <row r="230" spans="3:11" x14ac:dyDescent="0.25">
      <c r="C230" t="str">
        <f>IF(COUNTBLANK(E230:K230) = 7,"",IF(AND(NOT(ISBLANK(E230)),COUNTBLANK(E230:K230) = 6),"3 Delete",IF(ISBLANK(E230),"2 Add",IF(SHA1Range(E230:K230) = "054a915d9eb2b302cfe3ce372d814e8d7e34039a","0 Original","1 Modify"))))</f>
        <v>0 Original</v>
      </c>
      <c r="D230" s="3" t="s">
        <v>853</v>
      </c>
      <c r="E230" s="5">
        <v>231</v>
      </c>
      <c r="F230">
        <v>70</v>
      </c>
      <c r="G230" t="s">
        <v>569</v>
      </c>
      <c r="H230" s="7">
        <v>9.99</v>
      </c>
      <c r="I230" s="5">
        <v>1</v>
      </c>
      <c r="J230" s="3" t="s">
        <v>29</v>
      </c>
      <c r="K230" s="9">
        <v>42483.62572916667</v>
      </c>
    </row>
    <row r="231" spans="3:11" x14ac:dyDescent="0.25">
      <c r="C231" t="str">
        <f>IF(COUNTBLANK(E231:K231) = 7,"",IF(AND(NOT(ISBLANK(E231)),COUNTBLANK(E231:K231) = 6),"3 Delete",IF(ISBLANK(E231),"2 Add",IF(SHA1Range(E231:K231) = "3ad6113088c1eb25096e91bbcdd338bcd22103f8","0 Original","1 Modify"))))</f>
        <v>0 Original</v>
      </c>
      <c r="D231" s="3" t="s">
        <v>854</v>
      </c>
      <c r="E231" s="5">
        <v>232</v>
      </c>
      <c r="F231">
        <v>70</v>
      </c>
      <c r="G231" t="s">
        <v>166</v>
      </c>
      <c r="H231" s="7">
        <v>9.99</v>
      </c>
      <c r="I231" s="5">
        <v>1</v>
      </c>
      <c r="J231" s="3" t="s">
        <v>29</v>
      </c>
      <c r="K231" s="9">
        <v>42483.62572916667</v>
      </c>
    </row>
    <row r="232" spans="3:11" x14ac:dyDescent="0.25">
      <c r="C232" t="str">
        <f>IF(COUNTBLANK(E232:K232) = 7,"",IF(AND(NOT(ISBLANK(E232)),COUNTBLANK(E232:K232) = 6),"3 Delete",IF(ISBLANK(E232),"2 Add",IF(SHA1Range(E232:K232) = "91e647c4e538739c18f23a3555ce810bdd617994","0 Original","1 Modify"))))</f>
        <v>0 Original</v>
      </c>
      <c r="D232" s="3" t="s">
        <v>855</v>
      </c>
      <c r="E232" s="5">
        <v>233</v>
      </c>
      <c r="F232">
        <v>71</v>
      </c>
      <c r="G232" t="s">
        <v>257</v>
      </c>
      <c r="H232" s="7">
        <v>9.99</v>
      </c>
      <c r="I232" s="5">
        <v>1</v>
      </c>
      <c r="J232" s="3" t="s">
        <v>29</v>
      </c>
      <c r="K232" s="9">
        <v>42483.62572916667</v>
      </c>
    </row>
    <row r="233" spans="3:11" x14ac:dyDescent="0.25">
      <c r="C233" t="str">
        <f>IF(COUNTBLANK(E233:K233) = 7,"",IF(AND(NOT(ISBLANK(E233)),COUNTBLANK(E233:K233) = 6),"3 Delete",IF(ISBLANK(E233),"2 Add",IF(SHA1Range(E233:K233) = "2bb7e35c246a321c31dc26cffbc46f16e342c119","0 Original","1 Modify"))))</f>
        <v>0 Original</v>
      </c>
      <c r="D233" s="3" t="s">
        <v>856</v>
      </c>
      <c r="E233" s="5">
        <v>234</v>
      </c>
      <c r="F233">
        <v>71</v>
      </c>
      <c r="G233" t="s">
        <v>85</v>
      </c>
      <c r="H233" s="7">
        <v>6.99</v>
      </c>
      <c r="I233" s="5">
        <v>2</v>
      </c>
      <c r="J233" s="3" t="s">
        <v>29</v>
      </c>
      <c r="K233" s="9">
        <v>42483.62572916667</v>
      </c>
    </row>
    <row r="234" spans="3:11" x14ac:dyDescent="0.25">
      <c r="C234" t="str">
        <f>IF(COUNTBLANK(E234:K234) = 7,"",IF(AND(NOT(ISBLANK(E234)),COUNTBLANK(E234:K234) = 6),"3 Delete",IF(ISBLANK(E234),"2 Add",IF(SHA1Range(E234:K234) = "0051afe72b0fd8be898aede0430068ee3ea76a88","0 Original","1 Modify"))))</f>
        <v>0 Original</v>
      </c>
      <c r="D234" s="3" t="s">
        <v>857</v>
      </c>
      <c r="E234" s="5">
        <v>235</v>
      </c>
      <c r="F234">
        <v>71</v>
      </c>
      <c r="G234" t="s">
        <v>459</v>
      </c>
      <c r="H234" s="7">
        <v>5.99</v>
      </c>
      <c r="I234" s="5">
        <v>2</v>
      </c>
      <c r="J234" s="3" t="s">
        <v>29</v>
      </c>
      <c r="K234" s="9">
        <v>42483.62572916667</v>
      </c>
    </row>
    <row r="235" spans="3:11" x14ac:dyDescent="0.25">
      <c r="C235" t="str">
        <f>IF(COUNTBLANK(E235:K235) = 7,"",IF(AND(NOT(ISBLANK(E235)),COUNTBLANK(E235:K235) = 6),"3 Delete",IF(ISBLANK(E235),"2 Add",IF(SHA1Range(E235:K235) = "e50e98500c35c4eb50bdc23517f14096b4e19111","0 Original","1 Modify"))))</f>
        <v>0 Original</v>
      </c>
      <c r="D235" s="3" t="s">
        <v>858</v>
      </c>
      <c r="E235" s="5">
        <v>236</v>
      </c>
      <c r="F235">
        <v>71</v>
      </c>
      <c r="G235" t="s">
        <v>192</v>
      </c>
      <c r="H235" s="7">
        <v>8.99</v>
      </c>
      <c r="I235" s="5">
        <v>2</v>
      </c>
      <c r="J235" s="3" t="s">
        <v>29</v>
      </c>
      <c r="K235" s="9">
        <v>42483.62572916667</v>
      </c>
    </row>
    <row r="236" spans="3:11" x14ac:dyDescent="0.25">
      <c r="C236" t="str">
        <f>IF(COUNTBLANK(E236:K236) = 7,"",IF(AND(NOT(ISBLANK(E236)),COUNTBLANK(E236:K236) = 6),"3 Delete",IF(ISBLANK(E236),"2 Add",IF(SHA1Range(E236:K236) = "1a743727f5a3d9a7f02cfb514c2776208e8ae3e7","0 Original","1 Modify"))))</f>
        <v>0 Original</v>
      </c>
      <c r="D236" s="3" t="s">
        <v>859</v>
      </c>
      <c r="E236" s="5">
        <v>237</v>
      </c>
      <c r="F236">
        <v>72</v>
      </c>
      <c r="G236" t="s">
        <v>358</v>
      </c>
      <c r="H236" s="7">
        <v>5.99</v>
      </c>
      <c r="I236" s="5">
        <v>2</v>
      </c>
      <c r="J236" s="3" t="s">
        <v>29</v>
      </c>
      <c r="K236" s="9">
        <v>42483.62572916667</v>
      </c>
    </row>
    <row r="237" spans="3:11" x14ac:dyDescent="0.25">
      <c r="C237" t="str">
        <f>IF(COUNTBLANK(E237:K237) = 7,"",IF(AND(NOT(ISBLANK(E237)),COUNTBLANK(E237:K237) = 6),"3 Delete",IF(ISBLANK(E237),"2 Add",IF(SHA1Range(E237:K237) = "e35df6dbb92363c39c9d66e0cb0b81a8c7c1d112","0 Original","1 Modify"))))</f>
        <v>0 Original</v>
      </c>
      <c r="D237" s="3" t="s">
        <v>860</v>
      </c>
      <c r="E237" s="5">
        <v>238</v>
      </c>
      <c r="F237">
        <v>72</v>
      </c>
      <c r="G237" t="s">
        <v>109</v>
      </c>
      <c r="H237" s="7">
        <v>8.99</v>
      </c>
      <c r="I237" s="5">
        <v>1</v>
      </c>
      <c r="J237" s="3" t="s">
        <v>29</v>
      </c>
      <c r="K237" s="9">
        <v>42483.62572916667</v>
      </c>
    </row>
    <row r="238" spans="3:11" x14ac:dyDescent="0.25">
      <c r="C238" t="str">
        <f>IF(COUNTBLANK(E238:K238) = 7,"",IF(AND(NOT(ISBLANK(E238)),COUNTBLANK(E238:K238) = 6),"3 Delete",IF(ISBLANK(E238),"2 Add",IF(SHA1Range(E238:K238) = "a338f585adf16731265aab6f1774450bbb80e6d4","0 Original","1 Modify"))))</f>
        <v>0 Original</v>
      </c>
      <c r="D238" s="3" t="s">
        <v>861</v>
      </c>
      <c r="E238" s="5">
        <v>239</v>
      </c>
      <c r="F238">
        <v>72</v>
      </c>
      <c r="G238" t="s">
        <v>142</v>
      </c>
      <c r="H238" s="7">
        <v>4.99</v>
      </c>
      <c r="I238" s="5">
        <v>2</v>
      </c>
      <c r="J238" s="3" t="s">
        <v>29</v>
      </c>
      <c r="K238" s="9">
        <v>42483.62572916667</v>
      </c>
    </row>
    <row r="239" spans="3:11" x14ac:dyDescent="0.25">
      <c r="C239" t="str">
        <f>IF(COUNTBLANK(E239:K239) = 7,"",IF(AND(NOT(ISBLANK(E239)),COUNTBLANK(E239:K239) = 6),"3 Delete",IF(ISBLANK(E239),"2 Add",IF(SHA1Range(E239:K239) = "601cbefafd5a5a18e21f944b53e0324b3db445c5","0 Original","1 Modify"))))</f>
        <v>0 Original</v>
      </c>
      <c r="D239" s="3" t="s">
        <v>862</v>
      </c>
      <c r="E239" s="5">
        <v>240</v>
      </c>
      <c r="F239">
        <v>72</v>
      </c>
      <c r="G239" t="s">
        <v>159</v>
      </c>
      <c r="H239" s="7">
        <v>5.99</v>
      </c>
      <c r="I239" s="5">
        <v>2</v>
      </c>
      <c r="J239" s="3" t="s">
        <v>29</v>
      </c>
      <c r="K239" s="9">
        <v>42483.62572916667</v>
      </c>
    </row>
    <row r="240" spans="3:11" x14ac:dyDescent="0.25">
      <c r="C240" t="str">
        <f>IF(COUNTBLANK(E240:K240) = 7,"",IF(AND(NOT(ISBLANK(E240)),COUNTBLANK(E240:K240) = 6),"3 Delete",IF(ISBLANK(E240),"2 Add",IF(SHA1Range(E240:K240) = "207dc54488607aac84262434b03cda528c2ae250","0 Original","1 Modify"))))</f>
        <v>0 Original</v>
      </c>
      <c r="D240" s="3" t="s">
        <v>863</v>
      </c>
      <c r="E240" s="5">
        <v>241</v>
      </c>
      <c r="F240">
        <v>72</v>
      </c>
      <c r="G240" t="s">
        <v>273</v>
      </c>
      <c r="H240" s="7">
        <v>8.99</v>
      </c>
      <c r="I240" s="5">
        <v>2</v>
      </c>
      <c r="J240" s="3" t="s">
        <v>29</v>
      </c>
      <c r="K240" s="9">
        <v>42483.62572916667</v>
      </c>
    </row>
    <row r="241" spans="3:11" x14ac:dyDescent="0.25">
      <c r="C241" t="str">
        <f>IF(COUNTBLANK(E241:K241) = 7,"",IF(AND(NOT(ISBLANK(E241)),COUNTBLANK(E241:K241) = 6),"3 Delete",IF(ISBLANK(E241),"2 Add",IF(SHA1Range(E241:K241) = "2e7b39a9db58a4c284a9e56fbebc35d0327a0be2","0 Original","1 Modify"))))</f>
        <v>0 Original</v>
      </c>
      <c r="D241" s="3" t="s">
        <v>864</v>
      </c>
      <c r="E241" s="5">
        <v>242</v>
      </c>
      <c r="F241">
        <v>73</v>
      </c>
      <c r="G241" t="s">
        <v>596</v>
      </c>
      <c r="H241" s="7">
        <v>8.99</v>
      </c>
      <c r="I241" s="5">
        <v>1</v>
      </c>
      <c r="J241" s="3" t="s">
        <v>29</v>
      </c>
      <c r="K241" s="9">
        <v>42483.62572916667</v>
      </c>
    </row>
    <row r="242" spans="3:11" x14ac:dyDescent="0.25">
      <c r="C242" t="str">
        <f>IF(COUNTBLANK(E242:K242) = 7,"",IF(AND(NOT(ISBLANK(E242)),COUNTBLANK(E242:K242) = 6),"3 Delete",IF(ISBLANK(E242),"2 Add",IF(SHA1Range(E242:K242) = "fd9360a404b99cd4b96dfb97b72ea4b367611162","0 Original","1 Modify"))))</f>
        <v>0 Original</v>
      </c>
      <c r="D242" s="3" t="s">
        <v>865</v>
      </c>
      <c r="E242" s="5">
        <v>243</v>
      </c>
      <c r="F242">
        <v>73</v>
      </c>
      <c r="G242" t="s">
        <v>73</v>
      </c>
      <c r="H242" s="7">
        <v>8.99</v>
      </c>
      <c r="I242" s="5">
        <v>1</v>
      </c>
      <c r="J242" s="3" t="s">
        <v>29</v>
      </c>
      <c r="K242" s="9">
        <v>42483.62572916667</v>
      </c>
    </row>
    <row r="243" spans="3:11" x14ac:dyDescent="0.25">
      <c r="C243" t="str">
        <f>IF(COUNTBLANK(E243:K243) = 7,"",IF(AND(NOT(ISBLANK(E243)),COUNTBLANK(E243:K243) = 6),"3 Delete",IF(ISBLANK(E243),"2 Add",IF(SHA1Range(E243:K243) = "7aa484afdef10993c2e98062e060bd861695ff83","0 Original","1 Modify"))))</f>
        <v>0 Original</v>
      </c>
      <c r="D243" s="3" t="s">
        <v>866</v>
      </c>
      <c r="E243" s="5">
        <v>244</v>
      </c>
      <c r="F243">
        <v>73</v>
      </c>
      <c r="G243" t="s">
        <v>519</v>
      </c>
      <c r="H243" s="7">
        <v>8.99</v>
      </c>
      <c r="I243" s="5">
        <v>1</v>
      </c>
      <c r="J243" s="3" t="s">
        <v>29</v>
      </c>
      <c r="K243" s="9">
        <v>42483.62572916667</v>
      </c>
    </row>
    <row r="244" spans="3:11" x14ac:dyDescent="0.25">
      <c r="C244" t="str">
        <f>IF(COUNTBLANK(E244:K244) = 7,"",IF(AND(NOT(ISBLANK(E244)),COUNTBLANK(E244:K244) = 6),"3 Delete",IF(ISBLANK(E244),"2 Add",IF(SHA1Range(E244:K244) = "42d708f8909760f34457755b3508e07d59b5abb1","0 Original","1 Modify"))))</f>
        <v>0 Original</v>
      </c>
      <c r="D244" s="3" t="s">
        <v>867</v>
      </c>
      <c r="E244" s="5">
        <v>245</v>
      </c>
      <c r="F244">
        <v>74</v>
      </c>
      <c r="G244" t="s">
        <v>136</v>
      </c>
      <c r="H244" s="7">
        <v>8.99</v>
      </c>
      <c r="I244" s="5">
        <v>1</v>
      </c>
      <c r="J244" s="3" t="s">
        <v>29</v>
      </c>
      <c r="K244" s="9">
        <v>42483.62572916667</v>
      </c>
    </row>
    <row r="245" spans="3:11" x14ac:dyDescent="0.25">
      <c r="C245" t="str">
        <f>IF(COUNTBLANK(E245:K245) = 7,"",IF(AND(NOT(ISBLANK(E245)),COUNTBLANK(E245:K245) = 6),"3 Delete",IF(ISBLANK(E245),"2 Add",IF(SHA1Range(E245:K245) = "6b2e0ba011ad6e1bd819b03c155631cb2ebbe5e2","0 Original","1 Modify"))))</f>
        <v>0 Original</v>
      </c>
      <c r="D245" s="3" t="s">
        <v>868</v>
      </c>
      <c r="E245" s="5">
        <v>246</v>
      </c>
      <c r="F245">
        <v>74</v>
      </c>
      <c r="G245" t="s">
        <v>130</v>
      </c>
      <c r="H245" s="7">
        <v>8.99</v>
      </c>
      <c r="I245" s="5">
        <v>1</v>
      </c>
      <c r="J245" s="3" t="s">
        <v>29</v>
      </c>
      <c r="K245" s="9">
        <v>42483.62572916667</v>
      </c>
    </row>
    <row r="246" spans="3:11" x14ac:dyDescent="0.25">
      <c r="C246" t="str">
        <f>IF(COUNTBLANK(E246:K246) = 7,"",IF(AND(NOT(ISBLANK(E246)),COUNTBLANK(E246:K246) = 6),"3 Delete",IF(ISBLANK(E246),"2 Add",IF(SHA1Range(E246:K246) = "f3cb46d264eb5896dfcfb4d54a4cd5df1a607218","0 Original","1 Modify"))))</f>
        <v>0 Original</v>
      </c>
      <c r="D246" s="3" t="s">
        <v>869</v>
      </c>
      <c r="E246" s="5">
        <v>247</v>
      </c>
      <c r="F246">
        <v>75</v>
      </c>
      <c r="G246" t="s">
        <v>525</v>
      </c>
      <c r="H246" s="7">
        <v>4.99</v>
      </c>
      <c r="I246" s="5">
        <v>1</v>
      </c>
      <c r="J246" s="3" t="s">
        <v>29</v>
      </c>
      <c r="K246" s="9">
        <v>42483.62572916667</v>
      </c>
    </row>
    <row r="247" spans="3:11" x14ac:dyDescent="0.25">
      <c r="C247" t="str">
        <f>IF(COUNTBLANK(E247:K247) = 7,"",IF(AND(NOT(ISBLANK(E247)),COUNTBLANK(E247:K247) = 6),"3 Delete",IF(ISBLANK(E247),"2 Add",IF(SHA1Range(E247:K247) = "b08f836889f15b09664e7d909bd6f965e1dd6ed6","0 Original","1 Modify"))))</f>
        <v>0 Original</v>
      </c>
      <c r="D247" s="3" t="s">
        <v>870</v>
      </c>
      <c r="E247" s="5">
        <v>248</v>
      </c>
      <c r="F247">
        <v>75</v>
      </c>
      <c r="G247" t="s">
        <v>30</v>
      </c>
      <c r="H247" s="7">
        <v>9.99</v>
      </c>
      <c r="I247" s="5">
        <v>2</v>
      </c>
      <c r="J247" s="3" t="s">
        <v>29</v>
      </c>
      <c r="K247" s="9">
        <v>42483.62572916667</v>
      </c>
    </row>
    <row r="248" spans="3:11" x14ac:dyDescent="0.25">
      <c r="C248" t="str">
        <f>IF(COUNTBLANK(E248:K248) = 7,"",IF(AND(NOT(ISBLANK(E248)),COUNTBLANK(E248:K248) = 6),"3 Delete",IF(ISBLANK(E248),"2 Add",IF(SHA1Range(E248:K248) = "bdad6a76843eccb486af28dcd6fa57dcb1461e0a","0 Original","1 Modify"))))</f>
        <v>0 Original</v>
      </c>
      <c r="D248" s="3" t="s">
        <v>871</v>
      </c>
      <c r="E248" s="5">
        <v>249</v>
      </c>
      <c r="F248">
        <v>75</v>
      </c>
      <c r="G248" t="s">
        <v>351</v>
      </c>
      <c r="H248" s="7">
        <v>6.99</v>
      </c>
      <c r="I248" s="5">
        <v>1</v>
      </c>
      <c r="J248" s="3" t="s">
        <v>29</v>
      </c>
      <c r="K248" s="9">
        <v>42483.62572916667</v>
      </c>
    </row>
    <row r="249" spans="3:11" x14ac:dyDescent="0.25">
      <c r="C249" t="str">
        <f>IF(COUNTBLANK(E249:K249) = 7,"",IF(AND(NOT(ISBLANK(E249)),COUNTBLANK(E249:K249) = 6),"3 Delete",IF(ISBLANK(E249),"2 Add",IF(SHA1Range(E249:K249) = "651b46afd66ade5ed1e2f062999a579f29c4a9dc","0 Original","1 Modify"))))</f>
        <v>0 Original</v>
      </c>
      <c r="D249" s="3" t="s">
        <v>872</v>
      </c>
      <c r="E249" s="5">
        <v>250</v>
      </c>
      <c r="F249">
        <v>75</v>
      </c>
      <c r="G249" t="s">
        <v>361</v>
      </c>
      <c r="H249" s="7">
        <v>6.99</v>
      </c>
      <c r="I249" s="5">
        <v>2</v>
      </c>
      <c r="J249" s="3" t="s">
        <v>29</v>
      </c>
      <c r="K249" s="9">
        <v>42483.62572916667</v>
      </c>
    </row>
    <row r="250" spans="3:11" x14ac:dyDescent="0.25">
      <c r="C250" t="str">
        <f>IF(COUNTBLANK(E250:K250) = 7,"",IF(AND(NOT(ISBLANK(E250)),COUNTBLANK(E250:K250) = 6),"3 Delete",IF(ISBLANK(E250),"2 Add",IF(SHA1Range(E250:K250) = "0528ed31dda8d2fa78a32bb76e5515880dd80a37","0 Original","1 Modify"))))</f>
        <v>0 Original</v>
      </c>
      <c r="D250" s="3" t="s">
        <v>873</v>
      </c>
      <c r="E250" s="5">
        <v>251</v>
      </c>
      <c r="F250">
        <v>76</v>
      </c>
      <c r="G250" t="s">
        <v>404</v>
      </c>
      <c r="H250" s="7">
        <v>9.99</v>
      </c>
      <c r="I250" s="5">
        <v>1</v>
      </c>
      <c r="J250" s="3" t="s">
        <v>29</v>
      </c>
      <c r="K250" s="9">
        <v>42483.62572916667</v>
      </c>
    </row>
    <row r="251" spans="3:11" x14ac:dyDescent="0.25">
      <c r="C251" t="str">
        <f>IF(COUNTBLANK(E251:K251) = 7,"",IF(AND(NOT(ISBLANK(E251)),COUNTBLANK(E251:K251) = 6),"3 Delete",IF(ISBLANK(E251),"2 Add",IF(SHA1Range(E251:K251) = "9ef2144f13822de23b991bd8bad51267f0901ba4","0 Original","1 Modify"))))</f>
        <v>0 Original</v>
      </c>
      <c r="D251" s="3" t="s">
        <v>874</v>
      </c>
      <c r="E251" s="5">
        <v>252</v>
      </c>
      <c r="F251">
        <v>76</v>
      </c>
      <c r="G251" t="s">
        <v>364</v>
      </c>
      <c r="H251" s="7">
        <v>9.99</v>
      </c>
      <c r="I251" s="5">
        <v>1</v>
      </c>
      <c r="J251" s="3" t="s">
        <v>29</v>
      </c>
      <c r="K251" s="9">
        <v>42483.62572916667</v>
      </c>
    </row>
    <row r="252" spans="3:11" x14ac:dyDescent="0.25">
      <c r="C252" t="str">
        <f>IF(COUNTBLANK(E252:K252) = 7,"",IF(AND(NOT(ISBLANK(E252)),COUNTBLANK(E252:K252) = 6),"3 Delete",IF(ISBLANK(E252),"2 Add",IF(SHA1Range(E252:K252) = "bfdbfdd0f914f33a36179e5f0a3ac0cfec0edff5","0 Original","1 Modify"))))</f>
        <v>0 Original</v>
      </c>
      <c r="D252" s="3" t="s">
        <v>875</v>
      </c>
      <c r="E252" s="5">
        <v>253</v>
      </c>
      <c r="F252">
        <v>76</v>
      </c>
      <c r="G252" t="s">
        <v>136</v>
      </c>
      <c r="H252" s="7">
        <v>8.99</v>
      </c>
      <c r="I252" s="5">
        <v>2</v>
      </c>
      <c r="J252" s="3" t="s">
        <v>29</v>
      </c>
      <c r="K252" s="9">
        <v>42483.62572916667</v>
      </c>
    </row>
    <row r="253" spans="3:11" x14ac:dyDescent="0.25">
      <c r="C253" t="str">
        <f>IF(COUNTBLANK(E253:K253) = 7,"",IF(AND(NOT(ISBLANK(E253)),COUNTBLANK(E253:K253) = 6),"3 Delete",IF(ISBLANK(E253),"2 Add",IF(SHA1Range(E253:K253) = "33797693ae06ad5ac8eab939ae2631943977c3e1","0 Original","1 Modify"))))</f>
        <v>0 Original</v>
      </c>
      <c r="D253" s="3" t="s">
        <v>876</v>
      </c>
      <c r="E253" s="5">
        <v>254</v>
      </c>
      <c r="F253">
        <v>76</v>
      </c>
      <c r="G253" t="s">
        <v>217</v>
      </c>
      <c r="H253" s="7">
        <v>9.99</v>
      </c>
      <c r="I253" s="5">
        <v>2</v>
      </c>
      <c r="J253" s="3" t="s">
        <v>29</v>
      </c>
      <c r="K253" s="9">
        <v>42483.62572916667</v>
      </c>
    </row>
    <row r="254" spans="3:11" x14ac:dyDescent="0.25">
      <c r="C254" t="str">
        <f>IF(COUNTBLANK(E254:K254) = 7,"",IF(AND(NOT(ISBLANK(E254)),COUNTBLANK(E254:K254) = 6),"3 Delete",IF(ISBLANK(E254),"2 Add",IF(SHA1Range(E254:K254) = "0e058ebe76b29b625339582f00387bc1e3f46fa8","0 Original","1 Modify"))))</f>
        <v>0 Original</v>
      </c>
      <c r="D254" s="3" t="s">
        <v>877</v>
      </c>
      <c r="E254" s="5">
        <v>255</v>
      </c>
      <c r="F254">
        <v>76</v>
      </c>
      <c r="G254" t="s">
        <v>51</v>
      </c>
      <c r="H254" s="7">
        <v>9.99</v>
      </c>
      <c r="I254" s="5">
        <v>1</v>
      </c>
      <c r="J254" s="3" t="s">
        <v>29</v>
      </c>
      <c r="K254" s="9">
        <v>42483.62572916667</v>
      </c>
    </row>
    <row r="255" spans="3:11" x14ac:dyDescent="0.25">
      <c r="C255" t="str">
        <f>IF(COUNTBLANK(E255:K255) = 7,"",IF(AND(NOT(ISBLANK(E255)),COUNTBLANK(E255:K255) = 6),"3 Delete",IF(ISBLANK(E255),"2 Add",IF(SHA1Range(E255:K255) = "69709087653e1de6cb13a44f3c09944321f93634","0 Original","1 Modify"))))</f>
        <v>0 Original</v>
      </c>
      <c r="D255" s="3" t="s">
        <v>878</v>
      </c>
      <c r="E255" s="5">
        <v>256</v>
      </c>
      <c r="F255">
        <v>76</v>
      </c>
      <c r="G255" t="s">
        <v>88</v>
      </c>
      <c r="H255" s="7">
        <v>7.99</v>
      </c>
      <c r="I255" s="5">
        <v>1</v>
      </c>
      <c r="J255" s="3" t="s">
        <v>29</v>
      </c>
      <c r="K255" s="9">
        <v>42483.62572916667</v>
      </c>
    </row>
    <row r="256" spans="3:11" x14ac:dyDescent="0.25">
      <c r="C256" t="str">
        <f>IF(COUNTBLANK(E256:K256) = 7,"",IF(AND(NOT(ISBLANK(E256)),COUNTBLANK(E256:K256) = 6),"3 Delete",IF(ISBLANK(E256),"2 Add",IF(SHA1Range(E256:K256) = "4f5bfd240cfd01156a9ac8aa2301a620c796febc","0 Original","1 Modify"))))</f>
        <v>0 Original</v>
      </c>
      <c r="D256" s="3" t="s">
        <v>879</v>
      </c>
      <c r="E256" s="5">
        <v>257</v>
      </c>
      <c r="F256">
        <v>77</v>
      </c>
      <c r="G256" t="s">
        <v>549</v>
      </c>
      <c r="H256" s="7">
        <v>8.99</v>
      </c>
      <c r="I256" s="5">
        <v>1</v>
      </c>
      <c r="J256" s="3" t="s">
        <v>29</v>
      </c>
      <c r="K256" s="9">
        <v>42483.62572916667</v>
      </c>
    </row>
    <row r="257" spans="3:11" x14ac:dyDescent="0.25">
      <c r="C257" t="str">
        <f>IF(COUNTBLANK(E257:K257) = 7,"",IF(AND(NOT(ISBLANK(E257)),COUNTBLANK(E257:K257) = 6),"3 Delete",IF(ISBLANK(E257),"2 Add",IF(SHA1Range(E257:K257) = "27891ab841c83e3b709237cdf170642baaa766b6","0 Original","1 Modify"))))</f>
        <v>0 Original</v>
      </c>
      <c r="D257" s="3" t="s">
        <v>880</v>
      </c>
      <c r="E257" s="5">
        <v>258</v>
      </c>
      <c r="F257">
        <v>77</v>
      </c>
      <c r="G257" t="s">
        <v>180</v>
      </c>
      <c r="H257" s="7">
        <v>5.99</v>
      </c>
      <c r="I257" s="5">
        <v>2</v>
      </c>
      <c r="J257" s="3" t="s">
        <v>29</v>
      </c>
      <c r="K257" s="9">
        <v>42483.62572916667</v>
      </c>
    </row>
    <row r="258" spans="3:11" x14ac:dyDescent="0.25">
      <c r="C258" t="str">
        <f>IF(COUNTBLANK(E258:K258) = 7,"",IF(AND(NOT(ISBLANK(E258)),COUNTBLANK(E258:K258) = 6),"3 Delete",IF(ISBLANK(E258),"2 Add",IF(SHA1Range(E258:K258) = "8d6e892aac70633d2a237a9cd4f00fe85edfaf23","0 Original","1 Modify"))))</f>
        <v>0 Original</v>
      </c>
      <c r="D258" s="3" t="s">
        <v>881</v>
      </c>
      <c r="E258" s="5">
        <v>259</v>
      </c>
      <c r="F258">
        <v>78</v>
      </c>
      <c r="G258" t="s">
        <v>321</v>
      </c>
      <c r="H258" s="7">
        <v>6.99</v>
      </c>
      <c r="I258" s="5">
        <v>1</v>
      </c>
      <c r="J258" s="3" t="s">
        <v>29</v>
      </c>
      <c r="K258" s="9">
        <v>42483.62572916667</v>
      </c>
    </row>
    <row r="259" spans="3:11" x14ac:dyDescent="0.25">
      <c r="C259" t="str">
        <f>IF(COUNTBLANK(E259:K259) = 7,"",IF(AND(NOT(ISBLANK(E259)),COUNTBLANK(E259:K259) = 6),"3 Delete",IF(ISBLANK(E259),"2 Add",IF(SHA1Range(E259:K259) = "323a0ab188f39704e40e4378f7470eb5d523b054","0 Original","1 Modify"))))</f>
        <v>0 Original</v>
      </c>
      <c r="D259" s="3" t="s">
        <v>882</v>
      </c>
      <c r="E259" s="5">
        <v>260</v>
      </c>
      <c r="F259">
        <v>78</v>
      </c>
      <c r="G259" t="s">
        <v>361</v>
      </c>
      <c r="H259" s="7">
        <v>6.99</v>
      </c>
      <c r="I259" s="5">
        <v>1</v>
      </c>
      <c r="J259" s="3" t="s">
        <v>29</v>
      </c>
      <c r="K259" s="9">
        <v>42483.62572916667</v>
      </c>
    </row>
    <row r="260" spans="3:11" x14ac:dyDescent="0.25">
      <c r="C260" t="str">
        <f>IF(COUNTBLANK(E260:K260) = 7,"",IF(AND(NOT(ISBLANK(E260)),COUNTBLANK(E260:K260) = 6),"3 Delete",IF(ISBLANK(E260),"2 Add",IF(SHA1Range(E260:K260) = "f9cbf6dfdfb476ac8aa7a30308da6ac19769f8f3","0 Original","1 Modify"))))</f>
        <v>0 Original</v>
      </c>
      <c r="D260" s="3" t="s">
        <v>883</v>
      </c>
      <c r="E260" s="5">
        <v>261</v>
      </c>
      <c r="F260">
        <v>78</v>
      </c>
      <c r="G260" t="s">
        <v>133</v>
      </c>
      <c r="H260" s="7">
        <v>7.99</v>
      </c>
      <c r="I260" s="5">
        <v>1</v>
      </c>
      <c r="J260" s="3" t="s">
        <v>29</v>
      </c>
      <c r="K260" s="9">
        <v>42483.62572916667</v>
      </c>
    </row>
    <row r="261" spans="3:11" x14ac:dyDescent="0.25">
      <c r="C261" t="str">
        <f>IF(COUNTBLANK(E261:K261) = 7,"",IF(AND(NOT(ISBLANK(E261)),COUNTBLANK(E261:K261) = 6),"3 Delete",IF(ISBLANK(E261),"2 Add",IF(SHA1Range(E261:K261) = "6cd1cb47dfd927bf13b554b79724b27556103d39","0 Original","1 Modify"))))</f>
        <v>0 Original</v>
      </c>
      <c r="D261" s="3" t="s">
        <v>884</v>
      </c>
      <c r="E261" s="5">
        <v>262</v>
      </c>
      <c r="F261">
        <v>79</v>
      </c>
      <c r="G261" t="s">
        <v>270</v>
      </c>
      <c r="H261" s="7">
        <v>8.99</v>
      </c>
      <c r="I261" s="5">
        <v>1</v>
      </c>
      <c r="J261" s="3" t="s">
        <v>29</v>
      </c>
      <c r="K261" s="9">
        <v>42483.62572916667</v>
      </c>
    </row>
    <row r="262" spans="3:11" x14ac:dyDescent="0.25">
      <c r="C262" t="str">
        <f>IF(COUNTBLANK(E262:K262) = 7,"",IF(AND(NOT(ISBLANK(E262)),COUNTBLANK(E262:K262) = 6),"3 Delete",IF(ISBLANK(E262),"2 Add",IF(SHA1Range(E262:K262) = "ce3262271a1bfb131ce9445a11fcb5d35566cf1b","0 Original","1 Modify"))))</f>
        <v>0 Original</v>
      </c>
      <c r="D262" s="3" t="s">
        <v>885</v>
      </c>
      <c r="E262" s="5">
        <v>263</v>
      </c>
      <c r="F262">
        <v>80</v>
      </c>
      <c r="G262" t="s">
        <v>163</v>
      </c>
      <c r="H262" s="7">
        <v>5.99</v>
      </c>
      <c r="I262" s="5">
        <v>2</v>
      </c>
      <c r="J262" s="3" t="s">
        <v>29</v>
      </c>
      <c r="K262" s="9">
        <v>42483.62572916667</v>
      </c>
    </row>
    <row r="263" spans="3:11" x14ac:dyDescent="0.25">
      <c r="C263" t="str">
        <f>IF(COUNTBLANK(E263:K263) = 7,"",IF(AND(NOT(ISBLANK(E263)),COUNTBLANK(E263:K263) = 6),"3 Delete",IF(ISBLANK(E263),"2 Add",IF(SHA1Range(E263:K263) = "93bcf9b0daa85a9d33e45b21c851d7bb2408dcf2","0 Original","1 Modify"))))</f>
        <v>0 Original</v>
      </c>
      <c r="D263" s="3" t="s">
        <v>886</v>
      </c>
      <c r="E263" s="5">
        <v>264</v>
      </c>
      <c r="F263">
        <v>80</v>
      </c>
      <c r="G263" t="s">
        <v>210</v>
      </c>
      <c r="H263" s="7">
        <v>4.99</v>
      </c>
      <c r="I263" s="5">
        <v>1</v>
      </c>
      <c r="J263" s="3" t="s">
        <v>29</v>
      </c>
      <c r="K263" s="9">
        <v>42483.62572916667</v>
      </c>
    </row>
    <row r="264" spans="3:11" x14ac:dyDescent="0.25">
      <c r="C264" t="str">
        <f>IF(COUNTBLANK(E264:K264) = 7,"",IF(AND(NOT(ISBLANK(E264)),COUNTBLANK(E264:K264) = 6),"3 Delete",IF(ISBLANK(E264),"2 Add",IF(SHA1Range(E264:K264) = "c902743e2940feff320bfe5ff442380a6d7e4eff","0 Original","1 Modify"))))</f>
        <v>0 Original</v>
      </c>
      <c r="D264" s="3" t="s">
        <v>887</v>
      </c>
      <c r="E264" s="5">
        <v>265</v>
      </c>
      <c r="F264">
        <v>80</v>
      </c>
      <c r="G264" t="s">
        <v>540</v>
      </c>
      <c r="H264" s="7">
        <v>4.99</v>
      </c>
      <c r="I264" s="5">
        <v>1</v>
      </c>
      <c r="J264" s="3" t="s">
        <v>29</v>
      </c>
      <c r="K264" s="9">
        <v>42483.62572916667</v>
      </c>
    </row>
    <row r="265" spans="3:11" x14ac:dyDescent="0.25">
      <c r="C265" t="str">
        <f>IF(COUNTBLANK(E265:K265) = 7,"",IF(AND(NOT(ISBLANK(E265)),COUNTBLANK(E265:K265) = 6),"3 Delete",IF(ISBLANK(E265),"2 Add",IF(SHA1Range(E265:K265) = "b00a9a654a0d9d187e1f38eec4be604c64a7b5ee","0 Original","1 Modify"))))</f>
        <v>0 Original</v>
      </c>
      <c r="D265" s="3" t="s">
        <v>888</v>
      </c>
      <c r="E265" s="5">
        <v>266</v>
      </c>
      <c r="F265">
        <v>80</v>
      </c>
      <c r="G265" t="s">
        <v>565</v>
      </c>
      <c r="H265" s="7">
        <v>7.99</v>
      </c>
      <c r="I265" s="5">
        <v>3</v>
      </c>
      <c r="J265" s="3" t="s">
        <v>29</v>
      </c>
      <c r="K265" s="9">
        <v>42483.62572916667</v>
      </c>
    </row>
    <row r="266" spans="3:11" x14ac:dyDescent="0.25">
      <c r="C266" t="str">
        <f>IF(COUNTBLANK(E266:K266) = 7,"",IF(AND(NOT(ISBLANK(E266)),COUNTBLANK(E266:K266) = 6),"3 Delete",IF(ISBLANK(E266),"2 Add",IF(SHA1Range(E266:K266) = "3e67ef7a45348b5ead9d5fb9d5e0333de17b465f","0 Original","1 Modify"))))</f>
        <v>0 Original</v>
      </c>
      <c r="D266" s="3" t="s">
        <v>889</v>
      </c>
      <c r="E266" s="5">
        <v>267</v>
      </c>
      <c r="F266">
        <v>81</v>
      </c>
      <c r="G266" t="s">
        <v>118</v>
      </c>
      <c r="H266" s="7">
        <v>4.99</v>
      </c>
      <c r="I266" s="5">
        <v>1</v>
      </c>
      <c r="J266" s="3" t="s">
        <v>29</v>
      </c>
      <c r="K266" s="9">
        <v>42483.62572916667</v>
      </c>
    </row>
    <row r="267" spans="3:11" x14ac:dyDescent="0.25">
      <c r="C267" t="str">
        <f>IF(COUNTBLANK(E267:K267) = 7,"",IF(AND(NOT(ISBLANK(E267)),COUNTBLANK(E267:K267) = 6),"3 Delete",IF(ISBLANK(E267),"2 Add",IF(SHA1Range(E267:K267) = "9ad3f6dbb4eb7e77347fb14b490b4bdbdfc5ce59","0 Original","1 Modify"))))</f>
        <v>0 Original</v>
      </c>
      <c r="D267" s="3" t="s">
        <v>890</v>
      </c>
      <c r="E267" s="5">
        <v>268</v>
      </c>
      <c r="F267">
        <v>81</v>
      </c>
      <c r="G267" t="s">
        <v>488</v>
      </c>
      <c r="H267" s="7">
        <v>8.99</v>
      </c>
      <c r="I267" s="5">
        <v>1</v>
      </c>
      <c r="J267" s="3" t="s">
        <v>29</v>
      </c>
      <c r="K267" s="9">
        <v>42483.62572916667</v>
      </c>
    </row>
    <row r="268" spans="3:11" x14ac:dyDescent="0.25">
      <c r="C268" t="str">
        <f>IF(COUNTBLANK(E268:K268) = 7,"",IF(AND(NOT(ISBLANK(E268)),COUNTBLANK(E268:K268) = 6),"3 Delete",IF(ISBLANK(E268),"2 Add",IF(SHA1Range(E268:K268) = "b02de3b1c231cc3f26a4238d3baa84a9426b19ee","0 Original","1 Modify"))))</f>
        <v>0 Original</v>
      </c>
      <c r="D268" s="3" t="s">
        <v>891</v>
      </c>
      <c r="E268" s="5">
        <v>269</v>
      </c>
      <c r="F268">
        <v>81</v>
      </c>
      <c r="G268" t="s">
        <v>81</v>
      </c>
      <c r="H268" s="7">
        <v>4.99</v>
      </c>
      <c r="I268" s="5">
        <v>2</v>
      </c>
      <c r="J268" s="3" t="s">
        <v>29</v>
      </c>
      <c r="K268" s="9">
        <v>42483.62572916667</v>
      </c>
    </row>
    <row r="269" spans="3:11" x14ac:dyDescent="0.25">
      <c r="C269" t="str">
        <f>IF(COUNTBLANK(E269:K269) = 7,"",IF(AND(NOT(ISBLANK(E269)),COUNTBLANK(E269:K269) = 6),"3 Delete",IF(ISBLANK(E269),"2 Add",IF(SHA1Range(E269:K269) = "3099ff25c048cead1c09da9111dd282f335a63ea","0 Original","1 Modify"))))</f>
        <v>0 Original</v>
      </c>
      <c r="D269" s="3" t="s">
        <v>892</v>
      </c>
      <c r="E269" s="5">
        <v>270</v>
      </c>
      <c r="F269">
        <v>81</v>
      </c>
      <c r="G269" t="s">
        <v>506</v>
      </c>
      <c r="H269" s="7">
        <v>6.99</v>
      </c>
      <c r="I269" s="5">
        <v>2</v>
      </c>
      <c r="J269" s="3" t="s">
        <v>29</v>
      </c>
      <c r="K269" s="9">
        <v>42483.62572916667</v>
      </c>
    </row>
    <row r="270" spans="3:11" x14ac:dyDescent="0.25">
      <c r="C270" t="str">
        <f>IF(COUNTBLANK(E270:K270) = 7,"",IF(AND(NOT(ISBLANK(E270)),COUNTBLANK(E270:K270) = 6),"3 Delete",IF(ISBLANK(E270),"2 Add",IF(SHA1Range(E270:K270) = "f37b85e7e3ffad8d196e4c392933c099c6b9d46c","0 Original","1 Modify"))))</f>
        <v>0 Original</v>
      </c>
      <c r="D270" s="3" t="s">
        <v>893</v>
      </c>
      <c r="E270" s="5">
        <v>271</v>
      </c>
      <c r="F270">
        <v>82</v>
      </c>
      <c r="G270" t="s">
        <v>88</v>
      </c>
      <c r="H270" s="7">
        <v>7.99</v>
      </c>
      <c r="I270" s="5">
        <v>1</v>
      </c>
      <c r="J270" s="3" t="s">
        <v>29</v>
      </c>
      <c r="K270" s="9">
        <v>42483.62572916667</v>
      </c>
    </row>
    <row r="271" spans="3:11" x14ac:dyDescent="0.25">
      <c r="C271" t="str">
        <f>IF(COUNTBLANK(E271:K271) = 7,"",IF(AND(NOT(ISBLANK(E271)),COUNTBLANK(E271:K271) = 6),"3 Delete",IF(ISBLANK(E271),"2 Add",IF(SHA1Range(E271:K271) = "f7d24d81848adf2f81cbc986a7e475eee79cd2ea","0 Original","1 Modify"))))</f>
        <v>0 Original</v>
      </c>
      <c r="D271" s="3" t="s">
        <v>894</v>
      </c>
      <c r="E271" s="5">
        <v>272</v>
      </c>
      <c r="F271">
        <v>82</v>
      </c>
      <c r="G271" t="s">
        <v>580</v>
      </c>
      <c r="H271" s="7">
        <v>4.99</v>
      </c>
      <c r="I271" s="5">
        <v>2</v>
      </c>
      <c r="J271" s="3" t="s">
        <v>29</v>
      </c>
      <c r="K271" s="9">
        <v>42483.62572916667</v>
      </c>
    </row>
    <row r="272" spans="3:11" x14ac:dyDescent="0.25">
      <c r="C272" t="str">
        <f>IF(COUNTBLANK(E272:K272) = 7,"",IF(AND(NOT(ISBLANK(E272)),COUNTBLANK(E272:K272) = 6),"3 Delete",IF(ISBLANK(E272),"2 Add",IF(SHA1Range(E272:K272) = "1b133f480656c0d2ee7d578342ee6875f392e646","0 Original","1 Modify"))))</f>
        <v>0 Original</v>
      </c>
      <c r="D272" s="3" t="s">
        <v>895</v>
      </c>
      <c r="E272" s="5">
        <v>273</v>
      </c>
      <c r="F272">
        <v>82</v>
      </c>
      <c r="G272" t="s">
        <v>388</v>
      </c>
      <c r="H272" s="7">
        <v>5.99</v>
      </c>
      <c r="I272" s="5">
        <v>1</v>
      </c>
      <c r="J272" s="3" t="s">
        <v>29</v>
      </c>
      <c r="K272" s="9">
        <v>42483.62572916667</v>
      </c>
    </row>
    <row r="273" spans="3:11" x14ac:dyDescent="0.25">
      <c r="C273" t="str">
        <f>IF(COUNTBLANK(E273:K273) = 7,"",IF(AND(NOT(ISBLANK(E273)),COUNTBLANK(E273:K273) = 6),"3 Delete",IF(ISBLANK(E273),"2 Add",IF(SHA1Range(E273:K273) = "44347837cec1d5455603a035a95701a6f28dff4f","0 Original","1 Modify"))))</f>
        <v>0 Original</v>
      </c>
      <c r="D273" s="3" t="s">
        <v>896</v>
      </c>
      <c r="E273" s="5">
        <v>274</v>
      </c>
      <c r="F273">
        <v>82</v>
      </c>
      <c r="G273" t="s">
        <v>388</v>
      </c>
      <c r="H273" s="7">
        <v>5.99</v>
      </c>
      <c r="I273" s="5">
        <v>1</v>
      </c>
      <c r="J273" s="3" t="s">
        <v>29</v>
      </c>
      <c r="K273" s="9">
        <v>42483.62572916667</v>
      </c>
    </row>
    <row r="274" spans="3:11" x14ac:dyDescent="0.25">
      <c r="C274" t="str">
        <f>IF(COUNTBLANK(E274:K274) = 7,"",IF(AND(NOT(ISBLANK(E274)),COUNTBLANK(E274:K274) = 6),"3 Delete",IF(ISBLANK(E274),"2 Add",IF(SHA1Range(E274:K274) = "77aa2fd8c02e816c00c226210bc81de4e3e9cdf1","0 Original","1 Modify"))))</f>
        <v>0 Original</v>
      </c>
      <c r="D274" s="3" t="s">
        <v>897</v>
      </c>
      <c r="E274" s="5">
        <v>275</v>
      </c>
      <c r="F274">
        <v>82</v>
      </c>
      <c r="G274" t="s">
        <v>58</v>
      </c>
      <c r="H274" s="7">
        <v>8.99</v>
      </c>
      <c r="I274" s="5">
        <v>2</v>
      </c>
      <c r="J274" s="3" t="s">
        <v>29</v>
      </c>
      <c r="K274" s="9">
        <v>42483.62572916667</v>
      </c>
    </row>
    <row r="275" spans="3:11" x14ac:dyDescent="0.25">
      <c r="C275" t="str">
        <f>IF(COUNTBLANK(E275:K275) = 7,"",IF(AND(NOT(ISBLANK(E275)),COUNTBLANK(E275:K275) = 6),"3 Delete",IF(ISBLANK(E275),"2 Add",IF(SHA1Range(E275:K275) = "e54ce1afffe9ad2fd8e43e73c80be82c76c94a19","0 Original","1 Modify"))))</f>
        <v>0 Original</v>
      </c>
      <c r="D275" s="3" t="s">
        <v>898</v>
      </c>
      <c r="E275" s="5">
        <v>276</v>
      </c>
      <c r="F275">
        <v>82</v>
      </c>
      <c r="G275" t="s">
        <v>576</v>
      </c>
      <c r="H275" s="7">
        <v>5.99</v>
      </c>
      <c r="I275" s="5">
        <v>1</v>
      </c>
      <c r="J275" s="3" t="s">
        <v>29</v>
      </c>
      <c r="K275" s="9">
        <v>42483.62572916667</v>
      </c>
    </row>
    <row r="276" spans="3:11" x14ac:dyDescent="0.25">
      <c r="C276" t="str">
        <f>IF(COUNTBLANK(E276:K276) = 7,"",IF(AND(NOT(ISBLANK(E276)),COUNTBLANK(E276:K276) = 6),"3 Delete",IF(ISBLANK(E276),"2 Add",IF(SHA1Range(E276:K276) = "b2c0090f04be32166eb979273d9977369c595596","0 Original","1 Modify"))))</f>
        <v>0 Original</v>
      </c>
      <c r="D276" s="3" t="s">
        <v>899</v>
      </c>
      <c r="E276" s="5">
        <v>277</v>
      </c>
      <c r="F276">
        <v>83</v>
      </c>
      <c r="G276" t="s">
        <v>513</v>
      </c>
      <c r="H276" s="7">
        <v>4.99</v>
      </c>
      <c r="I276" s="5">
        <v>2</v>
      </c>
      <c r="J276" s="3" t="s">
        <v>29</v>
      </c>
      <c r="K276" s="9">
        <v>42483.62572916667</v>
      </c>
    </row>
    <row r="277" spans="3:11" x14ac:dyDescent="0.25">
      <c r="C277" t="str">
        <f>IF(COUNTBLANK(E277:K277) = 7,"",IF(AND(NOT(ISBLANK(E277)),COUNTBLANK(E277:K277) = 6),"3 Delete",IF(ISBLANK(E277),"2 Add",IF(SHA1Range(E277:K277) = "b99ecf4adf859904e1bc3729c764a035cc442513","0 Original","1 Modify"))))</f>
        <v>0 Original</v>
      </c>
      <c r="D277" s="3" t="s">
        <v>900</v>
      </c>
      <c r="E277" s="5">
        <v>278</v>
      </c>
      <c r="F277">
        <v>83</v>
      </c>
      <c r="G277" t="s">
        <v>217</v>
      </c>
      <c r="H277" s="7">
        <v>9.99</v>
      </c>
      <c r="I277" s="5">
        <v>1</v>
      </c>
      <c r="J277" s="3" t="s">
        <v>29</v>
      </c>
      <c r="K277" s="9">
        <v>42483.62572916667</v>
      </c>
    </row>
    <row r="278" spans="3:11" x14ac:dyDescent="0.25">
      <c r="C278" t="str">
        <f>IF(COUNTBLANK(E278:K278) = 7,"",IF(AND(NOT(ISBLANK(E278)),COUNTBLANK(E278:K278) = 6),"3 Delete",IF(ISBLANK(E278),"2 Add",IF(SHA1Range(E278:K278) = "55d2c3eea606427f94e7c3506879eac24668d55a","0 Original","1 Modify"))))</f>
        <v>0 Original</v>
      </c>
      <c r="D278" s="3" t="s">
        <v>901</v>
      </c>
      <c r="E278" s="5">
        <v>279</v>
      </c>
      <c r="F278">
        <v>84</v>
      </c>
      <c r="G278" t="s">
        <v>534</v>
      </c>
      <c r="H278" s="7">
        <v>8.99</v>
      </c>
      <c r="I278" s="5">
        <v>2</v>
      </c>
      <c r="J278" s="3" t="s">
        <v>29</v>
      </c>
      <c r="K278" s="9">
        <v>42483.62572916667</v>
      </c>
    </row>
    <row r="279" spans="3:11" x14ac:dyDescent="0.25">
      <c r="C279" t="str">
        <f>IF(COUNTBLANK(E279:K279) = 7,"",IF(AND(NOT(ISBLANK(E279)),COUNTBLANK(E279:K279) = 6),"3 Delete",IF(ISBLANK(E279),"2 Add",IF(SHA1Range(E279:K279) = "ec1b679cf1c670752fa3937433054d1ee84e6d22","0 Original","1 Modify"))))</f>
        <v>0 Original</v>
      </c>
      <c r="D279" s="3" t="s">
        <v>902</v>
      </c>
      <c r="E279" s="5">
        <v>280</v>
      </c>
      <c r="F279">
        <v>84</v>
      </c>
      <c r="G279" t="s">
        <v>85</v>
      </c>
      <c r="H279" s="7">
        <v>6.99</v>
      </c>
      <c r="I279" s="5">
        <v>1</v>
      </c>
      <c r="J279" s="3" t="s">
        <v>29</v>
      </c>
      <c r="K279" s="9">
        <v>42483.62572916667</v>
      </c>
    </row>
    <row r="280" spans="3:11" x14ac:dyDescent="0.25">
      <c r="C280" t="str">
        <f>IF(COUNTBLANK(E280:K280) = 7,"",IF(AND(NOT(ISBLANK(E280)),COUNTBLANK(E280:K280) = 6),"3 Delete",IF(ISBLANK(E280),"2 Add",IF(SHA1Range(E280:K280) = "6235b4489019ddd477b2d21a84ec333b7af4caa3","0 Original","1 Modify"))))</f>
        <v>0 Original</v>
      </c>
      <c r="D280" s="3" t="s">
        <v>903</v>
      </c>
      <c r="E280" s="5">
        <v>281</v>
      </c>
      <c r="F280">
        <v>85</v>
      </c>
      <c r="G280" t="s">
        <v>180</v>
      </c>
      <c r="H280" s="7">
        <v>5.99</v>
      </c>
      <c r="I280" s="5">
        <v>2</v>
      </c>
      <c r="J280" s="3" t="s">
        <v>29</v>
      </c>
      <c r="K280" s="9">
        <v>42483.62572916667</v>
      </c>
    </row>
    <row r="281" spans="3:11" x14ac:dyDescent="0.25">
      <c r="C281" t="str">
        <f>IF(COUNTBLANK(E281:K281) = 7,"",IF(AND(NOT(ISBLANK(E281)),COUNTBLANK(E281:K281) = 6),"3 Delete",IF(ISBLANK(E281),"2 Add",IF(SHA1Range(E281:K281) = "8dcab5ec09b02f09792cd7c47867223fa0f3ec61","0 Original","1 Modify"))))</f>
        <v>0 Original</v>
      </c>
      <c r="D281" s="3" t="s">
        <v>904</v>
      </c>
      <c r="E281" s="5">
        <v>282</v>
      </c>
      <c r="F281">
        <v>85</v>
      </c>
      <c r="G281" t="s">
        <v>546</v>
      </c>
      <c r="H281" s="7">
        <v>9.99</v>
      </c>
      <c r="I281" s="5">
        <v>1</v>
      </c>
      <c r="J281" s="3" t="s">
        <v>29</v>
      </c>
      <c r="K281" s="9">
        <v>42483.62572916667</v>
      </c>
    </row>
    <row r="282" spans="3:11" x14ac:dyDescent="0.25">
      <c r="C282" t="str">
        <f>IF(COUNTBLANK(E282:K282) = 7,"",IF(AND(NOT(ISBLANK(E282)),COUNTBLANK(E282:K282) = 6),"3 Delete",IF(ISBLANK(E282),"2 Add",IF(SHA1Range(E282:K282) = "75575b50a9a6416f3fb1defc9a64db38226dab6a","0 Original","1 Modify"))))</f>
        <v>0 Original</v>
      </c>
      <c r="D282" s="3" t="s">
        <v>905</v>
      </c>
      <c r="E282" s="5">
        <v>283</v>
      </c>
      <c r="F282">
        <v>85</v>
      </c>
      <c r="G282" t="s">
        <v>321</v>
      </c>
      <c r="H282" s="7">
        <v>6.99</v>
      </c>
      <c r="I282" s="5">
        <v>1</v>
      </c>
      <c r="J282" s="3" t="s">
        <v>29</v>
      </c>
      <c r="K282" s="9">
        <v>42483.62572916667</v>
      </c>
    </row>
    <row r="283" spans="3:11" x14ac:dyDescent="0.25">
      <c r="C283" t="str">
        <f>IF(COUNTBLANK(E283:K283) = 7,"",IF(AND(NOT(ISBLANK(E283)),COUNTBLANK(E283:K283) = 6),"3 Delete",IF(ISBLANK(E283),"2 Add",IF(SHA1Range(E283:K283) = "cfe536ba3072325749c982bb9d45b04fd7acf038","0 Original","1 Modify"))))</f>
        <v>0 Original</v>
      </c>
      <c r="D283" s="3" t="s">
        <v>906</v>
      </c>
      <c r="E283" s="5">
        <v>284</v>
      </c>
      <c r="F283">
        <v>86</v>
      </c>
      <c r="G283" t="s">
        <v>214</v>
      </c>
      <c r="H283" s="7">
        <v>5.99</v>
      </c>
      <c r="I283" s="5">
        <v>1</v>
      </c>
      <c r="J283" s="3" t="s">
        <v>29</v>
      </c>
      <c r="K283" s="9">
        <v>42483.62572916667</v>
      </c>
    </row>
    <row r="284" spans="3:11" x14ac:dyDescent="0.25">
      <c r="C284" t="str">
        <f>IF(COUNTBLANK(E284:K284) = 7,"",IF(AND(NOT(ISBLANK(E284)),COUNTBLANK(E284:K284) = 6),"3 Delete",IF(ISBLANK(E284),"2 Add",IF(SHA1Range(E284:K284) = "eac6717bc21b5802d9d87ea2e4b06840386df6ac","0 Original","1 Modify"))))</f>
        <v>0 Original</v>
      </c>
      <c r="D284" s="3" t="s">
        <v>907</v>
      </c>
      <c r="E284" s="5">
        <v>285</v>
      </c>
      <c r="F284">
        <v>86</v>
      </c>
      <c r="G284" t="s">
        <v>382</v>
      </c>
      <c r="H284" s="7">
        <v>9.99</v>
      </c>
      <c r="I284" s="5">
        <v>2</v>
      </c>
      <c r="J284" s="3" t="s">
        <v>29</v>
      </c>
      <c r="K284" s="9">
        <v>42483.62572916667</v>
      </c>
    </row>
    <row r="285" spans="3:11" x14ac:dyDescent="0.25">
      <c r="C285" t="str">
        <f>IF(COUNTBLANK(E285:K285) = 7,"",IF(AND(NOT(ISBLANK(E285)),COUNTBLANK(E285:K285) = 6),"3 Delete",IF(ISBLANK(E285),"2 Add",IF(SHA1Range(E285:K285) = "d839c1afd365bb84bbaf2c161dfbc20eded62e06","0 Original","1 Modify"))))</f>
        <v>0 Original</v>
      </c>
      <c r="D285" s="3" t="s">
        <v>908</v>
      </c>
      <c r="E285" s="5">
        <v>286</v>
      </c>
      <c r="F285">
        <v>86</v>
      </c>
      <c r="G285" t="s">
        <v>166</v>
      </c>
      <c r="H285" s="7">
        <v>9.99</v>
      </c>
      <c r="I285" s="5">
        <v>1</v>
      </c>
      <c r="J285" s="3" t="s">
        <v>29</v>
      </c>
      <c r="K285" s="9">
        <v>42483.62572916667</v>
      </c>
    </row>
    <row r="286" spans="3:11" x14ac:dyDescent="0.25">
      <c r="C286" t="str">
        <f>IF(COUNTBLANK(E286:K286) = 7,"",IF(AND(NOT(ISBLANK(E286)),COUNTBLANK(E286:K286) = 6),"3 Delete",IF(ISBLANK(E286),"2 Add",IF(SHA1Range(E286:K286) = "9ff652ec395bf00f14c0a5e4208cc2088c12d880","0 Original","1 Modify"))))</f>
        <v>0 Original</v>
      </c>
      <c r="D286" s="3" t="s">
        <v>909</v>
      </c>
      <c r="E286" s="5">
        <v>287</v>
      </c>
      <c r="F286">
        <v>87</v>
      </c>
      <c r="G286" t="s">
        <v>587</v>
      </c>
      <c r="H286" s="7">
        <v>7.99</v>
      </c>
      <c r="I286" s="5">
        <v>1</v>
      </c>
      <c r="J286" s="3" t="s">
        <v>29</v>
      </c>
      <c r="K286" s="9">
        <v>42483.62572916667</v>
      </c>
    </row>
    <row r="287" spans="3:11" x14ac:dyDescent="0.25">
      <c r="C287" t="str">
        <f>IF(COUNTBLANK(E287:K287) = 7,"",IF(AND(NOT(ISBLANK(E287)),COUNTBLANK(E287:K287) = 6),"3 Delete",IF(ISBLANK(E287),"2 Add",IF(SHA1Range(E287:K287) = "3504b412f53588b1d9f6694596605bdb7b34fbf4","0 Original","1 Modify"))))</f>
        <v>0 Original</v>
      </c>
      <c r="D287" s="3" t="s">
        <v>910</v>
      </c>
      <c r="E287" s="5">
        <v>288</v>
      </c>
      <c r="F287">
        <v>87</v>
      </c>
      <c r="G287" t="s">
        <v>361</v>
      </c>
      <c r="H287" s="7">
        <v>6.99</v>
      </c>
      <c r="I287" s="5">
        <v>1</v>
      </c>
      <c r="J287" s="3" t="s">
        <v>29</v>
      </c>
      <c r="K287" s="9">
        <v>42483.62572916667</v>
      </c>
    </row>
    <row r="288" spans="3:11" x14ac:dyDescent="0.25">
      <c r="C288" t="str">
        <f>IF(COUNTBLANK(E288:K288) = 7,"",IF(AND(NOT(ISBLANK(E288)),COUNTBLANK(E288:K288) = 6),"3 Delete",IF(ISBLANK(E288),"2 Add",IF(SHA1Range(E288:K288) = "29fa90ae4a0f8352cbf071c3e19d26fe910f75ac","0 Original","1 Modify"))))</f>
        <v>0 Original</v>
      </c>
      <c r="D288" s="3" t="s">
        <v>911</v>
      </c>
      <c r="E288" s="5">
        <v>289</v>
      </c>
      <c r="F288">
        <v>88</v>
      </c>
      <c r="G288" t="s">
        <v>528</v>
      </c>
      <c r="H288" s="7">
        <v>7.99</v>
      </c>
      <c r="I288" s="5">
        <v>1</v>
      </c>
      <c r="J288" s="3" t="s">
        <v>29</v>
      </c>
      <c r="K288" s="9">
        <v>42483.62572916667</v>
      </c>
    </row>
    <row r="289" spans="3:11" x14ac:dyDescent="0.25">
      <c r="C289" t="str">
        <f>IF(COUNTBLANK(E289:K289) = 7,"",IF(AND(NOT(ISBLANK(E289)),COUNTBLANK(E289:K289) = 6),"3 Delete",IF(ISBLANK(E289),"2 Add",IF(SHA1Range(E289:K289) = "4ac8648b609667b532391be8759ae8456a7f851d","0 Original","1 Modify"))))</f>
        <v>0 Original</v>
      </c>
      <c r="D289" s="3" t="s">
        <v>912</v>
      </c>
      <c r="E289" s="5">
        <v>290</v>
      </c>
      <c r="F289">
        <v>88</v>
      </c>
      <c r="G289" t="s">
        <v>142</v>
      </c>
      <c r="H289" s="7">
        <v>4.99</v>
      </c>
      <c r="I289" s="5">
        <v>1</v>
      </c>
      <c r="J289" s="3" t="s">
        <v>29</v>
      </c>
      <c r="K289" s="9">
        <v>42483.62572916667</v>
      </c>
    </row>
    <row r="290" spans="3:11" x14ac:dyDescent="0.25">
      <c r="C290" t="str">
        <f>IF(COUNTBLANK(E290:K290) = 7,"",IF(AND(NOT(ISBLANK(E290)),COUNTBLANK(E290:K290) = 6),"3 Delete",IF(ISBLANK(E290),"2 Add",IF(SHA1Range(E290:K290) = "14c38ae817ef5320df85d6ef6a0433898945253f","0 Original","1 Modify"))))</f>
        <v>0 Original</v>
      </c>
      <c r="D290" s="3" t="s">
        <v>913</v>
      </c>
      <c r="E290" s="5">
        <v>291</v>
      </c>
      <c r="F290">
        <v>88</v>
      </c>
      <c r="G290" t="s">
        <v>459</v>
      </c>
      <c r="H290" s="7">
        <v>5.99</v>
      </c>
      <c r="I290" s="5">
        <v>1</v>
      </c>
      <c r="J290" s="3" t="s">
        <v>29</v>
      </c>
      <c r="K290" s="9">
        <v>42483.62572916667</v>
      </c>
    </row>
    <row r="291" spans="3:11" x14ac:dyDescent="0.25">
      <c r="C291" t="str">
        <f>IF(COUNTBLANK(E291:K291) = 7,"",IF(AND(NOT(ISBLANK(E291)),COUNTBLANK(E291:K291) = 6),"3 Delete",IF(ISBLANK(E291),"2 Add",IF(SHA1Range(E291:K291) = "7d46d86327f3603ca1bbc6b4e3a5d3560a4955eb","0 Original","1 Modify"))))</f>
        <v>0 Original</v>
      </c>
      <c r="D291" s="3" t="s">
        <v>914</v>
      </c>
      <c r="E291" s="5">
        <v>292</v>
      </c>
      <c r="F291">
        <v>88</v>
      </c>
      <c r="G291" t="s">
        <v>77</v>
      </c>
      <c r="H291" s="7">
        <v>8.99</v>
      </c>
      <c r="I291" s="5">
        <v>1</v>
      </c>
      <c r="J291" s="3" t="s">
        <v>29</v>
      </c>
      <c r="K291" s="9">
        <v>42483.62572916667</v>
      </c>
    </row>
    <row r="292" spans="3:11" x14ac:dyDescent="0.25">
      <c r="C292" t="str">
        <f>IF(COUNTBLANK(E292:K292) = 7,"",IF(AND(NOT(ISBLANK(E292)),COUNTBLANK(E292:K292) = 6),"3 Delete",IF(ISBLANK(E292),"2 Add",IF(SHA1Range(E292:K292) = "048957977bbe22312c764f7e12c0f3288f9f1978","0 Original","1 Modify"))))</f>
        <v>0 Original</v>
      </c>
      <c r="D292" s="3" t="s">
        <v>915</v>
      </c>
      <c r="E292" s="5">
        <v>293</v>
      </c>
      <c r="F292">
        <v>88</v>
      </c>
      <c r="G292" t="s">
        <v>375</v>
      </c>
      <c r="H292" s="7">
        <v>9.99</v>
      </c>
      <c r="I292" s="5">
        <v>2</v>
      </c>
      <c r="J292" s="3" t="s">
        <v>29</v>
      </c>
      <c r="K292" s="9">
        <v>42483.62572916667</v>
      </c>
    </row>
    <row r="293" spans="3:11" x14ac:dyDescent="0.25">
      <c r="C293" t="str">
        <f>IF(COUNTBLANK(E293:K293) = 7,"",IF(AND(NOT(ISBLANK(E293)),COUNTBLANK(E293:K293) = 6),"3 Delete",IF(ISBLANK(E293),"2 Add",IF(SHA1Range(E293:K293) = "24cc5195fdc0c4325aef833bc2125c0594525239","0 Original","1 Modify"))))</f>
        <v>0 Original</v>
      </c>
      <c r="D293" s="3" t="s">
        <v>916</v>
      </c>
      <c r="E293" s="5">
        <v>294</v>
      </c>
      <c r="F293">
        <v>89</v>
      </c>
      <c r="G293" t="s">
        <v>331</v>
      </c>
      <c r="H293" s="7">
        <v>9.99</v>
      </c>
      <c r="I293" s="5">
        <v>1</v>
      </c>
      <c r="J293" s="3" t="s">
        <v>29</v>
      </c>
      <c r="K293" s="9">
        <v>42483.62572916667</v>
      </c>
    </row>
    <row r="294" spans="3:11" x14ac:dyDescent="0.25">
      <c r="C294" t="str">
        <f>IF(COUNTBLANK(E294:K294) = 7,"",IF(AND(NOT(ISBLANK(E294)),COUNTBLANK(E294:K294) = 6),"3 Delete",IF(ISBLANK(E294),"2 Add",IF(SHA1Range(E294:K294) = "fceab1c2f43fd84fc51c5a87d0d2cb3ef23d78c3","0 Original","1 Modify"))))</f>
        <v>0 Original</v>
      </c>
      <c r="D294" s="3" t="s">
        <v>917</v>
      </c>
      <c r="E294" s="5">
        <v>295</v>
      </c>
      <c r="F294">
        <v>89</v>
      </c>
      <c r="G294" t="s">
        <v>88</v>
      </c>
      <c r="H294" s="7">
        <v>7.99</v>
      </c>
      <c r="I294" s="5">
        <v>1</v>
      </c>
      <c r="J294" s="3" t="s">
        <v>29</v>
      </c>
      <c r="K294" s="9">
        <v>42483.62572916667</v>
      </c>
    </row>
    <row r="295" spans="3:11" x14ac:dyDescent="0.25">
      <c r="C295" t="str">
        <f>IF(COUNTBLANK(E295:K295) = 7,"",IF(AND(NOT(ISBLANK(E295)),COUNTBLANK(E295:K295) = 6),"3 Delete",IF(ISBLANK(E295),"2 Add",IF(SHA1Range(E295:K295) = "a2585c2947a25fa1ca2872a2c2084784fb06e084","0 Original","1 Modify"))))</f>
        <v>0 Original</v>
      </c>
      <c r="D295" s="3" t="s">
        <v>918</v>
      </c>
      <c r="E295" s="5">
        <v>296</v>
      </c>
      <c r="F295">
        <v>89</v>
      </c>
      <c r="G295" t="s">
        <v>73</v>
      </c>
      <c r="H295" s="7">
        <v>8.99</v>
      </c>
      <c r="I295" s="5">
        <v>1</v>
      </c>
      <c r="J295" s="3" t="s">
        <v>29</v>
      </c>
      <c r="K295" s="9">
        <v>42483.62572916667</v>
      </c>
    </row>
    <row r="296" spans="3:11" x14ac:dyDescent="0.25">
      <c r="C296" t="str">
        <f>IF(COUNTBLANK(E296:K296) = 7,"",IF(AND(NOT(ISBLANK(E296)),COUNTBLANK(E296:K296) = 6),"3 Delete",IF(ISBLANK(E296),"2 Add",IF(SHA1Range(E296:K296) = "8d6ca3d2ba52f369231aeeaa1155d7cb1e6e86d3","0 Original","1 Modify"))))</f>
        <v>0 Original</v>
      </c>
      <c r="D296" s="3" t="s">
        <v>919</v>
      </c>
      <c r="E296" s="5">
        <v>297</v>
      </c>
      <c r="F296">
        <v>89</v>
      </c>
      <c r="G296" t="s">
        <v>465</v>
      </c>
      <c r="H296" s="7">
        <v>7.99</v>
      </c>
      <c r="I296" s="5">
        <v>1</v>
      </c>
      <c r="J296" s="3" t="s">
        <v>29</v>
      </c>
      <c r="K296" s="9">
        <v>42483.62572916667</v>
      </c>
    </row>
    <row r="297" spans="3:11" x14ac:dyDescent="0.25">
      <c r="C297" t="str">
        <f>IF(COUNTBLANK(E297:K297) = 7,"",IF(AND(NOT(ISBLANK(E297)),COUNTBLANK(E297:K297) = 6),"3 Delete",IF(ISBLANK(E297),"2 Add",IF(SHA1Range(E297:K297) = "3f3b7f38241b3a77c88866b6e95daf0ad50afdd9","0 Original","1 Modify"))))</f>
        <v>0 Original</v>
      </c>
      <c r="D297" s="3" t="s">
        <v>920</v>
      </c>
      <c r="E297" s="5">
        <v>298</v>
      </c>
      <c r="F297">
        <v>89</v>
      </c>
      <c r="G297" t="s">
        <v>152</v>
      </c>
      <c r="H297" s="7">
        <v>5.99</v>
      </c>
      <c r="I297" s="5">
        <v>1</v>
      </c>
      <c r="J297" s="3" t="s">
        <v>29</v>
      </c>
      <c r="K297" s="9">
        <v>42483.62572916667</v>
      </c>
    </row>
    <row r="298" spans="3:11" x14ac:dyDescent="0.25">
      <c r="C298" t="str">
        <f>IF(COUNTBLANK(E298:K298) = 7,"",IF(AND(NOT(ISBLANK(E298)),COUNTBLANK(E298:K298) = 6),"3 Delete",IF(ISBLANK(E298),"2 Add",IF(SHA1Range(E298:K298) = "87052aebbbc24446ec09c4a3d7442a03133a483a","0 Original","1 Modify"))))</f>
        <v>0 Original</v>
      </c>
      <c r="D298" s="3" t="s">
        <v>921</v>
      </c>
      <c r="E298" s="5">
        <v>299</v>
      </c>
      <c r="F298">
        <v>90</v>
      </c>
      <c r="G298" t="s">
        <v>612</v>
      </c>
      <c r="H298" s="7">
        <v>4.99</v>
      </c>
      <c r="I298" s="5">
        <v>1</v>
      </c>
      <c r="J298" s="3" t="s">
        <v>29</v>
      </c>
      <c r="K298" s="9">
        <v>42483.62572916667</v>
      </c>
    </row>
    <row r="299" spans="3:11" x14ac:dyDescent="0.25">
      <c r="C299" t="str">
        <f>IF(COUNTBLANK(E299:K299) = 7,"",IF(AND(NOT(ISBLANK(E299)),COUNTBLANK(E299:K299) = 6),"3 Delete",IF(ISBLANK(E299),"2 Add",IF(SHA1Range(E299:K299) = "d90abe7ba83081f93e2dc78c3d3a5e07e121a848","0 Original","1 Modify"))))</f>
        <v>0 Original</v>
      </c>
      <c r="D299" s="3" t="s">
        <v>922</v>
      </c>
      <c r="E299" s="5">
        <v>300</v>
      </c>
      <c r="F299">
        <v>91</v>
      </c>
      <c r="G299" t="s">
        <v>145</v>
      </c>
      <c r="H299" s="7">
        <v>4.99</v>
      </c>
      <c r="I299" s="5">
        <v>1</v>
      </c>
      <c r="J299" s="3" t="s">
        <v>29</v>
      </c>
      <c r="K299" s="9">
        <v>42483.62572916667</v>
      </c>
    </row>
    <row r="300" spans="3:11" x14ac:dyDescent="0.25">
      <c r="C300" t="str">
        <f>IF(COUNTBLANK(E300:K300) = 7,"",IF(AND(NOT(ISBLANK(E300)),COUNTBLANK(E300:K300) = 6),"3 Delete",IF(ISBLANK(E300),"2 Add",IF(SHA1Range(E300:K300) = "a7087ec52df419079b7c68bdcfd8c31aa0d8320b","0 Original","1 Modify"))))</f>
        <v>0 Original</v>
      </c>
      <c r="D300" s="3" t="s">
        <v>923</v>
      </c>
      <c r="E300" s="5">
        <v>301</v>
      </c>
      <c r="F300">
        <v>91</v>
      </c>
      <c r="G300" t="s">
        <v>351</v>
      </c>
      <c r="H300" s="7">
        <v>6.99</v>
      </c>
      <c r="I300" s="5">
        <v>1</v>
      </c>
      <c r="J300" s="3" t="s">
        <v>29</v>
      </c>
      <c r="K300" s="9">
        <v>42483.62572916667</v>
      </c>
    </row>
    <row r="301" spans="3:11" x14ac:dyDescent="0.25">
      <c r="C301" t="str">
        <f>IF(COUNTBLANK(E301:K301) = 7,"",IF(AND(NOT(ISBLANK(E301)),COUNTBLANK(E301:K301) = 6),"3 Delete",IF(ISBLANK(E301),"2 Add",IF(SHA1Range(E301:K301) = "a1f8ff9fd041fa6b7a60532e7f409b163078a286","0 Original","1 Modify"))))</f>
        <v>0 Original</v>
      </c>
      <c r="D301" s="3" t="s">
        <v>924</v>
      </c>
      <c r="E301" s="5">
        <v>302</v>
      </c>
      <c r="F301">
        <v>91</v>
      </c>
      <c r="G301" t="s">
        <v>361</v>
      </c>
      <c r="H301" s="7">
        <v>6.99</v>
      </c>
      <c r="I301" s="5">
        <v>2</v>
      </c>
      <c r="J301" s="3" t="s">
        <v>29</v>
      </c>
      <c r="K301" s="9">
        <v>42483.62572916667</v>
      </c>
    </row>
    <row r="302" spans="3:11" x14ac:dyDescent="0.25">
      <c r="C302" t="str">
        <f>IF(COUNTBLANK(E302:K302) = 7,"",IF(AND(NOT(ISBLANK(E302)),COUNTBLANK(E302:K302) = 6),"3 Delete",IF(ISBLANK(E302),"2 Add",IF(SHA1Range(E302:K302) = "74397573c5f909661e652160ebd792d0aab5ba90","0 Original","1 Modify"))))</f>
        <v>0 Original</v>
      </c>
      <c r="D302" s="3" t="s">
        <v>925</v>
      </c>
      <c r="E302" s="5">
        <v>303</v>
      </c>
      <c r="F302">
        <v>91</v>
      </c>
      <c r="G302" t="s">
        <v>122</v>
      </c>
      <c r="H302" s="7">
        <v>8.99</v>
      </c>
      <c r="I302" s="5">
        <v>2</v>
      </c>
      <c r="J302" s="3" t="s">
        <v>29</v>
      </c>
      <c r="K302" s="9">
        <v>42483.62572916667</v>
      </c>
    </row>
    <row r="303" spans="3:11" x14ac:dyDescent="0.25">
      <c r="C303" t="str">
        <f>IF(COUNTBLANK(E303:K303) = 7,"",IF(AND(NOT(ISBLANK(E303)),COUNTBLANK(E303:K303) = 6),"3 Delete",IF(ISBLANK(E303),"2 Add",IF(SHA1Range(E303:K303) = "5c35802e7a8a95abcd75e3cc832db4b09c566c4c","0 Original","1 Modify"))))</f>
        <v>0 Original</v>
      </c>
      <c r="D303" s="3" t="s">
        <v>926</v>
      </c>
      <c r="E303" s="5">
        <v>304</v>
      </c>
      <c r="F303">
        <v>91</v>
      </c>
      <c r="G303" t="s">
        <v>291</v>
      </c>
      <c r="H303" s="7">
        <v>5.99</v>
      </c>
      <c r="I303" s="5">
        <v>1</v>
      </c>
      <c r="J303" s="3" t="s">
        <v>29</v>
      </c>
      <c r="K303" s="9">
        <v>42483.62572916667</v>
      </c>
    </row>
    <row r="304" spans="3:11" x14ac:dyDescent="0.25">
      <c r="C304" t="str">
        <f>IF(COUNTBLANK(E304:K304) = 7,"",IF(AND(NOT(ISBLANK(E304)),COUNTBLANK(E304:K304) = 6),"3 Delete",IF(ISBLANK(E304),"2 Add",IF(SHA1Range(E304:K304) = "2df60413b930aa5d5e71c5cc3e89a0efceaf7038","0 Original","1 Modify"))))</f>
        <v>0 Original</v>
      </c>
      <c r="D304" s="3" t="s">
        <v>927</v>
      </c>
      <c r="E304" s="5">
        <v>305</v>
      </c>
      <c r="F304">
        <v>92</v>
      </c>
      <c r="G304" t="s">
        <v>304</v>
      </c>
      <c r="H304" s="7">
        <v>8.99</v>
      </c>
      <c r="I304" s="5">
        <v>1</v>
      </c>
      <c r="J304" s="3" t="s">
        <v>29</v>
      </c>
      <c r="K304" s="9">
        <v>42483.62572916667</v>
      </c>
    </row>
    <row r="305" spans="3:11" x14ac:dyDescent="0.25">
      <c r="C305" t="str">
        <f>IF(COUNTBLANK(E305:K305) = 7,"",IF(AND(NOT(ISBLANK(E305)),COUNTBLANK(E305:K305) = 6),"3 Delete",IF(ISBLANK(E305),"2 Add",IF(SHA1Range(E305:K305) = "57d93a877b3a7a7dbda05cd86f568b1cfab081ba","0 Original","1 Modify"))))</f>
        <v>0 Original</v>
      </c>
      <c r="D305" s="3" t="s">
        <v>928</v>
      </c>
      <c r="E305" s="5">
        <v>306</v>
      </c>
      <c r="F305">
        <v>92</v>
      </c>
      <c r="G305" t="s">
        <v>207</v>
      </c>
      <c r="H305" s="7">
        <v>5.99</v>
      </c>
      <c r="I305" s="5">
        <v>1</v>
      </c>
      <c r="J305" s="3" t="s">
        <v>29</v>
      </c>
      <c r="K305" s="9">
        <v>42483.62572916667</v>
      </c>
    </row>
    <row r="306" spans="3:11" x14ac:dyDescent="0.25">
      <c r="C306" t="str">
        <f>IF(COUNTBLANK(E306:K306) = 7,"",IF(AND(NOT(ISBLANK(E306)),COUNTBLANK(E306:K306) = 6),"3 Delete",IF(ISBLANK(E306),"2 Add",IF(SHA1Range(E306:K306) = "3ff2b0e2a88cdd4097b657ff75b34f6319a84ffc","0 Original","1 Modify"))))</f>
        <v>0 Original</v>
      </c>
      <c r="D306" s="3" t="s">
        <v>929</v>
      </c>
      <c r="E306" s="5">
        <v>307</v>
      </c>
      <c r="F306">
        <v>92</v>
      </c>
      <c r="G306" t="s">
        <v>156</v>
      </c>
      <c r="H306" s="7">
        <v>5.99</v>
      </c>
      <c r="I306" s="5">
        <v>1</v>
      </c>
      <c r="J306" s="3" t="s">
        <v>29</v>
      </c>
      <c r="K306" s="9">
        <v>42483.62572916667</v>
      </c>
    </row>
    <row r="307" spans="3:11" x14ac:dyDescent="0.25">
      <c r="C307" t="str">
        <f>IF(COUNTBLANK(E307:K307) = 7,"",IF(AND(NOT(ISBLANK(E307)),COUNTBLANK(E307:K307) = 6),"3 Delete",IF(ISBLANK(E307),"2 Add",IF(SHA1Range(E307:K307) = "c1d183aa4e5dcb77984e977b495eebd8d1223fa2","0 Original","1 Modify"))))</f>
        <v>0 Original</v>
      </c>
      <c r="D307" s="3" t="s">
        <v>930</v>
      </c>
      <c r="E307" s="5">
        <v>308</v>
      </c>
      <c r="F307">
        <v>92</v>
      </c>
      <c r="G307" t="s">
        <v>88</v>
      </c>
      <c r="H307" s="7">
        <v>7.99</v>
      </c>
      <c r="I307" s="5">
        <v>1</v>
      </c>
      <c r="J307" s="3" t="s">
        <v>29</v>
      </c>
      <c r="K307" s="9">
        <v>42483.62572916667</v>
      </c>
    </row>
    <row r="308" spans="3:11" x14ac:dyDescent="0.25">
      <c r="C308" t="str">
        <f>IF(COUNTBLANK(E308:K308) = 7,"",IF(AND(NOT(ISBLANK(E308)),COUNTBLANK(E308:K308) = 6),"3 Delete",IF(ISBLANK(E308),"2 Add",IF(SHA1Range(E308:K308) = "3f37c1be782076693de486572606e7335dd3273c","0 Original","1 Modify"))))</f>
        <v>0 Original</v>
      </c>
      <c r="D308" s="3" t="s">
        <v>931</v>
      </c>
      <c r="E308" s="5">
        <v>309</v>
      </c>
      <c r="F308">
        <v>92</v>
      </c>
      <c r="G308" t="s">
        <v>102</v>
      </c>
      <c r="H308" s="7">
        <v>4.99</v>
      </c>
      <c r="I308" s="5">
        <v>1</v>
      </c>
      <c r="J308" s="3" t="s">
        <v>29</v>
      </c>
      <c r="K308" s="9">
        <v>42483.62572916667</v>
      </c>
    </row>
    <row r="309" spans="3:11" x14ac:dyDescent="0.25">
      <c r="C309" t="str">
        <f>IF(COUNTBLANK(E309:K309) = 7,"",IF(AND(NOT(ISBLANK(E309)),COUNTBLANK(E309:K309) = 6),"3 Delete",IF(ISBLANK(E309),"2 Add",IF(SHA1Range(E309:K309) = "3a37a8444297a6e1c2ef49941cda99d807e429a5","0 Original","1 Modify"))))</f>
        <v>0 Original</v>
      </c>
      <c r="D309" s="3" t="s">
        <v>932</v>
      </c>
      <c r="E309" s="5">
        <v>310</v>
      </c>
      <c r="F309">
        <v>92</v>
      </c>
      <c r="G309" t="s">
        <v>291</v>
      </c>
      <c r="H309" s="7">
        <v>5.99</v>
      </c>
      <c r="I309" s="5">
        <v>1</v>
      </c>
      <c r="J309" s="3" t="s">
        <v>29</v>
      </c>
      <c r="K309" s="9">
        <v>42483.62572916667</v>
      </c>
    </row>
    <row r="310" spans="3:11" x14ac:dyDescent="0.25">
      <c r="C310" t="str">
        <f>IF(COUNTBLANK(E310:K310) = 7,"",IF(AND(NOT(ISBLANK(E310)),COUNTBLANK(E310:K310) = 6),"3 Delete",IF(ISBLANK(E310),"2 Add",IF(SHA1Range(E310:K310) = "46ade7e33ebdaace7b1a4325c4acb1ae90385822","0 Original","1 Modify"))))</f>
        <v>0 Original</v>
      </c>
      <c r="D310" s="3" t="s">
        <v>933</v>
      </c>
      <c r="E310" s="5">
        <v>311</v>
      </c>
      <c r="F310">
        <v>93</v>
      </c>
      <c r="G310" t="s">
        <v>368</v>
      </c>
      <c r="H310" s="7">
        <v>4.99</v>
      </c>
      <c r="I310" s="5">
        <v>1</v>
      </c>
      <c r="J310" s="3" t="s">
        <v>29</v>
      </c>
      <c r="K310" s="9">
        <v>42483.62572916667</v>
      </c>
    </row>
    <row r="311" spans="3:11" x14ac:dyDescent="0.25">
      <c r="C311" t="str">
        <f>IF(COUNTBLANK(E311:K311) = 7,"",IF(AND(NOT(ISBLANK(E311)),COUNTBLANK(E311:K311) = 6),"3 Delete",IF(ISBLANK(E311),"2 Add",IF(SHA1Range(E311:K311) = "c9bfc168b8385946a7ecd6b66ad7fa9e031e8015","0 Original","1 Modify"))))</f>
        <v>0 Original</v>
      </c>
      <c r="D311" s="3" t="s">
        <v>934</v>
      </c>
      <c r="E311" s="5">
        <v>312</v>
      </c>
      <c r="F311">
        <v>93</v>
      </c>
      <c r="G311" t="s">
        <v>414</v>
      </c>
      <c r="H311" s="7">
        <v>4.99</v>
      </c>
      <c r="I311" s="5">
        <v>1</v>
      </c>
      <c r="J311" s="3" t="s">
        <v>29</v>
      </c>
      <c r="K311" s="9">
        <v>42483.62572916667</v>
      </c>
    </row>
    <row r="312" spans="3:11" x14ac:dyDescent="0.25">
      <c r="C312" t="str">
        <f>IF(COUNTBLANK(E312:K312) = 7,"",IF(AND(NOT(ISBLANK(E312)),COUNTBLANK(E312:K312) = 6),"3 Delete",IF(ISBLANK(E312),"2 Add",IF(SHA1Range(E312:K312) = "5cb9d07c9953cc01fe5f1146c6f08d3b2c991f1e","0 Original","1 Modify"))))</f>
        <v>0 Original</v>
      </c>
      <c r="D312" s="3" t="s">
        <v>935</v>
      </c>
      <c r="E312" s="5">
        <v>313</v>
      </c>
      <c r="F312">
        <v>93</v>
      </c>
      <c r="G312" t="s">
        <v>207</v>
      </c>
      <c r="H312" s="7">
        <v>5.99</v>
      </c>
      <c r="I312" s="5">
        <v>1</v>
      </c>
      <c r="J312" s="3" t="s">
        <v>29</v>
      </c>
      <c r="K312" s="9">
        <v>42483.62572916667</v>
      </c>
    </row>
    <row r="313" spans="3:11" x14ac:dyDescent="0.25">
      <c r="C313" t="str">
        <f>IF(COUNTBLANK(E313:K313) = 7,"",IF(AND(NOT(ISBLANK(E313)),COUNTBLANK(E313:K313) = 6),"3 Delete",IF(ISBLANK(E313),"2 Add",IF(SHA1Range(E313:K313) = "0bc5c1c0cbec00372b162b4c44b2521e616f420b","0 Original","1 Modify"))))</f>
        <v>0 Original</v>
      </c>
      <c r="D313" s="3" t="s">
        <v>936</v>
      </c>
      <c r="E313" s="5">
        <v>314</v>
      </c>
      <c r="F313">
        <v>93</v>
      </c>
      <c r="G313" t="s">
        <v>609</v>
      </c>
      <c r="H313" s="7">
        <v>5.99</v>
      </c>
      <c r="I313" s="5">
        <v>2</v>
      </c>
      <c r="J313" s="3" t="s">
        <v>29</v>
      </c>
      <c r="K313" s="9">
        <v>42483.62572916667</v>
      </c>
    </row>
    <row r="314" spans="3:11" x14ac:dyDescent="0.25">
      <c r="C314" t="str">
        <f>IF(COUNTBLANK(E314:K314) = 7,"",IF(AND(NOT(ISBLANK(E314)),COUNTBLANK(E314:K314) = 6),"3 Delete",IF(ISBLANK(E314),"2 Add",IF(SHA1Range(E314:K314) = "92eeb7ebb3a57b8c54aade28eae08e441ddf38f6","0 Original","1 Modify"))))</f>
        <v>0 Original</v>
      </c>
      <c r="D314" s="3" t="s">
        <v>937</v>
      </c>
      <c r="E314" s="5">
        <v>315</v>
      </c>
      <c r="F314">
        <v>93</v>
      </c>
      <c r="G314" t="s">
        <v>92</v>
      </c>
      <c r="H314" s="7">
        <v>8.99</v>
      </c>
      <c r="I314" s="5">
        <v>1</v>
      </c>
      <c r="J314" s="3" t="s">
        <v>29</v>
      </c>
      <c r="K314" s="9">
        <v>42483.62572916667</v>
      </c>
    </row>
    <row r="315" spans="3:11" x14ac:dyDescent="0.25">
      <c r="C315" t="str">
        <f>IF(COUNTBLANK(E315:K315) = 7,"",IF(AND(NOT(ISBLANK(E315)),COUNTBLANK(E315:K315) = 6),"3 Delete",IF(ISBLANK(E315),"2 Add",IF(SHA1Range(E315:K315) = "8e375f5210b9a2aefb099a4cf395c1ed5790ea92","0 Original","1 Modify"))))</f>
        <v>0 Original</v>
      </c>
      <c r="D315" s="3" t="s">
        <v>938</v>
      </c>
      <c r="E315" s="5">
        <v>316</v>
      </c>
      <c r="F315">
        <v>93</v>
      </c>
      <c r="G315" t="s">
        <v>188</v>
      </c>
      <c r="H315" s="7">
        <v>7.99</v>
      </c>
      <c r="I315" s="5">
        <v>2</v>
      </c>
      <c r="J315" s="3" t="s">
        <v>29</v>
      </c>
      <c r="K315" s="9">
        <v>42483.62572916667</v>
      </c>
    </row>
    <row r="316" spans="3:11" x14ac:dyDescent="0.25">
      <c r="C316" t="str">
        <f>IF(COUNTBLANK(E316:K316) = 7,"",IF(AND(NOT(ISBLANK(E316)),COUNTBLANK(E316:K316) = 6),"3 Delete",IF(ISBLANK(E316),"2 Add",IF(SHA1Range(E316:K316) = "04682ef4f346986089a0973f621df47f734722e7","0 Original","1 Modify"))))</f>
        <v>0 Original</v>
      </c>
      <c r="D316" s="3" t="s">
        <v>939</v>
      </c>
      <c r="E316" s="5">
        <v>317</v>
      </c>
      <c r="F316">
        <v>94</v>
      </c>
      <c r="G316" t="s">
        <v>277</v>
      </c>
      <c r="H316" s="7">
        <v>4.99</v>
      </c>
      <c r="I316" s="5">
        <v>1</v>
      </c>
      <c r="J316" s="3" t="s">
        <v>29</v>
      </c>
      <c r="K316" s="9">
        <v>42483.62572916667</v>
      </c>
    </row>
    <row r="317" spans="3:11" x14ac:dyDescent="0.25">
      <c r="C317" t="str">
        <f>IF(COUNTBLANK(E317:K317) = 7,"",IF(AND(NOT(ISBLANK(E317)),COUNTBLANK(E317:K317) = 6),"3 Delete",IF(ISBLANK(E317),"2 Add",IF(SHA1Range(E317:K317) = "4f20cb3557ac6e71aa3bd0a366758e0da36306c7","0 Original","1 Modify"))))</f>
        <v>0 Original</v>
      </c>
      <c r="D317" s="3" t="s">
        <v>940</v>
      </c>
      <c r="E317" s="5">
        <v>318</v>
      </c>
      <c r="F317">
        <v>94</v>
      </c>
      <c r="G317" t="s">
        <v>410</v>
      </c>
      <c r="H317" s="7">
        <v>6.99</v>
      </c>
      <c r="I317" s="5">
        <v>1</v>
      </c>
      <c r="J317" s="3" t="s">
        <v>29</v>
      </c>
      <c r="K317" s="9">
        <v>42483.62572916667</v>
      </c>
    </row>
    <row r="318" spans="3:11" x14ac:dyDescent="0.25">
      <c r="C318" t="str">
        <f>IF(COUNTBLANK(E318:K318) = 7,"",IF(AND(NOT(ISBLANK(E318)),COUNTBLANK(E318:K318) = 6),"3 Delete",IF(ISBLANK(E318),"2 Add",IF(SHA1Range(E318:K318) = "501a6b3956c8b2e4ba3dd694c0e33cbc8f800ecc","0 Original","1 Modify"))))</f>
        <v>0 Original</v>
      </c>
      <c r="D318" s="3" t="s">
        <v>941</v>
      </c>
      <c r="E318" s="5">
        <v>319</v>
      </c>
      <c r="F318">
        <v>94</v>
      </c>
      <c r="G318" t="s">
        <v>583</v>
      </c>
      <c r="H318" s="7">
        <v>8.99</v>
      </c>
      <c r="I318" s="5">
        <v>1</v>
      </c>
      <c r="J318" s="3" t="s">
        <v>29</v>
      </c>
      <c r="K318" s="9">
        <v>42483.62572916667</v>
      </c>
    </row>
    <row r="319" spans="3:11" x14ac:dyDescent="0.25">
      <c r="C319" t="str">
        <f>IF(COUNTBLANK(E319:K319) = 7,"",IF(AND(NOT(ISBLANK(E319)),COUNTBLANK(E319:K319) = 6),"3 Delete",IF(ISBLANK(E319),"2 Add",IF(SHA1Range(E319:K319) = "3ffff0637f3ad9e69b712040f897973568f3a4d2","0 Original","1 Modify"))))</f>
        <v>0 Original</v>
      </c>
      <c r="D319" s="3" t="s">
        <v>942</v>
      </c>
      <c r="E319" s="5">
        <v>320</v>
      </c>
      <c r="F319">
        <v>94</v>
      </c>
      <c r="G319" t="s">
        <v>58</v>
      </c>
      <c r="H319" s="7">
        <v>8.99</v>
      </c>
      <c r="I319" s="5">
        <v>1</v>
      </c>
      <c r="J319" s="3" t="s">
        <v>29</v>
      </c>
      <c r="K319" s="9">
        <v>42483.62572916667</v>
      </c>
    </row>
    <row r="320" spans="3:11" x14ac:dyDescent="0.25">
      <c r="C320" t="str">
        <f>IF(COUNTBLANK(E320:K320) = 7,"",IF(AND(NOT(ISBLANK(E320)),COUNTBLANK(E320:K320) = 6),"3 Delete",IF(ISBLANK(E320),"2 Add",IF(SHA1Range(E320:K320) = "04085511be6ac64c943dc6978129ab944f8992f1","0 Original","1 Modify"))))</f>
        <v>0 Original</v>
      </c>
      <c r="D320" s="3" t="s">
        <v>943</v>
      </c>
      <c r="E320" s="5">
        <v>321</v>
      </c>
      <c r="F320">
        <v>94</v>
      </c>
      <c r="G320" t="s">
        <v>583</v>
      </c>
      <c r="H320" s="7">
        <v>8.99</v>
      </c>
      <c r="I320" s="5">
        <v>1</v>
      </c>
      <c r="J320" s="3" t="s">
        <v>29</v>
      </c>
      <c r="K320" s="9">
        <v>42483.62572916667</v>
      </c>
    </row>
    <row r="321" spans="3:11" x14ac:dyDescent="0.25">
      <c r="C321" t="str">
        <f>IF(COUNTBLANK(E321:K321) = 7,"",IF(AND(NOT(ISBLANK(E321)),COUNTBLANK(E321:K321) = 6),"3 Delete",IF(ISBLANK(E321),"2 Add",IF(SHA1Range(E321:K321) = "2b4cfe33b7c339563a9ef045ac141661db95465f","0 Original","1 Modify"))))</f>
        <v>0 Original</v>
      </c>
      <c r="D321" s="3" t="s">
        <v>944</v>
      </c>
      <c r="E321" s="5">
        <v>322</v>
      </c>
      <c r="F321">
        <v>94</v>
      </c>
      <c r="G321" t="s">
        <v>328</v>
      </c>
      <c r="H321" s="7">
        <v>8.99</v>
      </c>
      <c r="I321" s="5">
        <v>1</v>
      </c>
      <c r="J321" s="3" t="s">
        <v>29</v>
      </c>
      <c r="K321" s="9">
        <v>42483.62572916667</v>
      </c>
    </row>
    <row r="322" spans="3:11" x14ac:dyDescent="0.25">
      <c r="C322" t="str">
        <f>IF(COUNTBLANK(E322:K322) = 7,"",IF(AND(NOT(ISBLANK(E322)),COUNTBLANK(E322:K322) = 6),"3 Delete",IF(ISBLANK(E322),"2 Add",IF(SHA1Range(E322:K322) = "bc278bc74920432c7ac10f4ebeebb3819e20cf70","0 Original","1 Modify"))))</f>
        <v>0 Original</v>
      </c>
      <c r="D322" s="3" t="s">
        <v>945</v>
      </c>
      <c r="E322" s="5">
        <v>323</v>
      </c>
      <c r="F322">
        <v>94</v>
      </c>
      <c r="G322" t="s">
        <v>301</v>
      </c>
      <c r="H322" s="7">
        <v>9.99</v>
      </c>
      <c r="I322" s="5">
        <v>1</v>
      </c>
      <c r="J322" s="3" t="s">
        <v>29</v>
      </c>
      <c r="K322" s="9">
        <v>42483.62572916667</v>
      </c>
    </row>
    <row r="323" spans="3:11" x14ac:dyDescent="0.25">
      <c r="C323" t="str">
        <f>IF(COUNTBLANK(E323:K323) = 7,"",IF(AND(NOT(ISBLANK(E323)),COUNTBLANK(E323:K323) = 6),"3 Delete",IF(ISBLANK(E323),"2 Add",IF(SHA1Range(E323:K323) = "5192118e234e0e4fc940c7270f9e18e28a6141de","0 Original","1 Modify"))))</f>
        <v>0 Original</v>
      </c>
      <c r="D323" s="3" t="s">
        <v>946</v>
      </c>
      <c r="E323" s="5">
        <v>324</v>
      </c>
      <c r="F323">
        <v>95</v>
      </c>
      <c r="G323" t="s">
        <v>331</v>
      </c>
      <c r="H323" s="7">
        <v>9.99</v>
      </c>
      <c r="I323" s="5">
        <v>1</v>
      </c>
      <c r="J323" s="3" t="s">
        <v>29</v>
      </c>
      <c r="K323" s="9">
        <v>42483.62572916667</v>
      </c>
    </row>
    <row r="324" spans="3:11" x14ac:dyDescent="0.25">
      <c r="C324" t="str">
        <f>IF(COUNTBLANK(E324:K324) = 7,"",IF(AND(NOT(ISBLANK(E324)),COUNTBLANK(E324:K324) = 6),"3 Delete",IF(ISBLANK(E324),"2 Add",IF(SHA1Range(E324:K324) = "1308b9e39d4e1438094712bd5d474252b3d051c7","0 Original","1 Modify"))))</f>
        <v>0 Original</v>
      </c>
      <c r="D324" s="3" t="s">
        <v>947</v>
      </c>
      <c r="E324" s="5">
        <v>325</v>
      </c>
      <c r="F324">
        <v>95</v>
      </c>
      <c r="G324" t="s">
        <v>122</v>
      </c>
      <c r="H324" s="7">
        <v>8.99</v>
      </c>
      <c r="I324" s="5">
        <v>2</v>
      </c>
      <c r="J324" s="3" t="s">
        <v>29</v>
      </c>
      <c r="K324" s="9">
        <v>42483.62572916667</v>
      </c>
    </row>
    <row r="325" spans="3:11" x14ac:dyDescent="0.25">
      <c r="C325" t="str">
        <f>IF(COUNTBLANK(E325:K325) = 7,"",IF(AND(NOT(ISBLANK(E325)),COUNTBLANK(E325:K325) = 6),"3 Delete",IF(ISBLANK(E325),"2 Add",IF(SHA1Range(E325:K325) = "02bc5d92abf9c119088ead2b302e156e5f3b2083","0 Original","1 Modify"))))</f>
        <v>0 Original</v>
      </c>
      <c r="D325" s="3" t="s">
        <v>948</v>
      </c>
      <c r="E325" s="5">
        <v>326</v>
      </c>
      <c r="F325">
        <v>95</v>
      </c>
      <c r="G325" t="s">
        <v>553</v>
      </c>
      <c r="H325" s="7">
        <v>6.99</v>
      </c>
      <c r="I325" s="5">
        <v>1</v>
      </c>
      <c r="J325" s="3" t="s">
        <v>29</v>
      </c>
      <c r="K325" s="9">
        <v>42483.62572916667</v>
      </c>
    </row>
    <row r="326" spans="3:11" x14ac:dyDescent="0.25">
      <c r="C326" t="str">
        <f>IF(COUNTBLANK(E326:K326) = 7,"",IF(AND(NOT(ISBLANK(E326)),COUNTBLANK(E326:K326) = 6),"3 Delete",IF(ISBLANK(E326),"2 Add",IF(SHA1Range(E326:K326) = "2cdeb4c02f18a6c0532686e54596c5990e58e215","0 Original","1 Modify"))))</f>
        <v>0 Original</v>
      </c>
      <c r="D326" s="3" t="s">
        <v>949</v>
      </c>
      <c r="E326" s="5">
        <v>327</v>
      </c>
      <c r="F326">
        <v>96</v>
      </c>
      <c r="G326" t="s">
        <v>25</v>
      </c>
      <c r="H326" s="7">
        <v>8.99</v>
      </c>
      <c r="I326" s="5">
        <v>1</v>
      </c>
      <c r="J326" s="3" t="s">
        <v>29</v>
      </c>
      <c r="K326" s="9">
        <v>42483.62572916667</v>
      </c>
    </row>
    <row r="327" spans="3:11" x14ac:dyDescent="0.25">
      <c r="C327" t="str">
        <f>IF(COUNTBLANK(E327:K327) = 7,"",IF(AND(NOT(ISBLANK(E327)),COUNTBLANK(E327:K327) = 6),"3 Delete",IF(ISBLANK(E327),"2 Add",IF(SHA1Range(E327:K327) = "b10677d936a38faadf486b533ee605e04a6f6627","0 Original","1 Modify"))))</f>
        <v>0 Original</v>
      </c>
      <c r="D327" s="3" t="s">
        <v>950</v>
      </c>
      <c r="E327" s="5">
        <v>328</v>
      </c>
      <c r="F327">
        <v>96</v>
      </c>
      <c r="G327" t="s">
        <v>263</v>
      </c>
      <c r="H327" s="7">
        <v>4.99</v>
      </c>
      <c r="I327" s="5">
        <v>1</v>
      </c>
      <c r="J327" s="3" t="s">
        <v>29</v>
      </c>
      <c r="K327" s="9">
        <v>42483.62572916667</v>
      </c>
    </row>
    <row r="328" spans="3:11" x14ac:dyDescent="0.25">
      <c r="C328" t="str">
        <f>IF(COUNTBLANK(E328:K328) = 7,"",IF(AND(NOT(ISBLANK(E328)),COUNTBLANK(E328:K328) = 6),"3 Delete",IF(ISBLANK(E328),"2 Add",IF(SHA1Range(E328:K328) = "0ec1f14c7306abd22653de854e5cd17847c28ef5","0 Original","1 Modify"))))</f>
        <v>0 Original</v>
      </c>
      <c r="D328" s="3" t="s">
        <v>951</v>
      </c>
      <c r="E328" s="5">
        <v>329</v>
      </c>
      <c r="F328">
        <v>96</v>
      </c>
      <c r="G328" t="s">
        <v>398</v>
      </c>
      <c r="H328" s="7">
        <v>4.99</v>
      </c>
      <c r="I328" s="5">
        <v>1</v>
      </c>
      <c r="J328" s="3" t="s">
        <v>29</v>
      </c>
      <c r="K328" s="9">
        <v>42483.62572916667</v>
      </c>
    </row>
    <row r="329" spans="3:11" x14ac:dyDescent="0.25">
      <c r="C329" t="str">
        <f>IF(COUNTBLANK(E329:K329) = 7,"",IF(AND(NOT(ISBLANK(E329)),COUNTBLANK(E329:K329) = 6),"3 Delete",IF(ISBLANK(E329),"2 Add",IF(SHA1Range(E329:K329) = "c53406dfa84b5f0f89556244afe6e5f06f82c489","0 Original","1 Modify"))))</f>
        <v>0 Original</v>
      </c>
      <c r="D329" s="3" t="s">
        <v>952</v>
      </c>
      <c r="E329" s="5">
        <v>330</v>
      </c>
      <c r="F329">
        <v>97</v>
      </c>
      <c r="G329" t="s">
        <v>242</v>
      </c>
      <c r="H329" s="7">
        <v>7.99</v>
      </c>
      <c r="I329" s="5">
        <v>1</v>
      </c>
      <c r="J329" s="3" t="s">
        <v>29</v>
      </c>
      <c r="K329" s="9">
        <v>42483.62572916667</v>
      </c>
    </row>
    <row r="330" spans="3:11" x14ac:dyDescent="0.25">
      <c r="C330" t="str">
        <f>IF(COUNTBLANK(E330:K330) = 7,"",IF(AND(NOT(ISBLANK(E330)),COUNTBLANK(E330:K330) = 6),"3 Delete",IF(ISBLANK(E330),"2 Add",IF(SHA1Range(E330:K330) = "b00ee2b82b0a097f64f3a607c46b6c03be9ed44e","0 Original","1 Modify"))))</f>
        <v>0 Original</v>
      </c>
      <c r="D330" s="3" t="s">
        <v>953</v>
      </c>
      <c r="E330" s="5">
        <v>331</v>
      </c>
      <c r="F330">
        <v>98</v>
      </c>
      <c r="G330" t="s">
        <v>102</v>
      </c>
      <c r="H330" s="7">
        <v>4.99</v>
      </c>
      <c r="I330" s="5">
        <v>2</v>
      </c>
      <c r="J330" s="3" t="s">
        <v>29</v>
      </c>
      <c r="K330" s="9">
        <v>42483.62572916667</v>
      </c>
    </row>
    <row r="331" spans="3:11" x14ac:dyDescent="0.25">
      <c r="C331" t="str">
        <f>IF(COUNTBLANK(E331:K331) = 7,"",IF(AND(NOT(ISBLANK(E331)),COUNTBLANK(E331:K331) = 6),"3 Delete",IF(ISBLANK(E331),"2 Add",IF(SHA1Range(E331:K331) = "090e2fce2bab4928af80e8041d5fa0449297634c","0 Original","1 Modify"))))</f>
        <v>0 Original</v>
      </c>
      <c r="D331" s="3" t="s">
        <v>954</v>
      </c>
      <c r="E331" s="5">
        <v>332</v>
      </c>
      <c r="F331">
        <v>98</v>
      </c>
      <c r="G331" t="s">
        <v>375</v>
      </c>
      <c r="H331" s="7">
        <v>9.99</v>
      </c>
      <c r="I331" s="5">
        <v>1</v>
      </c>
      <c r="J331" s="3" t="s">
        <v>29</v>
      </c>
      <c r="K331" s="9">
        <v>42483.62572916667</v>
      </c>
    </row>
    <row r="332" spans="3:11" x14ac:dyDescent="0.25">
      <c r="C332" t="str">
        <f>IF(COUNTBLANK(E332:K332) = 7,"",IF(AND(NOT(ISBLANK(E332)),COUNTBLANK(E332:K332) = 6),"3 Delete",IF(ISBLANK(E332),"2 Add",IF(SHA1Range(E332:K332) = "f5ed5d5faa96abbce04d1c2a42e29b40bbbaf183","0 Original","1 Modify"))))</f>
        <v>0 Original</v>
      </c>
      <c r="D332" s="3" t="s">
        <v>955</v>
      </c>
      <c r="E332" s="5">
        <v>333</v>
      </c>
      <c r="F332">
        <v>99</v>
      </c>
      <c r="G332" t="s">
        <v>351</v>
      </c>
      <c r="H332" s="7">
        <v>6.99</v>
      </c>
      <c r="I332" s="5">
        <v>1</v>
      </c>
      <c r="J332" s="3" t="s">
        <v>29</v>
      </c>
      <c r="K332" s="9">
        <v>42483.62572916667</v>
      </c>
    </row>
    <row r="333" spans="3:11" x14ac:dyDescent="0.25">
      <c r="C333" t="str">
        <f>IF(COUNTBLANK(E333:K333) = 7,"",IF(AND(NOT(ISBLANK(E333)),COUNTBLANK(E333:K333) = 6),"3 Delete",IF(ISBLANK(E333),"2 Add",IF(SHA1Range(E333:K333) = "a8d944f626ea25dbee4ee1d5cc7f764b88808565","0 Original","1 Modify"))))</f>
        <v>0 Original</v>
      </c>
      <c r="D333" s="3" t="s">
        <v>956</v>
      </c>
      <c r="E333" s="5">
        <v>334</v>
      </c>
      <c r="F333">
        <v>99</v>
      </c>
      <c r="G333" t="s">
        <v>210</v>
      </c>
      <c r="H333" s="7">
        <v>4.99</v>
      </c>
      <c r="I333" s="5">
        <v>1</v>
      </c>
      <c r="J333" s="3" t="s">
        <v>29</v>
      </c>
      <c r="K333" s="9">
        <v>42483.62572916667</v>
      </c>
    </row>
    <row r="334" spans="3:11" x14ac:dyDescent="0.25">
      <c r="C334" t="str">
        <f>IF(COUNTBLANK(E334:K334) = 7,"",IF(AND(NOT(ISBLANK(E334)),COUNTBLANK(E334:K334) = 6),"3 Delete",IF(ISBLANK(E334),"2 Add",IF(SHA1Range(E334:K334) = "7888c13bd3fd37146d4ef370de530864c65a6c7a","0 Original","1 Modify"))))</f>
        <v>0 Original</v>
      </c>
      <c r="D334" s="3" t="s">
        <v>957</v>
      </c>
      <c r="E334" s="5">
        <v>335</v>
      </c>
      <c r="F334">
        <v>99</v>
      </c>
      <c r="G334" t="s">
        <v>242</v>
      </c>
      <c r="H334" s="7">
        <v>7.99</v>
      </c>
      <c r="I334" s="5">
        <v>1</v>
      </c>
      <c r="J334" s="3" t="s">
        <v>29</v>
      </c>
      <c r="K334" s="9">
        <v>42483.62572916667</v>
      </c>
    </row>
    <row r="335" spans="3:11" x14ac:dyDescent="0.25">
      <c r="C335" t="str">
        <f>IF(COUNTBLANK(E335:K335) = 7,"",IF(AND(NOT(ISBLANK(E335)),COUNTBLANK(E335:K335) = 6),"3 Delete",IF(ISBLANK(E335),"2 Add",IF(SHA1Range(E335:K335) = "2d3077ddedd0cd78223f0ad9a0b1668940db6328","0 Original","1 Modify"))))</f>
        <v>0 Original</v>
      </c>
      <c r="D335" s="3" t="s">
        <v>958</v>
      </c>
      <c r="E335" s="5">
        <v>336</v>
      </c>
      <c r="F335">
        <v>100</v>
      </c>
      <c r="G335" t="s">
        <v>372</v>
      </c>
      <c r="H335" s="7">
        <v>9.99</v>
      </c>
      <c r="I335" s="5">
        <v>2</v>
      </c>
      <c r="J335" s="3" t="s">
        <v>29</v>
      </c>
      <c r="K335" s="9">
        <v>42483.62572916667</v>
      </c>
    </row>
    <row r="336" spans="3:11" x14ac:dyDescent="0.25">
      <c r="C336" t="str">
        <f>IF(COUNTBLANK(E336:K336) = 7,"",IF(AND(NOT(ISBLANK(E336)),COUNTBLANK(E336:K336) = 6),"3 Delete",IF(ISBLANK(E336),"2 Add",IF(SHA1Range(E336:K336) = "034ac3d052fa582ac6e554f7382a2a23dcd6dfa3","0 Original","1 Modify"))))</f>
        <v>0 Original</v>
      </c>
      <c r="D336" s="3" t="s">
        <v>959</v>
      </c>
      <c r="E336" s="5">
        <v>337</v>
      </c>
      <c r="F336">
        <v>100</v>
      </c>
      <c r="G336" t="s">
        <v>537</v>
      </c>
      <c r="H336" s="7">
        <v>7.99</v>
      </c>
      <c r="I336" s="5">
        <v>2</v>
      </c>
      <c r="J336" s="3" t="s">
        <v>29</v>
      </c>
      <c r="K336" s="9">
        <v>42483.62572916667</v>
      </c>
    </row>
    <row r="337" spans="3:11" x14ac:dyDescent="0.25">
      <c r="C337" t="str">
        <f>IF(COUNTBLANK(E337:K337) = 7,"",IF(AND(NOT(ISBLANK(E337)),COUNTBLANK(E337:K337) = 6),"3 Delete",IF(ISBLANK(E337),"2 Add",IF(SHA1Range(E337:K337) = "cbb027fdd74a2e979b0f0508ce77ea8c48b4ae78","0 Original","1 Modify"))))</f>
        <v>0 Original</v>
      </c>
      <c r="D337" s="3" t="s">
        <v>960</v>
      </c>
      <c r="E337" s="5">
        <v>338</v>
      </c>
      <c r="F337">
        <v>100</v>
      </c>
      <c r="G337" t="s">
        <v>133</v>
      </c>
      <c r="H337" s="7">
        <v>7.99</v>
      </c>
      <c r="I337" s="5">
        <v>1</v>
      </c>
      <c r="J337" s="3" t="s">
        <v>29</v>
      </c>
      <c r="K337" s="9">
        <v>42483.62572916667</v>
      </c>
    </row>
    <row r="338" spans="3:11" x14ac:dyDescent="0.25">
      <c r="C338" t="str">
        <f>IF(COUNTBLANK(E338:K338) = 7,"",IF(AND(NOT(ISBLANK(E338)),COUNTBLANK(E338:K338) = 6),"3 Delete",IF(ISBLANK(E338),"2 Add",IF(SHA1Range(E338:K338) = "e3d3f7371f10495a0f666ff0eccfcfda267e4a01","0 Original","1 Modify"))))</f>
        <v>0 Original</v>
      </c>
      <c r="D338" s="3" t="s">
        <v>961</v>
      </c>
      <c r="E338" s="5">
        <v>339</v>
      </c>
      <c r="F338">
        <v>100</v>
      </c>
      <c r="G338" t="s">
        <v>321</v>
      </c>
      <c r="H338" s="7">
        <v>6.99</v>
      </c>
      <c r="I338" s="5">
        <v>2</v>
      </c>
      <c r="J338" s="3" t="s">
        <v>29</v>
      </c>
      <c r="K338" s="9">
        <v>42483.62572916667</v>
      </c>
    </row>
    <row r="339" spans="3:11" x14ac:dyDescent="0.25">
      <c r="C339" t="str">
        <f>IF(COUNTBLANK(E339:K339) = 7,"",IF(AND(NOT(ISBLANK(E339)),COUNTBLANK(E339:K339) = 6),"3 Delete",IF(ISBLANK(E339),"2 Add",IF(SHA1Range(E339:K339) = "e1cabecfca5f6ca76db2c476c094f05931f9d24d","0 Original","1 Modify"))))</f>
        <v>0 Original</v>
      </c>
      <c r="D339" s="3" t="s">
        <v>962</v>
      </c>
      <c r="E339" s="5">
        <v>340</v>
      </c>
      <c r="F339">
        <v>100</v>
      </c>
      <c r="G339" t="s">
        <v>33</v>
      </c>
      <c r="H339" s="7">
        <v>4.99</v>
      </c>
      <c r="I339" s="5">
        <v>1</v>
      </c>
      <c r="J339" s="3" t="s">
        <v>29</v>
      </c>
      <c r="K339" s="9">
        <v>42483.62572916667</v>
      </c>
    </row>
    <row r="340" spans="3:11" x14ac:dyDescent="0.25">
      <c r="C340" t="str">
        <f>IF(COUNTBLANK(E340:K340) = 7,"",IF(AND(NOT(ISBLANK(E340)),COUNTBLANK(E340:K340) = 6),"3 Delete",IF(ISBLANK(E340),"2 Add",IF(SHA1Range(E340:K340) = "966262b05db641d78058a3ccdfe292153a06ae84","0 Original","1 Modify"))))</f>
        <v>0 Original</v>
      </c>
      <c r="D340" s="3" t="s">
        <v>963</v>
      </c>
      <c r="E340" s="5">
        <v>341</v>
      </c>
      <c r="F340">
        <v>100</v>
      </c>
      <c r="G340" t="s">
        <v>569</v>
      </c>
      <c r="H340" s="7">
        <v>9.99</v>
      </c>
      <c r="I340" s="5">
        <v>1</v>
      </c>
      <c r="J340" s="3" t="s">
        <v>29</v>
      </c>
      <c r="K340" s="9">
        <v>42483.62572916667</v>
      </c>
    </row>
    <row r="341" spans="3:11" x14ac:dyDescent="0.25">
      <c r="C341" t="str">
        <f>IF(COUNTBLANK(E341:K341) = 7,"",IF(AND(NOT(ISBLANK(E341)),COUNTBLANK(E341:K341) = 6),"3 Delete",IF(ISBLANK(E341),"2 Add",IF(SHA1Range(E341:K341) = "9e095e12a8885d5134ac235396e47ec0a37acf55","0 Original","1 Modify"))))</f>
        <v>0 Original</v>
      </c>
      <c r="D341" s="3" t="s">
        <v>964</v>
      </c>
      <c r="E341" s="5">
        <v>342</v>
      </c>
      <c r="F341">
        <v>101</v>
      </c>
      <c r="G341" t="s">
        <v>169</v>
      </c>
      <c r="H341" s="7">
        <v>5.99</v>
      </c>
      <c r="I341" s="5">
        <v>1</v>
      </c>
      <c r="J341" s="3" t="s">
        <v>29</v>
      </c>
      <c r="K341" s="9">
        <v>42483.62572916667</v>
      </c>
    </row>
    <row r="342" spans="3:11" x14ac:dyDescent="0.25">
      <c r="C342" t="str">
        <f>IF(COUNTBLANK(E342:K342) = 7,"",IF(AND(NOT(ISBLANK(E342)),COUNTBLANK(E342:K342) = 6),"3 Delete",IF(ISBLANK(E342),"2 Add",IF(SHA1Range(E342:K342) = "7df5937ace4eece276b013938a50a9b7a7b4451e","0 Original","1 Modify"))))</f>
        <v>0 Original</v>
      </c>
      <c r="D342" s="3" t="s">
        <v>965</v>
      </c>
      <c r="E342" s="5">
        <v>343</v>
      </c>
      <c r="F342">
        <v>102</v>
      </c>
      <c r="G342" t="s">
        <v>573</v>
      </c>
      <c r="H342" s="7">
        <v>9.99</v>
      </c>
      <c r="I342" s="5">
        <v>1</v>
      </c>
      <c r="J342" s="3" t="s">
        <v>29</v>
      </c>
      <c r="K342" s="9">
        <v>42483.62572916667</v>
      </c>
    </row>
    <row r="343" spans="3:11" x14ac:dyDescent="0.25">
      <c r="C343" t="str">
        <f>IF(COUNTBLANK(E343:K343) = 7,"",IF(AND(NOT(ISBLANK(E343)),COUNTBLANK(E343:K343) = 6),"3 Delete",IF(ISBLANK(E343),"2 Add",IF(SHA1Range(E343:K343) = "9463e1c7562261434664b2ed43903f5f1d45c706","0 Original","1 Modify"))))</f>
        <v>0 Original</v>
      </c>
      <c r="D343" s="3" t="s">
        <v>966</v>
      </c>
      <c r="E343" s="5">
        <v>344</v>
      </c>
      <c r="F343">
        <v>102</v>
      </c>
      <c r="G343" t="s">
        <v>234</v>
      </c>
      <c r="H343" s="7">
        <v>4.99</v>
      </c>
      <c r="I343" s="5">
        <v>1</v>
      </c>
      <c r="J343" s="3" t="s">
        <v>29</v>
      </c>
      <c r="K343" s="9">
        <v>42483.62572916667</v>
      </c>
    </row>
    <row r="344" spans="3:11" x14ac:dyDescent="0.25">
      <c r="C344" t="str">
        <f>IF(COUNTBLANK(E344:K344) = 7,"",IF(AND(NOT(ISBLANK(E344)),COUNTBLANK(E344:K344) = 6),"3 Delete",IF(ISBLANK(E344),"2 Add",IF(SHA1Range(E344:K344) = "52db0a5f22837ab2d9e55faf0d7b13e1e1900f0c","0 Original","1 Modify"))))</f>
        <v>0 Original</v>
      </c>
      <c r="D344" s="3" t="s">
        <v>967</v>
      </c>
      <c r="E344" s="5">
        <v>345</v>
      </c>
      <c r="F344">
        <v>102</v>
      </c>
      <c r="G344" t="s">
        <v>562</v>
      </c>
      <c r="H344" s="7">
        <v>5.99</v>
      </c>
      <c r="I344" s="5">
        <v>1</v>
      </c>
      <c r="J344" s="3" t="s">
        <v>29</v>
      </c>
      <c r="K344" s="9">
        <v>42483.62572916667</v>
      </c>
    </row>
    <row r="345" spans="3:11" x14ac:dyDescent="0.25">
      <c r="C345" t="str">
        <f>IF(COUNTBLANK(E345:K345) = 7,"",IF(AND(NOT(ISBLANK(E345)),COUNTBLANK(E345:K345) = 6),"3 Delete",IF(ISBLANK(E345),"2 Add",IF(SHA1Range(E345:K345) = "dc7250f1a4d71b5401af38e5a5c33ba96315aff0","0 Original","1 Modify"))))</f>
        <v>0 Original</v>
      </c>
      <c r="D345" s="3" t="s">
        <v>968</v>
      </c>
      <c r="E345" s="5">
        <v>346</v>
      </c>
      <c r="F345">
        <v>103</v>
      </c>
      <c r="G345" t="s">
        <v>301</v>
      </c>
      <c r="H345" s="7">
        <v>9.99</v>
      </c>
      <c r="I345" s="5">
        <v>1</v>
      </c>
      <c r="J345" s="3" t="s">
        <v>29</v>
      </c>
      <c r="K345" s="9">
        <v>42483.62572916667</v>
      </c>
    </row>
    <row r="346" spans="3:11" x14ac:dyDescent="0.25">
      <c r="C346" t="str">
        <f>IF(COUNTBLANK(E346:K346) = 7,"",IF(AND(NOT(ISBLANK(E346)),COUNTBLANK(E346:K346) = 6),"3 Delete",IF(ISBLANK(E346),"2 Add",IF(SHA1Range(E346:K346) = "53f96397830363f406c19077701a2f3955b4d3d4","0 Original","1 Modify"))))</f>
        <v>0 Original</v>
      </c>
      <c r="D346" s="3" t="s">
        <v>969</v>
      </c>
      <c r="E346" s="5">
        <v>347</v>
      </c>
      <c r="F346">
        <v>103</v>
      </c>
      <c r="G346" t="s">
        <v>291</v>
      </c>
      <c r="H346" s="7">
        <v>5.99</v>
      </c>
      <c r="I346" s="5">
        <v>1</v>
      </c>
      <c r="J346" s="3" t="s">
        <v>29</v>
      </c>
      <c r="K346" s="9">
        <v>42483.62572916667</v>
      </c>
    </row>
    <row r="347" spans="3:11" x14ac:dyDescent="0.25">
      <c r="C347" t="str">
        <f>IF(COUNTBLANK(E347:K347) = 7,"",IF(AND(NOT(ISBLANK(E347)),COUNTBLANK(E347:K347) = 6),"3 Delete",IF(ISBLANK(E347),"2 Add",IF(SHA1Range(E347:K347) = "e200722edddf7cca0651f6e8711b2e468bba2620","0 Original","1 Modify"))))</f>
        <v>0 Original</v>
      </c>
      <c r="D347" s="3" t="s">
        <v>970</v>
      </c>
      <c r="E347" s="5">
        <v>348</v>
      </c>
      <c r="F347">
        <v>104</v>
      </c>
      <c r="G347" t="s">
        <v>425</v>
      </c>
      <c r="H347" s="7">
        <v>6.99</v>
      </c>
      <c r="I347" s="5">
        <v>1</v>
      </c>
      <c r="J347" s="3" t="s">
        <v>29</v>
      </c>
      <c r="K347" s="9">
        <v>42483.62572916667</v>
      </c>
    </row>
    <row r="348" spans="3:11" x14ac:dyDescent="0.25">
      <c r="C348" t="str">
        <f>IF(COUNTBLANK(E348:K348) = 7,"",IF(AND(NOT(ISBLANK(E348)),COUNTBLANK(E348:K348) = 6),"3 Delete",IF(ISBLANK(E348),"2 Add",IF(SHA1Range(E348:K348) = "9475d6113dfc4487673f1cd3eba33d6263ed8f19","0 Original","1 Modify"))))</f>
        <v>0 Original</v>
      </c>
      <c r="D348" s="3" t="s">
        <v>971</v>
      </c>
      <c r="E348" s="5">
        <v>349</v>
      </c>
      <c r="F348">
        <v>104</v>
      </c>
      <c r="G348" t="s">
        <v>273</v>
      </c>
      <c r="H348" s="7">
        <v>8.99</v>
      </c>
      <c r="I348" s="5">
        <v>2</v>
      </c>
      <c r="J348" s="3" t="s">
        <v>29</v>
      </c>
      <c r="K348" s="9">
        <v>42483.62572916667</v>
      </c>
    </row>
    <row r="349" spans="3:11" x14ac:dyDescent="0.25">
      <c r="C349" t="str">
        <f>IF(COUNTBLANK(E349:K349) = 7,"",IF(AND(NOT(ISBLANK(E349)),COUNTBLANK(E349:K349) = 6),"3 Delete",IF(ISBLANK(E349),"2 Add",IF(SHA1Range(E349:K349) = "dbb4f99f6daa33fedae82cccfa832656ddf2c46b","0 Original","1 Modify"))))</f>
        <v>0 Original</v>
      </c>
      <c r="D349" s="3" t="s">
        <v>972</v>
      </c>
      <c r="E349" s="5">
        <v>350</v>
      </c>
      <c r="F349">
        <v>104</v>
      </c>
      <c r="G349" t="s">
        <v>344</v>
      </c>
      <c r="H349" s="7">
        <v>7.99</v>
      </c>
      <c r="I349" s="5">
        <v>2</v>
      </c>
      <c r="J349" s="3" t="s">
        <v>29</v>
      </c>
      <c r="K349" s="9">
        <v>42483.62572916667</v>
      </c>
    </row>
    <row r="350" spans="3:11" x14ac:dyDescent="0.25">
      <c r="C350" t="str">
        <f>IF(COUNTBLANK(E350:K350) = 7,"",IF(AND(NOT(ISBLANK(E350)),COUNTBLANK(E350:K350) = 6),"3 Delete",IF(ISBLANK(E350),"2 Add",IF(SHA1Range(E350:K350) = "bdae1553d8e5047460dec940bf03eed7b4805aa1","0 Original","1 Modify"))))</f>
        <v>0 Original</v>
      </c>
      <c r="D350" s="3" t="s">
        <v>973</v>
      </c>
      <c r="E350" s="5">
        <v>351</v>
      </c>
      <c r="F350">
        <v>105</v>
      </c>
      <c r="G350" t="s">
        <v>569</v>
      </c>
      <c r="H350" s="7">
        <v>9.99</v>
      </c>
      <c r="I350" s="5">
        <v>1</v>
      </c>
      <c r="J350" s="3" t="s">
        <v>29</v>
      </c>
      <c r="K350" s="9">
        <v>42483.62572916667</v>
      </c>
    </row>
    <row r="351" spans="3:11" x14ac:dyDescent="0.25">
      <c r="C351" t="str">
        <f>IF(COUNTBLANK(E351:K351) = 7,"",IF(AND(NOT(ISBLANK(E351)),COUNTBLANK(E351:K351) = 6),"3 Delete",IF(ISBLANK(E351),"2 Add",IF(SHA1Range(E351:K351) = "f7ae51d2f054989d6af560e9f2030f4d57cf9a81","0 Original","1 Modify"))))</f>
        <v>0 Original</v>
      </c>
      <c r="D351" s="3" t="s">
        <v>974</v>
      </c>
      <c r="E351" s="5">
        <v>352</v>
      </c>
      <c r="F351">
        <v>105</v>
      </c>
      <c r="G351" t="s">
        <v>355</v>
      </c>
      <c r="H351" s="7">
        <v>6.99</v>
      </c>
      <c r="I351" s="5">
        <v>2</v>
      </c>
      <c r="J351" s="3" t="s">
        <v>29</v>
      </c>
      <c r="K351" s="9">
        <v>42483.62572916667</v>
      </c>
    </row>
    <row r="352" spans="3:11" x14ac:dyDescent="0.25">
      <c r="C352" t="str">
        <f>IF(COUNTBLANK(E352:K352) = 7,"",IF(AND(NOT(ISBLANK(E352)),COUNTBLANK(E352:K352) = 6),"3 Delete",IF(ISBLANK(E352),"2 Add",IF(SHA1Range(E352:K352) = "ef9e9751207868eff8655e1a01cffcc5205b042c","0 Original","1 Modify"))))</f>
        <v>0 Original</v>
      </c>
      <c r="D352" s="3" t="s">
        <v>975</v>
      </c>
      <c r="E352" s="5">
        <v>353</v>
      </c>
      <c r="F352">
        <v>105</v>
      </c>
      <c r="G352" t="s">
        <v>553</v>
      </c>
      <c r="H352" s="7">
        <v>6.99</v>
      </c>
      <c r="I352" s="5">
        <v>1</v>
      </c>
      <c r="J352" s="3" t="s">
        <v>29</v>
      </c>
      <c r="K352" s="9">
        <v>42483.62572916667</v>
      </c>
    </row>
    <row r="353" spans="3:11" x14ac:dyDescent="0.25">
      <c r="C353" t="str">
        <f>IF(COUNTBLANK(E353:K353) = 7,"",IF(AND(NOT(ISBLANK(E353)),COUNTBLANK(E353:K353) = 6),"3 Delete",IF(ISBLANK(E353),"2 Add",IF(SHA1Range(E353:K353) = "09dae8604dcc78bc5c58f31edaf7a3ef340a6eee","0 Original","1 Modify"))))</f>
        <v>0 Original</v>
      </c>
      <c r="D353" s="3" t="s">
        <v>976</v>
      </c>
      <c r="E353" s="5">
        <v>354</v>
      </c>
      <c r="F353">
        <v>105</v>
      </c>
      <c r="G353" t="s">
        <v>41</v>
      </c>
      <c r="H353" s="7">
        <v>5.99</v>
      </c>
      <c r="I353" s="5">
        <v>1</v>
      </c>
      <c r="J353" s="3" t="s">
        <v>29</v>
      </c>
      <c r="K353" s="9">
        <v>42483.62572916667</v>
      </c>
    </row>
    <row r="354" spans="3:11" x14ac:dyDescent="0.25">
      <c r="C354" t="str">
        <f>IF(COUNTBLANK(E354:K354) = 7,"",IF(AND(NOT(ISBLANK(E354)),COUNTBLANK(E354:K354) = 6),"3 Delete",IF(ISBLANK(E354),"2 Add",IF(SHA1Range(E354:K354) = "8951f6cf41bd9a3ed2d087c52007f32a423252e9","0 Original","1 Modify"))))</f>
        <v>0 Original</v>
      </c>
      <c r="D354" s="3" t="s">
        <v>977</v>
      </c>
      <c r="E354" s="5">
        <v>355</v>
      </c>
      <c r="F354">
        <v>105</v>
      </c>
      <c r="G354" t="s">
        <v>331</v>
      </c>
      <c r="H354" s="7">
        <v>9.99</v>
      </c>
      <c r="I354" s="5">
        <v>1</v>
      </c>
      <c r="J354" s="3" t="s">
        <v>29</v>
      </c>
      <c r="K354" s="9">
        <v>42483.62572916667</v>
      </c>
    </row>
    <row r="355" spans="3:11" x14ac:dyDescent="0.25">
      <c r="C355" t="str">
        <f>IF(COUNTBLANK(E355:K355) = 7,"",IF(AND(NOT(ISBLANK(E355)),COUNTBLANK(E355:K355) = 6),"3 Delete",IF(ISBLANK(E355),"2 Add",IF(SHA1Range(E355:K355) = "b7c0a7761ca852e13742d278abb6878151d52be1","0 Original","1 Modify"))))</f>
        <v>0 Original</v>
      </c>
      <c r="D355" s="3" t="s">
        <v>978</v>
      </c>
      <c r="E355" s="5">
        <v>356</v>
      </c>
      <c r="F355">
        <v>106</v>
      </c>
      <c r="G355" t="s">
        <v>172</v>
      </c>
      <c r="H355" s="7">
        <v>5.99</v>
      </c>
      <c r="I355" s="5">
        <v>1</v>
      </c>
      <c r="J355" s="3" t="s">
        <v>29</v>
      </c>
      <c r="K355" s="9">
        <v>42483.62572916667</v>
      </c>
    </row>
    <row r="356" spans="3:11" x14ac:dyDescent="0.25">
      <c r="C356" t="str">
        <f>IF(COUNTBLANK(E356:K356) = 7,"",IF(AND(NOT(ISBLANK(E356)),COUNTBLANK(E356:K356) = 6),"3 Delete",IF(ISBLANK(E356),"2 Add",IF(SHA1Range(E356:K356) = "420b6a38e091cd53d5a4b7d242f6206aabd70d14","0 Original","1 Modify"))))</f>
        <v>0 Original</v>
      </c>
      <c r="D356" s="3" t="s">
        <v>979</v>
      </c>
      <c r="E356" s="5">
        <v>357</v>
      </c>
      <c r="F356">
        <v>106</v>
      </c>
      <c r="G356" t="s">
        <v>149</v>
      </c>
      <c r="H356" s="7">
        <v>7.99</v>
      </c>
      <c r="I356" s="5">
        <v>1</v>
      </c>
      <c r="J356" s="3" t="s">
        <v>29</v>
      </c>
      <c r="K356" s="9">
        <v>42483.62572916667</v>
      </c>
    </row>
    <row r="357" spans="3:11" x14ac:dyDescent="0.25">
      <c r="C357" t="str">
        <f>IF(COUNTBLANK(E357:K357) = 7,"",IF(AND(NOT(ISBLANK(E357)),COUNTBLANK(E357:K357) = 6),"3 Delete",IF(ISBLANK(E357),"2 Add",IF(SHA1Range(E357:K357) = "263d378f0b7a6603a9941c02c831d6ea4ee4de88","0 Original","1 Modify"))))</f>
        <v>0 Original</v>
      </c>
      <c r="D357" s="3" t="s">
        <v>980</v>
      </c>
      <c r="E357" s="5">
        <v>358</v>
      </c>
      <c r="F357">
        <v>106</v>
      </c>
      <c r="G357" t="s">
        <v>250</v>
      </c>
      <c r="H357" s="7">
        <v>8.99</v>
      </c>
      <c r="I357" s="5">
        <v>2</v>
      </c>
      <c r="J357" s="3" t="s">
        <v>29</v>
      </c>
      <c r="K357" s="9">
        <v>42483.62572916667</v>
      </c>
    </row>
    <row r="358" spans="3:11" x14ac:dyDescent="0.25">
      <c r="C358" t="str">
        <f>IF(COUNTBLANK(E358:K358) = 7,"",IF(AND(NOT(ISBLANK(E358)),COUNTBLANK(E358:K358) = 6),"3 Delete",IF(ISBLANK(E358),"2 Add",IF(SHA1Range(E358:K358) = "0642c0d87ac5635995c6d18da14b9af9b4ca6cda","0 Original","1 Modify"))))</f>
        <v>0 Original</v>
      </c>
      <c r="D358" s="3" t="s">
        <v>981</v>
      </c>
      <c r="E358" s="5">
        <v>359</v>
      </c>
      <c r="F358">
        <v>107</v>
      </c>
      <c r="G358" t="s">
        <v>335</v>
      </c>
      <c r="H358" s="7">
        <v>5.99</v>
      </c>
      <c r="I358" s="5">
        <v>1</v>
      </c>
      <c r="J358" s="3" t="s">
        <v>29</v>
      </c>
      <c r="K358" s="9">
        <v>42483.62572916667</v>
      </c>
    </row>
    <row r="359" spans="3:11" x14ac:dyDescent="0.25">
      <c r="C359" t="str">
        <f>IF(COUNTBLANK(E359:K359) = 7,"",IF(AND(NOT(ISBLANK(E359)),COUNTBLANK(E359:K359) = 6),"3 Delete",IF(ISBLANK(E359),"2 Add",IF(SHA1Range(E359:K359) = "20eb0e26ee57ac7cacea8a7a3affd379a2ed9957","0 Original","1 Modify"))))</f>
        <v>0 Original</v>
      </c>
      <c r="D359" s="3" t="s">
        <v>982</v>
      </c>
      <c r="E359" s="5">
        <v>360</v>
      </c>
      <c r="F359">
        <v>107</v>
      </c>
      <c r="G359" t="s">
        <v>385</v>
      </c>
      <c r="H359" s="7">
        <v>9.99</v>
      </c>
      <c r="I359" s="5">
        <v>1</v>
      </c>
      <c r="J359" s="3" t="s">
        <v>29</v>
      </c>
      <c r="K359" s="9">
        <v>42483.62572916667</v>
      </c>
    </row>
    <row r="360" spans="3:11" x14ac:dyDescent="0.25">
      <c r="C360" t="str">
        <f>IF(COUNTBLANK(E360:K360) = 7,"",IF(AND(NOT(ISBLANK(E360)),COUNTBLANK(E360:K360) = 6),"3 Delete",IF(ISBLANK(E360),"2 Add",IF(SHA1Range(E360:K360) = "4537a57ea3e219915c9f1145a2abf7ed69e73043","0 Original","1 Modify"))))</f>
        <v>0 Original</v>
      </c>
      <c r="D360" s="3" t="s">
        <v>983</v>
      </c>
      <c r="E360" s="5">
        <v>361</v>
      </c>
      <c r="F360">
        <v>107</v>
      </c>
      <c r="G360" t="s">
        <v>318</v>
      </c>
      <c r="H360" s="7">
        <v>6.99</v>
      </c>
      <c r="I360" s="5">
        <v>2</v>
      </c>
      <c r="J360" s="3" t="s">
        <v>29</v>
      </c>
      <c r="K360" s="9">
        <v>42483.62572916667</v>
      </c>
    </row>
    <row r="361" spans="3:11" x14ac:dyDescent="0.25">
      <c r="C361" t="str">
        <f>IF(COUNTBLANK(E361:K361) = 7,"",IF(AND(NOT(ISBLANK(E361)),COUNTBLANK(E361:K361) = 6),"3 Delete",IF(ISBLANK(E361),"2 Add",IF(SHA1Range(E361:K361) = "ba216a2c21cb6ec4a09f82e252f399379ab217ab","0 Original","1 Modify"))))</f>
        <v>0 Original</v>
      </c>
      <c r="D361" s="3" t="s">
        <v>984</v>
      </c>
      <c r="E361" s="5">
        <v>362</v>
      </c>
      <c r="F361">
        <v>108</v>
      </c>
      <c r="G361" t="s">
        <v>133</v>
      </c>
      <c r="H361" s="7">
        <v>7.99</v>
      </c>
      <c r="I361" s="5">
        <v>1</v>
      </c>
      <c r="J361" s="3" t="s">
        <v>29</v>
      </c>
      <c r="K361" s="9">
        <v>42483.62572916667</v>
      </c>
    </row>
    <row r="362" spans="3:11" x14ac:dyDescent="0.25">
      <c r="C362" t="str">
        <f>IF(COUNTBLANK(E362:K362) = 7,"",IF(AND(NOT(ISBLANK(E362)),COUNTBLANK(E362:K362) = 6),"3 Delete",IF(ISBLANK(E362),"2 Add",IF(SHA1Range(E362:K362) = "eb2a142a923a7da9aa77ad4ef3ed83390596c23d","0 Original","1 Modify"))))</f>
        <v>0 Original</v>
      </c>
      <c r="D362" s="3" t="s">
        <v>985</v>
      </c>
      <c r="E362" s="5">
        <v>363</v>
      </c>
      <c r="F362">
        <v>108</v>
      </c>
      <c r="G362" t="s">
        <v>382</v>
      </c>
      <c r="H362" s="7">
        <v>9.99</v>
      </c>
      <c r="I362" s="5">
        <v>1</v>
      </c>
      <c r="J362" s="3" t="s">
        <v>29</v>
      </c>
      <c r="K362" s="9">
        <v>42483.62572916667</v>
      </c>
    </row>
    <row r="363" spans="3:11" x14ac:dyDescent="0.25">
      <c r="C363" t="str">
        <f>IF(COUNTBLANK(E363:K363) = 7,"",IF(AND(NOT(ISBLANK(E363)),COUNTBLANK(E363:K363) = 6),"3 Delete",IF(ISBLANK(E363),"2 Add",IF(SHA1Range(E363:K363) = "5636695d339bfc20b76a17e8b6d0de639662fdd0","0 Original","1 Modify"))))</f>
        <v>0 Original</v>
      </c>
      <c r="D363" s="3" t="s">
        <v>986</v>
      </c>
      <c r="E363" s="5">
        <v>364</v>
      </c>
      <c r="F363">
        <v>109</v>
      </c>
      <c r="G363" t="s">
        <v>136</v>
      </c>
      <c r="H363" s="7">
        <v>8.99</v>
      </c>
      <c r="I363" s="5">
        <v>1</v>
      </c>
      <c r="J363" s="3" t="s">
        <v>29</v>
      </c>
      <c r="K363" s="9">
        <v>42483.62572916667</v>
      </c>
    </row>
    <row r="364" spans="3:11" x14ac:dyDescent="0.25">
      <c r="C364" t="str">
        <f>IF(COUNTBLANK(E364:K364) = 7,"",IF(AND(NOT(ISBLANK(E364)),COUNTBLANK(E364:K364) = 6),"3 Delete",IF(ISBLANK(E364),"2 Add",IF(SHA1Range(E364:K364) = "243eb7dfe2ee530e9d3b5e574c32c8349205b2eb","0 Original","1 Modify"))))</f>
        <v>0 Original</v>
      </c>
      <c r="D364" s="3" t="s">
        <v>987</v>
      </c>
      <c r="E364" s="5">
        <v>365</v>
      </c>
      <c r="F364">
        <v>109</v>
      </c>
      <c r="G364" t="s">
        <v>500</v>
      </c>
      <c r="H364" s="7">
        <v>4.99</v>
      </c>
      <c r="I364" s="5">
        <v>1</v>
      </c>
      <c r="J364" s="3" t="s">
        <v>29</v>
      </c>
      <c r="K364" s="9">
        <v>42483.62572916667</v>
      </c>
    </row>
    <row r="365" spans="3:11" x14ac:dyDescent="0.25">
      <c r="C365" t="str">
        <f>IF(COUNTBLANK(E365:K365) = 7,"",IF(AND(NOT(ISBLANK(E365)),COUNTBLANK(E365:K365) = 6),"3 Delete",IF(ISBLANK(E365),"2 Add",IF(SHA1Range(E365:K365) = "bac0c728e360a7d8fe3110a8527e2a40d4a5675a","0 Original","1 Modify"))))</f>
        <v>0 Original</v>
      </c>
      <c r="D365" s="3" t="s">
        <v>988</v>
      </c>
      <c r="E365" s="5">
        <v>366</v>
      </c>
      <c r="F365">
        <v>109</v>
      </c>
      <c r="G365" t="s">
        <v>469</v>
      </c>
      <c r="H365" s="7">
        <v>5.99</v>
      </c>
      <c r="I365" s="5">
        <v>1</v>
      </c>
      <c r="J365" s="3" t="s">
        <v>29</v>
      </c>
      <c r="K365" s="9">
        <v>42483.62572916667</v>
      </c>
    </row>
    <row r="366" spans="3:11" x14ac:dyDescent="0.25">
      <c r="C366" t="str">
        <f>IF(COUNTBLANK(E366:K366) = 7,"",IF(AND(NOT(ISBLANK(E366)),COUNTBLANK(E366:K366) = 6),"3 Delete",IF(ISBLANK(E366),"2 Add",IF(SHA1Range(E366:K366) = "6b17d70630386be1b28d883518508507cbcfabde","0 Original","1 Modify"))))</f>
        <v>0 Original</v>
      </c>
      <c r="D366" s="3" t="s">
        <v>989</v>
      </c>
      <c r="E366" s="5">
        <v>367</v>
      </c>
      <c r="F366">
        <v>110</v>
      </c>
      <c r="G366" t="s">
        <v>41</v>
      </c>
      <c r="H366" s="7">
        <v>5.99</v>
      </c>
      <c r="I366" s="5">
        <v>1</v>
      </c>
      <c r="J366" s="3" t="s">
        <v>29</v>
      </c>
      <c r="K366" s="9">
        <v>42483.62572916667</v>
      </c>
    </row>
    <row r="367" spans="3:11" x14ac:dyDescent="0.25">
      <c r="C367" t="str">
        <f>IF(COUNTBLANK(E367:K367) = 7,"",IF(AND(NOT(ISBLANK(E367)),COUNTBLANK(E367:K367) = 6),"3 Delete",IF(ISBLANK(E367),"2 Add",IF(SHA1Range(E367:K367) = "d919035f2080b2feb14edd1a314d9265a586606a","0 Original","1 Modify"))))</f>
        <v>0 Original</v>
      </c>
      <c r="D367" s="3" t="s">
        <v>990</v>
      </c>
      <c r="E367" s="5">
        <v>368</v>
      </c>
      <c r="F367">
        <v>110</v>
      </c>
      <c r="G367" t="s">
        <v>355</v>
      </c>
      <c r="H367" s="7">
        <v>6.99</v>
      </c>
      <c r="I367" s="5">
        <v>1</v>
      </c>
      <c r="J367" s="3" t="s">
        <v>29</v>
      </c>
      <c r="K367" s="9">
        <v>42483.62572916667</v>
      </c>
    </row>
    <row r="368" spans="3:11" x14ac:dyDescent="0.25">
      <c r="C368" t="str">
        <f>IF(COUNTBLANK(E368:K368) = 7,"",IF(AND(NOT(ISBLANK(E368)),COUNTBLANK(E368:K368) = 6),"3 Delete",IF(ISBLANK(E368),"2 Add",IF(SHA1Range(E368:K368) = "55cb742ee78d5b3780fab795568a1bca7dc5452d","0 Original","1 Modify"))))</f>
        <v>0 Original</v>
      </c>
      <c r="D368" s="3" t="s">
        <v>991</v>
      </c>
      <c r="E368" s="5">
        <v>369</v>
      </c>
      <c r="F368">
        <v>110</v>
      </c>
      <c r="G368" t="s">
        <v>431</v>
      </c>
      <c r="H368" s="7">
        <v>5.99</v>
      </c>
      <c r="I368" s="5">
        <v>1</v>
      </c>
      <c r="J368" s="3" t="s">
        <v>29</v>
      </c>
      <c r="K368" s="9">
        <v>42483.62572916667</v>
      </c>
    </row>
    <row r="369" spans="3:11" x14ac:dyDescent="0.25">
      <c r="C369" t="str">
        <f>IF(COUNTBLANK(E369:K369) = 7,"",IF(AND(NOT(ISBLANK(E369)),COUNTBLANK(E369:K369) = 6),"3 Delete",IF(ISBLANK(E369),"2 Add",IF(SHA1Range(E369:K369) = "0ab5ed34deb3b03240803dbd8e88ca3868621d15","0 Original","1 Modify"))))</f>
        <v>0 Original</v>
      </c>
      <c r="D369" s="3" t="s">
        <v>992</v>
      </c>
      <c r="E369" s="5">
        <v>370</v>
      </c>
      <c r="F369">
        <v>111</v>
      </c>
      <c r="G369" t="s">
        <v>331</v>
      </c>
      <c r="H369" s="7">
        <v>9.99</v>
      </c>
      <c r="I369" s="5">
        <v>2</v>
      </c>
      <c r="J369" s="3" t="s">
        <v>29</v>
      </c>
      <c r="K369" s="9">
        <v>42483.62572916667</v>
      </c>
    </row>
    <row r="370" spans="3:11" x14ac:dyDescent="0.25">
      <c r="C370" t="str">
        <f>IF(COUNTBLANK(E370:K370) = 7,"",IF(AND(NOT(ISBLANK(E370)),COUNTBLANK(E370:K370) = 6),"3 Delete",IF(ISBLANK(E370),"2 Add",IF(SHA1Range(E370:K370) = "263961e4b0517a9b0effef85aa40197a01b24578","0 Original","1 Modify"))))</f>
        <v>0 Original</v>
      </c>
      <c r="D370" s="3" t="s">
        <v>993</v>
      </c>
      <c r="E370" s="5">
        <v>371</v>
      </c>
      <c r="F370">
        <v>111</v>
      </c>
      <c r="G370" t="s">
        <v>500</v>
      </c>
      <c r="H370" s="7">
        <v>4.99</v>
      </c>
      <c r="I370" s="5">
        <v>2</v>
      </c>
      <c r="J370" s="3" t="s">
        <v>29</v>
      </c>
      <c r="K370" s="9">
        <v>42483.62572916667</v>
      </c>
    </row>
    <row r="371" spans="3:11" x14ac:dyDescent="0.25">
      <c r="C371" t="str">
        <f>IF(COUNTBLANK(E371:K371) = 7,"",IF(AND(NOT(ISBLANK(E371)),COUNTBLANK(E371:K371) = 6),"3 Delete",IF(ISBLANK(E371),"2 Add",IF(SHA1Range(E371:K371) = "edd838c7389b17f5aed54e2a6b76bf94dbd505cc","0 Original","1 Modify"))))</f>
        <v>0 Original</v>
      </c>
      <c r="D371" s="3" t="s">
        <v>994</v>
      </c>
      <c r="E371" s="5">
        <v>372</v>
      </c>
      <c r="F371">
        <v>111</v>
      </c>
      <c r="G371" t="s">
        <v>522</v>
      </c>
      <c r="H371" s="7">
        <v>6.99</v>
      </c>
      <c r="I371" s="5">
        <v>1</v>
      </c>
      <c r="J371" s="3" t="s">
        <v>29</v>
      </c>
      <c r="K371" s="9">
        <v>42483.62572916667</v>
      </c>
    </row>
    <row r="372" spans="3:11" x14ac:dyDescent="0.25">
      <c r="C372" t="str">
        <f>IF(COUNTBLANK(E372:K372) = 7,"",IF(AND(NOT(ISBLANK(E372)),COUNTBLANK(E372:K372) = 6),"3 Delete",IF(ISBLANK(E372),"2 Add",IF(SHA1Range(E372:K372) = "6e8f6a5dcf9d58d410de93cc7b9666dcbaf44532","0 Original","1 Modify"))))</f>
        <v>0 Original</v>
      </c>
      <c r="D372" s="3" t="s">
        <v>995</v>
      </c>
      <c r="E372" s="5">
        <v>373</v>
      </c>
      <c r="F372">
        <v>111</v>
      </c>
      <c r="G372" t="s">
        <v>291</v>
      </c>
      <c r="H372" s="7">
        <v>5.99</v>
      </c>
      <c r="I372" s="5">
        <v>1</v>
      </c>
      <c r="J372" s="3" t="s">
        <v>29</v>
      </c>
      <c r="K372" s="9">
        <v>42483.62572916667</v>
      </c>
    </row>
    <row r="373" spans="3:11" x14ac:dyDescent="0.25">
      <c r="C373" t="str">
        <f>IF(COUNTBLANK(E373:K373) = 7,"",IF(AND(NOT(ISBLANK(E373)),COUNTBLANK(E373:K373) = 6),"3 Delete",IF(ISBLANK(E373),"2 Add",IF(SHA1Range(E373:K373) = "0a56e71f659996226ece70fd11430e8e51db6690","0 Original","1 Modify"))))</f>
        <v>0 Original</v>
      </c>
      <c r="D373" s="3" t="s">
        <v>996</v>
      </c>
      <c r="E373" s="5">
        <v>374</v>
      </c>
      <c r="F373">
        <v>111</v>
      </c>
      <c r="G373" t="s">
        <v>506</v>
      </c>
      <c r="H373" s="7">
        <v>6.99</v>
      </c>
      <c r="I373" s="5">
        <v>1</v>
      </c>
      <c r="J373" s="3" t="s">
        <v>29</v>
      </c>
      <c r="K373" s="9">
        <v>42483.62572916667</v>
      </c>
    </row>
    <row r="374" spans="3:11" x14ac:dyDescent="0.25">
      <c r="C374" t="str">
        <f>IF(COUNTBLANK(E374:K374) = 7,"",IF(AND(NOT(ISBLANK(E374)),COUNTBLANK(E374:K374) = 6),"3 Delete",IF(ISBLANK(E374),"2 Add",IF(SHA1Range(E374:K374) = "f02e0c49efb832d5cd8443e61788ceefd23aefac","0 Original","1 Modify"))))</f>
        <v>0 Original</v>
      </c>
      <c r="D374" s="3" t="s">
        <v>997</v>
      </c>
      <c r="E374" s="5">
        <v>375</v>
      </c>
      <c r="F374">
        <v>112</v>
      </c>
      <c r="G374" t="s">
        <v>556</v>
      </c>
      <c r="H374" s="7">
        <v>8.99</v>
      </c>
      <c r="I374" s="5">
        <v>1</v>
      </c>
      <c r="J374" s="3" t="s">
        <v>29</v>
      </c>
      <c r="K374" s="9">
        <v>42483.62572916667</v>
      </c>
    </row>
    <row r="375" spans="3:11" x14ac:dyDescent="0.25">
      <c r="C375" t="str">
        <f>IF(COUNTBLANK(E375:K375) = 7,"",IF(AND(NOT(ISBLANK(E375)),COUNTBLANK(E375:K375) = 6),"3 Delete",IF(ISBLANK(E375),"2 Add",IF(SHA1Range(E375:K375) = "cd0adf357938e5cc84227d3ff868a5d4cc48b0e0","0 Original","1 Modify"))))</f>
        <v>0 Original</v>
      </c>
      <c r="D375" s="3" t="s">
        <v>998</v>
      </c>
      <c r="E375" s="5">
        <v>376</v>
      </c>
      <c r="F375">
        <v>112</v>
      </c>
      <c r="G375" t="s">
        <v>263</v>
      </c>
      <c r="H375" s="7">
        <v>4.99</v>
      </c>
      <c r="I375" s="5">
        <v>2</v>
      </c>
      <c r="J375" s="3" t="s">
        <v>29</v>
      </c>
      <c r="K375" s="9">
        <v>42483.62572916667</v>
      </c>
    </row>
    <row r="376" spans="3:11" x14ac:dyDescent="0.25">
      <c r="C376" t="str">
        <f>IF(COUNTBLANK(E376:K376) = 7,"",IF(AND(NOT(ISBLANK(E376)),COUNTBLANK(E376:K376) = 6),"3 Delete",IF(ISBLANK(E376),"2 Add",IF(SHA1Range(E376:K376) = "1a7928b9dd25d4818e98787506f73af316dcba2a","0 Original","1 Modify"))))</f>
        <v>0 Original</v>
      </c>
      <c r="D376" s="3" t="s">
        <v>999</v>
      </c>
      <c r="E376" s="5">
        <v>377</v>
      </c>
      <c r="F376">
        <v>113</v>
      </c>
      <c r="G376" t="s">
        <v>159</v>
      </c>
      <c r="H376" s="7">
        <v>5.99</v>
      </c>
      <c r="I376" s="5">
        <v>2</v>
      </c>
      <c r="J376" s="3" t="s">
        <v>29</v>
      </c>
      <c r="K376" s="9">
        <v>42483.62572916667</v>
      </c>
    </row>
    <row r="377" spans="3:11" x14ac:dyDescent="0.25">
      <c r="C377" t="str">
        <f>IF(COUNTBLANK(E377:K377) = 7,"",IF(AND(NOT(ISBLANK(E377)),COUNTBLANK(E377:K377) = 6),"3 Delete",IF(ISBLANK(E377),"2 Add",IF(SHA1Range(E377:K377) = "9debce37721c09f20394f44644a55aa3a6269715","0 Original","1 Modify"))))</f>
        <v>0 Original</v>
      </c>
      <c r="D377" s="3" t="s">
        <v>1000</v>
      </c>
      <c r="E377" s="5">
        <v>378</v>
      </c>
      <c r="F377">
        <v>113</v>
      </c>
      <c r="G377" t="s">
        <v>304</v>
      </c>
      <c r="H377" s="7">
        <v>8.99</v>
      </c>
      <c r="I377" s="5">
        <v>2</v>
      </c>
      <c r="J377" s="3" t="s">
        <v>29</v>
      </c>
      <c r="K377" s="9">
        <v>42483.62572916667</v>
      </c>
    </row>
    <row r="378" spans="3:11" x14ac:dyDescent="0.25">
      <c r="C378" t="str">
        <f>IF(COUNTBLANK(E378:K378) = 7,"",IF(AND(NOT(ISBLANK(E378)),COUNTBLANK(E378:K378) = 6),"3 Delete",IF(ISBLANK(E378),"2 Add",IF(SHA1Range(E378:K378) = "f586cbe3ac7c947bd29701522e302f8268e859d4","0 Original","1 Modify"))))</f>
        <v>0 Original</v>
      </c>
      <c r="D378" s="3" t="s">
        <v>1001</v>
      </c>
      <c r="E378" s="5">
        <v>379</v>
      </c>
      <c r="F378">
        <v>113</v>
      </c>
      <c r="G378" t="s">
        <v>188</v>
      </c>
      <c r="H378" s="7">
        <v>7.99</v>
      </c>
      <c r="I378" s="5">
        <v>1</v>
      </c>
      <c r="J378" s="3" t="s">
        <v>29</v>
      </c>
      <c r="K378" s="9">
        <v>42483.62572916667</v>
      </c>
    </row>
    <row r="379" spans="3:11" x14ac:dyDescent="0.25">
      <c r="C379" t="str">
        <f>IF(COUNTBLANK(E379:K379) = 7,"",IF(AND(NOT(ISBLANK(E379)),COUNTBLANK(E379:K379) = 6),"3 Delete",IF(ISBLANK(E379),"2 Add",IF(SHA1Range(E379:K379) = "df5f0b78e6b2455edbcbbb213ce4cf7ee0cc8d3a","0 Original","1 Modify"))))</f>
        <v>0 Original</v>
      </c>
      <c r="D379" s="3" t="s">
        <v>1002</v>
      </c>
      <c r="E379" s="5">
        <v>380</v>
      </c>
      <c r="F379">
        <v>114</v>
      </c>
      <c r="G379" t="s">
        <v>145</v>
      </c>
      <c r="H379" s="7">
        <v>4.99</v>
      </c>
      <c r="I379" s="5">
        <v>2</v>
      </c>
      <c r="J379" s="3" t="s">
        <v>29</v>
      </c>
      <c r="K379" s="9">
        <v>42483.62572916667</v>
      </c>
    </row>
    <row r="380" spans="3:11" x14ac:dyDescent="0.25">
      <c r="C380" t="str">
        <f>IF(COUNTBLANK(E380:K380) = 7,"",IF(AND(NOT(ISBLANK(E380)),COUNTBLANK(E380:K380) = 6),"3 Delete",IF(ISBLANK(E380),"2 Add",IF(SHA1Range(E380:K380) = "87a5498b9ab25ab50733b8e068b26bd304edd05f","0 Original","1 Modify"))))</f>
        <v>0 Original</v>
      </c>
      <c r="D380" s="3" t="s">
        <v>1003</v>
      </c>
      <c r="E380" s="5">
        <v>381</v>
      </c>
      <c r="F380">
        <v>114</v>
      </c>
      <c r="G380" t="s">
        <v>525</v>
      </c>
      <c r="H380" s="7">
        <v>4.99</v>
      </c>
      <c r="I380" s="5">
        <v>1</v>
      </c>
      <c r="J380" s="3" t="s">
        <v>29</v>
      </c>
      <c r="K380" s="9">
        <v>42483.62572916667</v>
      </c>
    </row>
    <row r="381" spans="3:11" x14ac:dyDescent="0.25">
      <c r="C381" t="str">
        <f>IF(COUNTBLANK(E381:K381) = 7,"",IF(AND(NOT(ISBLANK(E381)),COUNTBLANK(E381:K381) = 6),"3 Delete",IF(ISBLANK(E381),"2 Add",IF(SHA1Range(E381:K381) = "f537c7aa0ec5811e2ac87c452bff8516251246dc","0 Original","1 Modify"))))</f>
        <v>0 Original</v>
      </c>
      <c r="D381" s="3" t="s">
        <v>1004</v>
      </c>
      <c r="E381" s="5">
        <v>382</v>
      </c>
      <c r="F381">
        <v>114</v>
      </c>
      <c r="G381" t="s">
        <v>130</v>
      </c>
      <c r="H381" s="7">
        <v>8.99</v>
      </c>
      <c r="I381" s="5">
        <v>2</v>
      </c>
      <c r="J381" s="3" t="s">
        <v>29</v>
      </c>
      <c r="K381" s="9">
        <v>42483.62572916667</v>
      </c>
    </row>
    <row r="382" spans="3:11" x14ac:dyDescent="0.25">
      <c r="C382" t="str">
        <f>IF(COUNTBLANK(E382:K382) = 7,"",IF(AND(NOT(ISBLANK(E382)),COUNTBLANK(E382:K382) = 6),"3 Delete",IF(ISBLANK(E382),"2 Add",IF(SHA1Range(E382:K382) = "a135648aa8037422506c74923d73bb3a1f772615","0 Original","1 Modify"))))</f>
        <v>0 Original</v>
      </c>
      <c r="D382" s="3" t="s">
        <v>1005</v>
      </c>
      <c r="E382" s="5">
        <v>383</v>
      </c>
      <c r="F382">
        <v>114</v>
      </c>
      <c r="G382" t="s">
        <v>277</v>
      </c>
      <c r="H382" s="7">
        <v>4.99</v>
      </c>
      <c r="I382" s="5">
        <v>2</v>
      </c>
      <c r="J382" s="3" t="s">
        <v>29</v>
      </c>
      <c r="K382" s="9">
        <v>42483.62572916667</v>
      </c>
    </row>
    <row r="383" spans="3:11" x14ac:dyDescent="0.25">
      <c r="C383" t="str">
        <f>IF(COUNTBLANK(E383:K383) = 7,"",IF(AND(NOT(ISBLANK(E383)),COUNTBLANK(E383:K383) = 6),"3 Delete",IF(ISBLANK(E383),"2 Add",IF(SHA1Range(E383:K383) = "e37dd036d2fdb5f087f5077a086739aa93d24306","0 Original","1 Modify"))))</f>
        <v>0 Original</v>
      </c>
      <c r="D383" s="3" t="s">
        <v>1006</v>
      </c>
      <c r="E383" s="5">
        <v>384</v>
      </c>
      <c r="F383">
        <v>114</v>
      </c>
      <c r="G383" t="s">
        <v>199</v>
      </c>
      <c r="H383" s="7">
        <v>5.99</v>
      </c>
      <c r="I383" s="5">
        <v>1</v>
      </c>
      <c r="J383" s="3" t="s">
        <v>29</v>
      </c>
      <c r="K383" s="9">
        <v>42483.62572916667</v>
      </c>
    </row>
    <row r="384" spans="3:11" x14ac:dyDescent="0.25">
      <c r="C384" t="str">
        <f>IF(COUNTBLANK(E384:K384) = 7,"",IF(AND(NOT(ISBLANK(E384)),COUNTBLANK(E384:K384) = 6),"3 Delete",IF(ISBLANK(E384),"2 Add",IF(SHA1Range(E384:K384) = "868290547d968a69aeec41ca6fac279f4f104901","0 Original","1 Modify"))))</f>
        <v>0 Original</v>
      </c>
      <c r="D384" s="3" t="s">
        <v>1007</v>
      </c>
      <c r="E384" s="5">
        <v>385</v>
      </c>
      <c r="F384">
        <v>115</v>
      </c>
      <c r="G384" t="s">
        <v>130</v>
      </c>
      <c r="H384" s="7">
        <v>8.99</v>
      </c>
      <c r="I384" s="5">
        <v>1</v>
      </c>
      <c r="J384" s="3" t="s">
        <v>29</v>
      </c>
      <c r="K384" s="9">
        <v>42483.62572916667</v>
      </c>
    </row>
    <row r="385" spans="3:11" x14ac:dyDescent="0.25">
      <c r="C385" t="str">
        <f>IF(COUNTBLANK(E385:K385) = 7,"",IF(AND(NOT(ISBLANK(E385)),COUNTBLANK(E385:K385) = 6),"3 Delete",IF(ISBLANK(E385),"2 Add",IF(SHA1Range(E385:K385) = "4d7e60b56703ae50bf44fe0ed4a9399f2e77df9b","0 Original","1 Modify"))))</f>
        <v>0 Original</v>
      </c>
      <c r="D385" s="3" t="s">
        <v>1008</v>
      </c>
      <c r="E385" s="5">
        <v>386</v>
      </c>
      <c r="F385">
        <v>115</v>
      </c>
      <c r="G385" t="s">
        <v>169</v>
      </c>
      <c r="H385" s="7">
        <v>5.99</v>
      </c>
      <c r="I385" s="5">
        <v>1</v>
      </c>
      <c r="J385" s="3" t="s">
        <v>29</v>
      </c>
      <c r="K385" s="9">
        <v>42483.62572916667</v>
      </c>
    </row>
    <row r="386" spans="3:11" x14ac:dyDescent="0.25">
      <c r="C386" t="str">
        <f>IF(COUNTBLANK(E386:K386) = 7,"",IF(AND(NOT(ISBLANK(E386)),COUNTBLANK(E386:K386) = 6),"3 Delete",IF(ISBLANK(E386),"2 Add",IF(SHA1Range(E386:K386) = "5210b4e75f3978f2064cdb7721c0b324b928f721","0 Original","1 Modify"))))</f>
        <v>0 Original</v>
      </c>
      <c r="D386" s="3" t="s">
        <v>1009</v>
      </c>
      <c r="E386" s="5">
        <v>387</v>
      </c>
      <c r="F386">
        <v>115</v>
      </c>
      <c r="G386" t="s">
        <v>277</v>
      </c>
      <c r="H386" s="7">
        <v>4.99</v>
      </c>
      <c r="I386" s="5">
        <v>1</v>
      </c>
      <c r="J386" s="3" t="s">
        <v>29</v>
      </c>
      <c r="K386" s="9">
        <v>42483.62572916667</v>
      </c>
    </row>
    <row r="387" spans="3:11" x14ac:dyDescent="0.25">
      <c r="C387" t="str">
        <f>IF(COUNTBLANK(E387:K387) = 7,"",IF(AND(NOT(ISBLANK(E387)),COUNTBLANK(E387:K387) = 6),"3 Delete",IF(ISBLANK(E387),"2 Add",IF(SHA1Range(E387:K387) = "a3b7600b559d2e7502e0fe3db584f016b60a1053","0 Original","1 Modify"))))</f>
        <v>0 Original</v>
      </c>
      <c r="D387" s="3" t="s">
        <v>1010</v>
      </c>
      <c r="E387" s="5">
        <v>388</v>
      </c>
      <c r="F387">
        <v>116</v>
      </c>
      <c r="G387" t="s">
        <v>77</v>
      </c>
      <c r="H387" s="7">
        <v>8.99</v>
      </c>
      <c r="I387" s="5">
        <v>1</v>
      </c>
      <c r="J387" s="3" t="s">
        <v>29</v>
      </c>
      <c r="K387" s="9">
        <v>42483.62572916667</v>
      </c>
    </row>
    <row r="388" spans="3:11" x14ac:dyDescent="0.25">
      <c r="C388" t="str">
        <f>IF(COUNTBLANK(E388:K388) = 7,"",IF(AND(NOT(ISBLANK(E388)),COUNTBLANK(E388:K388) = 6),"3 Delete",IF(ISBLANK(E388),"2 Add",IF(SHA1Range(E388:K388) = "532947eca5d449726320eed263a32b4c053065ec","0 Original","1 Modify"))))</f>
        <v>0 Original</v>
      </c>
      <c r="D388" s="3" t="s">
        <v>1011</v>
      </c>
      <c r="E388" s="5">
        <v>389</v>
      </c>
      <c r="F388">
        <v>116</v>
      </c>
      <c r="G388" t="s">
        <v>583</v>
      </c>
      <c r="H388" s="7">
        <v>8.99</v>
      </c>
      <c r="I388" s="5">
        <v>1</v>
      </c>
      <c r="J388" s="3" t="s">
        <v>29</v>
      </c>
      <c r="K388" s="9">
        <v>42483.62572916667</v>
      </c>
    </row>
    <row r="389" spans="3:11" x14ac:dyDescent="0.25">
      <c r="C389" t="str">
        <f>IF(COUNTBLANK(E389:K389) = 7,"",IF(AND(NOT(ISBLANK(E389)),COUNTBLANK(E389:K389) = 6),"3 Delete",IF(ISBLANK(E389),"2 Add",IF(SHA1Range(E389:K389) = "fe561af470e78ae3b193275f6a9e853d0cf696f2","0 Original","1 Modify"))))</f>
        <v>0 Original</v>
      </c>
      <c r="D389" s="3" t="s">
        <v>1012</v>
      </c>
      <c r="E389" s="5">
        <v>390</v>
      </c>
      <c r="F389">
        <v>117</v>
      </c>
      <c r="G389" t="s">
        <v>382</v>
      </c>
      <c r="H389" s="7">
        <v>9.99</v>
      </c>
      <c r="I389" s="5">
        <v>1</v>
      </c>
      <c r="J389" s="3" t="s">
        <v>29</v>
      </c>
      <c r="K389" s="9">
        <v>42483.62572916667</v>
      </c>
    </row>
    <row r="390" spans="3:11" x14ac:dyDescent="0.25">
      <c r="C390" t="str">
        <f>IF(COUNTBLANK(E390:K390) = 7,"",IF(AND(NOT(ISBLANK(E390)),COUNTBLANK(E390:K390) = 6),"3 Delete",IF(ISBLANK(E390),"2 Add",IF(SHA1Range(E390:K390) = "e8453de9aa365b8d3775fde5f94e0f2c65455c70","0 Original","1 Modify"))))</f>
        <v>0 Original</v>
      </c>
      <c r="D390" s="3" t="s">
        <v>1013</v>
      </c>
      <c r="E390" s="5">
        <v>391</v>
      </c>
      <c r="F390">
        <v>117</v>
      </c>
      <c r="G390" t="s">
        <v>401</v>
      </c>
      <c r="H390" s="7">
        <v>9.99</v>
      </c>
      <c r="I390" s="5">
        <v>1</v>
      </c>
      <c r="J390" s="3" t="s">
        <v>29</v>
      </c>
      <c r="K390" s="9">
        <v>42483.62572916667</v>
      </c>
    </row>
    <row r="391" spans="3:11" x14ac:dyDescent="0.25">
      <c r="C391" t="str">
        <f>IF(COUNTBLANK(E391:K391) = 7,"",IF(AND(NOT(ISBLANK(E391)),COUNTBLANK(E391:K391) = 6),"3 Delete",IF(ISBLANK(E391),"2 Add",IF(SHA1Range(E391:K391) = "7e0ead4e300105ddd0a2134c7e3d440328548f06","0 Original","1 Modify"))))</f>
        <v>0 Original</v>
      </c>
      <c r="D391" s="3" t="s">
        <v>1014</v>
      </c>
      <c r="E391" s="5">
        <v>392</v>
      </c>
      <c r="F391">
        <v>117</v>
      </c>
      <c r="G391" t="s">
        <v>149</v>
      </c>
      <c r="H391" s="7">
        <v>7.99</v>
      </c>
      <c r="I391" s="5">
        <v>2</v>
      </c>
      <c r="J391" s="3" t="s">
        <v>29</v>
      </c>
      <c r="K391" s="9">
        <v>42483.62572916667</v>
      </c>
    </row>
    <row r="392" spans="3:11" x14ac:dyDescent="0.25">
      <c r="C392" t="str">
        <f>IF(COUNTBLANK(E392:K392) = 7,"",IF(AND(NOT(ISBLANK(E392)),COUNTBLANK(E392:K392) = 6),"3 Delete",IF(ISBLANK(E392),"2 Add",IF(SHA1Range(E392:K392) = "2e204fa3c156d935149a3468f9137378c962c027","0 Original","1 Modify"))))</f>
        <v>0 Original</v>
      </c>
      <c r="D392" s="3" t="s">
        <v>1015</v>
      </c>
      <c r="E392" s="5">
        <v>393</v>
      </c>
      <c r="F392">
        <v>118</v>
      </c>
      <c r="G392" t="s">
        <v>188</v>
      </c>
      <c r="H392" s="7">
        <v>7.99</v>
      </c>
      <c r="I392" s="5">
        <v>1</v>
      </c>
      <c r="J392" s="3" t="s">
        <v>29</v>
      </c>
      <c r="K392" s="9">
        <v>42483.62572916667</v>
      </c>
    </row>
    <row r="393" spans="3:11" x14ac:dyDescent="0.25">
      <c r="C393" t="str">
        <f>IF(COUNTBLANK(E393:K393) = 7,"",IF(AND(NOT(ISBLANK(E393)),COUNTBLANK(E393:K393) = 6),"3 Delete",IF(ISBLANK(E393),"2 Add",IF(SHA1Range(E393:K393) = "912213897e11382c1ed3c92731396657020f94af","0 Original","1 Modify"))))</f>
        <v>0 Original</v>
      </c>
      <c r="D393" s="3" t="s">
        <v>1016</v>
      </c>
      <c r="E393" s="5">
        <v>394</v>
      </c>
      <c r="F393">
        <v>118</v>
      </c>
      <c r="G393" t="s">
        <v>549</v>
      </c>
      <c r="H393" s="7">
        <v>8.99</v>
      </c>
      <c r="I393" s="5">
        <v>1</v>
      </c>
      <c r="J393" s="3" t="s">
        <v>29</v>
      </c>
      <c r="K393" s="9">
        <v>42483.62572916667</v>
      </c>
    </row>
    <row r="394" spans="3:11" x14ac:dyDescent="0.25">
      <c r="C394" t="str">
        <f>IF(COUNTBLANK(E394:K394) = 7,"",IF(AND(NOT(ISBLANK(E394)),COUNTBLANK(E394:K394) = 6),"3 Delete",IF(ISBLANK(E394),"2 Add",IF(SHA1Range(E394:K394) = "8f4e4874252ccf782c46ae331baed2a4c72e30f4","0 Original","1 Modify"))))</f>
        <v>0 Original</v>
      </c>
      <c r="D394" s="3" t="s">
        <v>1017</v>
      </c>
      <c r="E394" s="5">
        <v>395</v>
      </c>
      <c r="F394">
        <v>119</v>
      </c>
      <c r="G394" t="s">
        <v>391</v>
      </c>
      <c r="H394" s="7">
        <v>7.99</v>
      </c>
      <c r="I394" s="5">
        <v>1</v>
      </c>
      <c r="J394" s="3" t="s">
        <v>29</v>
      </c>
      <c r="K394" s="9">
        <v>42483.62572916667</v>
      </c>
    </row>
    <row r="395" spans="3:11" x14ac:dyDescent="0.25">
      <c r="C395" t="str">
        <f>IF(COUNTBLANK(E395:K395) = 7,"",IF(AND(NOT(ISBLANK(E395)),COUNTBLANK(E395:K395) = 6),"3 Delete",IF(ISBLANK(E395),"2 Add",IF(SHA1Range(E395:K395) = "d593fb1b268fe56d68e06e15c3faaae76f7f41b8","0 Original","1 Modify"))))</f>
        <v>0 Original</v>
      </c>
      <c r="D395" s="3" t="s">
        <v>1018</v>
      </c>
      <c r="E395" s="5">
        <v>396</v>
      </c>
      <c r="F395">
        <v>119</v>
      </c>
      <c r="G395" t="s">
        <v>115</v>
      </c>
      <c r="H395" s="7">
        <v>4.99</v>
      </c>
      <c r="I395" s="5">
        <v>1</v>
      </c>
      <c r="J395" s="3" t="s">
        <v>29</v>
      </c>
      <c r="K395" s="9">
        <v>42483.62572916667</v>
      </c>
    </row>
    <row r="396" spans="3:11" x14ac:dyDescent="0.25">
      <c r="C396" t="str">
        <f>IF(COUNTBLANK(E396:K396) = 7,"",IF(AND(NOT(ISBLANK(E396)),COUNTBLANK(E396:K396) = 6),"3 Delete",IF(ISBLANK(E396),"2 Add",IF(SHA1Range(E396:K396) = "4fd9cf5ec426e8c1e399dbf04136f25c9b76d523","0 Original","1 Modify"))))</f>
        <v>0 Original</v>
      </c>
      <c r="D396" s="3" t="s">
        <v>1019</v>
      </c>
      <c r="E396" s="5">
        <v>397</v>
      </c>
      <c r="F396">
        <v>119</v>
      </c>
      <c r="G396" t="s">
        <v>492</v>
      </c>
      <c r="H396" s="7">
        <v>7.99</v>
      </c>
      <c r="I396" s="5">
        <v>1</v>
      </c>
      <c r="J396" s="3" t="s">
        <v>29</v>
      </c>
      <c r="K396" s="9">
        <v>42483.62572916667</v>
      </c>
    </row>
    <row r="397" spans="3:11" x14ac:dyDescent="0.25">
      <c r="C397" t="str">
        <f>IF(COUNTBLANK(E397:K397) = 7,"",IF(AND(NOT(ISBLANK(E397)),COUNTBLANK(E397:K397) = 6),"3 Delete",IF(ISBLANK(E397),"2 Add",IF(SHA1Range(E397:K397) = "4010a1d498b02ad3ffe680081dd6140ca144eec7","0 Original","1 Modify"))))</f>
        <v>0 Original</v>
      </c>
      <c r="D397" s="3" t="s">
        <v>1020</v>
      </c>
      <c r="E397" s="5">
        <v>398</v>
      </c>
      <c r="F397">
        <v>120</v>
      </c>
      <c r="G397" t="s">
        <v>58</v>
      </c>
      <c r="H397" s="7">
        <v>8.99</v>
      </c>
      <c r="I397" s="5">
        <v>2</v>
      </c>
      <c r="J397" s="3" t="s">
        <v>29</v>
      </c>
      <c r="K397" s="9">
        <v>42483.62572916667</v>
      </c>
    </row>
    <row r="398" spans="3:11" x14ac:dyDescent="0.25">
      <c r="C398" t="str">
        <f>IF(COUNTBLANK(E398:K398) = 7,"",IF(AND(NOT(ISBLANK(E398)),COUNTBLANK(E398:K398) = 6),"3 Delete",IF(ISBLANK(E398),"2 Add",IF(SHA1Range(E398:K398) = "3b14fcd77acaaa0a2a4a0d8ec4950ef3d4526dc6","0 Original","1 Modify"))))</f>
        <v>0 Original</v>
      </c>
      <c r="D398" s="3" t="s">
        <v>1021</v>
      </c>
      <c r="E398" s="5">
        <v>399</v>
      </c>
      <c r="F398">
        <v>120</v>
      </c>
      <c r="G398" t="s">
        <v>48</v>
      </c>
      <c r="H398" s="7">
        <v>9.99</v>
      </c>
      <c r="I398" s="5">
        <v>1</v>
      </c>
      <c r="J398" s="3" t="s">
        <v>29</v>
      </c>
      <c r="K398" s="9">
        <v>42483.62572916667</v>
      </c>
    </row>
    <row r="399" spans="3:11" x14ac:dyDescent="0.25">
      <c r="C399" t="str">
        <f>IF(COUNTBLANK(E399:K399) = 7,"",IF(AND(NOT(ISBLANK(E399)),COUNTBLANK(E399:K399) = 6),"3 Delete",IF(ISBLANK(E399),"2 Add",IF(SHA1Range(E399:K399) = "57ad552edeae1fd5c392dabd0300f9f012b0112c","0 Original","1 Modify"))))</f>
        <v>0 Original</v>
      </c>
      <c r="D399" s="3" t="s">
        <v>1022</v>
      </c>
      <c r="E399" s="5">
        <v>400</v>
      </c>
      <c r="F399">
        <v>121</v>
      </c>
      <c r="G399" t="s">
        <v>485</v>
      </c>
      <c r="H399" s="7">
        <v>6.99</v>
      </c>
      <c r="I399" s="5">
        <v>1</v>
      </c>
      <c r="J399" s="3" t="s">
        <v>29</v>
      </c>
      <c r="K399" s="9">
        <v>42483.62572916667</v>
      </c>
    </row>
    <row r="400" spans="3:11" x14ac:dyDescent="0.25">
      <c r="C400" t="str">
        <f>IF(COUNTBLANK(E400:K400) = 7,"",IF(AND(NOT(ISBLANK(E400)),COUNTBLANK(E400:K400) = 6),"3 Delete",IF(ISBLANK(E400),"2 Add",IF(SHA1Range(E400:K400) = "d8d1b9016b027168f78b22e29ea81664d06f4344","0 Original","1 Modify"))))</f>
        <v>0 Original</v>
      </c>
      <c r="D400" s="3" t="s">
        <v>1023</v>
      </c>
      <c r="E400" s="5">
        <v>401</v>
      </c>
      <c r="F400">
        <v>121</v>
      </c>
      <c r="G400" t="s">
        <v>139</v>
      </c>
      <c r="H400" s="7">
        <v>7.99</v>
      </c>
      <c r="I400" s="5">
        <v>1</v>
      </c>
      <c r="J400" s="3" t="s">
        <v>29</v>
      </c>
      <c r="K400" s="9">
        <v>42483.62572916667</v>
      </c>
    </row>
    <row r="401" spans="3:11" x14ac:dyDescent="0.25">
      <c r="C401" t="str">
        <f>IF(COUNTBLANK(E401:K401) = 7,"",IF(AND(NOT(ISBLANK(E401)),COUNTBLANK(E401:K401) = 6),"3 Delete",IF(ISBLANK(E401),"2 Add",IF(SHA1Range(E401:K401) = "2e86d0520c83ff74a64743cd88e5268e23c9ca74","0 Original","1 Modify"))))</f>
        <v>0 Original</v>
      </c>
      <c r="D401" s="3" t="s">
        <v>1024</v>
      </c>
      <c r="E401" s="5">
        <v>402</v>
      </c>
      <c r="F401">
        <v>121</v>
      </c>
      <c r="G401" t="s">
        <v>246</v>
      </c>
      <c r="H401" s="7">
        <v>7.99</v>
      </c>
      <c r="I401" s="5">
        <v>2</v>
      </c>
      <c r="J401" s="3" t="s">
        <v>29</v>
      </c>
      <c r="K401" s="9">
        <v>42483.62572916667</v>
      </c>
    </row>
    <row r="402" spans="3:11" x14ac:dyDescent="0.25">
      <c r="C402" t="str">
        <f>IF(COUNTBLANK(E402:K402) = 7,"",IF(AND(NOT(ISBLANK(E402)),COUNTBLANK(E402:K402) = 6),"3 Delete",IF(ISBLANK(E402),"2 Add",IF(SHA1Range(E402:K402) = "46404bff7cdde747b29faa9f8e981e24ca2bf9d5","0 Original","1 Modify"))))</f>
        <v>0 Original</v>
      </c>
      <c r="D402" s="3" t="s">
        <v>1025</v>
      </c>
      <c r="E402" s="5">
        <v>403</v>
      </c>
      <c r="F402">
        <v>121</v>
      </c>
      <c r="G402" t="s">
        <v>553</v>
      </c>
      <c r="H402" s="7">
        <v>6.99</v>
      </c>
      <c r="I402" s="5">
        <v>1</v>
      </c>
      <c r="J402" s="3" t="s">
        <v>29</v>
      </c>
      <c r="K402" s="9">
        <v>42483.62572916667</v>
      </c>
    </row>
    <row r="403" spans="3:11" x14ac:dyDescent="0.25">
      <c r="C403" t="str">
        <f>IF(COUNTBLANK(E403:K403) = 7,"",IF(AND(NOT(ISBLANK(E403)),COUNTBLANK(E403:K403) = 6),"3 Delete",IF(ISBLANK(E403),"2 Add",IF(SHA1Range(E403:K403) = "ec7ce1b7b820e35b4a0c9eb3e9367750f1b620d2","0 Original","1 Modify"))))</f>
        <v>0 Original</v>
      </c>
      <c r="D403" s="3" t="s">
        <v>1026</v>
      </c>
      <c r="E403" s="5">
        <v>404</v>
      </c>
      <c r="F403">
        <v>122</v>
      </c>
      <c r="G403" t="s">
        <v>224</v>
      </c>
      <c r="H403" s="7">
        <v>9.99</v>
      </c>
      <c r="I403" s="5">
        <v>1</v>
      </c>
      <c r="J403" s="3" t="s">
        <v>29</v>
      </c>
      <c r="K403" s="9">
        <v>42483.62572916667</v>
      </c>
    </row>
    <row r="404" spans="3:11" x14ac:dyDescent="0.25">
      <c r="C404" t="str">
        <f>IF(COUNTBLANK(E404:K404) = 7,"",IF(AND(NOT(ISBLANK(E404)),COUNTBLANK(E404:K404) = 6),"3 Delete",IF(ISBLANK(E404),"2 Add",IF(SHA1Range(E404:K404) = "249155705e06ffe1ffbe123e10825fab446de382","0 Original","1 Modify"))))</f>
        <v>0 Original</v>
      </c>
      <c r="D404" s="3" t="s">
        <v>1027</v>
      </c>
      <c r="E404" s="5">
        <v>405</v>
      </c>
      <c r="F404">
        <v>123</v>
      </c>
      <c r="G404" t="s">
        <v>192</v>
      </c>
      <c r="H404" s="7">
        <v>8.99</v>
      </c>
      <c r="I404" s="5">
        <v>1</v>
      </c>
      <c r="J404" s="3" t="s">
        <v>29</v>
      </c>
      <c r="K404" s="9">
        <v>42483.62572916667</v>
      </c>
    </row>
    <row r="405" spans="3:11" x14ac:dyDescent="0.25">
      <c r="C405" t="str">
        <f>IF(COUNTBLANK(E405:K405) = 7,"",IF(AND(NOT(ISBLANK(E405)),COUNTBLANK(E405:K405) = 6),"3 Delete",IF(ISBLANK(E405),"2 Add",IF(SHA1Range(E405:K405) = "f7f125cee54856ea54817555c82235ce725ed6d3","0 Original","1 Modify"))))</f>
        <v>0 Original</v>
      </c>
      <c r="D405" s="3" t="s">
        <v>1028</v>
      </c>
      <c r="E405" s="5">
        <v>406</v>
      </c>
      <c r="F405">
        <v>124</v>
      </c>
      <c r="G405" t="s">
        <v>246</v>
      </c>
      <c r="H405" s="7">
        <v>7.99</v>
      </c>
      <c r="I405" s="5">
        <v>1</v>
      </c>
      <c r="J405" s="3" t="s">
        <v>29</v>
      </c>
      <c r="K405" s="9">
        <v>42483.62572916667</v>
      </c>
    </row>
    <row r="406" spans="3:11" x14ac:dyDescent="0.25">
      <c r="C406" t="str">
        <f>IF(COUNTBLANK(E406:K406) = 7,"",IF(AND(NOT(ISBLANK(E406)),COUNTBLANK(E406:K406) = 6),"3 Delete",IF(ISBLANK(E406),"2 Add",IF(SHA1Range(E406:K406) = "52d41e32cbbade88a6a849e47b7115db2b0af846","0 Original","1 Modify"))))</f>
        <v>0 Original</v>
      </c>
      <c r="D406" s="3" t="s">
        <v>1029</v>
      </c>
      <c r="E406" s="5">
        <v>407</v>
      </c>
      <c r="F406">
        <v>124</v>
      </c>
      <c r="G406" t="s">
        <v>130</v>
      </c>
      <c r="H406" s="7">
        <v>8.99</v>
      </c>
      <c r="I406" s="5">
        <v>1</v>
      </c>
      <c r="J406" s="3" t="s">
        <v>29</v>
      </c>
      <c r="K406" s="9">
        <v>42483.62572916667</v>
      </c>
    </row>
    <row r="407" spans="3:11" x14ac:dyDescent="0.25">
      <c r="C407" t="str">
        <f>IF(COUNTBLANK(E407:K407) = 7,"",IF(AND(NOT(ISBLANK(E407)),COUNTBLANK(E407:K407) = 6),"3 Delete",IF(ISBLANK(E407),"2 Add",IF(SHA1Range(E407:K407) = "6e29a99afd278cb596ff2418a4a2eb08710578e5","0 Original","1 Modify"))))</f>
        <v>0 Original</v>
      </c>
      <c r="D407" s="3" t="s">
        <v>1030</v>
      </c>
      <c r="E407" s="5">
        <v>408</v>
      </c>
      <c r="F407">
        <v>125</v>
      </c>
      <c r="G407" t="s">
        <v>159</v>
      </c>
      <c r="H407" s="7">
        <v>5.99</v>
      </c>
      <c r="I407" s="5">
        <v>2</v>
      </c>
      <c r="J407" s="3" t="s">
        <v>29</v>
      </c>
      <c r="K407" s="9">
        <v>42483.62572916667</v>
      </c>
    </row>
    <row r="408" spans="3:11" x14ac:dyDescent="0.25">
      <c r="C408" t="str">
        <f>IF(COUNTBLANK(E408:K408) = 7,"",IF(AND(NOT(ISBLANK(E408)),COUNTBLANK(E408:K408) = 6),"3 Delete",IF(ISBLANK(E408),"2 Add",IF(SHA1Range(E408:K408) = "9af2421be57d8cc882a46645c525fc13afbcdfdc","0 Original","1 Modify"))))</f>
        <v>0 Original</v>
      </c>
      <c r="D408" s="3" t="s">
        <v>1031</v>
      </c>
      <c r="E408" s="5">
        <v>409</v>
      </c>
      <c r="F408">
        <v>125</v>
      </c>
      <c r="G408" t="s">
        <v>130</v>
      </c>
      <c r="H408" s="7">
        <v>8.99</v>
      </c>
      <c r="I408" s="5">
        <v>1</v>
      </c>
      <c r="J408" s="3" t="s">
        <v>29</v>
      </c>
      <c r="K408" s="9">
        <v>42483.62572916667</v>
      </c>
    </row>
    <row r="409" spans="3:11" x14ac:dyDescent="0.25">
      <c r="C409" t="str">
        <f>IF(COUNTBLANK(E409:K409) = 7,"",IF(AND(NOT(ISBLANK(E409)),COUNTBLANK(E409:K409) = 6),"3 Delete",IF(ISBLANK(E409),"2 Add",IF(SHA1Range(E409:K409) = "35df556013a0b0704247219284c35bf0a0a35ff3","0 Original","1 Modify"))))</f>
        <v>0 Original</v>
      </c>
      <c r="D409" s="3" t="s">
        <v>1032</v>
      </c>
      <c r="E409" s="5">
        <v>410</v>
      </c>
      <c r="F409">
        <v>125</v>
      </c>
      <c r="G409" t="s">
        <v>534</v>
      </c>
      <c r="H409" s="7">
        <v>8.99</v>
      </c>
      <c r="I409" s="5">
        <v>2</v>
      </c>
      <c r="J409" s="3" t="s">
        <v>29</v>
      </c>
      <c r="K409" s="9">
        <v>42483.62572916667</v>
      </c>
    </row>
    <row r="410" spans="3:11" x14ac:dyDescent="0.25">
      <c r="C410" t="str">
        <f>IF(COUNTBLANK(E410:K410) = 7,"",IF(AND(NOT(ISBLANK(E410)),COUNTBLANK(E410:K410) = 6),"3 Delete",IF(ISBLANK(E410),"2 Add",IF(SHA1Range(E410:K410) = "083436c097592a54c12c5e51e9f5f965e9f999df","0 Original","1 Modify"))))</f>
        <v>0 Original</v>
      </c>
      <c r="D410" s="3" t="s">
        <v>1033</v>
      </c>
      <c r="E410" s="5">
        <v>411</v>
      </c>
      <c r="F410">
        <v>125</v>
      </c>
      <c r="G410" t="s">
        <v>525</v>
      </c>
      <c r="H410" s="7">
        <v>4.99</v>
      </c>
      <c r="I410" s="5">
        <v>1</v>
      </c>
      <c r="J410" s="3" t="s">
        <v>29</v>
      </c>
      <c r="K410" s="9">
        <v>42483.62572916667</v>
      </c>
    </row>
    <row r="411" spans="3:11" x14ac:dyDescent="0.25">
      <c r="C411" t="str">
        <f>IF(COUNTBLANK(E411:K411) = 7,"",IF(AND(NOT(ISBLANK(E411)),COUNTBLANK(E411:K411) = 6),"3 Delete",IF(ISBLANK(E411),"2 Add",IF(SHA1Range(E411:K411) = "a5e5f40036f0095ae35f179ea9f6c4506cb0c004","0 Original","1 Modify"))))</f>
        <v>0 Original</v>
      </c>
      <c r="D411" s="3" t="s">
        <v>1034</v>
      </c>
      <c r="E411" s="5">
        <v>412</v>
      </c>
      <c r="F411">
        <v>126</v>
      </c>
      <c r="G411" t="s">
        <v>388</v>
      </c>
      <c r="H411" s="7">
        <v>5.99</v>
      </c>
      <c r="I411" s="5">
        <v>1</v>
      </c>
      <c r="J411" s="3" t="s">
        <v>29</v>
      </c>
      <c r="K411" s="9">
        <v>42483.62572916667</v>
      </c>
    </row>
    <row r="412" spans="3:11" x14ac:dyDescent="0.25">
      <c r="C412" t="str">
        <f>IF(COUNTBLANK(E412:K412) = 7,"",IF(AND(NOT(ISBLANK(E412)),COUNTBLANK(E412:K412) = 6),"3 Delete",IF(ISBLANK(E412),"2 Add",IF(SHA1Range(E412:K412) = "1665dee1d951c63edf40bc432401424558d20da8","0 Original","1 Modify"))))</f>
        <v>0 Original</v>
      </c>
      <c r="D412" s="3" t="s">
        <v>1035</v>
      </c>
      <c r="E412" s="5">
        <v>413</v>
      </c>
      <c r="F412">
        <v>126</v>
      </c>
      <c r="G412" t="s">
        <v>364</v>
      </c>
      <c r="H412" s="7">
        <v>9.99</v>
      </c>
      <c r="I412" s="5">
        <v>1</v>
      </c>
      <c r="J412" s="3" t="s">
        <v>29</v>
      </c>
      <c r="K412" s="9">
        <v>42483.62572916667</v>
      </c>
    </row>
    <row r="413" spans="3:11" x14ac:dyDescent="0.25">
      <c r="C413" t="str">
        <f>IF(COUNTBLANK(E413:K413) = 7,"",IF(AND(NOT(ISBLANK(E413)),COUNTBLANK(E413:K413) = 6),"3 Delete",IF(ISBLANK(E413),"2 Add",IF(SHA1Range(E413:K413) = "e7d28abcf053567f767d9d7ed0da64ce98920481","0 Original","1 Modify"))))</f>
        <v>0 Original</v>
      </c>
      <c r="D413" s="3" t="s">
        <v>1036</v>
      </c>
      <c r="E413" s="5">
        <v>414</v>
      </c>
      <c r="F413">
        <v>127</v>
      </c>
      <c r="G413" t="s">
        <v>25</v>
      </c>
      <c r="H413" s="7">
        <v>8.99</v>
      </c>
      <c r="I413" s="5">
        <v>2</v>
      </c>
      <c r="J413" s="3" t="s">
        <v>29</v>
      </c>
      <c r="K413" s="9">
        <v>42483.62572916667</v>
      </c>
    </row>
    <row r="414" spans="3:11" x14ac:dyDescent="0.25">
      <c r="C414" t="str">
        <f>IF(COUNTBLANK(E414:K414) = 7,"",IF(AND(NOT(ISBLANK(E414)),COUNTBLANK(E414:K414) = 6),"3 Delete",IF(ISBLANK(E414),"2 Add",IF(SHA1Range(E414:K414) = "3b09ccc27d8e215fe10f43dcda841f0c877572f0","0 Original","1 Modify"))))</f>
        <v>0 Original</v>
      </c>
      <c r="D414" s="3" t="s">
        <v>1037</v>
      </c>
      <c r="E414" s="5">
        <v>415</v>
      </c>
      <c r="F414">
        <v>127</v>
      </c>
      <c r="G414" t="s">
        <v>304</v>
      </c>
      <c r="H414" s="7">
        <v>8.99</v>
      </c>
      <c r="I414" s="5">
        <v>2</v>
      </c>
      <c r="J414" s="3" t="s">
        <v>29</v>
      </c>
      <c r="K414" s="9">
        <v>42483.62572916667</v>
      </c>
    </row>
    <row r="415" spans="3:11" x14ac:dyDescent="0.25">
      <c r="C415" t="str">
        <f>IF(COUNTBLANK(E415:K415) = 7,"",IF(AND(NOT(ISBLANK(E415)),COUNTBLANK(E415:K415) = 6),"3 Delete",IF(ISBLANK(E415),"2 Add",IF(SHA1Range(E415:K415) = "66a5d8c2bbed28d2003cd0b6d5969fc523af7b03","0 Original","1 Modify"))))</f>
        <v>0 Original</v>
      </c>
      <c r="D415" s="3" t="s">
        <v>1038</v>
      </c>
      <c r="E415" s="5">
        <v>416</v>
      </c>
      <c r="F415">
        <v>127</v>
      </c>
      <c r="G415" t="s">
        <v>428</v>
      </c>
      <c r="H415" s="7">
        <v>8.99</v>
      </c>
      <c r="I415" s="5">
        <v>2</v>
      </c>
      <c r="J415" s="3" t="s">
        <v>29</v>
      </c>
      <c r="K415" s="9">
        <v>42483.62572916667</v>
      </c>
    </row>
    <row r="416" spans="3:11" x14ac:dyDescent="0.25">
      <c r="C416" t="str">
        <f>IF(COUNTBLANK(E416:K416) = 7,"",IF(AND(NOT(ISBLANK(E416)),COUNTBLANK(E416:K416) = 6),"3 Delete",IF(ISBLANK(E416),"2 Add",IF(SHA1Range(E416:K416) = "b7452d55c049b1687ef541b5ce7c0aa38d666489","0 Original","1 Modify"))))</f>
        <v>0 Original</v>
      </c>
      <c r="D416" s="3" t="s">
        <v>1039</v>
      </c>
      <c r="E416" s="5">
        <v>417</v>
      </c>
      <c r="F416">
        <v>128</v>
      </c>
      <c r="G416" t="s">
        <v>130</v>
      </c>
      <c r="H416" s="7">
        <v>8.99</v>
      </c>
      <c r="I416" s="5">
        <v>1</v>
      </c>
      <c r="J416" s="3" t="s">
        <v>29</v>
      </c>
      <c r="K416" s="9">
        <v>42483.62572916667</v>
      </c>
    </row>
    <row r="417" spans="3:11" x14ac:dyDescent="0.25">
      <c r="C417" t="str">
        <f>IF(COUNTBLANK(E417:K417) = 7,"",IF(AND(NOT(ISBLANK(E417)),COUNTBLANK(E417:K417) = 6),"3 Delete",IF(ISBLANK(E417),"2 Add",IF(SHA1Range(E417:K417) = "aa335f2b7a7883ea4cc41c4d81299a91565e5da0","0 Original","1 Modify"))))</f>
        <v>0 Original</v>
      </c>
      <c r="D417" s="3" t="s">
        <v>1040</v>
      </c>
      <c r="E417" s="5">
        <v>418</v>
      </c>
      <c r="F417">
        <v>128</v>
      </c>
      <c r="G417" t="s">
        <v>224</v>
      </c>
      <c r="H417" s="7">
        <v>9.99</v>
      </c>
      <c r="I417" s="5">
        <v>1</v>
      </c>
      <c r="J417" s="3" t="s">
        <v>29</v>
      </c>
      <c r="K417" s="9">
        <v>42483.62572916667</v>
      </c>
    </row>
    <row r="418" spans="3:11" x14ac:dyDescent="0.25">
      <c r="C418" t="str">
        <f>IF(COUNTBLANK(E418:K418) = 7,"",IF(AND(NOT(ISBLANK(E418)),COUNTBLANK(E418:K418) = 6),"3 Delete",IF(ISBLANK(E418),"2 Add",IF(SHA1Range(E418:K418) = "5a8392d80f4a11e523afbcc32206a451c804d328","0 Original","1 Modify"))))</f>
        <v>0 Original</v>
      </c>
      <c r="D418" s="3" t="s">
        <v>1041</v>
      </c>
      <c r="E418" s="5">
        <v>419</v>
      </c>
      <c r="F418">
        <v>128</v>
      </c>
      <c r="G418" t="s">
        <v>569</v>
      </c>
      <c r="H418" s="7">
        <v>9.99</v>
      </c>
      <c r="I418" s="5">
        <v>2</v>
      </c>
      <c r="J418" s="3" t="s">
        <v>29</v>
      </c>
      <c r="K418" s="9">
        <v>42483.62572916667</v>
      </c>
    </row>
    <row r="419" spans="3:11" x14ac:dyDescent="0.25">
      <c r="C419" t="str">
        <f>IF(COUNTBLANK(E419:K419) = 7,"",IF(AND(NOT(ISBLANK(E419)),COUNTBLANK(E419:K419) = 6),"3 Delete",IF(ISBLANK(E419),"2 Add",IF(SHA1Range(E419:K419) = "d0e25b8c0b61eb0432d43e88e3a88b275709420f","0 Original","1 Modify"))))</f>
        <v>0 Original</v>
      </c>
      <c r="D419" s="3" t="s">
        <v>1042</v>
      </c>
      <c r="E419" s="5">
        <v>420</v>
      </c>
      <c r="F419">
        <v>129</v>
      </c>
      <c r="G419" t="s">
        <v>102</v>
      </c>
      <c r="H419" s="7">
        <v>4.99</v>
      </c>
      <c r="I419" s="5">
        <v>1</v>
      </c>
      <c r="J419" s="3" t="s">
        <v>29</v>
      </c>
      <c r="K419" s="9">
        <v>42483.62572916667</v>
      </c>
    </row>
    <row r="420" spans="3:11" x14ac:dyDescent="0.25">
      <c r="C420" t="str">
        <f>IF(COUNTBLANK(E420:K420) = 7,"",IF(AND(NOT(ISBLANK(E420)),COUNTBLANK(E420:K420) = 6),"3 Delete",IF(ISBLANK(E420),"2 Add",IF(SHA1Range(E420:K420) = "1d554de1fc2595304e07f161abe9b1dec4ec4d42","0 Original","1 Modify"))))</f>
        <v>0 Original</v>
      </c>
      <c r="D420" s="3" t="s">
        <v>1043</v>
      </c>
      <c r="E420" s="5">
        <v>421</v>
      </c>
      <c r="F420">
        <v>130</v>
      </c>
      <c r="G420" t="s">
        <v>62</v>
      </c>
      <c r="H420" s="7">
        <v>9.99</v>
      </c>
      <c r="I420" s="5">
        <v>1</v>
      </c>
      <c r="J420" s="3" t="s">
        <v>29</v>
      </c>
      <c r="K420" s="9">
        <v>42483.62572916667</v>
      </c>
    </row>
    <row r="421" spans="3:11" x14ac:dyDescent="0.25">
      <c r="C421" t="str">
        <f>IF(COUNTBLANK(E421:K421) = 7,"",IF(AND(NOT(ISBLANK(E421)),COUNTBLANK(E421:K421) = 6),"3 Delete",IF(ISBLANK(E421),"2 Add",IF(SHA1Range(E421:K421) = "222827048d986672f0e57c5fbe17e1adea89b6bc","0 Original","1 Modify"))))</f>
        <v>0 Original</v>
      </c>
      <c r="D421" s="3" t="s">
        <v>1044</v>
      </c>
      <c r="E421" s="5">
        <v>422</v>
      </c>
      <c r="F421">
        <v>130</v>
      </c>
      <c r="G421" t="s">
        <v>425</v>
      </c>
      <c r="H421" s="7">
        <v>6.99</v>
      </c>
      <c r="I421" s="5">
        <v>1</v>
      </c>
      <c r="J421" s="3" t="s">
        <v>29</v>
      </c>
      <c r="K421" s="9">
        <v>42483.62572916667</v>
      </c>
    </row>
    <row r="422" spans="3:11" x14ac:dyDescent="0.25">
      <c r="C422" t="str">
        <f>IF(COUNTBLANK(E422:K422) = 7,"",IF(AND(NOT(ISBLANK(E422)),COUNTBLANK(E422:K422) = 6),"3 Delete",IF(ISBLANK(E422),"2 Add",IF(SHA1Range(E422:K422) = "1f90d528f3da51f5447fb0ef79e7039dc96df362","0 Original","1 Modify"))))</f>
        <v>0 Original</v>
      </c>
      <c r="D422" s="3" t="s">
        <v>1045</v>
      </c>
      <c r="E422" s="5">
        <v>423</v>
      </c>
      <c r="F422">
        <v>131</v>
      </c>
      <c r="G422" t="s">
        <v>341</v>
      </c>
      <c r="H422" s="7">
        <v>6.99</v>
      </c>
      <c r="I422" s="5">
        <v>1</v>
      </c>
      <c r="J422" s="3" t="s">
        <v>29</v>
      </c>
      <c r="K422" s="9">
        <v>42483.62572916667</v>
      </c>
    </row>
    <row r="423" spans="3:11" x14ac:dyDescent="0.25">
      <c r="C423" t="str">
        <f>IF(COUNTBLANK(E423:K423) = 7,"",IF(AND(NOT(ISBLANK(E423)),COUNTBLANK(E423:K423) = 6),"3 Delete",IF(ISBLANK(E423),"2 Add",IF(SHA1Range(E423:K423) = "e2b3b92ca7d7d5796ca13388adc17169e94627b5","0 Original","1 Modify"))))</f>
        <v>0 Original</v>
      </c>
      <c r="D423" s="3" t="s">
        <v>1046</v>
      </c>
      <c r="E423" s="5">
        <v>424</v>
      </c>
      <c r="F423">
        <v>132</v>
      </c>
      <c r="G423" t="s">
        <v>169</v>
      </c>
      <c r="H423" s="7">
        <v>5.99</v>
      </c>
      <c r="I423" s="5">
        <v>1</v>
      </c>
      <c r="J423" s="3" t="s">
        <v>29</v>
      </c>
      <c r="K423" s="9">
        <v>42483.62572916667</v>
      </c>
    </row>
    <row r="424" spans="3:11" x14ac:dyDescent="0.25">
      <c r="C424" t="str">
        <f>IF(COUNTBLANK(E424:K424) = 7,"",IF(AND(NOT(ISBLANK(E424)),COUNTBLANK(E424:K424) = 6),"3 Delete",IF(ISBLANK(E424),"2 Add",IF(SHA1Range(E424:K424) = "8030982c2504136bcb34ea207ea830da2b157e9d","0 Original","1 Modify"))))</f>
        <v>0 Original</v>
      </c>
      <c r="D424" s="3" t="s">
        <v>1047</v>
      </c>
      <c r="E424" s="5">
        <v>425</v>
      </c>
      <c r="F424">
        <v>132</v>
      </c>
      <c r="G424" t="s">
        <v>304</v>
      </c>
      <c r="H424" s="7">
        <v>8.99</v>
      </c>
      <c r="I424" s="5">
        <v>2</v>
      </c>
      <c r="J424" s="3" t="s">
        <v>29</v>
      </c>
      <c r="K424" s="9">
        <v>42483.62572916667</v>
      </c>
    </row>
    <row r="425" spans="3:11" x14ac:dyDescent="0.25">
      <c r="C425" t="str">
        <f>IF(COUNTBLANK(E425:K425) = 7,"",IF(AND(NOT(ISBLANK(E425)),COUNTBLANK(E425:K425) = 6),"3 Delete",IF(ISBLANK(E425),"2 Add",IF(SHA1Range(E425:K425) = "4dd448488b126c451a75792a528a0a596b2a20a2","0 Original","1 Modify"))))</f>
        <v>0 Original</v>
      </c>
      <c r="D425" s="3" t="s">
        <v>1048</v>
      </c>
      <c r="E425" s="5">
        <v>426</v>
      </c>
      <c r="F425">
        <v>133</v>
      </c>
      <c r="G425" t="s">
        <v>180</v>
      </c>
      <c r="H425" s="7">
        <v>5.99</v>
      </c>
      <c r="I425" s="5">
        <v>2</v>
      </c>
      <c r="J425" s="3" t="s">
        <v>29</v>
      </c>
      <c r="K425" s="9">
        <v>42483.62572916667</v>
      </c>
    </row>
    <row r="426" spans="3:11" x14ac:dyDescent="0.25">
      <c r="C426" t="str">
        <f>IF(COUNTBLANK(E426:K426) = 7,"",IF(AND(NOT(ISBLANK(E426)),COUNTBLANK(E426:K426) = 6),"3 Delete",IF(ISBLANK(E426),"2 Add",IF(SHA1Range(E426:K426) = "8d1bb93ad0160184e0198256ea6d87b0f1ee1f88","0 Original","1 Modify"))))</f>
        <v>0 Original</v>
      </c>
      <c r="D426" s="3" t="s">
        <v>1049</v>
      </c>
      <c r="E426" s="5">
        <v>427</v>
      </c>
      <c r="F426">
        <v>133</v>
      </c>
      <c r="G426" t="s">
        <v>318</v>
      </c>
      <c r="H426" s="7">
        <v>6.99</v>
      </c>
      <c r="I426" s="5">
        <v>1</v>
      </c>
      <c r="J426" s="3" t="s">
        <v>29</v>
      </c>
      <c r="K426" s="9">
        <v>42483.62572916667</v>
      </c>
    </row>
    <row r="427" spans="3:11" x14ac:dyDescent="0.25">
      <c r="C427" t="str">
        <f>IF(COUNTBLANK(E427:K427) = 7,"",IF(AND(NOT(ISBLANK(E427)),COUNTBLANK(E427:K427) = 6),"3 Delete",IF(ISBLANK(E427),"2 Add",IF(SHA1Range(E427:K427) = "6e7b036993ba52b7bc45125ad0b93a9e984cdbd4","0 Original","1 Modify"))))</f>
        <v>0 Original</v>
      </c>
      <c r="D427" s="3" t="s">
        <v>1050</v>
      </c>
      <c r="E427" s="5">
        <v>428</v>
      </c>
      <c r="F427">
        <v>133</v>
      </c>
      <c r="G427" t="s">
        <v>234</v>
      </c>
      <c r="H427" s="7">
        <v>4.99</v>
      </c>
      <c r="I427" s="5">
        <v>1</v>
      </c>
      <c r="J427" s="3" t="s">
        <v>29</v>
      </c>
      <c r="K427" s="9">
        <v>42483.62572916667</v>
      </c>
    </row>
    <row r="428" spans="3:11" x14ac:dyDescent="0.25">
      <c r="C428" t="str">
        <f>IF(COUNTBLANK(E428:K428) = 7,"",IF(AND(NOT(ISBLANK(E428)),COUNTBLANK(E428:K428) = 6),"3 Delete",IF(ISBLANK(E428),"2 Add",IF(SHA1Range(E428:K428) = "2f5ae72644487d97385337b89065ced0a8a92f63","0 Original","1 Modify"))))</f>
        <v>0 Original</v>
      </c>
      <c r="D428" s="3" t="s">
        <v>1051</v>
      </c>
      <c r="E428" s="5">
        <v>429</v>
      </c>
      <c r="F428">
        <v>133</v>
      </c>
      <c r="G428" t="s">
        <v>543</v>
      </c>
      <c r="H428" s="7">
        <v>8.99</v>
      </c>
      <c r="I428" s="5">
        <v>2</v>
      </c>
      <c r="J428" s="3" t="s">
        <v>29</v>
      </c>
      <c r="K428" s="9">
        <v>42483.62572916667</v>
      </c>
    </row>
    <row r="429" spans="3:11" x14ac:dyDescent="0.25">
      <c r="C429" t="str">
        <f>IF(COUNTBLANK(E429:K429) = 7,"",IF(AND(NOT(ISBLANK(E429)),COUNTBLANK(E429:K429) = 6),"3 Delete",IF(ISBLANK(E429),"2 Add",IF(SHA1Range(E429:K429) = "98c448af5839f8e13a3bea428567a1bed5f466fe","0 Original","1 Modify"))))</f>
        <v>0 Original</v>
      </c>
      <c r="D429" s="3" t="s">
        <v>1052</v>
      </c>
      <c r="E429" s="5">
        <v>430</v>
      </c>
      <c r="F429">
        <v>133</v>
      </c>
      <c r="G429" t="s">
        <v>238</v>
      </c>
      <c r="H429" s="7">
        <v>5.99</v>
      </c>
      <c r="I429" s="5">
        <v>1</v>
      </c>
      <c r="J429" s="3" t="s">
        <v>29</v>
      </c>
      <c r="K429" s="9">
        <v>42483.62572916667</v>
      </c>
    </row>
    <row r="430" spans="3:11" x14ac:dyDescent="0.25">
      <c r="C430" t="str">
        <f>IF(COUNTBLANK(E430:K430) = 7,"",IF(AND(NOT(ISBLANK(E430)),COUNTBLANK(E430:K430) = 6),"3 Delete",IF(ISBLANK(E430),"2 Add",IF(SHA1Range(E430:K430) = "73467232f4f88080cf273d278c89b23e1937b7ea","0 Original","1 Modify"))))</f>
        <v>0 Original</v>
      </c>
      <c r="D430" s="3" t="s">
        <v>1053</v>
      </c>
      <c r="E430" s="5">
        <v>431</v>
      </c>
      <c r="F430">
        <v>133</v>
      </c>
      <c r="G430" t="s">
        <v>452</v>
      </c>
      <c r="H430" s="7">
        <v>4.99</v>
      </c>
      <c r="I430" s="5">
        <v>2</v>
      </c>
      <c r="J430" s="3" t="s">
        <v>29</v>
      </c>
      <c r="K430" s="9">
        <v>42483.62572916667</v>
      </c>
    </row>
    <row r="431" spans="3:11" x14ac:dyDescent="0.25">
      <c r="C431" t="str">
        <f>IF(COUNTBLANK(E431:K431) = 7,"",IF(AND(NOT(ISBLANK(E431)),COUNTBLANK(E431:K431) = 6),"3 Delete",IF(ISBLANK(E431),"2 Add",IF(SHA1Range(E431:K431) = "639511b79ea7b77b45e9795efcaf5db4fc87135c","0 Original","1 Modify"))))</f>
        <v>0 Original</v>
      </c>
      <c r="D431" s="3" t="s">
        <v>1054</v>
      </c>
      <c r="E431" s="5">
        <v>432</v>
      </c>
      <c r="F431">
        <v>133</v>
      </c>
      <c r="G431" t="s">
        <v>448</v>
      </c>
      <c r="H431" s="7">
        <v>8.99</v>
      </c>
      <c r="I431" s="5">
        <v>1</v>
      </c>
      <c r="J431" s="3" t="s">
        <v>29</v>
      </c>
      <c r="K431" s="9">
        <v>42483.62572916667</v>
      </c>
    </row>
    <row r="432" spans="3:11" x14ac:dyDescent="0.25">
      <c r="C432" t="str">
        <f>IF(COUNTBLANK(E432:K432) = 7,"",IF(AND(NOT(ISBLANK(E432)),COUNTBLANK(E432:K432) = 6),"3 Delete",IF(ISBLANK(E432),"2 Add",IF(SHA1Range(E432:K432) = "f0d45b2138624ff143f93e701528afcded9c816b","0 Original","1 Modify"))))</f>
        <v>0 Original</v>
      </c>
      <c r="D432" s="3" t="s">
        <v>1055</v>
      </c>
      <c r="E432" s="5">
        <v>433</v>
      </c>
      <c r="F432">
        <v>133</v>
      </c>
      <c r="G432" t="s">
        <v>263</v>
      </c>
      <c r="H432" s="7">
        <v>4.99</v>
      </c>
      <c r="I432" s="5">
        <v>2</v>
      </c>
      <c r="J432" s="3" t="s">
        <v>29</v>
      </c>
      <c r="K432" s="9">
        <v>42483.62572916667</v>
      </c>
    </row>
    <row r="433" spans="3:11" x14ac:dyDescent="0.25">
      <c r="C433" t="str">
        <f>IF(COUNTBLANK(E433:K433) = 7,"",IF(AND(NOT(ISBLANK(E433)),COUNTBLANK(E433:K433) = 6),"3 Delete",IF(ISBLANK(E433),"2 Add",IF(SHA1Range(E433:K433) = "e6e58ff6e820570a87ddf537971eb2e953efca17","0 Original","1 Modify"))))</f>
        <v>0 Original</v>
      </c>
      <c r="D433" s="3" t="s">
        <v>1056</v>
      </c>
      <c r="E433" s="5">
        <v>434</v>
      </c>
      <c r="F433">
        <v>134</v>
      </c>
      <c r="G433" t="s">
        <v>210</v>
      </c>
      <c r="H433" s="7">
        <v>4.99</v>
      </c>
      <c r="I433" s="5">
        <v>1</v>
      </c>
      <c r="J433" s="3" t="s">
        <v>29</v>
      </c>
      <c r="K433" s="9">
        <v>42483.62572916667</v>
      </c>
    </row>
    <row r="434" spans="3:11" x14ac:dyDescent="0.25">
      <c r="C434" t="str">
        <f>IF(COUNTBLANK(E434:K434) = 7,"",IF(AND(NOT(ISBLANK(E434)),COUNTBLANK(E434:K434) = 6),"3 Delete",IF(ISBLANK(E434),"2 Add",IF(SHA1Range(E434:K434) = "7bdbf1c31b04ed9ee857ba333a63aaf652db440c","0 Original","1 Modify"))))</f>
        <v>0 Original</v>
      </c>
      <c r="D434" s="3" t="s">
        <v>1057</v>
      </c>
      <c r="E434" s="5">
        <v>435</v>
      </c>
      <c r="F434">
        <v>134</v>
      </c>
      <c r="G434" t="s">
        <v>351</v>
      </c>
      <c r="H434" s="7">
        <v>6.99</v>
      </c>
      <c r="I434" s="5">
        <v>2</v>
      </c>
      <c r="J434" s="3" t="s">
        <v>29</v>
      </c>
      <c r="K434" s="9">
        <v>42483.62572916667</v>
      </c>
    </row>
    <row r="435" spans="3:11" x14ac:dyDescent="0.25">
      <c r="C435" t="str">
        <f>IF(COUNTBLANK(E435:K435) = 7,"",IF(AND(NOT(ISBLANK(E435)),COUNTBLANK(E435:K435) = 6),"3 Delete",IF(ISBLANK(E435),"2 Add",IF(SHA1Range(E435:K435) = "42438ba8315b8c9072c1a17b3c788ac5dfec4138","0 Original","1 Modify"))))</f>
        <v>0 Original</v>
      </c>
      <c r="D435" s="3" t="s">
        <v>1058</v>
      </c>
      <c r="E435" s="5">
        <v>436</v>
      </c>
      <c r="F435">
        <v>135</v>
      </c>
      <c r="G435" t="s">
        <v>159</v>
      </c>
      <c r="H435" s="7">
        <v>5.99</v>
      </c>
      <c r="I435" s="5">
        <v>1</v>
      </c>
      <c r="J435" s="3" t="s">
        <v>29</v>
      </c>
      <c r="K435" s="9">
        <v>42483.62572916667</v>
      </c>
    </row>
    <row r="436" spans="3:11" x14ac:dyDescent="0.25">
      <c r="C436" t="str">
        <f>IF(COUNTBLANK(E436:K436) = 7,"",IF(AND(NOT(ISBLANK(E436)),COUNTBLANK(E436:K436) = 6),"3 Delete",IF(ISBLANK(E436),"2 Add",IF(SHA1Range(E436:K436) = "6ecc19d0fc8dce2751ac328c78f3ee01f51feb98","0 Original","1 Modify"))))</f>
        <v>0 Original</v>
      </c>
      <c r="D436" s="3" t="s">
        <v>1059</v>
      </c>
      <c r="E436" s="5">
        <v>437</v>
      </c>
      <c r="F436">
        <v>135</v>
      </c>
      <c r="G436" t="s">
        <v>580</v>
      </c>
      <c r="H436" s="7">
        <v>4.99</v>
      </c>
      <c r="I436" s="5">
        <v>1</v>
      </c>
      <c r="J436" s="3" t="s">
        <v>29</v>
      </c>
      <c r="K436" s="9">
        <v>42483.62572916667</v>
      </c>
    </row>
    <row r="437" spans="3:11" x14ac:dyDescent="0.25">
      <c r="C437" t="str">
        <f>IF(COUNTBLANK(E437:K437) = 7,"",IF(AND(NOT(ISBLANK(E437)),COUNTBLANK(E437:K437) = 6),"3 Delete",IF(ISBLANK(E437),"2 Add",IF(SHA1Range(E437:K437) = "181b51f2c43cbc975c3b5aaed65b1d42c2038a79","0 Original","1 Modify"))))</f>
        <v>0 Original</v>
      </c>
      <c r="D437" s="3" t="s">
        <v>1060</v>
      </c>
      <c r="E437" s="5">
        <v>438</v>
      </c>
      <c r="F437">
        <v>136</v>
      </c>
      <c r="G437" t="s">
        <v>537</v>
      </c>
      <c r="H437" s="7">
        <v>7.99</v>
      </c>
      <c r="I437" s="5">
        <v>2</v>
      </c>
      <c r="J437" s="3" t="s">
        <v>29</v>
      </c>
      <c r="K437" s="9">
        <v>42483.62572916667</v>
      </c>
    </row>
    <row r="438" spans="3:11" x14ac:dyDescent="0.25">
      <c r="C438" t="str">
        <f>IF(COUNTBLANK(E438:K438) = 7,"",IF(AND(NOT(ISBLANK(E438)),COUNTBLANK(E438:K438) = 6),"3 Delete",IF(ISBLANK(E438),"2 Add",IF(SHA1Range(E438:K438) = "dc6bdc83c31712bd2b25aa58ccadcdfab8b6e9c9","0 Original","1 Modify"))))</f>
        <v>0 Original</v>
      </c>
      <c r="D438" s="3" t="s">
        <v>1061</v>
      </c>
      <c r="E438" s="5">
        <v>439</v>
      </c>
      <c r="F438">
        <v>136</v>
      </c>
      <c r="G438" t="s">
        <v>166</v>
      </c>
      <c r="H438" s="7">
        <v>9.99</v>
      </c>
      <c r="I438" s="5">
        <v>1</v>
      </c>
      <c r="J438" s="3" t="s">
        <v>29</v>
      </c>
      <c r="K438" s="9">
        <v>42483.62572916667</v>
      </c>
    </row>
    <row r="439" spans="3:11" x14ac:dyDescent="0.25">
      <c r="C439" t="str">
        <f>IF(COUNTBLANK(E439:K439) = 7,"",IF(AND(NOT(ISBLANK(E439)),COUNTBLANK(E439:K439) = 6),"3 Delete",IF(ISBLANK(E439),"2 Add",IF(SHA1Range(E439:K439) = "d6277a61f2353f17717c1ee5ecb586d1808806a6","0 Original","1 Modify"))))</f>
        <v>0 Original</v>
      </c>
      <c r="D439" s="3" t="s">
        <v>1062</v>
      </c>
      <c r="E439" s="5">
        <v>440</v>
      </c>
      <c r="F439">
        <v>136</v>
      </c>
      <c r="G439" t="s">
        <v>485</v>
      </c>
      <c r="H439" s="7">
        <v>6.99</v>
      </c>
      <c r="I439" s="5">
        <v>1</v>
      </c>
      <c r="J439" s="3" t="s">
        <v>29</v>
      </c>
      <c r="K439" s="9">
        <v>42483.62572916667</v>
      </c>
    </row>
    <row r="440" spans="3:11" x14ac:dyDescent="0.25">
      <c r="C440" t="str">
        <f>IF(COUNTBLANK(E440:K440) = 7,"",IF(AND(NOT(ISBLANK(E440)),COUNTBLANK(E440:K440) = 6),"3 Delete",IF(ISBLANK(E440),"2 Add",IF(SHA1Range(E440:K440) = "debb10e340ddb4e8495add6f7d6e5a8559703edd","0 Original","1 Modify"))))</f>
        <v>0 Original</v>
      </c>
      <c r="D440" s="3" t="s">
        <v>1063</v>
      </c>
      <c r="E440" s="5">
        <v>441</v>
      </c>
      <c r="F440">
        <v>136</v>
      </c>
      <c r="G440" t="s">
        <v>30</v>
      </c>
      <c r="H440" s="7">
        <v>9.99</v>
      </c>
      <c r="I440" s="5">
        <v>1</v>
      </c>
      <c r="J440" s="3" t="s">
        <v>29</v>
      </c>
      <c r="K440" s="9">
        <v>42483.62572916667</v>
      </c>
    </row>
    <row r="441" spans="3:11" x14ac:dyDescent="0.25">
      <c r="C441" t="str">
        <f>IF(COUNTBLANK(E441:K441) = 7,"",IF(AND(NOT(ISBLANK(E441)),COUNTBLANK(E441:K441) = 6),"3 Delete",IF(ISBLANK(E441),"2 Add",IF(SHA1Range(E441:K441) = "81376f9ffff81d92c010ba1bef07983b7dea7a70","0 Original","1 Modify"))))</f>
        <v>0 Original</v>
      </c>
      <c r="D441" s="3" t="s">
        <v>1064</v>
      </c>
      <c r="E441" s="5">
        <v>442</v>
      </c>
      <c r="F441">
        <v>137</v>
      </c>
      <c r="G441" t="s">
        <v>446</v>
      </c>
      <c r="H441" s="7">
        <v>4.99</v>
      </c>
      <c r="I441" s="5">
        <v>1</v>
      </c>
      <c r="J441" s="3" t="s">
        <v>29</v>
      </c>
      <c r="K441" s="9">
        <v>42483.62572916667</v>
      </c>
    </row>
    <row r="442" spans="3:11" x14ac:dyDescent="0.25">
      <c r="C442" t="str">
        <f>IF(COUNTBLANK(E442:K442) = 7,"",IF(AND(NOT(ISBLANK(E442)),COUNTBLANK(E442:K442) = 6),"3 Delete",IF(ISBLANK(E442),"2 Add",IF(SHA1Range(E442:K442) = "a270b0172d341bac3788df522ec2eb54271bf4ab","0 Original","1 Modify"))))</f>
        <v>0 Original</v>
      </c>
      <c r="D442" s="3" t="s">
        <v>1065</v>
      </c>
      <c r="E442" s="5">
        <v>443</v>
      </c>
      <c r="F442">
        <v>138</v>
      </c>
      <c r="G442" t="s">
        <v>488</v>
      </c>
      <c r="H442" s="7">
        <v>8.99</v>
      </c>
      <c r="I442" s="5">
        <v>1</v>
      </c>
      <c r="J442" s="3" t="s">
        <v>29</v>
      </c>
      <c r="K442" s="9">
        <v>42483.62572916667</v>
      </c>
    </row>
    <row r="443" spans="3:11" x14ac:dyDescent="0.25">
      <c r="C443" t="str">
        <f>IF(COUNTBLANK(E443:K443) = 7,"",IF(AND(NOT(ISBLANK(E443)),COUNTBLANK(E443:K443) = 6),"3 Delete",IF(ISBLANK(E443),"2 Add",IF(SHA1Range(E443:K443) = "e07347be3ad3661423dd2c9f7a4c2dbf0da5108c","0 Original","1 Modify"))))</f>
        <v>0 Original</v>
      </c>
      <c r="D443" s="3" t="s">
        <v>1066</v>
      </c>
      <c r="E443" s="5">
        <v>444</v>
      </c>
      <c r="F443">
        <v>138</v>
      </c>
      <c r="G443" t="s">
        <v>69</v>
      </c>
      <c r="H443" s="7">
        <v>5.99</v>
      </c>
      <c r="I443" s="5">
        <v>1</v>
      </c>
      <c r="J443" s="3" t="s">
        <v>29</v>
      </c>
      <c r="K443" s="9">
        <v>42483.62572916667</v>
      </c>
    </row>
    <row r="444" spans="3:11" x14ac:dyDescent="0.25">
      <c r="C444" t="str">
        <f>IF(COUNTBLANK(E444:K444) = 7,"",IF(AND(NOT(ISBLANK(E444)),COUNTBLANK(E444:K444) = 6),"3 Delete",IF(ISBLANK(E444),"2 Add",IF(SHA1Range(E444:K444) = "a23841a49a3913095cad543924f508a9e1815258","0 Original","1 Modify"))))</f>
        <v>0 Original</v>
      </c>
      <c r="D444" s="3" t="s">
        <v>1067</v>
      </c>
      <c r="E444" s="5">
        <v>445</v>
      </c>
      <c r="F444">
        <v>138</v>
      </c>
      <c r="G444" t="s">
        <v>456</v>
      </c>
      <c r="H444" s="7">
        <v>9.99</v>
      </c>
      <c r="I444" s="5">
        <v>1</v>
      </c>
      <c r="J444" s="3" t="s">
        <v>29</v>
      </c>
      <c r="K444" s="9">
        <v>42483.62572916667</v>
      </c>
    </row>
    <row r="445" spans="3:11" x14ac:dyDescent="0.25">
      <c r="C445" t="str">
        <f>IF(COUNTBLANK(E445:K445) = 7,"",IF(AND(NOT(ISBLANK(E445)),COUNTBLANK(E445:K445) = 6),"3 Delete",IF(ISBLANK(E445),"2 Add",IF(SHA1Range(E445:K445) = "80a84aeeb6d9598ca53a641af4fe22b7f65f2389","0 Original","1 Modify"))))</f>
        <v>0 Original</v>
      </c>
      <c r="D445" s="3" t="s">
        <v>1068</v>
      </c>
      <c r="E445" s="5">
        <v>446</v>
      </c>
      <c r="F445">
        <v>138</v>
      </c>
      <c r="G445" t="s">
        <v>462</v>
      </c>
      <c r="H445" s="7">
        <v>9.99</v>
      </c>
      <c r="I445" s="5">
        <v>2</v>
      </c>
      <c r="J445" s="3" t="s">
        <v>29</v>
      </c>
      <c r="K445" s="9">
        <v>42483.62572916667</v>
      </c>
    </row>
    <row r="446" spans="3:11" x14ac:dyDescent="0.25">
      <c r="C446" t="str">
        <f>IF(COUNTBLANK(E446:K446) = 7,"",IF(AND(NOT(ISBLANK(E446)),COUNTBLANK(E446:K446) = 6),"3 Delete",IF(ISBLANK(E446),"2 Add",IF(SHA1Range(E446:K446) = "89e6c5a1953b0a207f33742e5265b402c2f39777","0 Original","1 Modify"))))</f>
        <v>0 Original</v>
      </c>
      <c r="D446" s="3" t="s">
        <v>1069</v>
      </c>
      <c r="E446" s="5">
        <v>447</v>
      </c>
      <c r="F446">
        <v>138</v>
      </c>
      <c r="G446" t="s">
        <v>605</v>
      </c>
      <c r="H446" s="7">
        <v>6.99</v>
      </c>
      <c r="I446" s="5">
        <v>1</v>
      </c>
      <c r="J446" s="3" t="s">
        <v>29</v>
      </c>
      <c r="K446" s="9">
        <v>42483.62572916667</v>
      </c>
    </row>
    <row r="447" spans="3:11" x14ac:dyDescent="0.25">
      <c r="C447" t="str">
        <f>IF(COUNTBLANK(E447:K447) = 7,"",IF(AND(NOT(ISBLANK(E447)),COUNTBLANK(E447:K447) = 6),"3 Delete",IF(ISBLANK(E447),"2 Add",IF(SHA1Range(E447:K447) = "7c4324bbda88c6b8cfaf232894d96203e50aef83","0 Original","1 Modify"))))</f>
        <v>0 Original</v>
      </c>
      <c r="D447" s="3" t="s">
        <v>1070</v>
      </c>
      <c r="E447" s="5">
        <v>448</v>
      </c>
      <c r="F447">
        <v>139</v>
      </c>
      <c r="G447" t="s">
        <v>469</v>
      </c>
      <c r="H447" s="7">
        <v>5.99</v>
      </c>
      <c r="I447" s="5">
        <v>1</v>
      </c>
      <c r="J447" s="3" t="s">
        <v>29</v>
      </c>
      <c r="K447" s="9">
        <v>42483.62572916667</v>
      </c>
    </row>
    <row r="448" spans="3:11" x14ac:dyDescent="0.25">
      <c r="C448" t="str">
        <f>IF(COUNTBLANK(E448:K448) = 7,"",IF(AND(NOT(ISBLANK(E448)),COUNTBLANK(E448:K448) = 6),"3 Delete",IF(ISBLANK(E448),"2 Add",IF(SHA1Range(E448:K448) = "71a161be34bb34a6635a14fe3b048b4c527b8ef1","0 Original","1 Modify"))))</f>
        <v>0 Original</v>
      </c>
      <c r="D448" s="3" t="s">
        <v>1071</v>
      </c>
      <c r="E448" s="5">
        <v>449</v>
      </c>
      <c r="F448">
        <v>139</v>
      </c>
      <c r="G448" t="s">
        <v>73</v>
      </c>
      <c r="H448" s="7">
        <v>8.99</v>
      </c>
      <c r="I448" s="5">
        <v>2</v>
      </c>
      <c r="J448" s="3" t="s">
        <v>29</v>
      </c>
      <c r="K448" s="9">
        <v>42483.62572916667</v>
      </c>
    </row>
    <row r="449" spans="3:11" x14ac:dyDescent="0.25">
      <c r="C449" t="str">
        <f>IF(COUNTBLANK(E449:K449) = 7,"",IF(AND(NOT(ISBLANK(E449)),COUNTBLANK(E449:K449) = 6),"3 Delete",IF(ISBLANK(E449),"2 Add",IF(SHA1Range(E449:K449) = "743fd2b27d72e290f52ac9acc541d2521f6ea109","0 Original","1 Modify"))))</f>
        <v>0 Original</v>
      </c>
      <c r="D449" s="3" t="s">
        <v>1072</v>
      </c>
      <c r="E449" s="5">
        <v>450</v>
      </c>
      <c r="F449">
        <v>140</v>
      </c>
      <c r="G449" t="s">
        <v>304</v>
      </c>
      <c r="H449" s="7">
        <v>8.99</v>
      </c>
      <c r="I449" s="5">
        <v>2</v>
      </c>
      <c r="J449" s="3" t="s">
        <v>29</v>
      </c>
      <c r="K449" s="9">
        <v>42483.62572916667</v>
      </c>
    </row>
    <row r="450" spans="3:11" x14ac:dyDescent="0.25">
      <c r="C450" t="str">
        <f>IF(COUNTBLANK(E450:K450) = 7,"",IF(AND(NOT(ISBLANK(E450)),COUNTBLANK(E450:K450) = 6),"3 Delete",IF(ISBLANK(E450),"2 Add",IF(SHA1Range(E450:K450) = "194cd0107b11dceae553c18efbf167bbd9a8c2c9","0 Original","1 Modify"))))</f>
        <v>0 Original</v>
      </c>
      <c r="D450" s="3" t="s">
        <v>1073</v>
      </c>
      <c r="E450" s="5">
        <v>451</v>
      </c>
      <c r="F450">
        <v>140</v>
      </c>
      <c r="G450" t="s">
        <v>401</v>
      </c>
      <c r="H450" s="7">
        <v>9.99</v>
      </c>
      <c r="I450" s="5">
        <v>2</v>
      </c>
      <c r="J450" s="3" t="s">
        <v>29</v>
      </c>
      <c r="K450" s="9">
        <v>42483.62572916667</v>
      </c>
    </row>
    <row r="451" spans="3:11" x14ac:dyDescent="0.25">
      <c r="C451" t="str">
        <f>IF(COUNTBLANK(E451:K451) = 7,"",IF(AND(NOT(ISBLANK(E451)),COUNTBLANK(E451:K451) = 6),"3 Delete",IF(ISBLANK(E451),"2 Add",IF(SHA1Range(E451:K451) = "420c0653bc5c6265096fcf2679858b25b2bc689a","0 Original","1 Modify"))))</f>
        <v>0 Original</v>
      </c>
      <c r="D451" s="3" t="s">
        <v>1074</v>
      </c>
      <c r="E451" s="5">
        <v>452</v>
      </c>
      <c r="F451">
        <v>141</v>
      </c>
      <c r="G451" t="s">
        <v>192</v>
      </c>
      <c r="H451" s="7">
        <v>8.99</v>
      </c>
      <c r="I451" s="5">
        <v>1</v>
      </c>
      <c r="J451" s="3" t="s">
        <v>29</v>
      </c>
      <c r="K451" s="9">
        <v>42483.62572916667</v>
      </c>
    </row>
    <row r="452" spans="3:11" x14ac:dyDescent="0.25">
      <c r="C452" t="str">
        <f>IF(COUNTBLANK(E452:K452) = 7,"",IF(AND(NOT(ISBLANK(E452)),COUNTBLANK(E452:K452) = 6),"3 Delete",IF(ISBLANK(E452),"2 Add",IF(SHA1Range(E452:K452) = "93269141140fa50a26956398d5a2ce332e778d3d","0 Original","1 Modify"))))</f>
        <v>0 Original</v>
      </c>
      <c r="D452" s="3" t="s">
        <v>1075</v>
      </c>
      <c r="E452" s="5">
        <v>453</v>
      </c>
      <c r="F452">
        <v>141</v>
      </c>
      <c r="G452" t="s">
        <v>531</v>
      </c>
      <c r="H452" s="7">
        <v>5.99</v>
      </c>
      <c r="I452" s="5">
        <v>2</v>
      </c>
      <c r="J452" s="3" t="s">
        <v>29</v>
      </c>
      <c r="K452" s="9">
        <v>42483.62572916667</v>
      </c>
    </row>
    <row r="453" spans="3:11" x14ac:dyDescent="0.25">
      <c r="C453" t="str">
        <f>IF(COUNTBLANK(E453:K453) = 7,"",IF(AND(NOT(ISBLANK(E453)),COUNTBLANK(E453:K453) = 6),"3 Delete",IF(ISBLANK(E453),"2 Add",IF(SHA1Range(E453:K453) = "48c6ad837c06752dac32d7ab6177b74909f56db3","0 Original","1 Modify"))))</f>
        <v>0 Original</v>
      </c>
      <c r="D453" s="3" t="s">
        <v>1076</v>
      </c>
      <c r="E453" s="5">
        <v>454</v>
      </c>
      <c r="F453">
        <v>141</v>
      </c>
      <c r="G453" t="s">
        <v>615</v>
      </c>
      <c r="H453" s="7">
        <v>9.99</v>
      </c>
      <c r="I453" s="5">
        <v>1</v>
      </c>
      <c r="J453" s="3" t="s">
        <v>29</v>
      </c>
      <c r="K453" s="9">
        <v>42483.62572916667</v>
      </c>
    </row>
    <row r="454" spans="3:11" x14ac:dyDescent="0.25">
      <c r="C454" t="str">
        <f>IF(COUNTBLANK(E454:K454) = 7,"",IF(AND(NOT(ISBLANK(E454)),COUNTBLANK(E454:K454) = 6),"3 Delete",IF(ISBLANK(E454),"2 Add",IF(SHA1Range(E454:K454) = "c077303c667379619712d614a4bfc977643e0def","0 Original","1 Modify"))))</f>
        <v>0 Original</v>
      </c>
      <c r="D454" s="3" t="s">
        <v>1077</v>
      </c>
      <c r="E454" s="5">
        <v>455</v>
      </c>
      <c r="F454">
        <v>141</v>
      </c>
      <c r="G454" t="s">
        <v>176</v>
      </c>
      <c r="H454" s="7">
        <v>7.99</v>
      </c>
      <c r="I454" s="5">
        <v>1</v>
      </c>
      <c r="J454" s="3" t="s">
        <v>29</v>
      </c>
      <c r="K454" s="9">
        <v>42483.62572916667</v>
      </c>
    </row>
    <row r="455" spans="3:11" x14ac:dyDescent="0.25">
      <c r="C455" t="str">
        <f>IF(COUNTBLANK(E455:K455) = 7,"",IF(AND(NOT(ISBLANK(E455)),COUNTBLANK(E455:K455) = 6),"3 Delete",IF(ISBLANK(E455),"2 Add",IF(SHA1Range(E455:K455) = "73e22a8b2953df101c6043ef59b2b7d2df61ad32","0 Original","1 Modify"))))</f>
        <v>0 Original</v>
      </c>
      <c r="D455" s="3" t="s">
        <v>1078</v>
      </c>
      <c r="E455" s="5">
        <v>456</v>
      </c>
      <c r="F455">
        <v>141</v>
      </c>
      <c r="G455" t="s">
        <v>95</v>
      </c>
      <c r="H455" s="7">
        <v>8.99</v>
      </c>
      <c r="I455" s="5">
        <v>1</v>
      </c>
      <c r="J455" s="3" t="s">
        <v>29</v>
      </c>
      <c r="K455" s="9">
        <v>42483.62572916667</v>
      </c>
    </row>
    <row r="456" spans="3:11" x14ac:dyDescent="0.25">
      <c r="C456" t="str">
        <f>IF(COUNTBLANK(E456:K456) = 7,"",IF(AND(NOT(ISBLANK(E456)),COUNTBLANK(E456:K456) = 6),"3 Delete",IF(ISBLANK(E456),"2 Add",IF(SHA1Range(E456:K456) = "bd18d7ba5c0e644cea55bc790fa1d0f63f1b15c5","0 Original","1 Modify"))))</f>
        <v>0 Original</v>
      </c>
      <c r="D456" s="3" t="s">
        <v>1079</v>
      </c>
      <c r="E456" s="5">
        <v>457</v>
      </c>
      <c r="F456">
        <v>142</v>
      </c>
      <c r="G456" t="s">
        <v>199</v>
      </c>
      <c r="H456" s="7">
        <v>5.99</v>
      </c>
      <c r="I456" s="5">
        <v>1</v>
      </c>
      <c r="J456" s="3" t="s">
        <v>29</v>
      </c>
      <c r="K456" s="9">
        <v>42483.62572916667</v>
      </c>
    </row>
    <row r="457" spans="3:11" x14ac:dyDescent="0.25">
      <c r="C457" t="str">
        <f>IF(COUNTBLANK(E457:K457) = 7,"",IF(AND(NOT(ISBLANK(E457)),COUNTBLANK(E457:K457) = 6),"3 Delete",IF(ISBLANK(E457),"2 Add",IF(SHA1Range(E457:K457) = "7769a1c4c3e38127475024112929e2a0606f9b91","0 Original","1 Modify"))))</f>
        <v>0 Original</v>
      </c>
      <c r="D457" s="3" t="s">
        <v>1080</v>
      </c>
      <c r="E457" s="5">
        <v>458</v>
      </c>
      <c r="F457">
        <v>142</v>
      </c>
      <c r="G457" t="s">
        <v>221</v>
      </c>
      <c r="H457" s="7">
        <v>6.99</v>
      </c>
      <c r="I457" s="5">
        <v>1</v>
      </c>
      <c r="J457" s="3" t="s">
        <v>29</v>
      </c>
      <c r="K457" s="9">
        <v>42483.62572916667</v>
      </c>
    </row>
    <row r="458" spans="3:11" x14ac:dyDescent="0.25">
      <c r="C458" t="str">
        <f>IF(COUNTBLANK(E458:K458) = 7,"",IF(AND(NOT(ISBLANK(E458)),COUNTBLANK(E458:K458) = 6),"3 Delete",IF(ISBLANK(E458),"2 Add",IF(SHA1Range(E458:K458) = "178aa8de6ef9ac79041b3c64237674ffd57e3d73","0 Original","1 Modify"))))</f>
        <v>0 Original</v>
      </c>
      <c r="D458" s="3" t="s">
        <v>1081</v>
      </c>
      <c r="E458" s="5">
        <v>459</v>
      </c>
      <c r="F458">
        <v>142</v>
      </c>
      <c r="G458" t="s">
        <v>522</v>
      </c>
      <c r="H458" s="7">
        <v>6.99</v>
      </c>
      <c r="I458" s="5">
        <v>2</v>
      </c>
      <c r="J458" s="3" t="s">
        <v>29</v>
      </c>
      <c r="K458" s="9">
        <v>42483.62572916667</v>
      </c>
    </row>
    <row r="459" spans="3:11" x14ac:dyDescent="0.25">
      <c r="C459" t="str">
        <f>IF(COUNTBLANK(E459:K459) = 7,"",IF(AND(NOT(ISBLANK(E459)),COUNTBLANK(E459:K459) = 6),"3 Delete",IF(ISBLANK(E459),"2 Add",IF(SHA1Range(E459:K459) = "2ddcb5f3fba2eaa332383aab5fd7329b541b0fb7","0 Original","1 Modify"))))</f>
        <v>0 Original</v>
      </c>
      <c r="D459" s="3" t="s">
        <v>1082</v>
      </c>
      <c r="E459" s="5">
        <v>460</v>
      </c>
      <c r="F459">
        <v>142</v>
      </c>
      <c r="G459" t="s">
        <v>602</v>
      </c>
      <c r="H459" s="7">
        <v>7.99</v>
      </c>
      <c r="I459" s="5">
        <v>1</v>
      </c>
      <c r="J459" s="3" t="s">
        <v>29</v>
      </c>
      <c r="K459" s="9">
        <v>42483.62572916667</v>
      </c>
    </row>
    <row r="460" spans="3:11" x14ac:dyDescent="0.25">
      <c r="C460" t="str">
        <f>IF(COUNTBLANK(E460:K460) = 7,"",IF(AND(NOT(ISBLANK(E460)),COUNTBLANK(E460:K460) = 6),"3 Delete",IF(ISBLANK(E460),"2 Add",IF(SHA1Range(E460:K460) = "a30de9aa72b32c8c4a706ce79c20676ee21644d3","0 Original","1 Modify"))))</f>
        <v>0 Original</v>
      </c>
      <c r="D460" s="3" t="s">
        <v>1083</v>
      </c>
      <c r="E460" s="5">
        <v>461</v>
      </c>
      <c r="F460">
        <v>142</v>
      </c>
      <c r="G460" t="s">
        <v>388</v>
      </c>
      <c r="H460" s="7">
        <v>5.99</v>
      </c>
      <c r="I460" s="5">
        <v>1</v>
      </c>
      <c r="J460" s="3" t="s">
        <v>29</v>
      </c>
      <c r="K460" s="9">
        <v>42483.62572916667</v>
      </c>
    </row>
    <row r="461" spans="3:11" x14ac:dyDescent="0.25">
      <c r="C461" t="str">
        <f>IF(COUNTBLANK(E461:K461) = 7,"",IF(AND(NOT(ISBLANK(E461)),COUNTBLANK(E461:K461) = 6),"3 Delete",IF(ISBLANK(E461),"2 Add",IF(SHA1Range(E461:K461) = "cdbcc8f65af1821006b83bcce2462d51f17e6dc4","0 Original","1 Modify"))))</f>
        <v>0 Original</v>
      </c>
      <c r="D461" s="3" t="s">
        <v>1084</v>
      </c>
      <c r="E461" s="5">
        <v>462</v>
      </c>
      <c r="F461">
        <v>142</v>
      </c>
      <c r="G461" t="s">
        <v>156</v>
      </c>
      <c r="H461" s="7">
        <v>5.99</v>
      </c>
      <c r="I461" s="5">
        <v>1</v>
      </c>
      <c r="J461" s="3" t="s">
        <v>29</v>
      </c>
      <c r="K461" s="9">
        <v>42483.62572916667</v>
      </c>
    </row>
    <row r="462" spans="3:11" x14ac:dyDescent="0.25">
      <c r="C462" t="str">
        <f>IF(COUNTBLANK(E462:K462) = 7,"",IF(AND(NOT(ISBLANK(E462)),COUNTBLANK(E462:K462) = 6),"3 Delete",IF(ISBLANK(E462),"2 Add",IF(SHA1Range(E462:K462) = "a9abd39485f81286046524030ad876c9e38dbcc3","0 Original","1 Modify"))))</f>
        <v>0 Original</v>
      </c>
      <c r="D462" s="3" t="s">
        <v>1085</v>
      </c>
      <c r="E462" s="5">
        <v>463</v>
      </c>
      <c r="F462">
        <v>142</v>
      </c>
      <c r="G462" t="s">
        <v>388</v>
      </c>
      <c r="H462" s="7">
        <v>5.99</v>
      </c>
      <c r="I462" s="5">
        <v>1</v>
      </c>
      <c r="J462" s="3" t="s">
        <v>29</v>
      </c>
      <c r="K462" s="9">
        <v>42483.62572916667</v>
      </c>
    </row>
    <row r="463" spans="3:11" x14ac:dyDescent="0.25">
      <c r="C463" t="str">
        <f>IF(COUNTBLANK(E463:K463) = 7,"",IF(AND(NOT(ISBLANK(E463)),COUNTBLANK(E463:K463) = 6),"3 Delete",IF(ISBLANK(E463),"2 Add",IF(SHA1Range(E463:K463) = "f493bd4df3eeeefc6066cd74f4f18b5767396496","0 Original","1 Modify"))))</f>
        <v>0 Original</v>
      </c>
      <c r="D463" s="3" t="s">
        <v>1086</v>
      </c>
      <c r="E463" s="5">
        <v>464</v>
      </c>
      <c r="F463">
        <v>143</v>
      </c>
      <c r="G463" t="s">
        <v>519</v>
      </c>
      <c r="H463" s="7">
        <v>8.99</v>
      </c>
      <c r="I463" s="5">
        <v>2</v>
      </c>
      <c r="J463" s="3" t="s">
        <v>29</v>
      </c>
      <c r="K463" s="9">
        <v>42483.62572916667</v>
      </c>
    </row>
    <row r="464" spans="3:11" x14ac:dyDescent="0.25">
      <c r="C464" t="str">
        <f>IF(COUNTBLANK(E464:K464) = 7,"",IF(AND(NOT(ISBLANK(E464)),COUNTBLANK(E464:K464) = 6),"3 Delete",IF(ISBLANK(E464),"2 Add",IF(SHA1Range(E464:K464) = "9b0f03e94f31885a6819bdde6e93eaa81b176513","0 Original","1 Modify"))))</f>
        <v>0 Original</v>
      </c>
      <c r="D464" s="3" t="s">
        <v>1087</v>
      </c>
      <c r="E464" s="5">
        <v>465</v>
      </c>
      <c r="F464">
        <v>144</v>
      </c>
      <c r="G464" t="s">
        <v>485</v>
      </c>
      <c r="H464" s="7">
        <v>6.99</v>
      </c>
      <c r="I464" s="5">
        <v>1</v>
      </c>
      <c r="J464" s="3" t="s">
        <v>29</v>
      </c>
      <c r="K464" s="9">
        <v>42483.62572916667</v>
      </c>
    </row>
    <row r="465" spans="3:11" x14ac:dyDescent="0.25">
      <c r="C465" t="str">
        <f>IF(COUNTBLANK(E465:K465) = 7,"",IF(AND(NOT(ISBLANK(E465)),COUNTBLANK(E465:K465) = 6),"3 Delete",IF(ISBLANK(E465),"2 Add",IF(SHA1Range(E465:K465) = "f0a04e9ee3a59026e18effddb3b0fa3c84e4f98e","0 Original","1 Modify"))))</f>
        <v>0 Original</v>
      </c>
      <c r="D465" s="3" t="s">
        <v>1088</v>
      </c>
      <c r="E465" s="5">
        <v>466</v>
      </c>
      <c r="F465">
        <v>144</v>
      </c>
      <c r="G465" t="s">
        <v>364</v>
      </c>
      <c r="H465" s="7">
        <v>9.99</v>
      </c>
      <c r="I465" s="5">
        <v>1</v>
      </c>
      <c r="J465" s="3" t="s">
        <v>29</v>
      </c>
      <c r="K465" s="9">
        <v>42483.62572916667</v>
      </c>
    </row>
    <row r="466" spans="3:11" x14ac:dyDescent="0.25">
      <c r="C466" t="str">
        <f>IF(COUNTBLANK(E466:K466) = 7,"",IF(AND(NOT(ISBLANK(E466)),COUNTBLANK(E466:K466) = 6),"3 Delete",IF(ISBLANK(E466),"2 Add",IF(SHA1Range(E466:K466) = "35123cb0dbe61b6b12477a6df257deb6c2d943b8","0 Original","1 Modify"))))</f>
        <v>0 Original</v>
      </c>
      <c r="D466" s="3" t="s">
        <v>1089</v>
      </c>
      <c r="E466" s="5">
        <v>467</v>
      </c>
      <c r="F466">
        <v>144</v>
      </c>
      <c r="G466" t="s">
        <v>596</v>
      </c>
      <c r="H466" s="7">
        <v>8.99</v>
      </c>
      <c r="I466" s="5">
        <v>1</v>
      </c>
      <c r="J466" s="3" t="s">
        <v>29</v>
      </c>
      <c r="K466" s="9">
        <v>42483.62572916667</v>
      </c>
    </row>
    <row r="467" spans="3:11" x14ac:dyDescent="0.25">
      <c r="C467" t="str">
        <f>IF(COUNTBLANK(E467:K467) = 7,"",IF(AND(NOT(ISBLANK(E467)),COUNTBLANK(E467:K467) = 6),"3 Delete",IF(ISBLANK(E467),"2 Add",IF(SHA1Range(E467:K467) = "1464302b9f284952b5797b5c522425f3e02f6999","0 Original","1 Modify"))))</f>
        <v>0 Original</v>
      </c>
      <c r="D467" s="3" t="s">
        <v>1090</v>
      </c>
      <c r="E467" s="5">
        <v>468</v>
      </c>
      <c r="F467">
        <v>145</v>
      </c>
      <c r="G467" t="s">
        <v>295</v>
      </c>
      <c r="H467" s="7">
        <v>7.99</v>
      </c>
      <c r="I467" s="5">
        <v>1</v>
      </c>
      <c r="J467" s="3" t="s">
        <v>29</v>
      </c>
      <c r="K467" s="9">
        <v>42483.62572916667</v>
      </c>
    </row>
    <row r="468" spans="3:11" x14ac:dyDescent="0.25">
      <c r="C468" t="str">
        <f>IF(COUNTBLANK(E468:K468) = 7,"",IF(AND(NOT(ISBLANK(E468)),COUNTBLANK(E468:K468) = 6),"3 Delete",IF(ISBLANK(E468),"2 Add",IF(SHA1Range(E468:K468) = "6c04c54264861c2208594e5eff3066d2683c3aee","0 Original","1 Modify"))))</f>
        <v>0 Original</v>
      </c>
      <c r="D468" s="3" t="s">
        <v>1091</v>
      </c>
      <c r="E468" s="5">
        <v>469</v>
      </c>
      <c r="F468">
        <v>145</v>
      </c>
      <c r="G468" t="s">
        <v>130</v>
      </c>
      <c r="H468" s="7">
        <v>8.99</v>
      </c>
      <c r="I468" s="5">
        <v>2</v>
      </c>
      <c r="J468" s="3" t="s">
        <v>29</v>
      </c>
      <c r="K468" s="9">
        <v>42483.62572916667</v>
      </c>
    </row>
    <row r="469" spans="3:11" x14ac:dyDescent="0.25">
      <c r="C469" t="str">
        <f>IF(COUNTBLANK(E469:K469) = 7,"",IF(AND(NOT(ISBLANK(E469)),COUNTBLANK(E469:K469) = 6),"3 Delete",IF(ISBLANK(E469),"2 Add",IF(SHA1Range(E469:K469) = "afe2dfc12250f8d761235eed1b64e6d3360f6736","0 Original","1 Modify"))))</f>
        <v>0 Original</v>
      </c>
      <c r="D469" s="3" t="s">
        <v>1092</v>
      </c>
      <c r="E469" s="5">
        <v>470</v>
      </c>
      <c r="F469">
        <v>146</v>
      </c>
      <c r="G469" t="s">
        <v>115</v>
      </c>
      <c r="H469" s="7">
        <v>4.99</v>
      </c>
      <c r="I469" s="5">
        <v>1</v>
      </c>
      <c r="J469" s="3" t="s">
        <v>29</v>
      </c>
      <c r="K469" s="9">
        <v>42483.62572916667</v>
      </c>
    </row>
    <row r="470" spans="3:11" x14ac:dyDescent="0.25">
      <c r="C470" t="str">
        <f>IF(COUNTBLANK(E470:K470) = 7,"",IF(AND(NOT(ISBLANK(E470)),COUNTBLANK(E470:K470) = 6),"3 Delete",IF(ISBLANK(E470),"2 Add",IF(SHA1Range(E470:K470) = "cf101500da82fa95ab2ee102f7dea61a5350180e","0 Original","1 Modify"))))</f>
        <v>0 Original</v>
      </c>
      <c r="D470" s="3" t="s">
        <v>1093</v>
      </c>
      <c r="E470" s="5">
        <v>471</v>
      </c>
      <c r="F470">
        <v>146</v>
      </c>
      <c r="G470" t="s">
        <v>559</v>
      </c>
      <c r="H470" s="7">
        <v>4.99</v>
      </c>
      <c r="I470" s="5">
        <v>1</v>
      </c>
      <c r="J470" s="3" t="s">
        <v>29</v>
      </c>
      <c r="K470" s="9">
        <v>42483.62572916667</v>
      </c>
    </row>
    <row r="471" spans="3:11" x14ac:dyDescent="0.25">
      <c r="C471" t="str">
        <f>IF(COUNTBLANK(E471:K471) = 7,"",IF(AND(NOT(ISBLANK(E471)),COUNTBLANK(E471:K471) = 6),"3 Delete",IF(ISBLANK(E471),"2 Add",IF(SHA1Range(E471:K471) = "2767ccea50af2d3cce0ba51a860722d40549b9de","0 Original","1 Modify"))))</f>
        <v>0 Original</v>
      </c>
      <c r="D471" s="3" t="s">
        <v>1094</v>
      </c>
      <c r="E471" s="5">
        <v>472</v>
      </c>
      <c r="F471">
        <v>146</v>
      </c>
      <c r="G471" t="s">
        <v>569</v>
      </c>
      <c r="H471" s="7">
        <v>9.99</v>
      </c>
      <c r="I471" s="5">
        <v>1</v>
      </c>
      <c r="J471" s="3" t="s">
        <v>29</v>
      </c>
      <c r="K471" s="9">
        <v>42483.62572916667</v>
      </c>
    </row>
    <row r="472" spans="3:11" x14ac:dyDescent="0.25">
      <c r="C472" t="str">
        <f>IF(COUNTBLANK(E472:K472) = 7,"",IF(AND(NOT(ISBLANK(E472)),COUNTBLANK(E472:K472) = 6),"3 Delete",IF(ISBLANK(E472),"2 Add",IF(SHA1Range(E472:K472) = "36d101399ac2ce1865bc563be84b2fc57297aafc","0 Original","1 Modify"))))</f>
        <v>0 Original</v>
      </c>
      <c r="D472" s="3" t="s">
        <v>1095</v>
      </c>
      <c r="E472" s="5">
        <v>473</v>
      </c>
      <c r="F472">
        <v>147</v>
      </c>
      <c r="G472" t="s">
        <v>375</v>
      </c>
      <c r="H472" s="7">
        <v>9.99</v>
      </c>
      <c r="I472" s="5">
        <v>2</v>
      </c>
      <c r="J472" s="3" t="s">
        <v>29</v>
      </c>
      <c r="K472" s="9">
        <v>42483.62572916667</v>
      </c>
    </row>
    <row r="473" spans="3:11" x14ac:dyDescent="0.25">
      <c r="C473" t="str">
        <f>IF(COUNTBLANK(E473:K473) = 7,"",IF(AND(NOT(ISBLANK(E473)),COUNTBLANK(E473:K473) = 6),"3 Delete",IF(ISBLANK(E473),"2 Add",IF(SHA1Range(E473:K473) = "1d8d64a5a83d28ad0c391a0ede843c654f7cb101","0 Original","1 Modify"))))</f>
        <v>0 Original</v>
      </c>
      <c r="D473" s="3" t="s">
        <v>1096</v>
      </c>
      <c r="E473" s="5">
        <v>474</v>
      </c>
      <c r="F473">
        <v>147</v>
      </c>
      <c r="G473" t="s">
        <v>519</v>
      </c>
      <c r="H473" s="7">
        <v>8.99</v>
      </c>
      <c r="I473" s="5">
        <v>1</v>
      </c>
      <c r="J473" s="3" t="s">
        <v>29</v>
      </c>
      <c r="K473" s="9">
        <v>42483.62572916667</v>
      </c>
    </row>
    <row r="474" spans="3:11" x14ac:dyDescent="0.25">
      <c r="C474" t="str">
        <f>IF(COUNTBLANK(E474:K474) = 7,"",IF(AND(NOT(ISBLANK(E474)),COUNTBLANK(E474:K474) = 6),"3 Delete",IF(ISBLANK(E474),"2 Add",IF(SHA1Range(E474:K474) = "aba96f678fa7dc0d79921a26d7fd2aada8a55a93","0 Original","1 Modify"))))</f>
        <v>0 Original</v>
      </c>
      <c r="D474" s="3" t="s">
        <v>1097</v>
      </c>
      <c r="E474" s="5">
        <v>475</v>
      </c>
      <c r="F474">
        <v>147</v>
      </c>
      <c r="G474" t="s">
        <v>351</v>
      </c>
      <c r="H474" s="7">
        <v>6.99</v>
      </c>
      <c r="I474" s="5">
        <v>2</v>
      </c>
      <c r="J474" s="3" t="s">
        <v>29</v>
      </c>
      <c r="K474" s="9">
        <v>42483.62572916667</v>
      </c>
    </row>
    <row r="475" spans="3:11" x14ac:dyDescent="0.25">
      <c r="C475" t="str">
        <f>IF(COUNTBLANK(E475:K475) = 7,"",IF(AND(NOT(ISBLANK(E475)),COUNTBLANK(E475:K475) = 6),"3 Delete",IF(ISBLANK(E475),"2 Add",IF(SHA1Range(E475:K475) = "de0ee25208ed2ef4caedf2aa2a3fdeb14e325a06","0 Original","1 Modify"))))</f>
        <v>0 Original</v>
      </c>
      <c r="D475" s="3" t="s">
        <v>1098</v>
      </c>
      <c r="E475" s="5">
        <v>476</v>
      </c>
      <c r="F475">
        <v>148</v>
      </c>
      <c r="G475" t="s">
        <v>602</v>
      </c>
      <c r="H475" s="7">
        <v>7.99</v>
      </c>
      <c r="I475" s="5">
        <v>1</v>
      </c>
      <c r="J475" s="3" t="s">
        <v>29</v>
      </c>
      <c r="K475" s="9">
        <v>42483.62572916667</v>
      </c>
    </row>
    <row r="476" spans="3:11" x14ac:dyDescent="0.25">
      <c r="C476" t="str">
        <f>IF(COUNTBLANK(E476:K476) = 7,"",IF(AND(NOT(ISBLANK(E476)),COUNTBLANK(E476:K476) = 6),"3 Delete",IF(ISBLANK(E476),"2 Add",IF(SHA1Range(E476:K476) = "3a142157f1f1244627adeb443ff86e852cc02741","0 Original","1 Modify"))))</f>
        <v>0 Original</v>
      </c>
      <c r="D476" s="3" t="s">
        <v>1099</v>
      </c>
      <c r="E476" s="5">
        <v>477</v>
      </c>
      <c r="F476">
        <v>149</v>
      </c>
      <c r="G476" t="s">
        <v>270</v>
      </c>
      <c r="H476" s="7">
        <v>8.99</v>
      </c>
      <c r="I476" s="5">
        <v>2</v>
      </c>
      <c r="J476" s="3" t="s">
        <v>29</v>
      </c>
      <c r="K476" s="9">
        <v>42483.62572916667</v>
      </c>
    </row>
    <row r="477" spans="3:11" x14ac:dyDescent="0.25">
      <c r="C477" t="str">
        <f>IF(COUNTBLANK(E477:K477) = 7,"",IF(AND(NOT(ISBLANK(E477)),COUNTBLANK(E477:K477) = 6),"3 Delete",IF(ISBLANK(E477),"2 Add",IF(SHA1Range(E477:K477) = "e404ab75fe5734a7d0f0a3920f70a989889f93f6","0 Original","1 Modify"))))</f>
        <v>0 Original</v>
      </c>
      <c r="D477" s="3" t="s">
        <v>1100</v>
      </c>
      <c r="E477" s="5">
        <v>478</v>
      </c>
      <c r="F477">
        <v>149</v>
      </c>
      <c r="G477" t="s">
        <v>25</v>
      </c>
      <c r="H477" s="7">
        <v>8.99</v>
      </c>
      <c r="I477" s="5">
        <v>1</v>
      </c>
      <c r="J477" s="3" t="s">
        <v>29</v>
      </c>
      <c r="K477" s="9">
        <v>42483.62572916667</v>
      </c>
    </row>
    <row r="478" spans="3:11" x14ac:dyDescent="0.25">
      <c r="C478" t="str">
        <f>IF(COUNTBLANK(E478:K478) = 7,"",IF(AND(NOT(ISBLANK(E478)),COUNTBLANK(E478:K478) = 6),"3 Delete",IF(ISBLANK(E478),"2 Add",IF(SHA1Range(E478:K478) = "821bb7dd8715c7198157e57a81b2fb05f7157a93","0 Original","1 Modify"))))</f>
        <v>0 Original</v>
      </c>
      <c r="D478" s="3" t="s">
        <v>1101</v>
      </c>
      <c r="E478" s="5">
        <v>479</v>
      </c>
      <c r="F478">
        <v>149</v>
      </c>
      <c r="G478" t="s">
        <v>242</v>
      </c>
      <c r="H478" s="7">
        <v>7.99</v>
      </c>
      <c r="I478" s="5">
        <v>1</v>
      </c>
      <c r="J478" s="3" t="s">
        <v>29</v>
      </c>
      <c r="K478" s="9">
        <v>42483.62572916667</v>
      </c>
    </row>
    <row r="479" spans="3:11" x14ac:dyDescent="0.25">
      <c r="C479" t="str">
        <f>IF(COUNTBLANK(E479:K479) = 7,"",IF(AND(NOT(ISBLANK(E479)),COUNTBLANK(E479:K479) = 6),"3 Delete",IF(ISBLANK(E479),"2 Add",IF(SHA1Range(E479:K479) = "09441a94b26b2800969178d813d7bccc45efaaf1","0 Original","1 Modify"))))</f>
        <v>0 Original</v>
      </c>
      <c r="D479" s="3" t="s">
        <v>1102</v>
      </c>
      <c r="E479" s="5">
        <v>480</v>
      </c>
      <c r="F479">
        <v>150</v>
      </c>
      <c r="G479" t="s">
        <v>553</v>
      </c>
      <c r="H479" s="7">
        <v>6.99</v>
      </c>
      <c r="I479" s="5">
        <v>2</v>
      </c>
      <c r="J479" s="3" t="s">
        <v>29</v>
      </c>
      <c r="K479" s="9">
        <v>42483.62572916667</v>
      </c>
    </row>
    <row r="480" spans="3:11" x14ac:dyDescent="0.25">
      <c r="C480" t="str">
        <f>IF(COUNTBLANK(E480:K480) = 7,"",IF(AND(NOT(ISBLANK(E480)),COUNTBLANK(E480:K480) = 6),"3 Delete",IF(ISBLANK(E480),"2 Add",IF(SHA1Range(E480:K480) = "9ac8fb631ec616db50a240c0b8a4784e9028f475","0 Original","1 Modify"))))</f>
        <v>0 Original</v>
      </c>
      <c r="D480" s="3" t="s">
        <v>1103</v>
      </c>
      <c r="E480" s="5">
        <v>481</v>
      </c>
      <c r="F480">
        <v>150</v>
      </c>
      <c r="G480" t="s">
        <v>112</v>
      </c>
      <c r="H480" s="7">
        <v>8.99</v>
      </c>
      <c r="I480" s="5">
        <v>1</v>
      </c>
      <c r="J480" s="3" t="s">
        <v>29</v>
      </c>
      <c r="K480" s="9">
        <v>42483.62572916667</v>
      </c>
    </row>
    <row r="481" spans="3:11" x14ac:dyDescent="0.25">
      <c r="C481" t="str">
        <f>IF(COUNTBLANK(E481:K481) = 7,"",IF(AND(NOT(ISBLANK(E481)),COUNTBLANK(E481:K481) = 6),"3 Delete",IF(ISBLANK(E481),"2 Add",IF(SHA1Range(E481:K481) = "a2e67c8c018f1af8a04eeedf1e615277c14c94b8","0 Original","1 Modify"))))</f>
        <v>0 Original</v>
      </c>
      <c r="D481" s="3" t="s">
        <v>1104</v>
      </c>
      <c r="E481" s="5">
        <v>482</v>
      </c>
      <c r="F481">
        <v>150</v>
      </c>
      <c r="G481" t="s">
        <v>277</v>
      </c>
      <c r="H481" s="7">
        <v>4.99</v>
      </c>
      <c r="I481" s="5">
        <v>1</v>
      </c>
      <c r="J481" s="3" t="s">
        <v>29</v>
      </c>
      <c r="K481" s="9">
        <v>42483.62572916667</v>
      </c>
    </row>
    <row r="482" spans="3:11" x14ac:dyDescent="0.25">
      <c r="C482" t="str">
        <f>IF(COUNTBLANK(E482:K482) = 7,"",IF(AND(NOT(ISBLANK(E482)),COUNTBLANK(E482:K482) = 6),"3 Delete",IF(ISBLANK(E482),"2 Add",IF(SHA1Range(E482:K482) = "b1a8007c883129d19c707bc84ec6c708e10c6901","0 Original","1 Modify"))))</f>
        <v>0 Original</v>
      </c>
      <c r="D482" s="3" t="s">
        <v>1105</v>
      </c>
      <c r="E482" s="5">
        <v>483</v>
      </c>
      <c r="F482">
        <v>150</v>
      </c>
      <c r="G482" t="s">
        <v>428</v>
      </c>
      <c r="H482" s="7">
        <v>8.99</v>
      </c>
      <c r="I482" s="5">
        <v>2</v>
      </c>
      <c r="J482" s="3" t="s">
        <v>29</v>
      </c>
      <c r="K482" s="9">
        <v>42483.62572916667</v>
      </c>
    </row>
    <row r="483" spans="3:11" x14ac:dyDescent="0.25">
      <c r="C483" t="str">
        <f>IF(COUNTBLANK(E483:K483) = 7,"",IF(AND(NOT(ISBLANK(E483)),COUNTBLANK(E483:K483) = 6),"3 Delete",IF(ISBLANK(E483),"2 Add",IF(SHA1Range(E483:K483) = "d7db4860746c5a301460ad3f738f2942364970dd","0 Original","1 Modify"))))</f>
        <v>0 Original</v>
      </c>
      <c r="D483" s="3" t="s">
        <v>1106</v>
      </c>
      <c r="E483" s="5">
        <v>484</v>
      </c>
      <c r="F483">
        <v>150</v>
      </c>
      <c r="G483" t="s">
        <v>54</v>
      </c>
      <c r="H483" s="7">
        <v>5.99</v>
      </c>
      <c r="I483" s="5">
        <v>1</v>
      </c>
      <c r="J483" s="3" t="s">
        <v>29</v>
      </c>
      <c r="K483" s="9">
        <v>42483.62572916667</v>
      </c>
    </row>
    <row r="484" spans="3:11" x14ac:dyDescent="0.25">
      <c r="C484" t="str">
        <f>IF(COUNTBLANK(E484:K484) = 7,"",IF(AND(NOT(ISBLANK(E484)),COUNTBLANK(E484:K484) = 6),"3 Delete",IF(ISBLANK(E484),"2 Add",IF(SHA1Range(E484:K484) = "c8860fa58e2a58f1aeae92a4e5ffa5bfed5ae98e","0 Original","1 Modify"))))</f>
        <v>0 Original</v>
      </c>
      <c r="D484" s="3" t="s">
        <v>1107</v>
      </c>
      <c r="E484" s="5">
        <v>485</v>
      </c>
      <c r="F484">
        <v>151</v>
      </c>
      <c r="G484" t="s">
        <v>528</v>
      </c>
      <c r="H484" s="7">
        <v>7.99</v>
      </c>
      <c r="I484" s="5">
        <v>1</v>
      </c>
      <c r="J484" s="3" t="s">
        <v>29</v>
      </c>
      <c r="K484" s="9">
        <v>42483.62572916667</v>
      </c>
    </row>
    <row r="485" spans="3:11" x14ac:dyDescent="0.25">
      <c r="C485" t="str">
        <f>IF(COUNTBLANK(E485:K485) = 7,"",IF(AND(NOT(ISBLANK(E485)),COUNTBLANK(E485:K485) = 6),"3 Delete",IF(ISBLANK(E485),"2 Add",IF(SHA1Range(E485:K485) = "113b4410969ef277557d0056d42ce2bdbec35f33","0 Original","1 Modify"))))</f>
        <v>0 Original</v>
      </c>
      <c r="D485" s="3" t="s">
        <v>1108</v>
      </c>
      <c r="E485" s="5">
        <v>486</v>
      </c>
      <c r="F485">
        <v>151</v>
      </c>
      <c r="G485" t="s">
        <v>88</v>
      </c>
      <c r="H485" s="7">
        <v>7.99</v>
      </c>
      <c r="I485" s="5">
        <v>2</v>
      </c>
      <c r="J485" s="3" t="s">
        <v>29</v>
      </c>
      <c r="K485" s="9">
        <v>42483.62572916667</v>
      </c>
    </row>
    <row r="486" spans="3:11" x14ac:dyDescent="0.25">
      <c r="C486" t="str">
        <f>IF(COUNTBLANK(E486:K486) = 7,"",IF(AND(NOT(ISBLANK(E486)),COUNTBLANK(E486:K486) = 6),"3 Delete",IF(ISBLANK(E486),"2 Add",IF(SHA1Range(E486:K486) = "77d90a55fb5b06782f80a3487378f78239c13edc","0 Original","1 Modify"))))</f>
        <v>0 Original</v>
      </c>
      <c r="D486" s="3" t="s">
        <v>1109</v>
      </c>
      <c r="E486" s="5">
        <v>487</v>
      </c>
      <c r="F486">
        <v>152</v>
      </c>
      <c r="G486" t="s">
        <v>291</v>
      </c>
      <c r="H486" s="7">
        <v>5.99</v>
      </c>
      <c r="I486" s="5">
        <v>1</v>
      </c>
      <c r="J486" s="3" t="s">
        <v>29</v>
      </c>
      <c r="K486" s="9">
        <v>42483.62572916667</v>
      </c>
    </row>
    <row r="487" spans="3:11" x14ac:dyDescent="0.25">
      <c r="C487" t="str">
        <f>IF(COUNTBLANK(E487:K487) = 7,"",IF(AND(NOT(ISBLANK(E487)),COUNTBLANK(E487:K487) = 6),"3 Delete",IF(ISBLANK(E487),"2 Add",IF(SHA1Range(E487:K487) = "e1ef9d7e7c487dd5667016fd66cd98486b218e03","0 Original","1 Modify"))))</f>
        <v>0 Original</v>
      </c>
      <c r="D487" s="3" t="s">
        <v>1110</v>
      </c>
      <c r="E487" s="5">
        <v>488</v>
      </c>
      <c r="F487">
        <v>152</v>
      </c>
      <c r="G487" t="s">
        <v>199</v>
      </c>
      <c r="H487" s="7">
        <v>5.99</v>
      </c>
      <c r="I487" s="5">
        <v>1</v>
      </c>
      <c r="J487" s="3" t="s">
        <v>29</v>
      </c>
      <c r="K487" s="9">
        <v>42483.62572916667</v>
      </c>
    </row>
    <row r="488" spans="3:11" x14ac:dyDescent="0.25">
      <c r="C488" t="str">
        <f>IF(COUNTBLANK(E488:K488) = 7,"",IF(AND(NOT(ISBLANK(E488)),COUNTBLANK(E488:K488) = 6),"3 Delete",IF(ISBLANK(E488),"2 Add",IF(SHA1Range(E488:K488) = "a66a11ac65a727d3194c400ac37fadaa7a440223","0 Original","1 Modify"))))</f>
        <v>0 Original</v>
      </c>
      <c r="D488" s="3" t="s">
        <v>1111</v>
      </c>
      <c r="E488" s="5">
        <v>489</v>
      </c>
      <c r="F488">
        <v>152</v>
      </c>
      <c r="G488" t="s">
        <v>562</v>
      </c>
      <c r="H488" s="7">
        <v>5.99</v>
      </c>
      <c r="I488" s="5">
        <v>1</v>
      </c>
      <c r="J488" s="3" t="s">
        <v>29</v>
      </c>
      <c r="K488" s="9">
        <v>42483.62572916667</v>
      </c>
    </row>
    <row r="489" spans="3:11" x14ac:dyDescent="0.25">
      <c r="C489" t="str">
        <f>IF(COUNTBLANK(E489:K489) = 7,"",IF(AND(NOT(ISBLANK(E489)),COUNTBLANK(E489:K489) = 6),"3 Delete",IF(ISBLANK(E489),"2 Add",IF(SHA1Range(E489:K489) = "7003387717ecff41e4f7eb7138d040abee245935","0 Original","1 Modify"))))</f>
        <v>0 Original</v>
      </c>
      <c r="D489" s="3" t="s">
        <v>1112</v>
      </c>
      <c r="E489" s="5">
        <v>490</v>
      </c>
      <c r="F489">
        <v>153</v>
      </c>
      <c r="G489" t="s">
        <v>525</v>
      </c>
      <c r="H489" s="7">
        <v>4.99</v>
      </c>
      <c r="I489" s="5">
        <v>1</v>
      </c>
      <c r="J489" s="3" t="s">
        <v>29</v>
      </c>
      <c r="K489" s="9">
        <v>42483.62572916667</v>
      </c>
    </row>
    <row r="490" spans="3:11" x14ac:dyDescent="0.25">
      <c r="C490" t="str">
        <f>IF(COUNTBLANK(E490:K490) = 7,"",IF(AND(NOT(ISBLANK(E490)),COUNTBLANK(E490:K490) = 6),"3 Delete",IF(ISBLANK(E490),"2 Add",IF(SHA1Range(E490:K490) = "0cc32ae61fb7f1790ee1e9e7df1d45d9b2ae9dc9","0 Original","1 Modify"))))</f>
        <v>0 Original</v>
      </c>
      <c r="D490" s="3" t="s">
        <v>1113</v>
      </c>
      <c r="E490" s="5">
        <v>491</v>
      </c>
      <c r="F490">
        <v>153</v>
      </c>
      <c r="G490" t="s">
        <v>573</v>
      </c>
      <c r="H490" s="7">
        <v>9.99</v>
      </c>
      <c r="I490" s="5">
        <v>2</v>
      </c>
      <c r="J490" s="3" t="s">
        <v>29</v>
      </c>
      <c r="K490" s="9">
        <v>42483.62572916667</v>
      </c>
    </row>
    <row r="491" spans="3:11" x14ac:dyDescent="0.25">
      <c r="C491" t="str">
        <f>IF(COUNTBLANK(E491:K491) = 7,"",IF(AND(NOT(ISBLANK(E491)),COUNTBLANK(E491:K491) = 6),"3 Delete",IF(ISBLANK(E491),"2 Add",IF(SHA1Range(E491:K491) = "6f87a19ff22070f86c8ea02915997ae074cffba4","0 Original","1 Modify"))))</f>
        <v>0 Original</v>
      </c>
      <c r="D491" s="3" t="s">
        <v>1114</v>
      </c>
      <c r="E491" s="5">
        <v>492</v>
      </c>
      <c r="F491">
        <v>154</v>
      </c>
      <c r="G491" t="s">
        <v>540</v>
      </c>
      <c r="H491" s="7">
        <v>4.99</v>
      </c>
      <c r="I491" s="5">
        <v>1</v>
      </c>
      <c r="J491" s="3" t="s">
        <v>29</v>
      </c>
      <c r="K491" s="9">
        <v>42483.62572916667</v>
      </c>
    </row>
    <row r="492" spans="3:11" x14ac:dyDescent="0.25">
      <c r="C492" t="str">
        <f>IF(COUNTBLANK(E492:K492) = 7,"",IF(AND(NOT(ISBLANK(E492)),COUNTBLANK(E492:K492) = 6),"3 Delete",IF(ISBLANK(E492),"2 Add",IF(SHA1Range(E492:K492) = "763cb8ceb0781b918f9170321455cd8e72d98d0c","0 Original","1 Modify"))))</f>
        <v>0 Original</v>
      </c>
      <c r="D492" s="3" t="s">
        <v>1115</v>
      </c>
      <c r="E492" s="5">
        <v>493</v>
      </c>
      <c r="F492">
        <v>154</v>
      </c>
      <c r="G492" t="s">
        <v>488</v>
      </c>
      <c r="H492" s="7">
        <v>8.99</v>
      </c>
      <c r="I492" s="5">
        <v>2</v>
      </c>
      <c r="J492" s="3" t="s">
        <v>29</v>
      </c>
      <c r="K492" s="9">
        <v>42483.62572916667</v>
      </c>
    </row>
    <row r="493" spans="3:11" x14ac:dyDescent="0.25">
      <c r="C493" t="str">
        <f>IF(COUNTBLANK(E493:K493) = 7,"",IF(AND(NOT(ISBLANK(E493)),COUNTBLANK(E493:K493) = 6),"3 Delete",IF(ISBLANK(E493),"2 Add",IF(SHA1Range(E493:K493) = "a8f4fc1fd3224709e663e1ccb60cc661f8d5eb4a","0 Original","1 Modify"))))</f>
        <v>0 Original</v>
      </c>
      <c r="D493" s="3" t="s">
        <v>1116</v>
      </c>
      <c r="E493" s="5">
        <v>494</v>
      </c>
      <c r="F493">
        <v>155</v>
      </c>
      <c r="G493" t="s">
        <v>475</v>
      </c>
      <c r="H493" s="7">
        <v>4.99</v>
      </c>
      <c r="I493" s="5">
        <v>2</v>
      </c>
      <c r="J493" s="3" t="s">
        <v>29</v>
      </c>
      <c r="K493" s="9">
        <v>42483.62572916667</v>
      </c>
    </row>
    <row r="494" spans="3:11" x14ac:dyDescent="0.25">
      <c r="C494" t="str">
        <f>IF(COUNTBLANK(E494:K494) = 7,"",IF(AND(NOT(ISBLANK(E494)),COUNTBLANK(E494:K494) = 6),"3 Delete",IF(ISBLANK(E494),"2 Add",IF(SHA1Range(E494:K494) = "0d792478078ebb1c99b6ef56b0809df41a1ea03f","0 Original","1 Modify"))))</f>
        <v>0 Original</v>
      </c>
      <c r="D494" s="3" t="s">
        <v>1117</v>
      </c>
      <c r="E494" s="5">
        <v>495</v>
      </c>
      <c r="F494">
        <v>155</v>
      </c>
      <c r="G494" t="s">
        <v>69</v>
      </c>
      <c r="H494" s="7">
        <v>5.99</v>
      </c>
      <c r="I494" s="5">
        <v>2</v>
      </c>
      <c r="J494" s="3" t="s">
        <v>29</v>
      </c>
      <c r="K494" s="9">
        <v>42483.62572916667</v>
      </c>
    </row>
    <row r="495" spans="3:11" x14ac:dyDescent="0.25">
      <c r="C495" t="str">
        <f>IF(COUNTBLANK(E495:K495) = 7,"",IF(AND(NOT(ISBLANK(E495)),COUNTBLANK(E495:K495) = 6),"3 Delete",IF(ISBLANK(E495),"2 Add",IF(SHA1Range(E495:K495) = "e6edf89af5df7630054b804c921df7fe01ebb158","0 Original","1 Modify"))))</f>
        <v>0 Original</v>
      </c>
      <c r="D495" s="3" t="s">
        <v>1118</v>
      </c>
      <c r="E495" s="5">
        <v>496</v>
      </c>
      <c r="F495">
        <v>156</v>
      </c>
      <c r="G495" t="s">
        <v>58</v>
      </c>
      <c r="H495" s="7">
        <v>8.99</v>
      </c>
      <c r="I495" s="5">
        <v>1</v>
      </c>
      <c r="J495" s="3" t="s">
        <v>29</v>
      </c>
      <c r="K495" s="9">
        <v>42483.62572916667</v>
      </c>
    </row>
    <row r="496" spans="3:11" x14ac:dyDescent="0.25">
      <c r="C496" t="str">
        <f>IF(COUNTBLANK(E496:K496) = 7,"",IF(AND(NOT(ISBLANK(E496)),COUNTBLANK(E496:K496) = 6),"3 Delete",IF(ISBLANK(E496),"2 Add",IF(SHA1Range(E496:K496) = "fa8cab5d5b50af4240ba0672b69561a18a739d7a","0 Original","1 Modify"))))</f>
        <v>0 Original</v>
      </c>
      <c r="D496" s="3" t="s">
        <v>1119</v>
      </c>
      <c r="E496" s="5">
        <v>497</v>
      </c>
      <c r="F496">
        <v>156</v>
      </c>
      <c r="G496" t="s">
        <v>95</v>
      </c>
      <c r="H496" s="7">
        <v>8.99</v>
      </c>
      <c r="I496" s="5">
        <v>1</v>
      </c>
      <c r="J496" s="3" t="s">
        <v>29</v>
      </c>
      <c r="K496" s="9">
        <v>42483.62572916667</v>
      </c>
    </row>
    <row r="497" spans="3:11" x14ac:dyDescent="0.25">
      <c r="C497" t="str">
        <f>IF(COUNTBLANK(E497:K497) = 7,"",IF(AND(NOT(ISBLANK(E497)),COUNTBLANK(E497:K497) = 6),"3 Delete",IF(ISBLANK(E497),"2 Add",IF(SHA1Range(E497:K497) = "698958f75a066b797bdeff7dbf6f3bb2e3e61440","0 Original","1 Modify"))))</f>
        <v>0 Original</v>
      </c>
      <c r="D497" s="3" t="s">
        <v>1120</v>
      </c>
      <c r="E497" s="5">
        <v>498</v>
      </c>
      <c r="F497">
        <v>156</v>
      </c>
      <c r="G497" t="s">
        <v>331</v>
      </c>
      <c r="H497" s="7">
        <v>9.99</v>
      </c>
      <c r="I497" s="5">
        <v>2</v>
      </c>
      <c r="J497" s="3" t="s">
        <v>29</v>
      </c>
      <c r="K497" s="9">
        <v>42483.62572916667</v>
      </c>
    </row>
    <row r="498" spans="3:11" x14ac:dyDescent="0.25">
      <c r="C498" t="str">
        <f>IF(COUNTBLANK(E498:K498) = 7,"",IF(AND(NOT(ISBLANK(E498)),COUNTBLANK(E498:K498) = 6),"3 Delete",IF(ISBLANK(E498),"2 Add",IF(SHA1Range(E498:K498) = "cdb5150a7f1fe9ca1e00cb726b86dd3493978503","0 Original","1 Modify"))))</f>
        <v>0 Original</v>
      </c>
      <c r="D498" s="3" t="s">
        <v>1121</v>
      </c>
      <c r="E498" s="5">
        <v>499</v>
      </c>
      <c r="F498">
        <v>156</v>
      </c>
      <c r="G498" t="s">
        <v>145</v>
      </c>
      <c r="H498" s="7">
        <v>4.99</v>
      </c>
      <c r="I498" s="5">
        <v>1</v>
      </c>
      <c r="J498" s="3" t="s">
        <v>29</v>
      </c>
      <c r="K498" s="9">
        <v>42483.62572916667</v>
      </c>
    </row>
    <row r="499" spans="3:11" x14ac:dyDescent="0.25">
      <c r="C499" t="str">
        <f>IF(COUNTBLANK(E499:K499) = 7,"",IF(AND(NOT(ISBLANK(E499)),COUNTBLANK(E499:K499) = 6),"3 Delete",IF(ISBLANK(E499),"2 Add",IF(SHA1Range(E499:K499) = "9174541fc920fe119ea3c76c445c8815eeec9eb2","0 Original","1 Modify"))))</f>
        <v>0 Original</v>
      </c>
      <c r="D499" s="3" t="s">
        <v>1122</v>
      </c>
      <c r="E499" s="5">
        <v>500</v>
      </c>
      <c r="F499">
        <v>156</v>
      </c>
      <c r="G499" t="s">
        <v>180</v>
      </c>
      <c r="H499" s="7">
        <v>5.99</v>
      </c>
      <c r="I499" s="5">
        <v>2</v>
      </c>
      <c r="J499" s="3" t="s">
        <v>29</v>
      </c>
      <c r="K499" s="9">
        <v>42483.62572916667</v>
      </c>
    </row>
    <row r="500" spans="3:11" x14ac:dyDescent="0.25">
      <c r="C500" t="str">
        <f>IF(COUNTBLANK(E500:K500) = 7,"",IF(AND(NOT(ISBLANK(E500)),COUNTBLANK(E500:K500) = 6),"3 Delete",IF(ISBLANK(E500),"2 Add",IF(SHA1Range(E500:K500) = "a17a14212bf5af5680f884d4e149b94075fb2fd1","0 Original","1 Modify"))))</f>
        <v>0 Original</v>
      </c>
      <c r="D500" s="3" t="s">
        <v>1123</v>
      </c>
      <c r="E500" s="5">
        <v>501</v>
      </c>
      <c r="F500">
        <v>157</v>
      </c>
      <c r="G500" t="s">
        <v>385</v>
      </c>
      <c r="H500" s="7">
        <v>9.99</v>
      </c>
      <c r="I500" s="5">
        <v>1</v>
      </c>
      <c r="J500" s="3" t="s">
        <v>29</v>
      </c>
      <c r="K500" s="9">
        <v>42483.62572916667</v>
      </c>
    </row>
    <row r="501" spans="3:11" x14ac:dyDescent="0.25">
      <c r="C501" t="str">
        <f>IF(COUNTBLANK(E501:K501) = 7,"",IF(AND(NOT(ISBLANK(E501)),COUNTBLANK(E501:K501) = 6),"3 Delete",IF(ISBLANK(E501),"2 Add",IF(SHA1Range(E501:K501) = "c7bdc911798fb04ca24621630480d42cd5256ee2","0 Original","1 Modify"))))</f>
        <v>0 Original</v>
      </c>
      <c r="D501" s="3" t="s">
        <v>1124</v>
      </c>
      <c r="E501" s="5">
        <v>502</v>
      </c>
      <c r="F501">
        <v>157</v>
      </c>
      <c r="G501" t="s">
        <v>65</v>
      </c>
      <c r="H501" s="7">
        <v>6.99</v>
      </c>
      <c r="I501" s="5">
        <v>1</v>
      </c>
      <c r="J501" s="3" t="s">
        <v>29</v>
      </c>
      <c r="K501" s="9">
        <v>42483.62572916667</v>
      </c>
    </row>
    <row r="502" spans="3:11" x14ac:dyDescent="0.25">
      <c r="C502" t="str">
        <f>IF(COUNTBLANK(E502:K502) = 7,"",IF(AND(NOT(ISBLANK(E502)),COUNTBLANK(E502:K502) = 6),"3 Delete",IF(ISBLANK(E502),"2 Add",IF(SHA1Range(E502:K502) = "42418929566857dce3131500c6027b07e5d98486","0 Original","1 Modify"))))</f>
        <v>0 Original</v>
      </c>
      <c r="D502" s="3" t="s">
        <v>1125</v>
      </c>
      <c r="E502" s="5">
        <v>503</v>
      </c>
      <c r="F502">
        <v>157</v>
      </c>
      <c r="G502" t="s">
        <v>210</v>
      </c>
      <c r="H502" s="7">
        <v>4.99</v>
      </c>
      <c r="I502" s="5">
        <v>1</v>
      </c>
      <c r="J502" s="3" t="s">
        <v>29</v>
      </c>
      <c r="K502" s="9">
        <v>42483.62572916667</v>
      </c>
    </row>
    <row r="503" spans="3:11" x14ac:dyDescent="0.25">
      <c r="C503" t="str">
        <f>IF(COUNTBLANK(E503:K503) = 7,"",IF(AND(NOT(ISBLANK(E503)),COUNTBLANK(E503:K503) = 6),"3 Delete",IF(ISBLANK(E503),"2 Add",IF(SHA1Range(E503:K503) = "447f29b29a2308f1cab2aa66ef254fdc73e3b897","0 Original","1 Modify"))))</f>
        <v>0 Original</v>
      </c>
      <c r="D503" s="3" t="s">
        <v>1126</v>
      </c>
      <c r="E503" s="5">
        <v>504</v>
      </c>
      <c r="F503">
        <v>158</v>
      </c>
      <c r="G503" t="s">
        <v>488</v>
      </c>
      <c r="H503" s="7">
        <v>8.99</v>
      </c>
      <c r="I503" s="5">
        <v>1</v>
      </c>
      <c r="J503" s="3" t="s">
        <v>29</v>
      </c>
      <c r="K503" s="9">
        <v>42483.62572916667</v>
      </c>
    </row>
    <row r="504" spans="3:11" x14ac:dyDescent="0.25">
      <c r="C504" t="str">
        <f>IF(COUNTBLANK(E504:K504) = 7,"",IF(AND(NOT(ISBLANK(E504)),COUNTBLANK(E504:K504) = 6),"3 Delete",IF(ISBLANK(E504),"2 Add",IF(SHA1Range(E504:K504) = "1311b606a7f9dd00188331bbe6e8a17226945f19","0 Original","1 Modify"))))</f>
        <v>0 Original</v>
      </c>
      <c r="D504" s="3" t="s">
        <v>1127</v>
      </c>
      <c r="E504" s="5">
        <v>505</v>
      </c>
      <c r="F504">
        <v>159</v>
      </c>
      <c r="G504" t="s">
        <v>465</v>
      </c>
      <c r="H504" s="7">
        <v>7.99</v>
      </c>
      <c r="I504" s="5">
        <v>2</v>
      </c>
      <c r="J504" s="3" t="s">
        <v>29</v>
      </c>
      <c r="K504" s="9">
        <v>42483.62572916667</v>
      </c>
    </row>
    <row r="505" spans="3:11" x14ac:dyDescent="0.25">
      <c r="C505" t="str">
        <f>IF(COUNTBLANK(E505:K505) = 7,"",IF(AND(NOT(ISBLANK(E505)),COUNTBLANK(E505:K505) = 6),"3 Delete",IF(ISBLANK(E505),"2 Add",IF(SHA1Range(E505:K505) = "ea81e48bb2717dcc13957a2ade0e4cd578ca9baf","0 Original","1 Modify"))))</f>
        <v>0 Original</v>
      </c>
      <c r="D505" s="3" t="s">
        <v>1128</v>
      </c>
      <c r="E505" s="5">
        <v>506</v>
      </c>
      <c r="F505">
        <v>159</v>
      </c>
      <c r="G505" t="s">
        <v>492</v>
      </c>
      <c r="H505" s="7">
        <v>7.99</v>
      </c>
      <c r="I505" s="5">
        <v>1</v>
      </c>
      <c r="J505" s="3" t="s">
        <v>29</v>
      </c>
      <c r="K505" s="9">
        <v>42483.62572916667</v>
      </c>
    </row>
    <row r="506" spans="3:11" x14ac:dyDescent="0.25">
      <c r="C506" t="str">
        <f>IF(COUNTBLANK(E506:K506) = 7,"",IF(AND(NOT(ISBLANK(E506)),COUNTBLANK(E506:K506) = 6),"3 Delete",IF(ISBLANK(E506),"2 Add",IF(SHA1Range(E506:K506) = "79fc79760110d1d55394f4f536189f4a02bff1e0","0 Original","1 Modify"))))</f>
        <v>0 Original</v>
      </c>
      <c r="D506" s="3" t="s">
        <v>1129</v>
      </c>
      <c r="E506" s="5">
        <v>507</v>
      </c>
      <c r="F506">
        <v>159</v>
      </c>
      <c r="G506" t="s">
        <v>142</v>
      </c>
      <c r="H506" s="7">
        <v>4.99</v>
      </c>
      <c r="I506" s="5">
        <v>1</v>
      </c>
      <c r="J506" s="3" t="s">
        <v>29</v>
      </c>
      <c r="K506" s="9">
        <v>42483.62572916667</v>
      </c>
    </row>
    <row r="507" spans="3:11" x14ac:dyDescent="0.25">
      <c r="C507" t="str">
        <f>IF(COUNTBLANK(E507:K507) = 7,"",IF(AND(NOT(ISBLANK(E507)),COUNTBLANK(E507:K507) = 6),"3 Delete",IF(ISBLANK(E507),"2 Add",IF(SHA1Range(E507:K507) = "79d151f90076b27362650c295d52f2996c61e3d4","0 Original","1 Modify"))))</f>
        <v>0 Original</v>
      </c>
      <c r="D507" s="3" t="s">
        <v>1130</v>
      </c>
      <c r="E507" s="5">
        <v>508</v>
      </c>
      <c r="F507">
        <v>159</v>
      </c>
      <c r="G507" t="s">
        <v>559</v>
      </c>
      <c r="H507" s="7">
        <v>4.99</v>
      </c>
      <c r="I507" s="5">
        <v>1</v>
      </c>
      <c r="J507" s="3" t="s">
        <v>29</v>
      </c>
      <c r="K507" s="9">
        <v>42483.62572916667</v>
      </c>
    </row>
    <row r="508" spans="3:11" x14ac:dyDescent="0.25">
      <c r="C508" t="str">
        <f>IF(COUNTBLANK(E508:K508) = 7,"",IF(AND(NOT(ISBLANK(E508)),COUNTBLANK(E508:K508) = 6),"3 Delete",IF(ISBLANK(E508),"2 Add",IF(SHA1Range(E508:K508) = "1e681d6f74048ec141e6632195eed43b7875dee1","0 Original","1 Modify"))))</f>
        <v>0 Original</v>
      </c>
      <c r="D508" s="3" t="s">
        <v>1131</v>
      </c>
      <c r="E508" s="5">
        <v>509</v>
      </c>
      <c r="F508">
        <v>159</v>
      </c>
      <c r="G508" t="s">
        <v>281</v>
      </c>
      <c r="H508" s="7">
        <v>7.99</v>
      </c>
      <c r="I508" s="5">
        <v>2</v>
      </c>
      <c r="J508" s="3" t="s">
        <v>29</v>
      </c>
      <c r="K508" s="9">
        <v>42483.62572916667</v>
      </c>
    </row>
    <row r="509" spans="3:11" x14ac:dyDescent="0.25">
      <c r="C509" t="str">
        <f>IF(COUNTBLANK(E509:K509) = 7,"",IF(AND(NOT(ISBLANK(E509)),COUNTBLANK(E509:K509) = 6),"3 Delete",IF(ISBLANK(E509),"2 Add",IF(SHA1Range(E509:K509) = "cfb9f50864511b95b2f6a79cb1853f0b5aa65bc3","0 Original","1 Modify"))))</f>
        <v>0 Original</v>
      </c>
      <c r="D509" s="3" t="s">
        <v>1132</v>
      </c>
      <c r="E509" s="5">
        <v>510</v>
      </c>
      <c r="F509">
        <v>160</v>
      </c>
      <c r="G509" t="s">
        <v>537</v>
      </c>
      <c r="H509" s="7">
        <v>7.99</v>
      </c>
      <c r="I509" s="5">
        <v>1</v>
      </c>
      <c r="J509" s="3" t="s">
        <v>29</v>
      </c>
      <c r="K509" s="9">
        <v>42483.62572916667</v>
      </c>
    </row>
    <row r="510" spans="3:11" x14ac:dyDescent="0.25">
      <c r="C510" t="str">
        <f>IF(COUNTBLANK(E510:K510) = 7,"",IF(AND(NOT(ISBLANK(E510)),COUNTBLANK(E510:K510) = 6),"3 Delete",IF(ISBLANK(E510),"2 Add",IF(SHA1Range(E510:K510) = "366f014f7f418fd61d4f3db49a97733591e2b64c","0 Original","1 Modify"))))</f>
        <v>0 Original</v>
      </c>
      <c r="D510" s="3" t="s">
        <v>1133</v>
      </c>
      <c r="E510" s="5">
        <v>511</v>
      </c>
      <c r="F510">
        <v>161</v>
      </c>
      <c r="G510" t="s">
        <v>593</v>
      </c>
      <c r="H510" s="7">
        <v>9.99</v>
      </c>
      <c r="I510" s="5">
        <v>2</v>
      </c>
      <c r="J510" s="3" t="s">
        <v>29</v>
      </c>
      <c r="K510" s="9">
        <v>42483.62572916667</v>
      </c>
    </row>
    <row r="511" spans="3:11" x14ac:dyDescent="0.25">
      <c r="C511" t="str">
        <f>IF(COUNTBLANK(E511:K511) = 7,"",IF(AND(NOT(ISBLANK(E511)),COUNTBLANK(E511:K511) = 6),"3 Delete",IF(ISBLANK(E511),"2 Add",IF(SHA1Range(E511:K511) = "28559701af733b52516062bbeadfce4836f4b45a","0 Original","1 Modify"))))</f>
        <v>0 Original</v>
      </c>
      <c r="D511" s="3" t="s">
        <v>1134</v>
      </c>
      <c r="E511" s="5">
        <v>513</v>
      </c>
      <c r="F511">
        <v>162</v>
      </c>
      <c r="G511" t="s">
        <v>331</v>
      </c>
      <c r="H511" s="7">
        <v>9.99</v>
      </c>
      <c r="I511" s="5">
        <v>1</v>
      </c>
      <c r="J511" s="3" t="s">
        <v>29</v>
      </c>
      <c r="K511" s="9">
        <v>42483.62572916667</v>
      </c>
    </row>
    <row r="512" spans="3:11" x14ac:dyDescent="0.25">
      <c r="C512" t="str">
        <f>IF(COUNTBLANK(E512:K512) = 7,"",IF(AND(NOT(ISBLANK(E512)),COUNTBLANK(E512:K512) = 6),"3 Delete",IF(ISBLANK(E512),"2 Add",IF(SHA1Range(E512:K512) = "fc0c921193bc87ef4fe6462d091aa7a01c61c5ca","0 Original","1 Modify"))))</f>
        <v>0 Original</v>
      </c>
      <c r="D512" s="3" t="s">
        <v>1135</v>
      </c>
      <c r="E512" s="5">
        <v>514</v>
      </c>
      <c r="F512">
        <v>162</v>
      </c>
      <c r="G512" t="s">
        <v>254</v>
      </c>
      <c r="H512" s="7">
        <v>4.99</v>
      </c>
      <c r="I512" s="5">
        <v>1</v>
      </c>
      <c r="J512" s="3" t="s">
        <v>29</v>
      </c>
      <c r="K512" s="9">
        <v>42483.62572916667</v>
      </c>
    </row>
    <row r="513" spans="3:11" x14ac:dyDescent="0.25">
      <c r="C513" t="str">
        <f>IF(COUNTBLANK(E513:K513) = 7,"",IF(AND(NOT(ISBLANK(E513)),COUNTBLANK(E513:K513) = 6),"3 Delete",IF(ISBLANK(E513),"2 Add",IF(SHA1Range(E513:K513) = "267b30378d14a19eab0c11b1cf2469c37f889d36","0 Original","1 Modify"))))</f>
        <v>0 Original</v>
      </c>
      <c r="D513" s="3" t="s">
        <v>1136</v>
      </c>
      <c r="E513" s="5">
        <v>515</v>
      </c>
      <c r="F513">
        <v>163</v>
      </c>
      <c r="G513" t="s">
        <v>482</v>
      </c>
      <c r="H513" s="7">
        <v>9.99</v>
      </c>
      <c r="I513" s="5">
        <v>1</v>
      </c>
      <c r="J513" s="3" t="s">
        <v>29</v>
      </c>
      <c r="K513" s="9">
        <v>42483.62572916667</v>
      </c>
    </row>
    <row r="514" spans="3:11" x14ac:dyDescent="0.25">
      <c r="C514" t="str">
        <f>IF(COUNTBLANK(E514:K514) = 7,"",IF(AND(NOT(ISBLANK(E514)),COUNTBLANK(E514:K514) = 6),"3 Delete",IF(ISBLANK(E514),"2 Add",IF(SHA1Range(E514:K514) = "b84503e02b330a6970eae24978316f82f3793d52","0 Original","1 Modify"))))</f>
        <v>0 Original</v>
      </c>
      <c r="D514" s="3" t="s">
        <v>1137</v>
      </c>
      <c r="E514" s="5">
        <v>516</v>
      </c>
      <c r="F514">
        <v>164</v>
      </c>
      <c r="G514" t="s">
        <v>257</v>
      </c>
      <c r="H514" s="7">
        <v>9.99</v>
      </c>
      <c r="I514" s="5">
        <v>2</v>
      </c>
      <c r="J514" s="3" t="s">
        <v>29</v>
      </c>
      <c r="K514" s="9">
        <v>42483.62572916667</v>
      </c>
    </row>
    <row r="515" spans="3:11" x14ac:dyDescent="0.25">
      <c r="C515" t="str">
        <f>IF(COUNTBLANK(E515:K515) = 7,"",IF(AND(NOT(ISBLANK(E515)),COUNTBLANK(E515:K515) = 6),"3 Delete",IF(ISBLANK(E515),"2 Add",IF(SHA1Range(E515:K515) = "b57fb155c6e5f17121d619cd3e9ed5050a927a0a","0 Original","1 Modify"))))</f>
        <v>0 Original</v>
      </c>
      <c r="D515" s="3" t="s">
        <v>1138</v>
      </c>
      <c r="E515" s="5">
        <v>517</v>
      </c>
      <c r="F515">
        <v>164</v>
      </c>
      <c r="G515" t="s">
        <v>169</v>
      </c>
      <c r="H515" s="7">
        <v>5.99</v>
      </c>
      <c r="I515" s="5">
        <v>1</v>
      </c>
      <c r="J515" s="3" t="s">
        <v>29</v>
      </c>
      <c r="K515" s="9">
        <v>42483.62572916667</v>
      </c>
    </row>
    <row r="516" spans="3:11" x14ac:dyDescent="0.25">
      <c r="C516" t="str">
        <f>IF(COUNTBLANK(E516:K516) = 7,"",IF(AND(NOT(ISBLANK(E516)),COUNTBLANK(E516:K516) = 6),"3 Delete",IF(ISBLANK(E516),"2 Add",IF(SHA1Range(E516:K516) = "12616363fd6a3261078d8d51ec170afc3d6979c7","0 Original","1 Modify"))))</f>
        <v>0 Original</v>
      </c>
      <c r="D516" s="3" t="s">
        <v>1139</v>
      </c>
      <c r="E516" s="5">
        <v>518</v>
      </c>
      <c r="F516">
        <v>165</v>
      </c>
      <c r="G516" t="s">
        <v>593</v>
      </c>
      <c r="H516" s="7">
        <v>9.99</v>
      </c>
      <c r="I516" s="5">
        <v>1</v>
      </c>
      <c r="J516" s="3" t="s">
        <v>29</v>
      </c>
      <c r="K516" s="9">
        <v>42483.62572916667</v>
      </c>
    </row>
    <row r="517" spans="3:11" x14ac:dyDescent="0.25">
      <c r="C517" t="str">
        <f>IF(COUNTBLANK(E517:K517) = 7,"",IF(AND(NOT(ISBLANK(E517)),COUNTBLANK(E517:K517) = 6),"3 Delete",IF(ISBLANK(E517),"2 Add",IF(SHA1Range(E517:K517) = "98e5c7b3944c06d78859629bfda9fff4897f8494","0 Original","1 Modify"))))</f>
        <v>0 Original</v>
      </c>
      <c r="D517" s="3" t="s">
        <v>1140</v>
      </c>
      <c r="E517" s="5">
        <v>519</v>
      </c>
      <c r="F517">
        <v>165</v>
      </c>
      <c r="G517" t="s">
        <v>587</v>
      </c>
      <c r="H517" s="7">
        <v>7.99</v>
      </c>
      <c r="I517" s="5">
        <v>1</v>
      </c>
      <c r="J517" s="3" t="s">
        <v>29</v>
      </c>
      <c r="K517" s="9">
        <v>42483.62572916667</v>
      </c>
    </row>
    <row r="518" spans="3:11" x14ac:dyDescent="0.25">
      <c r="C518" t="str">
        <f>IF(COUNTBLANK(E518:K518) = 7,"",IF(AND(NOT(ISBLANK(E518)),COUNTBLANK(E518:K518) = 6),"3 Delete",IF(ISBLANK(E518),"2 Add",IF(SHA1Range(E518:K518) = "fda3852582c1e852df2b36c32fe29d8e96fe501d","0 Original","1 Modify"))))</f>
        <v>0 Original</v>
      </c>
      <c r="D518" s="3" t="s">
        <v>1141</v>
      </c>
      <c r="E518" s="5">
        <v>520</v>
      </c>
      <c r="F518">
        <v>165</v>
      </c>
      <c r="G518" t="s">
        <v>418</v>
      </c>
      <c r="H518" s="7">
        <v>6.99</v>
      </c>
      <c r="I518" s="5">
        <v>1</v>
      </c>
      <c r="J518" s="3" t="s">
        <v>29</v>
      </c>
      <c r="K518" s="9">
        <v>42483.62572916667</v>
      </c>
    </row>
    <row r="519" spans="3:11" x14ac:dyDescent="0.25">
      <c r="C519" t="str">
        <f>IF(COUNTBLANK(E519:K519) = 7,"",IF(AND(NOT(ISBLANK(E519)),COUNTBLANK(E519:K519) = 6),"3 Delete",IF(ISBLANK(E519),"2 Add",IF(SHA1Range(E519:K519) = "826a251b58a8b4f796af2253b19c476ce1fda847","0 Original","1 Modify"))))</f>
        <v>0 Original</v>
      </c>
      <c r="D519" s="3" t="s">
        <v>1142</v>
      </c>
      <c r="E519" s="5">
        <v>521</v>
      </c>
      <c r="F519">
        <v>166</v>
      </c>
      <c r="G519" t="s">
        <v>583</v>
      </c>
      <c r="H519" s="7">
        <v>8.99</v>
      </c>
      <c r="I519" s="5">
        <v>1</v>
      </c>
      <c r="J519" s="3" t="s">
        <v>29</v>
      </c>
      <c r="K519" s="9">
        <v>42483.62572916667</v>
      </c>
    </row>
    <row r="520" spans="3:11" x14ac:dyDescent="0.25">
      <c r="C520" t="str">
        <f>IF(COUNTBLANK(E520:K520) = 7,"",IF(AND(NOT(ISBLANK(E520)),COUNTBLANK(E520:K520) = 6),"3 Delete",IF(ISBLANK(E520),"2 Add",IF(SHA1Range(E520:K520) = "e0087a1f44b736429aa3473ed5a817100277d1f9","0 Original","1 Modify"))))</f>
        <v>0 Original</v>
      </c>
      <c r="D520" s="3" t="s">
        <v>1143</v>
      </c>
      <c r="E520" s="5">
        <v>522</v>
      </c>
      <c r="F520">
        <v>167</v>
      </c>
      <c r="G520" t="s">
        <v>65</v>
      </c>
      <c r="H520" s="7">
        <v>6.99</v>
      </c>
      <c r="I520" s="5">
        <v>2</v>
      </c>
      <c r="J520" s="3" t="s">
        <v>29</v>
      </c>
      <c r="K520" s="9">
        <v>42483.62572916667</v>
      </c>
    </row>
    <row r="521" spans="3:11" x14ac:dyDescent="0.25">
      <c r="C521" t="str">
        <f>IF(COUNTBLANK(E521:K521) = 7,"",IF(AND(NOT(ISBLANK(E521)),COUNTBLANK(E521:K521) = 6),"3 Delete",IF(ISBLANK(E521),"2 Add",IF(SHA1Range(E521:K521) = "1995cca90757e239d8e8312cf545e164cb5836c4","0 Original","1 Modify"))))</f>
        <v>0 Original</v>
      </c>
      <c r="D521" s="3" t="s">
        <v>1144</v>
      </c>
      <c r="E521" s="5">
        <v>523</v>
      </c>
      <c r="F521">
        <v>167</v>
      </c>
      <c r="G521" t="s">
        <v>325</v>
      </c>
      <c r="H521" s="7">
        <v>7.99</v>
      </c>
      <c r="I521" s="5">
        <v>1</v>
      </c>
      <c r="J521" s="3" t="s">
        <v>29</v>
      </c>
      <c r="K521" s="9">
        <v>42483.62572916667</v>
      </c>
    </row>
    <row r="522" spans="3:11" x14ac:dyDescent="0.25">
      <c r="C522" t="str">
        <f>IF(COUNTBLANK(E522:K522) = 7,"",IF(AND(NOT(ISBLANK(E522)),COUNTBLANK(E522:K522) = 6),"3 Delete",IF(ISBLANK(E522),"2 Add",IF(SHA1Range(E522:K522) = "6001ed144e4cedc929230672862dc5dddfdb4208","0 Original","1 Modify"))))</f>
        <v>0 Original</v>
      </c>
      <c r="D522" s="3" t="s">
        <v>1145</v>
      </c>
      <c r="E522" s="5">
        <v>524</v>
      </c>
      <c r="F522">
        <v>168</v>
      </c>
      <c r="G522" t="s">
        <v>169</v>
      </c>
      <c r="H522" s="7">
        <v>5.99</v>
      </c>
      <c r="I522" s="5">
        <v>3</v>
      </c>
      <c r="J522" s="3" t="s">
        <v>29</v>
      </c>
      <c r="K522" s="9">
        <v>42483.62572916667</v>
      </c>
    </row>
    <row r="523" spans="3:11" x14ac:dyDescent="0.25">
      <c r="C523" t="str">
        <f>IF(COUNTBLANK(E523:K523) = 7,"",IF(AND(NOT(ISBLANK(E523)),COUNTBLANK(E523:K523) = 6),"3 Delete",IF(ISBLANK(E523),"2 Add",IF(SHA1Range(E523:K523) = "0bcf995c39860299c001b5cf761f4c100ca670a7","0 Original","1 Modify"))))</f>
        <v>0 Original</v>
      </c>
      <c r="D523" s="3" t="s">
        <v>1146</v>
      </c>
      <c r="E523" s="5">
        <v>525</v>
      </c>
      <c r="F523">
        <v>168</v>
      </c>
      <c r="G523" t="s">
        <v>25</v>
      </c>
      <c r="H523" s="7">
        <v>8.99</v>
      </c>
      <c r="I523" s="5">
        <v>1</v>
      </c>
      <c r="J523" s="3" t="s">
        <v>29</v>
      </c>
      <c r="K523" s="9">
        <v>42483.62572916667</v>
      </c>
    </row>
    <row r="524" spans="3:11" x14ac:dyDescent="0.25">
      <c r="C524" t="str">
        <f>IF(COUNTBLANK(E524:K524) = 7,"",IF(AND(NOT(ISBLANK(E524)),COUNTBLANK(E524:K524) = 6),"3 Delete",IF(ISBLANK(E524),"2 Add",IF(SHA1Range(E524:K524) = "985628da2b2e0576aec84ef2801f85200de22ea5","0 Original","1 Modify"))))</f>
        <v>0 Original</v>
      </c>
      <c r="D524" s="3" t="s">
        <v>1147</v>
      </c>
      <c r="E524" s="5">
        <v>526</v>
      </c>
      <c r="F524">
        <v>169</v>
      </c>
      <c r="G524" t="s">
        <v>192</v>
      </c>
      <c r="H524" s="7">
        <v>8.99</v>
      </c>
      <c r="I524" s="5">
        <v>1</v>
      </c>
      <c r="J524" s="3" t="s">
        <v>29</v>
      </c>
      <c r="K524" s="9">
        <v>42483.62572916667</v>
      </c>
    </row>
    <row r="525" spans="3:11" x14ac:dyDescent="0.25">
      <c r="C525" t="str">
        <f>IF(COUNTBLANK(E525:K525) = 7,"",IF(AND(NOT(ISBLANK(E525)),COUNTBLANK(E525:K525) = 6),"3 Delete",IF(ISBLANK(E525),"2 Add",IF(SHA1Range(E525:K525) = "b9ad46531f035e5b7caba17f33b62e1c33b737a8","0 Original","1 Modify"))))</f>
        <v>0 Original</v>
      </c>
      <c r="D525" s="3" t="s">
        <v>1148</v>
      </c>
      <c r="E525" s="5">
        <v>527</v>
      </c>
      <c r="F525">
        <v>169</v>
      </c>
      <c r="G525" t="s">
        <v>553</v>
      </c>
      <c r="H525" s="7">
        <v>6.99</v>
      </c>
      <c r="I525" s="5">
        <v>1</v>
      </c>
      <c r="J525" s="3" t="s">
        <v>29</v>
      </c>
      <c r="K525" s="9">
        <v>42483.62572916667</v>
      </c>
    </row>
    <row r="526" spans="3:11" x14ac:dyDescent="0.25">
      <c r="C526" t="str">
        <f>IF(COUNTBLANK(E526:K526) = 7,"",IF(AND(NOT(ISBLANK(E526)),COUNTBLANK(E526:K526) = 6),"3 Delete",IF(ISBLANK(E526),"2 Add",IF(SHA1Range(E526:K526) = "7478ce447858666ebc5dec7ab4272ddcd1a5c32b","0 Original","1 Modify"))))</f>
        <v>0 Original</v>
      </c>
      <c r="D526" s="3" t="s">
        <v>1149</v>
      </c>
      <c r="E526" s="5">
        <v>528</v>
      </c>
      <c r="F526">
        <v>169</v>
      </c>
      <c r="G526" t="s">
        <v>482</v>
      </c>
      <c r="H526" s="7">
        <v>9.99</v>
      </c>
      <c r="I526" s="5">
        <v>2</v>
      </c>
      <c r="J526" s="3" t="s">
        <v>29</v>
      </c>
      <c r="K526" s="9">
        <v>42483.62572916667</v>
      </c>
    </row>
    <row r="527" spans="3:11" x14ac:dyDescent="0.25">
      <c r="C527" t="str">
        <f>IF(COUNTBLANK(E527:K527) = 7,"",IF(AND(NOT(ISBLANK(E527)),COUNTBLANK(E527:K527) = 6),"3 Delete",IF(ISBLANK(E527),"2 Add",IF(SHA1Range(E527:K527) = "53a245cb25fdafb321a1b4b1ccc665f12189ba4a","0 Original","1 Modify"))))</f>
        <v>0 Original</v>
      </c>
      <c r="D527" s="3" t="s">
        <v>1150</v>
      </c>
      <c r="E527" s="5">
        <v>529</v>
      </c>
      <c r="F527">
        <v>169</v>
      </c>
      <c r="G527" t="s">
        <v>203</v>
      </c>
      <c r="H527" s="7">
        <v>5.99</v>
      </c>
      <c r="I527" s="5">
        <v>1</v>
      </c>
      <c r="J527" s="3" t="s">
        <v>29</v>
      </c>
      <c r="K527" s="9">
        <v>42483.62572916667</v>
      </c>
    </row>
    <row r="528" spans="3:11" x14ac:dyDescent="0.25">
      <c r="C528" t="str">
        <f>IF(COUNTBLANK(E528:K528) = 7,"",IF(AND(NOT(ISBLANK(E528)),COUNTBLANK(E528:K528) = 6),"3 Delete",IF(ISBLANK(E528),"2 Add",IF(SHA1Range(E528:K528) = "51c4d06262efd0d25a263da279d0b05d9f3938de","0 Original","1 Modify"))))</f>
        <v>0 Original</v>
      </c>
      <c r="D528" s="3" t="s">
        <v>1151</v>
      </c>
      <c r="E528" s="5">
        <v>530</v>
      </c>
      <c r="F528">
        <v>170</v>
      </c>
      <c r="G528" t="s">
        <v>291</v>
      </c>
      <c r="H528" s="7">
        <v>5.99</v>
      </c>
      <c r="I528" s="5">
        <v>1</v>
      </c>
      <c r="J528" s="3" t="s">
        <v>29</v>
      </c>
      <c r="K528" s="9">
        <v>42483.62572916667</v>
      </c>
    </row>
    <row r="529" spans="3:11" x14ac:dyDescent="0.25">
      <c r="C529" t="str">
        <f>IF(COUNTBLANK(E529:K529) = 7,"",IF(AND(NOT(ISBLANK(E529)),COUNTBLANK(E529:K529) = 6),"3 Delete",IF(ISBLANK(E529),"2 Add",IF(SHA1Range(E529:K529) = "bbc5b9b731dfa76faf3d9cbf2c047e9fe076ce10","0 Original","1 Modify"))))</f>
        <v>0 Original</v>
      </c>
      <c r="D529" s="3" t="s">
        <v>1152</v>
      </c>
      <c r="E529" s="5">
        <v>531</v>
      </c>
      <c r="F529">
        <v>170</v>
      </c>
      <c r="G529" t="s">
        <v>149</v>
      </c>
      <c r="H529" s="7">
        <v>7.99</v>
      </c>
      <c r="I529" s="5">
        <v>1</v>
      </c>
      <c r="J529" s="3" t="s">
        <v>29</v>
      </c>
      <c r="K529" s="9">
        <v>42483.62572916667</v>
      </c>
    </row>
    <row r="530" spans="3:11" x14ac:dyDescent="0.25">
      <c r="C530" t="str">
        <f>IF(COUNTBLANK(E530:K530) = 7,"",IF(AND(NOT(ISBLANK(E530)),COUNTBLANK(E530:K530) = 6),"3 Delete",IF(ISBLANK(E530),"2 Add",IF(SHA1Range(E530:K530) = "3158f39c0fb7a0ec2a6625fa541dcec07434f799","0 Original","1 Modify"))))</f>
        <v>0 Original</v>
      </c>
      <c r="D530" s="3" t="s">
        <v>1153</v>
      </c>
      <c r="E530" s="5">
        <v>532</v>
      </c>
      <c r="F530">
        <v>170</v>
      </c>
      <c r="G530" t="s">
        <v>136</v>
      </c>
      <c r="H530" s="7">
        <v>8.99</v>
      </c>
      <c r="I530" s="5">
        <v>1</v>
      </c>
      <c r="J530" s="3" t="s">
        <v>29</v>
      </c>
      <c r="K530" s="9">
        <v>42483.62572916667</v>
      </c>
    </row>
    <row r="531" spans="3:11" x14ac:dyDescent="0.25">
      <c r="C531" t="str">
        <f>IF(COUNTBLANK(E531:K531) = 7,"",IF(AND(NOT(ISBLANK(E531)),COUNTBLANK(E531:K531) = 6),"3 Delete",IF(ISBLANK(E531),"2 Add",IF(SHA1Range(E531:K531) = "11f574bbf2e2a495e9d721ca5b06f378ad84e4c1","0 Original","1 Modify"))))</f>
        <v>0 Original</v>
      </c>
      <c r="D531" s="3" t="s">
        <v>1154</v>
      </c>
      <c r="E531" s="5">
        <v>533</v>
      </c>
      <c r="F531">
        <v>171</v>
      </c>
      <c r="G531" t="s">
        <v>479</v>
      </c>
      <c r="H531" s="7">
        <v>6.99</v>
      </c>
      <c r="I531" s="5">
        <v>1</v>
      </c>
      <c r="J531" s="3" t="s">
        <v>29</v>
      </c>
      <c r="K531" s="9">
        <v>42483.62572916667</v>
      </c>
    </row>
    <row r="532" spans="3:11" x14ac:dyDescent="0.25">
      <c r="C532" t="str">
        <f>IF(COUNTBLANK(E532:K532) = 7,"",IF(AND(NOT(ISBLANK(E532)),COUNTBLANK(E532:K532) = 6),"3 Delete",IF(ISBLANK(E532),"2 Add",IF(SHA1Range(E532:K532) = "7f0a2228f7e8af3bc2c2e1d6d4631625b2cb4dd0","0 Original","1 Modify"))))</f>
        <v>0 Original</v>
      </c>
      <c r="D532" s="3" t="s">
        <v>1155</v>
      </c>
      <c r="E532" s="5">
        <v>534</v>
      </c>
      <c r="F532">
        <v>171</v>
      </c>
      <c r="G532" t="s">
        <v>133</v>
      </c>
      <c r="H532" s="7">
        <v>7.99</v>
      </c>
      <c r="I532" s="5">
        <v>1</v>
      </c>
      <c r="J532" s="3" t="s">
        <v>29</v>
      </c>
      <c r="K532" s="9">
        <v>42483.62572916667</v>
      </c>
    </row>
    <row r="533" spans="3:11" x14ac:dyDescent="0.25">
      <c r="C533" t="str">
        <f>IF(COUNTBLANK(E533:K533) = 7,"",IF(AND(NOT(ISBLANK(E533)),COUNTBLANK(E533:K533) = 6),"3 Delete",IF(ISBLANK(E533),"2 Add",IF(SHA1Range(E533:K533) = "6e884e913201b84d57752476641f01bf5d3466db","0 Original","1 Modify"))))</f>
        <v>0 Original</v>
      </c>
      <c r="D533" s="3" t="s">
        <v>1156</v>
      </c>
      <c r="E533" s="5">
        <v>535</v>
      </c>
      <c r="F533">
        <v>171</v>
      </c>
      <c r="G533" t="s">
        <v>469</v>
      </c>
      <c r="H533" s="7">
        <v>5.99</v>
      </c>
      <c r="I533" s="5">
        <v>2</v>
      </c>
      <c r="J533" s="3" t="s">
        <v>29</v>
      </c>
      <c r="K533" s="9">
        <v>42483.62572916667</v>
      </c>
    </row>
    <row r="534" spans="3:11" x14ac:dyDescent="0.25">
      <c r="C534" t="str">
        <f>IF(COUNTBLANK(E534:K534) = 7,"",IF(AND(NOT(ISBLANK(E534)),COUNTBLANK(E534:K534) = 6),"3 Delete",IF(ISBLANK(E534),"2 Add",IF(SHA1Range(E534:K534) = "912a4aff2cc26ec145e3668ac130c5a5646fd0b0","0 Original","1 Modify"))))</f>
        <v>0 Original</v>
      </c>
      <c r="D534" s="3" t="s">
        <v>1157</v>
      </c>
      <c r="E534" s="5">
        <v>536</v>
      </c>
      <c r="F534">
        <v>172</v>
      </c>
      <c r="G534" t="s">
        <v>192</v>
      </c>
      <c r="H534" s="7">
        <v>8.99</v>
      </c>
      <c r="I534" s="5">
        <v>1</v>
      </c>
      <c r="J534" s="3" t="s">
        <v>29</v>
      </c>
      <c r="K534" s="9">
        <v>42483.62572916667</v>
      </c>
    </row>
    <row r="535" spans="3:11" x14ac:dyDescent="0.25">
      <c r="C535" t="str">
        <f>IF(COUNTBLANK(E535:K535) = 7,"",IF(AND(NOT(ISBLANK(E535)),COUNTBLANK(E535:K535) = 6),"3 Delete",IF(ISBLANK(E535),"2 Add",IF(SHA1Range(E535:K535) = "2da238feef29e36c0c8709d5b6fcae67764f200b","0 Original","1 Modify"))))</f>
        <v>0 Original</v>
      </c>
      <c r="D535" s="3" t="s">
        <v>1158</v>
      </c>
      <c r="E535" s="5">
        <v>537</v>
      </c>
      <c r="F535">
        <v>172</v>
      </c>
      <c r="G535" t="s">
        <v>203</v>
      </c>
      <c r="H535" s="7">
        <v>5.99</v>
      </c>
      <c r="I535" s="5">
        <v>1</v>
      </c>
      <c r="J535" s="3" t="s">
        <v>29</v>
      </c>
      <c r="K535" s="9">
        <v>42483.62572916667</v>
      </c>
    </row>
    <row r="536" spans="3:11" x14ac:dyDescent="0.25">
      <c r="C536" t="str">
        <f>IF(COUNTBLANK(E536:K536) = 7,"",IF(AND(NOT(ISBLANK(E536)),COUNTBLANK(E536:K536) = 6),"3 Delete",IF(ISBLANK(E536),"2 Add",IF(SHA1Range(E536:K536) = "c18d3a5f93c9c660e3ad4aa1040972c95d587ea9","0 Original","1 Modify"))))</f>
        <v>0 Original</v>
      </c>
      <c r="D536" s="3" t="s">
        <v>1159</v>
      </c>
      <c r="E536" s="5">
        <v>538</v>
      </c>
      <c r="F536">
        <v>172</v>
      </c>
      <c r="G536" t="s">
        <v>395</v>
      </c>
      <c r="H536" s="7">
        <v>8.99</v>
      </c>
      <c r="I536" s="5">
        <v>1</v>
      </c>
      <c r="J536" s="3" t="s">
        <v>29</v>
      </c>
      <c r="K536" s="9">
        <v>42483.62572916667</v>
      </c>
    </row>
    <row r="537" spans="3:11" x14ac:dyDescent="0.25">
      <c r="C537" t="str">
        <f>IF(COUNTBLANK(E537:K537) = 7,"",IF(AND(NOT(ISBLANK(E537)),COUNTBLANK(E537:K537) = 6),"3 Delete",IF(ISBLANK(E537),"2 Add",IF(SHA1Range(E537:K537) = "d7fce2472a583ad295e35349679ccb87221666b1","0 Original","1 Modify"))))</f>
        <v>0 Original</v>
      </c>
      <c r="D537" s="3" t="s">
        <v>1160</v>
      </c>
      <c r="E537" s="5">
        <v>539</v>
      </c>
      <c r="F537">
        <v>173</v>
      </c>
      <c r="G537" t="s">
        <v>410</v>
      </c>
      <c r="H537" s="7">
        <v>6.99</v>
      </c>
      <c r="I537" s="5">
        <v>1</v>
      </c>
      <c r="J537" s="3" t="s">
        <v>29</v>
      </c>
      <c r="K537" s="9">
        <v>42483.62572916667</v>
      </c>
    </row>
    <row r="538" spans="3:11" x14ac:dyDescent="0.25">
      <c r="C538" t="str">
        <f>IF(COUNTBLANK(E538:K538) = 7,"",IF(AND(NOT(ISBLANK(E538)),COUNTBLANK(E538:K538) = 6),"3 Delete",IF(ISBLANK(E538),"2 Add",IF(SHA1Range(E538:K538) = "e27267e8e6e18ef152ff97d4c9ab78e696e23d4d","0 Original","1 Modify"))))</f>
        <v>0 Original</v>
      </c>
      <c r="D538" s="3" t="s">
        <v>1161</v>
      </c>
      <c r="E538" s="5">
        <v>540</v>
      </c>
      <c r="F538">
        <v>173</v>
      </c>
      <c r="G538" t="s">
        <v>351</v>
      </c>
      <c r="H538" s="7">
        <v>6.99</v>
      </c>
      <c r="I538" s="5">
        <v>2</v>
      </c>
      <c r="J538" s="3" t="s">
        <v>29</v>
      </c>
      <c r="K538" s="9">
        <v>42483.62572916667</v>
      </c>
    </row>
    <row r="539" spans="3:11" x14ac:dyDescent="0.25">
      <c r="C539" t="str">
        <f>IF(COUNTBLANK(E539:K539) = 7,"",IF(AND(NOT(ISBLANK(E539)),COUNTBLANK(E539:K539) = 6),"3 Delete",IF(ISBLANK(E539),"2 Add",IF(SHA1Range(E539:K539) = "3a81911d80ea7e0f603aaae0dd7badb52070aee4","0 Original","1 Modify"))))</f>
        <v>0 Original</v>
      </c>
      <c r="D539" s="3" t="s">
        <v>1162</v>
      </c>
      <c r="E539" s="5">
        <v>541</v>
      </c>
      <c r="F539">
        <v>173</v>
      </c>
      <c r="G539" t="s">
        <v>99</v>
      </c>
      <c r="H539" s="7">
        <v>5.99</v>
      </c>
      <c r="I539" s="5">
        <v>1</v>
      </c>
      <c r="J539" s="3" t="s">
        <v>29</v>
      </c>
      <c r="K539" s="9">
        <v>42483.62572916667</v>
      </c>
    </row>
    <row r="540" spans="3:11" x14ac:dyDescent="0.25">
      <c r="C540" t="str">
        <f>IF(COUNTBLANK(E540:K540) = 7,"",IF(AND(NOT(ISBLANK(E540)),COUNTBLANK(E540:K540) = 6),"3 Delete",IF(ISBLANK(E540),"2 Add",IF(SHA1Range(E540:K540) = "39ea05ac74042b42dcd99861ad7cf4b52db02901","0 Original","1 Modify"))))</f>
        <v>0 Original</v>
      </c>
      <c r="D540" s="3" t="s">
        <v>1163</v>
      </c>
      <c r="E540" s="5">
        <v>542</v>
      </c>
      <c r="F540">
        <v>173</v>
      </c>
      <c r="G540" t="s">
        <v>328</v>
      </c>
      <c r="H540" s="7">
        <v>8.99</v>
      </c>
      <c r="I540" s="5">
        <v>1</v>
      </c>
      <c r="J540" s="3" t="s">
        <v>29</v>
      </c>
      <c r="K540" s="9">
        <v>42483.62572916667</v>
      </c>
    </row>
    <row r="541" spans="3:11" x14ac:dyDescent="0.25">
      <c r="C541" t="str">
        <f>IF(COUNTBLANK(E541:K541) = 7,"",IF(AND(NOT(ISBLANK(E541)),COUNTBLANK(E541:K541) = 6),"3 Delete",IF(ISBLANK(E541),"2 Add",IF(SHA1Range(E541:K541) = "6367f75d1bc6ee98b3c5f22c947d8e8571ba95d6","0 Original","1 Modify"))))</f>
        <v>0 Original</v>
      </c>
      <c r="D541" s="3" t="s">
        <v>1164</v>
      </c>
      <c r="E541" s="5">
        <v>543</v>
      </c>
      <c r="F541">
        <v>174</v>
      </c>
      <c r="G541" t="s">
        <v>513</v>
      </c>
      <c r="H541" s="7">
        <v>4.99</v>
      </c>
      <c r="I541" s="5">
        <v>2</v>
      </c>
      <c r="J541" s="3" t="s">
        <v>29</v>
      </c>
      <c r="K541" s="9">
        <v>42483.62572916667</v>
      </c>
    </row>
    <row r="542" spans="3:11" x14ac:dyDescent="0.25">
      <c r="C542" t="str">
        <f>IF(COUNTBLANK(E542:K542) = 7,"",IF(AND(NOT(ISBLANK(E542)),COUNTBLANK(E542:K542) = 6),"3 Delete",IF(ISBLANK(E542),"2 Add",IF(SHA1Range(E542:K542) = "b1265d36f26628798054b08a62f45760886f2fd5","0 Original","1 Modify"))))</f>
        <v>0 Original</v>
      </c>
      <c r="D542" s="3" t="s">
        <v>1165</v>
      </c>
      <c r="E542" s="5">
        <v>544</v>
      </c>
      <c r="F542">
        <v>174</v>
      </c>
      <c r="G542" t="s">
        <v>285</v>
      </c>
      <c r="H542" s="7">
        <v>4.99</v>
      </c>
      <c r="I542" s="5">
        <v>2</v>
      </c>
      <c r="J542" s="3" t="s">
        <v>29</v>
      </c>
      <c r="K542" s="9">
        <v>42483.62572916667</v>
      </c>
    </row>
    <row r="543" spans="3:11" x14ac:dyDescent="0.25">
      <c r="C543" t="str">
        <f>IF(COUNTBLANK(E543:K543) = 7,"",IF(AND(NOT(ISBLANK(E543)),COUNTBLANK(E543:K543) = 6),"3 Delete",IF(ISBLANK(E543),"2 Add",IF(SHA1Range(E543:K543) = "1f38348d2cec71217b5f915e764715a953bd122a","0 Original","1 Modify"))))</f>
        <v>0 Original</v>
      </c>
      <c r="D543" s="3" t="s">
        <v>1166</v>
      </c>
      <c r="E543" s="5">
        <v>545</v>
      </c>
      <c r="F543">
        <v>174</v>
      </c>
      <c r="G543" t="s">
        <v>537</v>
      </c>
      <c r="H543" s="7">
        <v>7.99</v>
      </c>
      <c r="I543" s="5">
        <v>2</v>
      </c>
      <c r="J543" s="3" t="s">
        <v>29</v>
      </c>
      <c r="K543" s="9">
        <v>42483.62572916667</v>
      </c>
    </row>
    <row r="544" spans="3:11" x14ac:dyDescent="0.25">
      <c r="C544" t="str">
        <f>IF(COUNTBLANK(E544:K544) = 7,"",IF(AND(NOT(ISBLANK(E544)),COUNTBLANK(E544:K544) = 6),"3 Delete",IF(ISBLANK(E544),"2 Add",IF(SHA1Range(E544:K544) = "bc1ac791f10bfb382a4c83989a5631cd4bb87ccb","0 Original","1 Modify"))))</f>
        <v>0 Original</v>
      </c>
      <c r="D544" s="3" t="s">
        <v>1167</v>
      </c>
      <c r="E544" s="5">
        <v>546</v>
      </c>
      <c r="F544">
        <v>174</v>
      </c>
      <c r="G544" t="s">
        <v>391</v>
      </c>
      <c r="H544" s="7">
        <v>7.99</v>
      </c>
      <c r="I544" s="5">
        <v>1</v>
      </c>
      <c r="J544" s="3" t="s">
        <v>29</v>
      </c>
      <c r="K544" s="9">
        <v>42483.62572916667</v>
      </c>
    </row>
    <row r="545" spans="3:11" x14ac:dyDescent="0.25">
      <c r="C545" t="str">
        <f>IF(COUNTBLANK(E545:K545) = 7,"",IF(AND(NOT(ISBLANK(E545)),COUNTBLANK(E545:K545) = 6),"3 Delete",IF(ISBLANK(E545),"2 Add",IF(SHA1Range(E545:K545) = "9dd077a1cf1c06ef7a08d26d0c3fdc57443a643f","0 Original","1 Modify"))))</f>
        <v>0 Original</v>
      </c>
      <c r="D545" s="3" t="s">
        <v>1168</v>
      </c>
      <c r="E545" s="5">
        <v>547</v>
      </c>
      <c r="F545">
        <v>174</v>
      </c>
      <c r="G545" t="s">
        <v>506</v>
      </c>
      <c r="H545" s="7">
        <v>6.99</v>
      </c>
      <c r="I545" s="5">
        <v>2</v>
      </c>
      <c r="J545" s="3" t="s">
        <v>29</v>
      </c>
      <c r="K545" s="9">
        <v>42483.62572916667</v>
      </c>
    </row>
    <row r="546" spans="3:11" x14ac:dyDescent="0.25">
      <c r="C546" t="str">
        <f>IF(COUNTBLANK(E546:K546) = 7,"",IF(AND(NOT(ISBLANK(E546)),COUNTBLANK(E546:K546) = 6),"3 Delete",IF(ISBLANK(E546),"2 Add",IF(SHA1Range(E546:K546) = "cdddcefecd4a13aecdf71f4a8d40f0d75628ece1","0 Original","1 Modify"))))</f>
        <v>0 Original</v>
      </c>
      <c r="D546" s="3" t="s">
        <v>1169</v>
      </c>
      <c r="E546" s="5">
        <v>548</v>
      </c>
      <c r="F546">
        <v>175</v>
      </c>
      <c r="G546" t="s">
        <v>496</v>
      </c>
      <c r="H546" s="7">
        <v>8.99</v>
      </c>
      <c r="I546" s="5">
        <v>1</v>
      </c>
      <c r="J546" s="3" t="s">
        <v>29</v>
      </c>
      <c r="K546" s="9">
        <v>42483.62572916667</v>
      </c>
    </row>
    <row r="547" spans="3:11" x14ac:dyDescent="0.25">
      <c r="C547" t="str">
        <f>IF(COUNTBLANK(E547:K547) = 7,"",IF(AND(NOT(ISBLANK(E547)),COUNTBLANK(E547:K547) = 6),"3 Delete",IF(ISBLANK(E547),"2 Add",IF(SHA1Range(E547:K547) = "697117f9819a044f409373d43f5c76fedde8bde0","0 Original","1 Modify"))))</f>
        <v>0 Original</v>
      </c>
      <c r="D547" s="3" t="s">
        <v>1170</v>
      </c>
      <c r="E547" s="5">
        <v>549</v>
      </c>
      <c r="F547">
        <v>175</v>
      </c>
      <c r="G547" t="s">
        <v>195</v>
      </c>
      <c r="H547" s="7">
        <v>9.99</v>
      </c>
      <c r="I547" s="5">
        <v>1</v>
      </c>
      <c r="J547" s="3" t="s">
        <v>29</v>
      </c>
      <c r="K547" s="9">
        <v>42483.62572916667</v>
      </c>
    </row>
    <row r="548" spans="3:11" x14ac:dyDescent="0.25">
      <c r="C548" t="str">
        <f>IF(COUNTBLANK(E548:K548) = 7,"",IF(AND(NOT(ISBLANK(E548)),COUNTBLANK(E548:K548) = 6),"3 Delete",IF(ISBLANK(E548),"2 Add",IF(SHA1Range(E548:K548) = "f081548a5d1ec14326e7026c6bd67e19e9854de3","0 Original","1 Modify"))))</f>
        <v>0 Original</v>
      </c>
      <c r="D548" s="3" t="s">
        <v>1171</v>
      </c>
      <c r="E548" s="5">
        <v>550</v>
      </c>
      <c r="F548">
        <v>175</v>
      </c>
      <c r="G548" t="s">
        <v>273</v>
      </c>
      <c r="H548" s="7">
        <v>8.99</v>
      </c>
      <c r="I548" s="5">
        <v>2</v>
      </c>
      <c r="J548" s="3" t="s">
        <v>29</v>
      </c>
      <c r="K548" s="9">
        <v>42483.62572916667</v>
      </c>
    </row>
    <row r="549" spans="3:11" x14ac:dyDescent="0.25">
      <c r="C549" t="str">
        <f>IF(COUNTBLANK(E549:K549) = 7,"",IF(AND(NOT(ISBLANK(E549)),COUNTBLANK(E549:K549) = 6),"3 Delete",IF(ISBLANK(E549),"2 Add",IF(SHA1Range(E549:K549) = "1694cfe29d6b0d1cc61920ffab7be85fefc1b841","0 Original","1 Modify"))))</f>
        <v>0 Original</v>
      </c>
      <c r="D549" s="3" t="s">
        <v>1172</v>
      </c>
      <c r="E549" s="5">
        <v>551</v>
      </c>
      <c r="F549">
        <v>176</v>
      </c>
      <c r="G549" t="s">
        <v>546</v>
      </c>
      <c r="H549" s="7">
        <v>9.99</v>
      </c>
      <c r="I549" s="5">
        <v>1</v>
      </c>
      <c r="J549" s="3" t="s">
        <v>29</v>
      </c>
      <c r="K549" s="9">
        <v>42483.62572916667</v>
      </c>
    </row>
    <row r="550" spans="3:11" x14ac:dyDescent="0.25">
      <c r="C550" t="str">
        <f>IF(COUNTBLANK(E550:K550) = 7,"",IF(AND(NOT(ISBLANK(E550)),COUNTBLANK(E550:K550) = 6),"3 Delete",IF(ISBLANK(E550),"2 Add",IF(SHA1Range(E550:K550) = "f08982a50399819e706fee16d51bee3f1a8b0503","0 Original","1 Modify"))))</f>
        <v>0 Original</v>
      </c>
      <c r="D550" s="3" t="s">
        <v>1173</v>
      </c>
      <c r="E550" s="5">
        <v>552</v>
      </c>
      <c r="F550">
        <v>176</v>
      </c>
      <c r="G550" t="s">
        <v>238</v>
      </c>
      <c r="H550" s="7">
        <v>5.99</v>
      </c>
      <c r="I550" s="5">
        <v>2</v>
      </c>
      <c r="J550" s="3" t="s">
        <v>29</v>
      </c>
      <c r="K550" s="9">
        <v>42483.62572916667</v>
      </c>
    </row>
    <row r="551" spans="3:11" x14ac:dyDescent="0.25">
      <c r="C551" t="str">
        <f>IF(COUNTBLANK(E551:K551) = 7,"",IF(AND(NOT(ISBLANK(E551)),COUNTBLANK(E551:K551) = 6),"3 Delete",IF(ISBLANK(E551),"2 Add",IF(SHA1Range(E551:K551) = "9d546939f5468e4bf246c1ab8b59fd15b7ae7bbc","0 Original","1 Modify"))))</f>
        <v>0 Original</v>
      </c>
      <c r="D551" s="3" t="s">
        <v>1174</v>
      </c>
      <c r="E551" s="5">
        <v>553</v>
      </c>
      <c r="F551">
        <v>176</v>
      </c>
      <c r="G551" t="s">
        <v>407</v>
      </c>
      <c r="H551" s="7">
        <v>9.99</v>
      </c>
      <c r="I551" s="5">
        <v>1</v>
      </c>
      <c r="J551" s="3" t="s">
        <v>29</v>
      </c>
      <c r="K551" s="9">
        <v>42483.62572916667</v>
      </c>
    </row>
    <row r="552" spans="3:11" x14ac:dyDescent="0.25">
      <c r="C552" t="str">
        <f>IF(COUNTBLANK(E552:K552) = 7,"",IF(AND(NOT(ISBLANK(E552)),COUNTBLANK(E552:K552) = 6),"3 Delete",IF(ISBLANK(E552),"2 Add",IF(SHA1Range(E552:K552) = "fedd5fc5b4d14fd592bea9c53b6f8d2d59ad81af","0 Original","1 Modify"))))</f>
        <v>0 Original</v>
      </c>
      <c r="D552" s="3" t="s">
        <v>1175</v>
      </c>
      <c r="E552" s="5">
        <v>554</v>
      </c>
      <c r="F552">
        <v>176</v>
      </c>
      <c r="G552" t="s">
        <v>254</v>
      </c>
      <c r="H552" s="7">
        <v>4.99</v>
      </c>
      <c r="I552" s="5">
        <v>1</v>
      </c>
      <c r="J552" s="3" t="s">
        <v>29</v>
      </c>
      <c r="K552" s="9">
        <v>42483.62572916667</v>
      </c>
    </row>
    <row r="553" spans="3:11" x14ac:dyDescent="0.25">
      <c r="C553" t="str">
        <f>IF(COUNTBLANK(E553:K553) = 7,"",IF(AND(NOT(ISBLANK(E553)),COUNTBLANK(E553:K553) = 6),"3 Delete",IF(ISBLANK(E553),"2 Add",IF(SHA1Range(E553:K553) = "5bc6ce563ec77ae24a2d627f028e7842d11e9d1a","0 Original","1 Modify"))))</f>
        <v>0 Original</v>
      </c>
      <c r="D553" s="3" t="s">
        <v>1176</v>
      </c>
      <c r="E553" s="5">
        <v>555</v>
      </c>
      <c r="F553">
        <v>176</v>
      </c>
      <c r="G553" t="s">
        <v>291</v>
      </c>
      <c r="H553" s="7">
        <v>5.99</v>
      </c>
      <c r="I553" s="5">
        <v>1</v>
      </c>
      <c r="J553" s="3" t="s">
        <v>29</v>
      </c>
      <c r="K553" s="9">
        <v>42483.62572916667</v>
      </c>
    </row>
    <row r="554" spans="3:11" x14ac:dyDescent="0.25">
      <c r="C554" t="str">
        <f>IF(COUNTBLANK(E554:K554) = 7,"",IF(AND(NOT(ISBLANK(E554)),COUNTBLANK(E554:K554) = 6),"3 Delete",IF(ISBLANK(E554),"2 Add",IF(SHA1Range(E554:K554) = "e9e2e5257c62cfaca902524a353bda1e49e8d59e","0 Original","1 Modify"))))</f>
        <v>0 Original</v>
      </c>
      <c r="D554" s="3" t="s">
        <v>1177</v>
      </c>
      <c r="E554" s="5">
        <v>556</v>
      </c>
      <c r="F554">
        <v>177</v>
      </c>
      <c r="G554" t="s">
        <v>41</v>
      </c>
      <c r="H554" s="7">
        <v>5.99</v>
      </c>
      <c r="I554" s="5">
        <v>1</v>
      </c>
      <c r="J554" s="3" t="s">
        <v>29</v>
      </c>
      <c r="K554" s="9">
        <v>42483.62572916667</v>
      </c>
    </row>
    <row r="555" spans="3:11" x14ac:dyDescent="0.25">
      <c r="C555" t="str">
        <f>IF(COUNTBLANK(E555:K555) = 7,"",IF(AND(NOT(ISBLANK(E555)),COUNTBLANK(E555:K555) = 6),"3 Delete",IF(ISBLANK(E555),"2 Add",IF(SHA1Range(E555:K555) = "f9cfb91c4871e8053fb45ccb0630e3931cc92b65","0 Original","1 Modify"))))</f>
        <v>0 Original</v>
      </c>
      <c r="D555" s="3" t="s">
        <v>1178</v>
      </c>
      <c r="E555" s="5">
        <v>557</v>
      </c>
      <c r="F555">
        <v>177</v>
      </c>
      <c r="G555" t="s">
        <v>443</v>
      </c>
      <c r="H555" s="7">
        <v>6.99</v>
      </c>
      <c r="I555" s="5">
        <v>1</v>
      </c>
      <c r="J555" s="3" t="s">
        <v>29</v>
      </c>
      <c r="K555" s="9">
        <v>42483.62572916667</v>
      </c>
    </row>
    <row r="556" spans="3:11" x14ac:dyDescent="0.25">
      <c r="C556" t="str">
        <f>IF(COUNTBLANK(E556:K556) = 7,"",IF(AND(NOT(ISBLANK(E556)),COUNTBLANK(E556:K556) = 6),"3 Delete",IF(ISBLANK(E556),"2 Add",IF(SHA1Range(E556:K556) = "81b74d205d98b34d015b0641384671158c662a98","0 Original","1 Modify"))))</f>
        <v>0 Original</v>
      </c>
      <c r="D556" s="3" t="s">
        <v>1179</v>
      </c>
      <c r="E556" s="5">
        <v>558</v>
      </c>
      <c r="F556">
        <v>177</v>
      </c>
      <c r="G556" t="s">
        <v>587</v>
      </c>
      <c r="H556" s="7">
        <v>7.99</v>
      </c>
      <c r="I556" s="5">
        <v>2</v>
      </c>
      <c r="J556" s="3" t="s">
        <v>29</v>
      </c>
      <c r="K556" s="9">
        <v>42483.62572916667</v>
      </c>
    </row>
    <row r="557" spans="3:11" x14ac:dyDescent="0.25">
      <c r="C557" t="str">
        <f>IF(COUNTBLANK(E557:K557) = 7,"",IF(AND(NOT(ISBLANK(E557)),COUNTBLANK(E557:K557) = 6),"3 Delete",IF(ISBLANK(E557),"2 Add",IF(SHA1Range(E557:K557) = "cd9ab51fa6efdaa764df2834fbdfd20fee338431","0 Original","1 Modify"))))</f>
        <v>0 Original</v>
      </c>
      <c r="D557" s="3" t="s">
        <v>1180</v>
      </c>
      <c r="E557" s="5">
        <v>559</v>
      </c>
      <c r="F557">
        <v>177</v>
      </c>
      <c r="G557" t="s">
        <v>375</v>
      </c>
      <c r="H557" s="7">
        <v>9.99</v>
      </c>
      <c r="I557" s="5">
        <v>1</v>
      </c>
      <c r="J557" s="3" t="s">
        <v>29</v>
      </c>
      <c r="K557" s="9">
        <v>42483.62572916667</v>
      </c>
    </row>
    <row r="558" spans="3:11" x14ac:dyDescent="0.25">
      <c r="C558" t="str">
        <f>IF(COUNTBLANK(E558:K558) = 7,"",IF(AND(NOT(ISBLANK(E558)),COUNTBLANK(E558:K558) = 6),"3 Delete",IF(ISBLANK(E558),"2 Add",IF(SHA1Range(E558:K558) = "ec3fb526c7a68f9b1797476a2243da1c5306818f","0 Original","1 Modify"))))</f>
        <v>0 Original</v>
      </c>
      <c r="D558" s="3" t="s">
        <v>1181</v>
      </c>
      <c r="E558" s="5">
        <v>560</v>
      </c>
      <c r="F558">
        <v>177</v>
      </c>
      <c r="G558" t="s">
        <v>546</v>
      </c>
      <c r="H558" s="7">
        <v>9.99</v>
      </c>
      <c r="I558" s="5">
        <v>2</v>
      </c>
      <c r="J558" s="3" t="s">
        <v>29</v>
      </c>
      <c r="K558" s="9">
        <v>42483.62572916667</v>
      </c>
    </row>
    <row r="559" spans="3:11" x14ac:dyDescent="0.25">
      <c r="C559" t="str">
        <f>IF(COUNTBLANK(E559:K559) = 7,"",IF(AND(NOT(ISBLANK(E559)),COUNTBLANK(E559:K559) = 6),"3 Delete",IF(ISBLANK(E559),"2 Add",IF(SHA1Range(E559:K559) = "a2f00e2468105d403fe7ef54e2593a5cf77acbaa","0 Original","1 Modify"))))</f>
        <v>0 Original</v>
      </c>
      <c r="D559" s="3" t="s">
        <v>1182</v>
      </c>
      <c r="E559" s="5">
        <v>561</v>
      </c>
      <c r="F559">
        <v>177</v>
      </c>
      <c r="G559" t="s">
        <v>48</v>
      </c>
      <c r="H559" s="7">
        <v>9.99</v>
      </c>
      <c r="I559" s="5">
        <v>1</v>
      </c>
      <c r="J559" s="3" t="s">
        <v>29</v>
      </c>
      <c r="K559" s="9">
        <v>42483.62572916667</v>
      </c>
    </row>
    <row r="560" spans="3:11" x14ac:dyDescent="0.25">
      <c r="C560" t="str">
        <f>IF(COUNTBLANK(E560:K560) = 7,"",IF(AND(NOT(ISBLANK(E560)),COUNTBLANK(E560:K560) = 6),"3 Delete",IF(ISBLANK(E560),"2 Add",IF(SHA1Range(E560:K560) = "756b34733dc332ca2ad1aba3e58e139200376aaf","0 Original","1 Modify"))))</f>
        <v>0 Original</v>
      </c>
      <c r="D560" s="3" t="s">
        <v>1183</v>
      </c>
      <c r="E560" s="5">
        <v>562</v>
      </c>
      <c r="F560">
        <v>178</v>
      </c>
      <c r="G560" t="s">
        <v>122</v>
      </c>
      <c r="H560" s="7">
        <v>8.99</v>
      </c>
      <c r="I560" s="5">
        <v>2</v>
      </c>
      <c r="J560" s="3" t="s">
        <v>29</v>
      </c>
      <c r="K560" s="9">
        <v>42483.62572916667</v>
      </c>
    </row>
    <row r="561" spans="3:11" x14ac:dyDescent="0.25">
      <c r="C561" t="str">
        <f>IF(COUNTBLANK(E561:K561) = 7,"",IF(AND(NOT(ISBLANK(E561)),COUNTBLANK(E561:K561) = 6),"3 Delete",IF(ISBLANK(E561),"2 Add",IF(SHA1Range(E561:K561) = "86be2e7d772ce452350dcd4107599af9988bbea2","0 Original","1 Modify"))))</f>
        <v>0 Original</v>
      </c>
      <c r="D561" s="3" t="s">
        <v>1184</v>
      </c>
      <c r="E561" s="5">
        <v>563</v>
      </c>
      <c r="F561">
        <v>178</v>
      </c>
      <c r="G561" t="s">
        <v>99</v>
      </c>
      <c r="H561" s="7">
        <v>5.99</v>
      </c>
      <c r="I561" s="5">
        <v>1</v>
      </c>
      <c r="J561" s="3" t="s">
        <v>29</v>
      </c>
      <c r="K561" s="9">
        <v>42483.62572916667</v>
      </c>
    </row>
    <row r="562" spans="3:11" x14ac:dyDescent="0.25">
      <c r="C562" t="str">
        <f>IF(COUNTBLANK(E562:K562) = 7,"",IF(AND(NOT(ISBLANK(E562)),COUNTBLANK(E562:K562) = 6),"3 Delete",IF(ISBLANK(E562),"2 Add",IF(SHA1Range(E562:K562) = "5254a3c031bdaadd78b91b75a16c83f1a62ea5fd","0 Original","1 Modify"))))</f>
        <v>0 Original</v>
      </c>
      <c r="D562" s="3" t="s">
        <v>1185</v>
      </c>
      <c r="E562" s="5">
        <v>564</v>
      </c>
      <c r="F562">
        <v>178</v>
      </c>
      <c r="G562" t="s">
        <v>44</v>
      </c>
      <c r="H562" s="7">
        <v>6.99</v>
      </c>
      <c r="I562" s="5">
        <v>1</v>
      </c>
      <c r="J562" s="3" t="s">
        <v>29</v>
      </c>
      <c r="K562" s="9">
        <v>42483.62572916667</v>
      </c>
    </row>
    <row r="563" spans="3:11" x14ac:dyDescent="0.25">
      <c r="C563" t="str">
        <f>IF(COUNTBLANK(E563:K563) = 7,"",IF(AND(NOT(ISBLANK(E563)),COUNTBLANK(E563:K563) = 6),"3 Delete",IF(ISBLANK(E563),"2 Add",IF(SHA1Range(E563:K563) = "9716d3cdb3713da04563a3cef4c5f31c664682b1","0 Original","1 Modify"))))</f>
        <v>0 Original</v>
      </c>
      <c r="D563" s="3" t="s">
        <v>1186</v>
      </c>
      <c r="E563" s="5">
        <v>565</v>
      </c>
      <c r="F563">
        <v>179</v>
      </c>
      <c r="G563" t="s">
        <v>583</v>
      </c>
      <c r="H563" s="7">
        <v>8.99</v>
      </c>
      <c r="I563" s="5">
        <v>1</v>
      </c>
      <c r="J563" s="3" t="s">
        <v>29</v>
      </c>
      <c r="K563" s="9">
        <v>42483.62572916667</v>
      </c>
    </row>
    <row r="564" spans="3:11" x14ac:dyDescent="0.25">
      <c r="C564" t="str">
        <f>IF(COUNTBLANK(E564:K564) = 7,"",IF(AND(NOT(ISBLANK(E564)),COUNTBLANK(E564:K564) = 6),"3 Delete",IF(ISBLANK(E564),"2 Add",IF(SHA1Range(E564:K564) = "ad69ba83c9fad8bfadc98601442ab0bc933f8757","0 Original","1 Modify"))))</f>
        <v>0 Original</v>
      </c>
      <c r="D564" s="3" t="s">
        <v>1187</v>
      </c>
      <c r="E564" s="5">
        <v>566</v>
      </c>
      <c r="F564">
        <v>180</v>
      </c>
      <c r="G564" t="s">
        <v>115</v>
      </c>
      <c r="H564" s="7">
        <v>4.99</v>
      </c>
      <c r="I564" s="5">
        <v>1</v>
      </c>
      <c r="J564" s="3" t="s">
        <v>29</v>
      </c>
      <c r="K564" s="9">
        <v>42483.62572916667</v>
      </c>
    </row>
    <row r="565" spans="3:11" x14ac:dyDescent="0.25">
      <c r="C565" t="str">
        <f>IF(COUNTBLANK(E565:K565) = 7,"",IF(AND(NOT(ISBLANK(E565)),COUNTBLANK(E565:K565) = 6),"3 Delete",IF(ISBLANK(E565),"2 Add",IF(SHA1Range(E565:K565) = "7eadf66b69dc0bd33e9a148dc397435285de3a59","0 Original","1 Modify"))))</f>
        <v>0 Original</v>
      </c>
      <c r="D565" s="3" t="s">
        <v>1188</v>
      </c>
      <c r="E565" s="5">
        <v>567</v>
      </c>
      <c r="F565">
        <v>180</v>
      </c>
      <c r="G565" t="s">
        <v>44</v>
      </c>
      <c r="H565" s="7">
        <v>6.99</v>
      </c>
      <c r="I565" s="5">
        <v>1</v>
      </c>
      <c r="J565" s="3" t="s">
        <v>29</v>
      </c>
      <c r="K565" s="9">
        <v>42483.62572916667</v>
      </c>
    </row>
    <row r="566" spans="3:11" x14ac:dyDescent="0.25">
      <c r="C566" t="str">
        <f>IF(COUNTBLANK(E566:K566) = 7,"",IF(AND(NOT(ISBLANK(E566)),COUNTBLANK(E566:K566) = 6),"3 Delete",IF(ISBLANK(E566),"2 Add",IF(SHA1Range(E566:K566) = "9fc2977122363ef336275193dd05ec99dd2980ae","0 Original","1 Modify"))))</f>
        <v>0 Original</v>
      </c>
      <c r="D566" s="3" t="s">
        <v>1189</v>
      </c>
      <c r="E566" s="5">
        <v>568</v>
      </c>
      <c r="F566">
        <v>180</v>
      </c>
      <c r="G566" t="s">
        <v>443</v>
      </c>
      <c r="H566" s="7">
        <v>6.99</v>
      </c>
      <c r="I566" s="5">
        <v>1</v>
      </c>
      <c r="J566" s="3" t="s">
        <v>29</v>
      </c>
      <c r="K566" s="9">
        <v>42483.62572916667</v>
      </c>
    </row>
    <row r="567" spans="3:11" x14ac:dyDescent="0.25">
      <c r="C567" t="str">
        <f>IF(COUNTBLANK(E567:K567) = 7,"",IF(AND(NOT(ISBLANK(E567)),COUNTBLANK(E567:K567) = 6),"3 Delete",IF(ISBLANK(E567),"2 Add",IF(SHA1Range(E567:K567) = "a667aaae91df7fd0830109066814de52a71da4ae","0 Original","1 Modify"))))</f>
        <v>0 Original</v>
      </c>
      <c r="D567" s="3" t="s">
        <v>1190</v>
      </c>
      <c r="E567" s="5">
        <v>569</v>
      </c>
      <c r="F567">
        <v>181</v>
      </c>
      <c r="G567" t="s">
        <v>109</v>
      </c>
      <c r="H567" s="7">
        <v>8.99</v>
      </c>
      <c r="I567" s="5">
        <v>1</v>
      </c>
      <c r="J567" s="3" t="s">
        <v>29</v>
      </c>
      <c r="K567" s="9">
        <v>42483.62572916667</v>
      </c>
    </row>
    <row r="568" spans="3:11" x14ac:dyDescent="0.25">
      <c r="C568" t="str">
        <f>IF(COUNTBLANK(E568:K568) = 7,"",IF(AND(NOT(ISBLANK(E568)),COUNTBLANK(E568:K568) = 6),"3 Delete",IF(ISBLANK(E568),"2 Add",IF(SHA1Range(E568:K568) = "2d25589c134bbce09383916c1eb373ed43a24b87","0 Original","1 Modify"))))</f>
        <v>0 Original</v>
      </c>
      <c r="D568" s="3" t="s">
        <v>1191</v>
      </c>
      <c r="E568" s="5">
        <v>570</v>
      </c>
      <c r="F568">
        <v>181</v>
      </c>
      <c r="G568" t="s">
        <v>65</v>
      </c>
      <c r="H568" s="7">
        <v>6.99</v>
      </c>
      <c r="I568" s="5">
        <v>2</v>
      </c>
      <c r="J568" s="3" t="s">
        <v>29</v>
      </c>
      <c r="K568" s="9">
        <v>42483.62572916667</v>
      </c>
    </row>
    <row r="569" spans="3:11" x14ac:dyDescent="0.25">
      <c r="C569" t="str">
        <f>IF(COUNTBLANK(E569:K569) = 7,"",IF(AND(NOT(ISBLANK(E569)),COUNTBLANK(E569:K569) = 6),"3 Delete",IF(ISBLANK(E569),"2 Add",IF(SHA1Range(E569:K569) = "93a9efeaf12a0ba4e2ca4a25cfb8fe0ac438bf92","0 Original","1 Modify"))))</f>
        <v>0 Original</v>
      </c>
      <c r="D569" s="3" t="s">
        <v>1192</v>
      </c>
      <c r="E569" s="5">
        <v>571</v>
      </c>
      <c r="F569">
        <v>182</v>
      </c>
      <c r="G569" t="s">
        <v>58</v>
      </c>
      <c r="H569" s="7">
        <v>8.99</v>
      </c>
      <c r="I569" s="5">
        <v>1</v>
      </c>
      <c r="J569" s="3" t="s">
        <v>29</v>
      </c>
      <c r="K569" s="9">
        <v>42483.62572916667</v>
      </c>
    </row>
    <row r="570" spans="3:11" x14ac:dyDescent="0.25">
      <c r="C570" t="str">
        <f>IF(COUNTBLANK(E570:K570) = 7,"",IF(AND(NOT(ISBLANK(E570)),COUNTBLANK(E570:K570) = 6),"3 Delete",IF(ISBLANK(E570),"2 Add",IF(SHA1Range(E570:K570) = "0b705dee1ca4d05b44a993a860b91b4bab74cc64","0 Original","1 Modify"))))</f>
        <v>0 Original</v>
      </c>
      <c r="D570" s="3" t="s">
        <v>1193</v>
      </c>
      <c r="E570" s="5">
        <v>572</v>
      </c>
      <c r="F570">
        <v>182</v>
      </c>
      <c r="G570" t="s">
        <v>321</v>
      </c>
      <c r="H570" s="7">
        <v>6.99</v>
      </c>
      <c r="I570" s="5">
        <v>1</v>
      </c>
      <c r="J570" s="3" t="s">
        <v>29</v>
      </c>
      <c r="K570" s="9">
        <v>42483.62572916667</v>
      </c>
    </row>
    <row r="571" spans="3:11" x14ac:dyDescent="0.25">
      <c r="C571" t="str">
        <f>IF(COUNTBLANK(E571:K571) = 7,"",IF(AND(NOT(ISBLANK(E571)),COUNTBLANK(E571:K571) = 6),"3 Delete",IF(ISBLANK(E571),"2 Add",IF(SHA1Range(E571:K571) = "83261c3895b2a2374552587b1edd76152464d90f","0 Original","1 Modify"))))</f>
        <v>0 Original</v>
      </c>
      <c r="D571" s="3" t="s">
        <v>1194</v>
      </c>
      <c r="E571" s="5">
        <v>573</v>
      </c>
      <c r="F571">
        <v>183</v>
      </c>
      <c r="G571" t="s">
        <v>496</v>
      </c>
      <c r="H571" s="7">
        <v>8.99</v>
      </c>
      <c r="I571" s="5">
        <v>1</v>
      </c>
      <c r="J571" s="3" t="s">
        <v>29</v>
      </c>
      <c r="K571" s="9">
        <v>42483.62572916667</v>
      </c>
    </row>
    <row r="572" spans="3:11" x14ac:dyDescent="0.25">
      <c r="C572" t="str">
        <f>IF(COUNTBLANK(E572:K572) = 7,"",IF(AND(NOT(ISBLANK(E572)),COUNTBLANK(E572:K572) = 6),"3 Delete",IF(ISBLANK(E572),"2 Add",IF(SHA1Range(E572:K572) = "1d86a8cdcf35a2a4d4b0af7f4607528507185306","0 Original","1 Modify"))))</f>
        <v>0 Original</v>
      </c>
      <c r="D572" s="3" t="s">
        <v>1195</v>
      </c>
      <c r="E572" s="5">
        <v>574</v>
      </c>
      <c r="F572">
        <v>183</v>
      </c>
      <c r="G572" t="s">
        <v>576</v>
      </c>
      <c r="H572" s="7">
        <v>5.99</v>
      </c>
      <c r="I572" s="5">
        <v>2</v>
      </c>
      <c r="J572" s="3" t="s">
        <v>29</v>
      </c>
      <c r="K572" s="9">
        <v>42483.62572916667</v>
      </c>
    </row>
    <row r="573" spans="3:11" x14ac:dyDescent="0.25">
      <c r="C573" t="str">
        <f>IF(COUNTBLANK(E573:K573) = 7,"",IF(AND(NOT(ISBLANK(E573)),COUNTBLANK(E573:K573) = 6),"3 Delete",IF(ISBLANK(E573),"2 Add",IF(SHA1Range(E573:K573) = "e3b6204eed0a6c52807d48fbbb182266160b078c","0 Original","1 Modify"))))</f>
        <v>0 Original</v>
      </c>
      <c r="D573" s="3" t="s">
        <v>1196</v>
      </c>
      <c r="E573" s="5">
        <v>575</v>
      </c>
      <c r="F573">
        <v>183</v>
      </c>
      <c r="G573" t="s">
        <v>382</v>
      </c>
      <c r="H573" s="7">
        <v>9.99</v>
      </c>
      <c r="I573" s="5">
        <v>1</v>
      </c>
      <c r="J573" s="3" t="s">
        <v>29</v>
      </c>
      <c r="K573" s="9">
        <v>42483.62572916667</v>
      </c>
    </row>
    <row r="574" spans="3:11" x14ac:dyDescent="0.25">
      <c r="C574" t="str">
        <f>IF(COUNTBLANK(E574:K574) = 7,"",IF(AND(NOT(ISBLANK(E574)),COUNTBLANK(E574:K574) = 6),"3 Delete",IF(ISBLANK(E574),"2 Add",IF(SHA1Range(E574:K574) = "914790de43e2ccbbb44dfb8e4b2fe36aaaf02da1","0 Original","1 Modify"))))</f>
        <v>0 Original</v>
      </c>
      <c r="D574" s="3" t="s">
        <v>1197</v>
      </c>
      <c r="E574" s="5">
        <v>576</v>
      </c>
      <c r="F574">
        <v>183</v>
      </c>
      <c r="G574" t="s">
        <v>500</v>
      </c>
      <c r="H574" s="7">
        <v>4.99</v>
      </c>
      <c r="I574" s="5">
        <v>1</v>
      </c>
      <c r="J574" s="3" t="s">
        <v>29</v>
      </c>
      <c r="K574" s="9">
        <v>42483.62572916667</v>
      </c>
    </row>
    <row r="575" spans="3:11" x14ac:dyDescent="0.25">
      <c r="C575" t="str">
        <f>IF(COUNTBLANK(E575:K575) = 7,"",IF(AND(NOT(ISBLANK(E575)),COUNTBLANK(E575:K575) = 6),"3 Delete",IF(ISBLANK(E575),"2 Add",IF(SHA1Range(E575:K575) = "3ca40097d20c8de28df395cd7d7f62a6bda43f1f","0 Original","1 Modify"))))</f>
        <v>0 Original</v>
      </c>
      <c r="D575" s="3" t="s">
        <v>1198</v>
      </c>
      <c r="E575" s="5">
        <v>577</v>
      </c>
      <c r="F575">
        <v>183</v>
      </c>
      <c r="G575" t="s">
        <v>172</v>
      </c>
      <c r="H575" s="7">
        <v>5.99</v>
      </c>
      <c r="I575" s="5">
        <v>1</v>
      </c>
      <c r="J575" s="3" t="s">
        <v>29</v>
      </c>
      <c r="K575" s="9">
        <v>42483.62572916667</v>
      </c>
    </row>
    <row r="576" spans="3:11" x14ac:dyDescent="0.25">
      <c r="C576" t="str">
        <f>IF(COUNTBLANK(E576:K576) = 7,"",IF(AND(NOT(ISBLANK(E576)),COUNTBLANK(E576:K576) = 6),"3 Delete",IF(ISBLANK(E576),"2 Add",IF(SHA1Range(E576:K576) = "55fde0efd737aab6d04a37f89ce5b033c0f60a79","0 Original","1 Modify"))))</f>
        <v>0 Original</v>
      </c>
      <c r="D576" s="3" t="s">
        <v>1199</v>
      </c>
      <c r="E576" s="5">
        <v>578</v>
      </c>
      <c r="F576">
        <v>183</v>
      </c>
      <c r="G576" t="s">
        <v>273</v>
      </c>
      <c r="H576" s="7">
        <v>8.99</v>
      </c>
      <c r="I576" s="5">
        <v>1</v>
      </c>
      <c r="J576" s="3" t="s">
        <v>29</v>
      </c>
      <c r="K576" s="9">
        <v>42483.62572916667</v>
      </c>
    </row>
    <row r="577" spans="3:11" x14ac:dyDescent="0.25">
      <c r="C577" t="str">
        <f>IF(COUNTBLANK(E577:K577) = 7,"",IF(AND(NOT(ISBLANK(E577)),COUNTBLANK(E577:K577) = 6),"3 Delete",IF(ISBLANK(E577),"2 Add",IF(SHA1Range(E577:K577) = "7f82539f0a070880e233cd62aa917716c180094a","0 Original","1 Modify"))))</f>
        <v>0 Original</v>
      </c>
      <c r="D577" s="3" t="s">
        <v>1200</v>
      </c>
      <c r="E577" s="5">
        <v>579</v>
      </c>
      <c r="F577">
        <v>184</v>
      </c>
      <c r="G577" t="s">
        <v>307</v>
      </c>
      <c r="H577" s="7">
        <v>8.99</v>
      </c>
      <c r="I577" s="5">
        <v>1</v>
      </c>
      <c r="J577" s="3" t="s">
        <v>29</v>
      </c>
      <c r="K577" s="9">
        <v>42483.62572916667</v>
      </c>
    </row>
    <row r="578" spans="3:11" x14ac:dyDescent="0.25">
      <c r="C578" t="str">
        <f>IF(COUNTBLANK(E578:K578) = 7,"",IF(AND(NOT(ISBLANK(E578)),COUNTBLANK(E578:K578) = 6),"3 Delete",IF(ISBLANK(E578),"2 Add",IF(SHA1Range(E578:K578) = "08354a4c57b8df3f6887848e8120407a87ae626a","0 Original","1 Modify"))))</f>
        <v>0 Original</v>
      </c>
      <c r="D578" s="3" t="s">
        <v>1201</v>
      </c>
      <c r="E578" s="5">
        <v>580</v>
      </c>
      <c r="F578">
        <v>184</v>
      </c>
      <c r="G578" t="s">
        <v>126</v>
      </c>
      <c r="H578" s="7">
        <v>6.99</v>
      </c>
      <c r="I578" s="5">
        <v>1</v>
      </c>
      <c r="J578" s="3" t="s">
        <v>29</v>
      </c>
      <c r="K578" s="9">
        <v>42483.62572916667</v>
      </c>
    </row>
    <row r="579" spans="3:11" x14ac:dyDescent="0.25">
      <c r="C579" t="str">
        <f>IF(COUNTBLANK(E579:K579) = 7,"",IF(AND(NOT(ISBLANK(E579)),COUNTBLANK(E579:K579) = 6),"3 Delete",IF(ISBLANK(E579),"2 Add",IF(SHA1Range(E579:K579) = "7f87ab1f4b45165ef4b6d49e9d3525aa47621aab","0 Original","1 Modify"))))</f>
        <v>0 Original</v>
      </c>
      <c r="D579" s="3" t="s">
        <v>1202</v>
      </c>
      <c r="E579" s="5">
        <v>581</v>
      </c>
      <c r="F579">
        <v>184</v>
      </c>
      <c r="G579" t="s">
        <v>176</v>
      </c>
      <c r="H579" s="7">
        <v>7.99</v>
      </c>
      <c r="I579" s="5">
        <v>2</v>
      </c>
      <c r="J579" s="3" t="s">
        <v>29</v>
      </c>
      <c r="K579" s="9">
        <v>42483.62572916667</v>
      </c>
    </row>
    <row r="580" spans="3:11" x14ac:dyDescent="0.25">
      <c r="C580" t="str">
        <f>IF(COUNTBLANK(E580:K580) = 7,"",IF(AND(NOT(ISBLANK(E580)),COUNTBLANK(E580:K580) = 6),"3 Delete",IF(ISBLANK(E580),"2 Add",IF(SHA1Range(E580:K580) = "ccdc630a2b330b7ec07a345f78c057276aea2292","0 Original","1 Modify"))))</f>
        <v>0 Original</v>
      </c>
      <c r="D580" s="3" t="s">
        <v>1203</v>
      </c>
      <c r="E580" s="5">
        <v>582</v>
      </c>
      <c r="F580">
        <v>184</v>
      </c>
      <c r="G580" t="s">
        <v>298</v>
      </c>
      <c r="H580" s="7">
        <v>7.99</v>
      </c>
      <c r="I580" s="5">
        <v>2</v>
      </c>
      <c r="J580" s="3" t="s">
        <v>29</v>
      </c>
      <c r="K580" s="9">
        <v>42483.62572916667</v>
      </c>
    </row>
    <row r="581" spans="3:11" x14ac:dyDescent="0.25">
      <c r="C581" t="str">
        <f>IF(COUNTBLANK(E581:K581) = 7,"",IF(AND(NOT(ISBLANK(E581)),COUNTBLANK(E581:K581) = 6),"3 Delete",IF(ISBLANK(E581),"2 Add",IF(SHA1Range(E581:K581) = "1f4f844f994f59fe5d0691906b9db8beb6c9b4c5","0 Original","1 Modify"))))</f>
        <v>0 Original</v>
      </c>
      <c r="D581" s="3" t="s">
        <v>1204</v>
      </c>
      <c r="E581" s="5">
        <v>583</v>
      </c>
      <c r="F581">
        <v>185</v>
      </c>
      <c r="G581" t="s">
        <v>351</v>
      </c>
      <c r="H581" s="7">
        <v>6.99</v>
      </c>
      <c r="I581" s="5">
        <v>1</v>
      </c>
      <c r="J581" s="3" t="s">
        <v>29</v>
      </c>
      <c r="K581" s="9">
        <v>42483.62572916667</v>
      </c>
    </row>
    <row r="582" spans="3:11" x14ac:dyDescent="0.25">
      <c r="C582" t="str">
        <f>IF(COUNTBLANK(E582:K582) = 7,"",IF(AND(NOT(ISBLANK(E582)),COUNTBLANK(E582:K582) = 6),"3 Delete",IF(ISBLANK(E582),"2 Add",IF(SHA1Range(E582:K582) = "52edf92b385be0825375e5f38f667d96a76bf21f","0 Original","1 Modify"))))</f>
        <v>0 Original</v>
      </c>
      <c r="D582" s="3" t="s">
        <v>1205</v>
      </c>
      <c r="E582" s="5">
        <v>584</v>
      </c>
      <c r="F582">
        <v>185</v>
      </c>
      <c r="G582" t="s">
        <v>531</v>
      </c>
      <c r="H582" s="7">
        <v>5.99</v>
      </c>
      <c r="I582" s="5">
        <v>2</v>
      </c>
      <c r="J582" s="3" t="s">
        <v>29</v>
      </c>
      <c r="K582" s="9">
        <v>42483.62572916667</v>
      </c>
    </row>
    <row r="583" spans="3:11" x14ac:dyDescent="0.25">
      <c r="C583" t="str">
        <f>IF(COUNTBLANK(E583:K583) = 7,"",IF(AND(NOT(ISBLANK(E583)),COUNTBLANK(E583:K583) = 6),"3 Delete",IF(ISBLANK(E583),"2 Add",IF(SHA1Range(E583:K583) = "86eea53f055afb12a7190386173f14e14e151c2d","0 Original","1 Modify"))))</f>
        <v>0 Original</v>
      </c>
      <c r="D583" s="3" t="s">
        <v>1206</v>
      </c>
      <c r="E583" s="5">
        <v>585</v>
      </c>
      <c r="F583">
        <v>185</v>
      </c>
      <c r="G583" t="s">
        <v>573</v>
      </c>
      <c r="H583" s="7">
        <v>9.99</v>
      </c>
      <c r="I583" s="5">
        <v>1</v>
      </c>
      <c r="J583" s="3" t="s">
        <v>29</v>
      </c>
      <c r="K583" s="9">
        <v>42483.62572916667</v>
      </c>
    </row>
    <row r="584" spans="3:11" x14ac:dyDescent="0.25">
      <c r="C584" t="str">
        <f>IF(COUNTBLANK(E584:K584) = 7,"",IF(AND(NOT(ISBLANK(E584)),COUNTBLANK(E584:K584) = 6),"3 Delete",IF(ISBLANK(E584),"2 Add",IF(SHA1Range(E584:K584) = "2c23bf6747615474539f1055e978d5c71e1fd80d","0 Original","1 Modify"))))</f>
        <v>0 Original</v>
      </c>
      <c r="D584" s="3" t="s">
        <v>1207</v>
      </c>
      <c r="E584" s="5">
        <v>586</v>
      </c>
      <c r="F584">
        <v>186</v>
      </c>
      <c r="G584" t="s">
        <v>525</v>
      </c>
      <c r="H584" s="7">
        <v>4.99</v>
      </c>
      <c r="I584" s="5">
        <v>2</v>
      </c>
      <c r="J584" s="3" t="s">
        <v>29</v>
      </c>
      <c r="K584" s="9">
        <v>42483.62572916667</v>
      </c>
    </row>
    <row r="585" spans="3:11" x14ac:dyDescent="0.25">
      <c r="C585" t="str">
        <f>IF(COUNTBLANK(E585:K585) = 7,"",IF(AND(NOT(ISBLANK(E585)),COUNTBLANK(E585:K585) = 6),"3 Delete",IF(ISBLANK(E585),"2 Add",IF(SHA1Range(E585:K585) = "2bb494f17327bb475c5314f1128f3c632d9974e4","0 Original","1 Modify"))))</f>
        <v>0 Original</v>
      </c>
      <c r="D585" s="3" t="s">
        <v>1208</v>
      </c>
      <c r="E585" s="5">
        <v>587</v>
      </c>
      <c r="F585">
        <v>186</v>
      </c>
      <c r="G585" t="s">
        <v>587</v>
      </c>
      <c r="H585" s="7">
        <v>7.99</v>
      </c>
      <c r="I585" s="5">
        <v>1</v>
      </c>
      <c r="J585" s="3" t="s">
        <v>29</v>
      </c>
      <c r="K585" s="9">
        <v>42483.62572916667</v>
      </c>
    </row>
    <row r="586" spans="3:11" x14ac:dyDescent="0.25">
      <c r="C586" t="str">
        <f>IF(COUNTBLANK(E586:K586) = 7,"",IF(AND(NOT(ISBLANK(E586)),COUNTBLANK(E586:K586) = 6),"3 Delete",IF(ISBLANK(E586),"2 Add",IF(SHA1Range(E586:K586) = "bf11b548a92557231e945f8c3ef7ec2225952dca","0 Original","1 Modify"))))</f>
        <v>0 Original</v>
      </c>
      <c r="D586" s="3" t="s">
        <v>1209</v>
      </c>
      <c r="E586" s="5">
        <v>588</v>
      </c>
      <c r="F586">
        <v>186</v>
      </c>
      <c r="G586" t="s">
        <v>277</v>
      </c>
      <c r="H586" s="7">
        <v>4.99</v>
      </c>
      <c r="I586" s="5">
        <v>1</v>
      </c>
      <c r="J586" s="3" t="s">
        <v>29</v>
      </c>
      <c r="K586" s="9">
        <v>42483.62572916667</v>
      </c>
    </row>
    <row r="587" spans="3:11" x14ac:dyDescent="0.25">
      <c r="C587" t="str">
        <f>IF(COUNTBLANK(E587:K587) = 7,"",IF(AND(NOT(ISBLANK(E587)),COUNTBLANK(E587:K587) = 6),"3 Delete",IF(ISBLANK(E587),"2 Add",IF(SHA1Range(E587:K587) = "0fe11ff4a112cee694a4494e131d8b4f7be50ab3","0 Original","1 Modify"))))</f>
        <v>0 Original</v>
      </c>
      <c r="D587" s="3" t="s">
        <v>1210</v>
      </c>
      <c r="E587" s="5">
        <v>589</v>
      </c>
      <c r="F587">
        <v>186</v>
      </c>
      <c r="G587" t="s">
        <v>65</v>
      </c>
      <c r="H587" s="7">
        <v>6.99</v>
      </c>
      <c r="I587" s="5">
        <v>1</v>
      </c>
      <c r="J587" s="3" t="s">
        <v>29</v>
      </c>
      <c r="K587" s="9">
        <v>42483.62572916667</v>
      </c>
    </row>
    <row r="588" spans="3:11" x14ac:dyDescent="0.25">
      <c r="C588" t="str">
        <f>IF(COUNTBLANK(E588:K588) = 7,"",IF(AND(NOT(ISBLANK(E588)),COUNTBLANK(E588:K588) = 6),"3 Delete",IF(ISBLANK(E588),"2 Add",IF(SHA1Range(E588:K588) = "2157e33d7fbe21f86863ab1a3109c7436d9dec01","0 Original","1 Modify"))))</f>
        <v>0 Original</v>
      </c>
      <c r="D588" s="3" t="s">
        <v>1211</v>
      </c>
      <c r="E588" s="5">
        <v>590</v>
      </c>
      <c r="F588">
        <v>186</v>
      </c>
      <c r="G588" t="s">
        <v>543</v>
      </c>
      <c r="H588" s="7">
        <v>8.99</v>
      </c>
      <c r="I588" s="5">
        <v>1</v>
      </c>
      <c r="J588" s="3" t="s">
        <v>29</v>
      </c>
      <c r="K588" s="9">
        <v>42483.62572916667</v>
      </c>
    </row>
    <row r="589" spans="3:11" x14ac:dyDescent="0.25">
      <c r="C589" t="str">
        <f>IF(COUNTBLANK(E589:K589) = 7,"",IF(AND(NOT(ISBLANK(E589)),COUNTBLANK(E589:K589) = 6),"3 Delete",IF(ISBLANK(E589),"2 Add",IF(SHA1Range(E589:K589) = "8f073615728b9d25906a677e95f460c0242d8a3e","0 Original","1 Modify"))))</f>
        <v>0 Original</v>
      </c>
      <c r="D589" s="3" t="s">
        <v>1212</v>
      </c>
      <c r="E589" s="5">
        <v>591</v>
      </c>
      <c r="F589">
        <v>187</v>
      </c>
      <c r="G589" t="s">
        <v>207</v>
      </c>
      <c r="H589" s="7">
        <v>5.99</v>
      </c>
      <c r="I589" s="5">
        <v>1</v>
      </c>
      <c r="J589" s="3" t="s">
        <v>29</v>
      </c>
      <c r="K589" s="9">
        <v>42483.62572916667</v>
      </c>
    </row>
    <row r="590" spans="3:11" x14ac:dyDescent="0.25">
      <c r="C590" t="str">
        <f>IF(COUNTBLANK(E590:K590) = 7,"",IF(AND(NOT(ISBLANK(E590)),COUNTBLANK(E590:K590) = 6),"3 Delete",IF(ISBLANK(E590),"2 Add",IF(SHA1Range(E590:K590) = "5a02a278cd833da9ef07a1ddb3c91763d09a2aa4","0 Original","1 Modify"))))</f>
        <v>0 Original</v>
      </c>
      <c r="D590" s="3" t="s">
        <v>1213</v>
      </c>
      <c r="E590" s="5">
        <v>592</v>
      </c>
      <c r="F590">
        <v>188</v>
      </c>
      <c r="G590" t="s">
        <v>102</v>
      </c>
      <c r="H590" s="7">
        <v>4.99</v>
      </c>
      <c r="I590" s="5">
        <v>1</v>
      </c>
      <c r="J590" s="3" t="s">
        <v>29</v>
      </c>
      <c r="K590" s="9">
        <v>42483.62572916667</v>
      </c>
    </row>
    <row r="591" spans="3:11" x14ac:dyDescent="0.25">
      <c r="C591" t="str">
        <f>IF(COUNTBLANK(E591:K591) = 7,"",IF(AND(NOT(ISBLANK(E591)),COUNTBLANK(E591:K591) = 6),"3 Delete",IF(ISBLANK(E591),"2 Add",IF(SHA1Range(E591:K591) = "aed76e708c5e211dd9ea5002a6a42d6b3bc44cd1","0 Original","1 Modify"))))</f>
        <v>0 Original</v>
      </c>
      <c r="D591" s="3" t="s">
        <v>1214</v>
      </c>
      <c r="E591" s="5">
        <v>593</v>
      </c>
      <c r="F591">
        <v>188</v>
      </c>
      <c r="G591" t="s">
        <v>509</v>
      </c>
      <c r="H591" s="7">
        <v>7.99</v>
      </c>
      <c r="I591" s="5">
        <v>1</v>
      </c>
      <c r="J591" s="3" t="s">
        <v>29</v>
      </c>
      <c r="K591" s="9">
        <v>42483.62572916667</v>
      </c>
    </row>
    <row r="592" spans="3:11" x14ac:dyDescent="0.25">
      <c r="C592" t="str">
        <f>IF(COUNTBLANK(E592:K592) = 7,"",IF(AND(NOT(ISBLANK(E592)),COUNTBLANK(E592:K592) = 6),"3 Delete",IF(ISBLANK(E592),"2 Add",IF(SHA1Range(E592:K592) = "6f7d77274a3e6175a243e0141eb462a158820694","0 Original","1 Modify"))))</f>
        <v>0 Original</v>
      </c>
      <c r="D592" s="3" t="s">
        <v>1215</v>
      </c>
      <c r="E592" s="5">
        <v>594</v>
      </c>
      <c r="F592">
        <v>188</v>
      </c>
      <c r="G592" t="s">
        <v>81</v>
      </c>
      <c r="H592" s="7">
        <v>4.99</v>
      </c>
      <c r="I592" s="5">
        <v>2</v>
      </c>
      <c r="J592" s="3" t="s">
        <v>29</v>
      </c>
      <c r="K592" s="9">
        <v>42483.62572916667</v>
      </c>
    </row>
    <row r="593" spans="3:11" x14ac:dyDescent="0.25">
      <c r="C593" t="str">
        <f>IF(COUNTBLANK(E593:K593) = 7,"",IF(AND(NOT(ISBLANK(E593)),COUNTBLANK(E593:K593) = 6),"3 Delete",IF(ISBLANK(E593),"2 Add",IF(SHA1Range(E593:K593) = "3af2865339f8aa722c87479ee6bc8e42729401f3","0 Original","1 Modify"))))</f>
        <v>0 Original</v>
      </c>
      <c r="D593" s="3" t="s">
        <v>1216</v>
      </c>
      <c r="E593" s="5">
        <v>595</v>
      </c>
      <c r="F593">
        <v>188</v>
      </c>
      <c r="G593" t="s">
        <v>273</v>
      </c>
      <c r="H593" s="7">
        <v>8.99</v>
      </c>
      <c r="I593" s="5">
        <v>2</v>
      </c>
      <c r="J593" s="3" t="s">
        <v>29</v>
      </c>
      <c r="K593" s="9">
        <v>42483.62572916667</v>
      </c>
    </row>
    <row r="594" spans="3:11" x14ac:dyDescent="0.25">
      <c r="C594" t="str">
        <f>IF(COUNTBLANK(E594:K594) = 7,"",IF(AND(NOT(ISBLANK(E594)),COUNTBLANK(E594:K594) = 6),"3 Delete",IF(ISBLANK(E594),"2 Add",IF(SHA1Range(E594:K594) = "fc5a036b0d3e85cd0f28166feb8c0400d5ea9b9b","0 Original","1 Modify"))))</f>
        <v>0 Original</v>
      </c>
      <c r="D594" s="3" t="s">
        <v>1217</v>
      </c>
      <c r="E594" s="5">
        <v>596</v>
      </c>
      <c r="F594">
        <v>188</v>
      </c>
      <c r="G594" t="s">
        <v>375</v>
      </c>
      <c r="H594" s="7">
        <v>9.99</v>
      </c>
      <c r="I594" s="5">
        <v>1</v>
      </c>
      <c r="J594" s="3" t="s">
        <v>29</v>
      </c>
      <c r="K594" s="9">
        <v>42483.62572916667</v>
      </c>
    </row>
    <row r="595" spans="3:11" x14ac:dyDescent="0.25">
      <c r="C595" t="str">
        <f>IF(COUNTBLANK(E595:K595) = 7,"",IF(AND(NOT(ISBLANK(E595)),COUNTBLANK(E595:K595) = 6),"3 Delete",IF(ISBLANK(E595),"2 Add",IF(SHA1Range(E595:K595) = "d07af3e5ceeb282c1bbc742ac8bc188e01de2a8b","0 Original","1 Modify"))))</f>
        <v>0 Original</v>
      </c>
      <c r="D595" s="3" t="s">
        <v>1218</v>
      </c>
      <c r="E595" s="5">
        <v>597</v>
      </c>
      <c r="F595">
        <v>188</v>
      </c>
      <c r="G595" t="s">
        <v>583</v>
      </c>
      <c r="H595" s="7">
        <v>8.99</v>
      </c>
      <c r="I595" s="5">
        <v>1</v>
      </c>
      <c r="J595" s="3" t="s">
        <v>29</v>
      </c>
      <c r="K595" s="9">
        <v>42483.62572916667</v>
      </c>
    </row>
    <row r="596" spans="3:11" x14ac:dyDescent="0.25">
      <c r="C596" t="str">
        <f>IF(COUNTBLANK(E596:K596) = 7,"",IF(AND(NOT(ISBLANK(E596)),COUNTBLANK(E596:K596) = 6),"3 Delete",IF(ISBLANK(E596),"2 Add",IF(SHA1Range(E596:K596) = "77100f6c4f9ba57c4cbaca5476fd31fb3ae16b7e","0 Original","1 Modify"))))</f>
        <v>0 Original</v>
      </c>
      <c r="D596" s="3" t="s">
        <v>1219</v>
      </c>
      <c r="E596" s="5">
        <v>598</v>
      </c>
      <c r="F596">
        <v>188</v>
      </c>
      <c r="G596" t="s">
        <v>475</v>
      </c>
      <c r="H596" s="7">
        <v>4.99</v>
      </c>
      <c r="I596" s="5">
        <v>2</v>
      </c>
      <c r="J596" s="3" t="s">
        <v>29</v>
      </c>
      <c r="K596" s="9">
        <v>42483.62572916667</v>
      </c>
    </row>
    <row r="597" spans="3:11" x14ac:dyDescent="0.25">
      <c r="C597" t="str">
        <f>IF(COUNTBLANK(E597:K597) = 7,"",IF(AND(NOT(ISBLANK(E597)),COUNTBLANK(E597:K597) = 6),"3 Delete",IF(ISBLANK(E597),"2 Add",IF(SHA1Range(E597:K597) = "7c49be39f239467a71a8c658d6cb0e8083a4b2ad","0 Original","1 Modify"))))</f>
        <v>0 Original</v>
      </c>
      <c r="D597" s="3" t="s">
        <v>1220</v>
      </c>
      <c r="E597" s="5">
        <v>599</v>
      </c>
      <c r="F597">
        <v>188</v>
      </c>
      <c r="G597" t="s">
        <v>488</v>
      </c>
      <c r="H597" s="7">
        <v>8.99</v>
      </c>
      <c r="I597" s="5">
        <v>1</v>
      </c>
      <c r="J597" s="3" t="s">
        <v>29</v>
      </c>
      <c r="K597" s="9">
        <v>42483.62572916667</v>
      </c>
    </row>
    <row r="598" spans="3:11" x14ac:dyDescent="0.25">
      <c r="C598" t="str">
        <f>IF(COUNTBLANK(E598:K598) = 7,"",IF(AND(NOT(ISBLANK(E598)),COUNTBLANK(E598:K598) = 6),"3 Delete",IF(ISBLANK(E598),"2 Add",IF(SHA1Range(E598:K598) = "266f91433a34c59c2318306edd5c8bc73808304e","0 Original","1 Modify"))))</f>
        <v>0 Original</v>
      </c>
      <c r="D598" s="3" t="s">
        <v>1221</v>
      </c>
      <c r="E598" s="5">
        <v>600</v>
      </c>
      <c r="F598">
        <v>189</v>
      </c>
      <c r="G598" t="s">
        <v>513</v>
      </c>
      <c r="H598" s="7">
        <v>4.99</v>
      </c>
      <c r="I598" s="5">
        <v>3</v>
      </c>
      <c r="J598" s="3" t="s">
        <v>29</v>
      </c>
      <c r="K598" s="9">
        <v>42483.62572916667</v>
      </c>
    </row>
    <row r="599" spans="3:11" x14ac:dyDescent="0.25">
      <c r="C599" t="str">
        <f>IF(COUNTBLANK(E599:K599) = 7,"",IF(AND(NOT(ISBLANK(E599)),COUNTBLANK(E599:K599) = 6),"3 Delete",IF(ISBLANK(E599),"2 Add",IF(SHA1Range(E599:K599) = "b1b92c6b2712e1f18ddec3394da2750cb722a2d5","0 Original","1 Modify"))))</f>
        <v>0 Original</v>
      </c>
      <c r="D599" s="3" t="s">
        <v>1222</v>
      </c>
      <c r="E599" s="5">
        <v>601</v>
      </c>
      <c r="F599">
        <v>190</v>
      </c>
      <c r="G599" t="s">
        <v>77</v>
      </c>
      <c r="H599" s="7">
        <v>8.99</v>
      </c>
      <c r="I599" s="5">
        <v>1</v>
      </c>
      <c r="J599" s="3" t="s">
        <v>29</v>
      </c>
      <c r="K599" s="9">
        <v>42483.62572916667</v>
      </c>
    </row>
    <row r="600" spans="3:11" x14ac:dyDescent="0.25">
      <c r="C600" t="str">
        <f>IF(COUNTBLANK(E600:K600) = 7,"",IF(AND(NOT(ISBLANK(E600)),COUNTBLANK(E600:K600) = 6),"3 Delete",IF(ISBLANK(E600),"2 Add",IF(SHA1Range(E600:K600) = "8ba9e7599f73da93285cb8d560c1e7d037d9aac8","0 Original","1 Modify"))))</f>
        <v>0 Original</v>
      </c>
      <c r="D600" s="3" t="s">
        <v>1223</v>
      </c>
      <c r="E600" s="5">
        <v>602</v>
      </c>
      <c r="F600">
        <v>190</v>
      </c>
      <c r="G600" t="s">
        <v>385</v>
      </c>
      <c r="H600" s="7">
        <v>9.99</v>
      </c>
      <c r="I600" s="5">
        <v>1</v>
      </c>
      <c r="J600" s="3" t="s">
        <v>29</v>
      </c>
      <c r="K600" s="9">
        <v>42483.62572916667</v>
      </c>
    </row>
    <row r="601" spans="3:11" x14ac:dyDescent="0.25">
      <c r="C601" t="str">
        <f>IF(COUNTBLANK(E601:K601) = 7,"",IF(AND(NOT(ISBLANK(E601)),COUNTBLANK(E601:K601) = 6),"3 Delete",IF(ISBLANK(E601),"2 Add",IF(SHA1Range(E601:K601) = "acf5d79d5903e8d342bb09a64d4339c61312c4f6","0 Original","1 Modify"))))</f>
        <v>0 Original</v>
      </c>
      <c r="D601" s="3" t="s">
        <v>1224</v>
      </c>
      <c r="E601" s="5">
        <v>603</v>
      </c>
      <c r="F601">
        <v>190</v>
      </c>
      <c r="G601" t="s">
        <v>404</v>
      </c>
      <c r="H601" s="7">
        <v>9.99</v>
      </c>
      <c r="I601" s="5">
        <v>1</v>
      </c>
      <c r="J601" s="3" t="s">
        <v>29</v>
      </c>
      <c r="K601" s="9">
        <v>42483.62572916667</v>
      </c>
    </row>
    <row r="602" spans="3:11" x14ac:dyDescent="0.25">
      <c r="C602" t="str">
        <f>IF(COUNTBLANK(E602:K602) = 7,"",IF(AND(NOT(ISBLANK(E602)),COUNTBLANK(E602:K602) = 6),"3 Delete",IF(ISBLANK(E602),"2 Add",IF(SHA1Range(E602:K602) = "7eb66b9cb4bb8a019a8c812d200b377bc1079c85","0 Original","1 Modify"))))</f>
        <v>0 Original</v>
      </c>
      <c r="D602" s="3" t="s">
        <v>1225</v>
      </c>
      <c r="E602" s="5">
        <v>604</v>
      </c>
      <c r="F602">
        <v>190</v>
      </c>
      <c r="G602" t="s">
        <v>528</v>
      </c>
      <c r="H602" s="7">
        <v>7.99</v>
      </c>
      <c r="I602" s="5">
        <v>1</v>
      </c>
      <c r="J602" s="3" t="s">
        <v>29</v>
      </c>
      <c r="K602" s="9">
        <v>42483.62572916667</v>
      </c>
    </row>
    <row r="603" spans="3:11" x14ac:dyDescent="0.25">
      <c r="C603" t="str">
        <f>IF(COUNTBLANK(E603:K603) = 7,"",IF(AND(NOT(ISBLANK(E603)),COUNTBLANK(E603:K603) = 6),"3 Delete",IF(ISBLANK(E603),"2 Add",IF(SHA1Range(E603:K603) = "4ee8a5222518598562ea3e904ebf732601a43ffd","0 Original","1 Modify"))))</f>
        <v>0 Original</v>
      </c>
      <c r="D603" s="3" t="s">
        <v>1226</v>
      </c>
      <c r="E603" s="5">
        <v>605</v>
      </c>
      <c r="F603">
        <v>190</v>
      </c>
      <c r="G603" t="s">
        <v>270</v>
      </c>
      <c r="H603" s="7">
        <v>8.99</v>
      </c>
      <c r="I603" s="5">
        <v>2</v>
      </c>
      <c r="J603" s="3" t="s">
        <v>29</v>
      </c>
      <c r="K603" s="9">
        <v>42483.62572916667</v>
      </c>
    </row>
    <row r="604" spans="3:11" x14ac:dyDescent="0.25">
      <c r="C604" t="str">
        <f>IF(COUNTBLANK(E604:K604) = 7,"",IF(AND(NOT(ISBLANK(E604)),COUNTBLANK(E604:K604) = 6),"3 Delete",IF(ISBLANK(E604),"2 Add",IF(SHA1Range(E604:K604) = "5c02e93aa789422a329c48cb2ee5f72a471262f8","0 Original","1 Modify"))))</f>
        <v>0 Original</v>
      </c>
      <c r="D604" s="3" t="s">
        <v>1227</v>
      </c>
      <c r="E604" s="5">
        <v>606</v>
      </c>
      <c r="F604">
        <v>190</v>
      </c>
      <c r="G604" t="s">
        <v>37</v>
      </c>
      <c r="H604" s="7">
        <v>6.99</v>
      </c>
      <c r="I604" s="5">
        <v>2</v>
      </c>
      <c r="J604" s="3" t="s">
        <v>29</v>
      </c>
      <c r="K604" s="9">
        <v>42483.62572916667</v>
      </c>
    </row>
    <row r="605" spans="3:11" x14ac:dyDescent="0.25">
      <c r="C605" t="str">
        <f>IF(COUNTBLANK(E605:K605) = 7,"",IF(AND(NOT(ISBLANK(E605)),COUNTBLANK(E605:K605) = 6),"3 Delete",IF(ISBLANK(E605),"2 Add",IF(SHA1Range(E605:K605) = "adcf03311464403a848fdbc4d81583a6d364ad40","0 Original","1 Modify"))))</f>
        <v>0 Original</v>
      </c>
      <c r="D605" s="3" t="s">
        <v>1228</v>
      </c>
      <c r="E605" s="5">
        <v>607</v>
      </c>
      <c r="F605">
        <v>190</v>
      </c>
      <c r="G605" t="s">
        <v>503</v>
      </c>
      <c r="H605" s="7">
        <v>8.99</v>
      </c>
      <c r="I605" s="5">
        <v>2</v>
      </c>
      <c r="J605" s="3" t="s">
        <v>29</v>
      </c>
      <c r="K605" s="9">
        <v>42483.62572916667</v>
      </c>
    </row>
    <row r="606" spans="3:11" x14ac:dyDescent="0.25">
      <c r="C606" t="str">
        <f>IF(COUNTBLANK(E606:K606) = 7,"",IF(AND(NOT(ISBLANK(E606)),COUNTBLANK(E606:K606) = 6),"3 Delete",IF(ISBLANK(E606),"2 Add",IF(SHA1Range(E606:K606) = "28b98fc7bb3b76204d33ddcc923dec90b5cb4793","0 Original","1 Modify"))))</f>
        <v>0 Original</v>
      </c>
      <c r="D606" s="3" t="s">
        <v>1229</v>
      </c>
      <c r="E606" s="5">
        <v>608</v>
      </c>
      <c r="F606">
        <v>191</v>
      </c>
      <c r="G606" t="s">
        <v>580</v>
      </c>
      <c r="H606" s="7">
        <v>4.99</v>
      </c>
      <c r="I606" s="5">
        <v>1</v>
      </c>
      <c r="J606" s="3" t="s">
        <v>29</v>
      </c>
      <c r="K606" s="9">
        <v>42483.62572916667</v>
      </c>
    </row>
    <row r="607" spans="3:11" x14ac:dyDescent="0.25">
      <c r="C607" t="str">
        <f>IF(COUNTBLANK(E607:K607) = 7,"",IF(AND(NOT(ISBLANK(E607)),COUNTBLANK(E607:K607) = 6),"3 Delete",IF(ISBLANK(E607),"2 Add",IF(SHA1Range(E607:K607) = "dab09ee429c76ad8bfcf830d17c60d86b3c2471b","0 Original","1 Modify"))))</f>
        <v>0 Original</v>
      </c>
      <c r="D607" s="3" t="s">
        <v>1230</v>
      </c>
      <c r="E607" s="5">
        <v>609</v>
      </c>
      <c r="F607">
        <v>191</v>
      </c>
      <c r="G607" t="s">
        <v>166</v>
      </c>
      <c r="H607" s="7">
        <v>9.99</v>
      </c>
      <c r="I607" s="5">
        <v>1</v>
      </c>
      <c r="J607" s="3" t="s">
        <v>29</v>
      </c>
      <c r="K607" s="9">
        <v>42483.62572916667</v>
      </c>
    </row>
    <row r="608" spans="3:11" x14ac:dyDescent="0.25">
      <c r="C608" t="str">
        <f>IF(COUNTBLANK(E608:K608) = 7,"",IF(AND(NOT(ISBLANK(E608)),COUNTBLANK(E608:K608) = 6),"3 Delete",IF(ISBLANK(E608),"2 Add",IF(SHA1Range(E608:K608) = "49c6bb3410d471d6386309d8925c11e15059bb54","0 Original","1 Modify"))))</f>
        <v>0 Original</v>
      </c>
      <c r="D608" s="3" t="s">
        <v>1231</v>
      </c>
      <c r="E608" s="5">
        <v>610</v>
      </c>
      <c r="F608">
        <v>191</v>
      </c>
      <c r="G608" t="s">
        <v>361</v>
      </c>
      <c r="H608" s="7">
        <v>6.99</v>
      </c>
      <c r="I608" s="5">
        <v>2</v>
      </c>
      <c r="J608" s="3" t="s">
        <v>29</v>
      </c>
      <c r="K608" s="9">
        <v>42483.62572916667</v>
      </c>
    </row>
    <row r="609" spans="3:11" x14ac:dyDescent="0.25">
      <c r="C609" t="str">
        <f>IF(COUNTBLANK(E609:K609) = 7,"",IF(AND(NOT(ISBLANK(E609)),COUNTBLANK(E609:K609) = 6),"3 Delete",IF(ISBLANK(E609),"2 Add",IF(SHA1Range(E609:K609) = "64eefb0e1c4a7687d2f41e15e237cd711c83a96f","0 Original","1 Modify"))))</f>
        <v>0 Original</v>
      </c>
      <c r="D609" s="3" t="s">
        <v>1232</v>
      </c>
      <c r="E609" s="5">
        <v>611</v>
      </c>
      <c r="F609">
        <v>191</v>
      </c>
      <c r="G609" t="s">
        <v>133</v>
      </c>
      <c r="H609" s="7">
        <v>7.99</v>
      </c>
      <c r="I609" s="5">
        <v>1</v>
      </c>
      <c r="J609" s="3" t="s">
        <v>29</v>
      </c>
      <c r="K609" s="9">
        <v>42483.62572916667</v>
      </c>
    </row>
    <row r="610" spans="3:11" x14ac:dyDescent="0.25">
      <c r="C610" t="str">
        <f>IF(COUNTBLANK(E610:K610) = 7,"",IF(AND(NOT(ISBLANK(E610)),COUNTBLANK(E610:K610) = 6),"3 Delete",IF(ISBLANK(E610),"2 Add",IF(SHA1Range(E610:K610) = "e5cc1c6b513a7ba1d7e177556a5bb1dce5062ee5","0 Original","1 Modify"))))</f>
        <v>0 Original</v>
      </c>
      <c r="D610" s="3" t="s">
        <v>1233</v>
      </c>
      <c r="E610" s="5">
        <v>612</v>
      </c>
      <c r="F610">
        <v>191</v>
      </c>
      <c r="G610" t="s">
        <v>602</v>
      </c>
      <c r="H610" s="7">
        <v>7.99</v>
      </c>
      <c r="I610" s="5">
        <v>1</v>
      </c>
      <c r="J610" s="3" t="s">
        <v>29</v>
      </c>
      <c r="K610" s="9">
        <v>42483.62572916667</v>
      </c>
    </row>
    <row r="611" spans="3:11" x14ac:dyDescent="0.25">
      <c r="C611" t="str">
        <f>IF(COUNTBLANK(E611:K611) = 7,"",IF(AND(NOT(ISBLANK(E611)),COUNTBLANK(E611:K611) = 6),"3 Delete",IF(ISBLANK(E611),"2 Add",IF(SHA1Range(E611:K611) = "ec73a6ed7a8ed86224e084a31e7beb4a3e48e401","0 Original","1 Modify"))))</f>
        <v>0 Original</v>
      </c>
      <c r="D611" s="3" t="s">
        <v>1234</v>
      </c>
      <c r="E611" s="5">
        <v>613</v>
      </c>
      <c r="F611">
        <v>191</v>
      </c>
      <c r="G611" t="s">
        <v>133</v>
      </c>
      <c r="H611" s="7">
        <v>7.99</v>
      </c>
      <c r="I611" s="5">
        <v>2</v>
      </c>
      <c r="J611" s="3" t="s">
        <v>29</v>
      </c>
      <c r="K611" s="9">
        <v>42483.62572916667</v>
      </c>
    </row>
    <row r="612" spans="3:11" x14ac:dyDescent="0.25">
      <c r="C612" t="str">
        <f>IF(COUNTBLANK(E612:K612) = 7,"",IF(AND(NOT(ISBLANK(E612)),COUNTBLANK(E612:K612) = 6),"3 Delete",IF(ISBLANK(E612),"2 Add",IF(SHA1Range(E612:K612) = "72b7dc2871fc15e19ea09a8c0b5e6b3c3aa3d333","0 Original","1 Modify"))))</f>
        <v>0 Original</v>
      </c>
      <c r="D612" s="3" t="s">
        <v>1235</v>
      </c>
      <c r="E612" s="5">
        <v>614</v>
      </c>
      <c r="F612">
        <v>191</v>
      </c>
      <c r="G612" t="s">
        <v>391</v>
      </c>
      <c r="H612" s="7">
        <v>7.99</v>
      </c>
      <c r="I612" s="5">
        <v>1</v>
      </c>
      <c r="J612" s="3" t="s">
        <v>29</v>
      </c>
      <c r="K612" s="9">
        <v>42483.62572916667</v>
      </c>
    </row>
    <row r="613" spans="3:11" x14ac:dyDescent="0.25">
      <c r="C613" t="str">
        <f>IF(COUNTBLANK(E613:K613) = 7,"",IF(AND(NOT(ISBLANK(E613)),COUNTBLANK(E613:K613) = 6),"3 Delete",IF(ISBLANK(E613),"2 Add",IF(SHA1Range(E613:K613) = "c0e1397c8275d1f8e6750783918141aaafdd92b9","0 Original","1 Modify"))))</f>
        <v>0 Original</v>
      </c>
      <c r="D613" s="3" t="s">
        <v>1236</v>
      </c>
      <c r="E613" s="5">
        <v>615</v>
      </c>
      <c r="F613">
        <v>191</v>
      </c>
      <c r="G613" t="s">
        <v>485</v>
      </c>
      <c r="H613" s="7">
        <v>6.99</v>
      </c>
      <c r="I613" s="5">
        <v>2</v>
      </c>
      <c r="J613" s="3" t="s">
        <v>29</v>
      </c>
      <c r="K613" s="9">
        <v>42483.62572916667</v>
      </c>
    </row>
    <row r="614" spans="3:11" x14ac:dyDescent="0.25">
      <c r="C614" t="str">
        <f>IF(COUNTBLANK(E614:K614) = 7,"",IF(AND(NOT(ISBLANK(E614)),COUNTBLANK(E614:K614) = 6),"3 Delete",IF(ISBLANK(E614),"2 Add",IF(SHA1Range(E614:K614) = "5e913c4072fc7d9feca93a6dd6aeef74ded7d56e","0 Original","1 Modify"))))</f>
        <v>0 Original</v>
      </c>
      <c r="D614" s="3" t="s">
        <v>1237</v>
      </c>
      <c r="E614" s="5">
        <v>616</v>
      </c>
      <c r="F614">
        <v>192</v>
      </c>
      <c r="G614" t="s">
        <v>562</v>
      </c>
      <c r="H614" s="7">
        <v>5.99</v>
      </c>
      <c r="I614" s="5">
        <v>2</v>
      </c>
      <c r="J614" s="3" t="s">
        <v>29</v>
      </c>
      <c r="K614" s="9">
        <v>42483.62572916667</v>
      </c>
    </row>
    <row r="615" spans="3:11" x14ac:dyDescent="0.25">
      <c r="C615" t="str">
        <f>IF(COUNTBLANK(E615:K615) = 7,"",IF(AND(NOT(ISBLANK(E615)),COUNTBLANK(E615:K615) = 6),"3 Delete",IF(ISBLANK(E615),"2 Add",IF(SHA1Range(E615:K615) = "c9797d80afb7323f12439344bdea873136d878f3","0 Original","1 Modify"))))</f>
        <v>0 Original</v>
      </c>
      <c r="D615" s="3" t="s">
        <v>1238</v>
      </c>
      <c r="E615" s="5">
        <v>617</v>
      </c>
      <c r="F615">
        <v>192</v>
      </c>
      <c r="G615" t="s">
        <v>54</v>
      </c>
      <c r="H615" s="7">
        <v>5.99</v>
      </c>
      <c r="I615" s="5">
        <v>2</v>
      </c>
      <c r="J615" s="3" t="s">
        <v>29</v>
      </c>
      <c r="K615" s="9">
        <v>42483.62572916667</v>
      </c>
    </row>
    <row r="616" spans="3:11" x14ac:dyDescent="0.25">
      <c r="C616" t="str">
        <f>IF(COUNTBLANK(E616:K616) = 7,"",IF(AND(NOT(ISBLANK(E616)),COUNTBLANK(E616:K616) = 6),"3 Delete",IF(ISBLANK(E616),"2 Add",IF(SHA1Range(E616:K616) = "71ca61d21905fcf82c045b2859097c70099eb8b3","0 Original","1 Modify"))))</f>
        <v>0 Original</v>
      </c>
      <c r="D616" s="3" t="s">
        <v>1239</v>
      </c>
      <c r="E616" s="5">
        <v>618</v>
      </c>
      <c r="F616">
        <v>192</v>
      </c>
      <c r="G616" t="s">
        <v>475</v>
      </c>
      <c r="H616" s="7">
        <v>4.99</v>
      </c>
      <c r="I616" s="5">
        <v>2</v>
      </c>
      <c r="J616" s="3" t="s">
        <v>29</v>
      </c>
      <c r="K616" s="9">
        <v>42483.62572916667</v>
      </c>
    </row>
    <row r="617" spans="3:11" x14ac:dyDescent="0.25">
      <c r="C617" t="str">
        <f>IF(COUNTBLANK(E617:K617) = 7,"",IF(AND(NOT(ISBLANK(E617)),COUNTBLANK(E617:K617) = 6),"3 Delete",IF(ISBLANK(E617),"2 Add",IF(SHA1Range(E617:K617) = "65cf44d0e5347905e5cea58fce3016db4bf6674c","0 Original","1 Modify"))))</f>
        <v>0 Original</v>
      </c>
      <c r="D617" s="3" t="s">
        <v>1240</v>
      </c>
      <c r="E617" s="5">
        <v>619</v>
      </c>
      <c r="F617">
        <v>192</v>
      </c>
      <c r="G617" t="s">
        <v>459</v>
      </c>
      <c r="H617" s="7">
        <v>5.99</v>
      </c>
      <c r="I617" s="5">
        <v>2</v>
      </c>
      <c r="J617" s="3" t="s">
        <v>29</v>
      </c>
      <c r="K617" s="9">
        <v>42483.62572916667</v>
      </c>
    </row>
    <row r="618" spans="3:11" x14ac:dyDescent="0.25">
      <c r="C618" t="str">
        <f>IF(COUNTBLANK(E618:K618) = 7,"",IF(AND(NOT(ISBLANK(E618)),COUNTBLANK(E618:K618) = 6),"3 Delete",IF(ISBLANK(E618),"2 Add",IF(SHA1Range(E618:K618) = "80e5dfc0e1cd6ca8cd0b930c599fba9ec8956230","0 Original","1 Modify"))))</f>
        <v>0 Original</v>
      </c>
      <c r="D618" s="3" t="s">
        <v>1241</v>
      </c>
      <c r="E618" s="5">
        <v>620</v>
      </c>
      <c r="F618">
        <v>192</v>
      </c>
      <c r="G618" t="s">
        <v>391</v>
      </c>
      <c r="H618" s="7">
        <v>7.99</v>
      </c>
      <c r="I618" s="5">
        <v>1</v>
      </c>
      <c r="J618" s="3" t="s">
        <v>29</v>
      </c>
      <c r="K618" s="9">
        <v>42483.62572916667</v>
      </c>
    </row>
    <row r="619" spans="3:11" x14ac:dyDescent="0.25">
      <c r="C619" t="str">
        <f>IF(COUNTBLANK(E619:K619) = 7,"",IF(AND(NOT(ISBLANK(E619)),COUNTBLANK(E619:K619) = 6),"3 Delete",IF(ISBLANK(E619),"2 Add",IF(SHA1Range(E619:K619) = "eac61d28dbaf29868ceb873ee39a95e8bfb1bcea","0 Original","1 Modify"))))</f>
        <v>0 Original</v>
      </c>
      <c r="D619" s="3" t="s">
        <v>1242</v>
      </c>
      <c r="E619" s="5">
        <v>621</v>
      </c>
      <c r="F619">
        <v>193</v>
      </c>
      <c r="G619" t="s">
        <v>335</v>
      </c>
      <c r="H619" s="7">
        <v>5.99</v>
      </c>
      <c r="I619" s="5">
        <v>2</v>
      </c>
      <c r="J619" s="3" t="s">
        <v>29</v>
      </c>
      <c r="K619" s="9">
        <v>42483.62572916667</v>
      </c>
    </row>
    <row r="620" spans="3:11" x14ac:dyDescent="0.25">
      <c r="C620" t="str">
        <f>IF(COUNTBLANK(E620:K620) = 7,"",IF(AND(NOT(ISBLANK(E620)),COUNTBLANK(E620:K620) = 6),"3 Delete",IF(ISBLANK(E620),"2 Add",IF(SHA1Range(E620:K620) = "309b4dc4e523d909e40b1eebd2f6f25f644d4af4","0 Original","1 Modify"))))</f>
        <v>0 Original</v>
      </c>
      <c r="D620" s="3" t="s">
        <v>1243</v>
      </c>
      <c r="E620" s="5">
        <v>622</v>
      </c>
      <c r="F620">
        <v>193</v>
      </c>
      <c r="G620" t="s">
        <v>338</v>
      </c>
      <c r="H620" s="7">
        <v>4.99</v>
      </c>
      <c r="I620" s="5">
        <v>1</v>
      </c>
      <c r="J620" s="3" t="s">
        <v>29</v>
      </c>
      <c r="K620" s="9">
        <v>42483.62572916667</v>
      </c>
    </row>
    <row r="621" spans="3:11" x14ac:dyDescent="0.25">
      <c r="C621" t="str">
        <f>IF(COUNTBLANK(E621:K621) = 7,"",IF(AND(NOT(ISBLANK(E621)),COUNTBLANK(E621:K621) = 6),"3 Delete",IF(ISBLANK(E621),"2 Add",IF(SHA1Range(E621:K621) = "1831c0ae20179d7e815e355ad05a6f14d8973be5","0 Original","1 Modify"))))</f>
        <v>0 Original</v>
      </c>
      <c r="D621" s="3" t="s">
        <v>1244</v>
      </c>
      <c r="E621" s="5">
        <v>623</v>
      </c>
      <c r="F621">
        <v>193</v>
      </c>
      <c r="G621" t="s">
        <v>149</v>
      </c>
      <c r="H621" s="7">
        <v>7.99</v>
      </c>
      <c r="I621" s="5">
        <v>2</v>
      </c>
      <c r="J621" s="3" t="s">
        <v>29</v>
      </c>
      <c r="K621" s="9">
        <v>42483.62572916667</v>
      </c>
    </row>
    <row r="622" spans="3:11" x14ac:dyDescent="0.25">
      <c r="C622" t="str">
        <f>IF(COUNTBLANK(E622:K622) = 7,"",IF(AND(NOT(ISBLANK(E622)),COUNTBLANK(E622:K622) = 6),"3 Delete",IF(ISBLANK(E622),"2 Add",IF(SHA1Range(E622:K622) = "216ee273002648305eea7e4a31a1bb3fc90b24a6","0 Original","1 Modify"))))</f>
        <v>0 Original</v>
      </c>
      <c r="D622" s="3" t="s">
        <v>1245</v>
      </c>
      <c r="E622" s="5">
        <v>624</v>
      </c>
      <c r="F622">
        <v>194</v>
      </c>
      <c r="G622" t="s">
        <v>446</v>
      </c>
      <c r="H622" s="7">
        <v>4.99</v>
      </c>
      <c r="I622" s="5">
        <v>1</v>
      </c>
      <c r="J622" s="3" t="s">
        <v>29</v>
      </c>
      <c r="K622" s="9">
        <v>42483.62572916667</v>
      </c>
    </row>
    <row r="623" spans="3:11" x14ac:dyDescent="0.25">
      <c r="C623" t="str">
        <f>IF(COUNTBLANK(E623:K623) = 7,"",IF(AND(NOT(ISBLANK(E623)),COUNTBLANK(E623:K623) = 6),"3 Delete",IF(ISBLANK(E623),"2 Add",IF(SHA1Range(E623:K623) = "e6e569cab48b4703458fa6f1683513f9b86c2fc5","0 Original","1 Modify"))))</f>
        <v>0 Original</v>
      </c>
      <c r="D623" s="3" t="s">
        <v>1246</v>
      </c>
      <c r="E623" s="5">
        <v>625</v>
      </c>
      <c r="F623">
        <v>194</v>
      </c>
      <c r="G623" t="s">
        <v>221</v>
      </c>
      <c r="H623" s="7">
        <v>6.99</v>
      </c>
      <c r="I623" s="5">
        <v>1</v>
      </c>
      <c r="J623" s="3" t="s">
        <v>29</v>
      </c>
      <c r="K623" s="9">
        <v>42483.62572916667</v>
      </c>
    </row>
    <row r="624" spans="3:11" x14ac:dyDescent="0.25">
      <c r="C624" t="str">
        <f>IF(COUNTBLANK(E624:K624) = 7,"",IF(AND(NOT(ISBLANK(E624)),COUNTBLANK(E624:K624) = 6),"3 Delete",IF(ISBLANK(E624),"2 Add",IF(SHA1Range(E624:K624) = "0481763d2d1866d414d1b0f3f2372bfcb32a774e","0 Original","1 Modify"))))</f>
        <v>0 Original</v>
      </c>
      <c r="D624" s="3" t="s">
        <v>1247</v>
      </c>
      <c r="E624" s="5">
        <v>626</v>
      </c>
      <c r="F624">
        <v>195</v>
      </c>
      <c r="G624" t="s">
        <v>401</v>
      </c>
      <c r="H624" s="7">
        <v>9.99</v>
      </c>
      <c r="I624" s="5">
        <v>2</v>
      </c>
      <c r="J624" s="3" t="s">
        <v>29</v>
      </c>
      <c r="K624" s="9">
        <v>42483.62572916667</v>
      </c>
    </row>
    <row r="625" spans="3:11" x14ac:dyDescent="0.25">
      <c r="C625" t="str">
        <f>IF(COUNTBLANK(E625:K625) = 7,"",IF(AND(NOT(ISBLANK(E625)),COUNTBLANK(E625:K625) = 6),"3 Delete",IF(ISBLANK(E625),"2 Add",IF(SHA1Range(E625:K625) = "93cd8232220e2c34efe8d89a3c1f866b5ce8da8a","0 Original","1 Modify"))))</f>
        <v>0 Original</v>
      </c>
      <c r="D625" s="3" t="s">
        <v>1248</v>
      </c>
      <c r="E625" s="5">
        <v>627</v>
      </c>
      <c r="F625">
        <v>195</v>
      </c>
      <c r="G625" t="s">
        <v>525</v>
      </c>
      <c r="H625" s="7">
        <v>4.99</v>
      </c>
      <c r="I625" s="5">
        <v>2</v>
      </c>
      <c r="J625" s="3" t="s">
        <v>29</v>
      </c>
      <c r="K625" s="9">
        <v>42483.62572916667</v>
      </c>
    </row>
    <row r="626" spans="3:11" x14ac:dyDescent="0.25">
      <c r="C626" t="str">
        <f>IF(COUNTBLANK(E626:K626) = 7,"",IF(AND(NOT(ISBLANK(E626)),COUNTBLANK(E626:K626) = 6),"3 Delete",IF(ISBLANK(E626),"2 Add",IF(SHA1Range(E626:K626) = "e5a20400cff859dfa314d73f33acb5180aa85c77","0 Original","1 Modify"))))</f>
        <v>0 Original</v>
      </c>
      <c r="D626" s="3" t="s">
        <v>1249</v>
      </c>
      <c r="E626" s="5">
        <v>628</v>
      </c>
      <c r="F626">
        <v>195</v>
      </c>
      <c r="G626" t="s">
        <v>556</v>
      </c>
      <c r="H626" s="7">
        <v>8.99</v>
      </c>
      <c r="I626" s="5">
        <v>1</v>
      </c>
      <c r="J626" s="3" t="s">
        <v>29</v>
      </c>
      <c r="K626" s="9">
        <v>42483.62572916667</v>
      </c>
    </row>
    <row r="627" spans="3:11" x14ac:dyDescent="0.25">
      <c r="C627" t="str">
        <f>IF(COUNTBLANK(E627:K627) = 7,"",IF(AND(NOT(ISBLANK(E627)),COUNTBLANK(E627:K627) = 6),"3 Delete",IF(ISBLANK(E627),"2 Add",IF(SHA1Range(E627:K627) = "e4df621eed46bdc7164c45cf83f45e62a1383575","0 Original","1 Modify"))))</f>
        <v>0 Original</v>
      </c>
      <c r="D627" s="3" t="s">
        <v>1250</v>
      </c>
      <c r="E627" s="5">
        <v>629</v>
      </c>
      <c r="F627">
        <v>195</v>
      </c>
      <c r="G627" t="s">
        <v>509</v>
      </c>
      <c r="H627" s="7">
        <v>7.99</v>
      </c>
      <c r="I627" s="5">
        <v>1</v>
      </c>
      <c r="J627" s="3" t="s">
        <v>29</v>
      </c>
      <c r="K627" s="9">
        <v>42483.62572916667</v>
      </c>
    </row>
    <row r="628" spans="3:11" x14ac:dyDescent="0.25">
      <c r="C628" t="str">
        <f>IF(COUNTBLANK(E628:K628) = 7,"",IF(AND(NOT(ISBLANK(E628)),COUNTBLANK(E628:K628) = 6),"3 Delete",IF(ISBLANK(E628),"2 Add",IF(SHA1Range(E628:K628) = "5b7dac6be75dd3d9ea9831a509d848f5a2811d63","0 Original","1 Modify"))))</f>
        <v>0 Original</v>
      </c>
      <c r="D628" s="3" t="s">
        <v>1251</v>
      </c>
      <c r="E628" s="5">
        <v>630</v>
      </c>
      <c r="F628">
        <v>195</v>
      </c>
      <c r="G628" t="s">
        <v>112</v>
      </c>
      <c r="H628" s="7">
        <v>8.99</v>
      </c>
      <c r="I628" s="5">
        <v>1</v>
      </c>
      <c r="J628" s="3" t="s">
        <v>29</v>
      </c>
      <c r="K628" s="9">
        <v>42483.62572916667</v>
      </c>
    </row>
    <row r="629" spans="3:11" x14ac:dyDescent="0.25">
      <c r="C629" t="str">
        <f>IF(COUNTBLANK(E629:K629) = 7,"",IF(AND(NOT(ISBLANK(E629)),COUNTBLANK(E629:K629) = 6),"3 Delete",IF(ISBLANK(E629),"2 Add",IF(SHA1Range(E629:K629) = "5463596095cfe01930bd2ae2d715902cfafc5d6b","0 Original","1 Modify"))))</f>
        <v>0 Original</v>
      </c>
      <c r="D629" s="3" t="s">
        <v>1252</v>
      </c>
      <c r="E629" s="5">
        <v>631</v>
      </c>
      <c r="F629">
        <v>195</v>
      </c>
      <c r="G629" t="s">
        <v>615</v>
      </c>
      <c r="H629" s="7">
        <v>9.99</v>
      </c>
      <c r="I629" s="5">
        <v>2</v>
      </c>
      <c r="J629" s="3" t="s">
        <v>29</v>
      </c>
      <c r="K629" s="9">
        <v>42483.62572916667</v>
      </c>
    </row>
    <row r="630" spans="3:11" x14ac:dyDescent="0.25">
      <c r="C630" t="str">
        <f>IF(COUNTBLANK(E630:K630) = 7,"",IF(AND(NOT(ISBLANK(E630)),COUNTBLANK(E630:K630) = 6),"3 Delete",IF(ISBLANK(E630),"2 Add",IF(SHA1Range(E630:K630) = "5937fb6187b3146728bc81a5d3d7ce8514ae9c68","0 Original","1 Modify"))))</f>
        <v>0 Original</v>
      </c>
      <c r="D630" s="3" t="s">
        <v>1253</v>
      </c>
      <c r="E630" s="5">
        <v>632</v>
      </c>
      <c r="F630">
        <v>196</v>
      </c>
      <c r="G630" t="s">
        <v>580</v>
      </c>
      <c r="H630" s="7">
        <v>4.99</v>
      </c>
      <c r="I630" s="5">
        <v>2</v>
      </c>
      <c r="J630" s="3" t="s">
        <v>29</v>
      </c>
      <c r="K630" s="9">
        <v>42483.62572916667</v>
      </c>
    </row>
    <row r="631" spans="3:11" x14ac:dyDescent="0.25">
      <c r="C631" t="str">
        <f>IF(COUNTBLANK(E631:K631) = 7,"",IF(AND(NOT(ISBLANK(E631)),COUNTBLANK(E631:K631) = 6),"3 Delete",IF(ISBLANK(E631),"2 Add",IF(SHA1Range(E631:K631) = "a737d8d6593e4c05a2226e8ae8d683750be986be","0 Original","1 Modify"))))</f>
        <v>0 Original</v>
      </c>
      <c r="D631" s="3" t="s">
        <v>1254</v>
      </c>
      <c r="E631" s="5">
        <v>633</v>
      </c>
      <c r="F631">
        <v>197</v>
      </c>
      <c r="G631" t="s">
        <v>500</v>
      </c>
      <c r="H631" s="7">
        <v>4.99</v>
      </c>
      <c r="I631" s="5">
        <v>1</v>
      </c>
      <c r="J631" s="3" t="s">
        <v>29</v>
      </c>
      <c r="K631" s="9">
        <v>42483.62572916667</v>
      </c>
    </row>
    <row r="632" spans="3:11" x14ac:dyDescent="0.25">
      <c r="C632" t="str">
        <f>IF(COUNTBLANK(E632:K632) = 7,"",IF(AND(NOT(ISBLANK(E632)),COUNTBLANK(E632:K632) = 6),"3 Delete",IF(ISBLANK(E632),"2 Add",IF(SHA1Range(E632:K632) = "3b9f17c71980ec895fb9eb75fe43d1f32a97dc02","0 Original","1 Modify"))))</f>
        <v>0 Original</v>
      </c>
      <c r="D632" s="3" t="s">
        <v>1255</v>
      </c>
      <c r="E632" s="5">
        <v>634</v>
      </c>
      <c r="F632">
        <v>197</v>
      </c>
      <c r="G632" t="s">
        <v>431</v>
      </c>
      <c r="H632" s="7">
        <v>5.99</v>
      </c>
      <c r="I632" s="5">
        <v>2</v>
      </c>
      <c r="J632" s="3" t="s">
        <v>29</v>
      </c>
      <c r="K632" s="9">
        <v>42483.62572916667</v>
      </c>
    </row>
    <row r="633" spans="3:11" x14ac:dyDescent="0.25">
      <c r="C633" t="str">
        <f>IF(COUNTBLANK(E633:K633) = 7,"",IF(AND(NOT(ISBLANK(E633)),COUNTBLANK(E633:K633) = 6),"3 Delete",IF(ISBLANK(E633),"2 Add",IF(SHA1Range(E633:K633) = "488037c98fd6722930e6e754bffc68bb6a28cb74","0 Original","1 Modify"))))</f>
        <v>0 Original</v>
      </c>
      <c r="D633" s="3" t="s">
        <v>1256</v>
      </c>
      <c r="E633" s="5">
        <v>635</v>
      </c>
      <c r="F633">
        <v>197</v>
      </c>
      <c r="G633" t="s">
        <v>385</v>
      </c>
      <c r="H633" s="7">
        <v>9.99</v>
      </c>
      <c r="I633" s="5">
        <v>2</v>
      </c>
      <c r="J633" s="3" t="s">
        <v>29</v>
      </c>
      <c r="K633" s="9">
        <v>42483.62572916667</v>
      </c>
    </row>
    <row r="634" spans="3:11" x14ac:dyDescent="0.25">
      <c r="C634" t="str">
        <f>IF(COUNTBLANK(E634:K634) = 7,"",IF(AND(NOT(ISBLANK(E634)),COUNTBLANK(E634:K634) = 6),"3 Delete",IF(ISBLANK(E634),"2 Add",IF(SHA1Range(E634:K634) = "5ccec43431233126281778ae6888259ea4ab4900","0 Original","1 Modify"))))</f>
        <v>0 Original</v>
      </c>
      <c r="D634" s="3" t="s">
        <v>1257</v>
      </c>
      <c r="E634" s="5">
        <v>636</v>
      </c>
      <c r="F634">
        <v>197</v>
      </c>
      <c r="G634" t="s">
        <v>281</v>
      </c>
      <c r="H634" s="7">
        <v>7.99</v>
      </c>
      <c r="I634" s="5">
        <v>1</v>
      </c>
      <c r="J634" s="3" t="s">
        <v>29</v>
      </c>
      <c r="K634" s="9">
        <v>42483.62572916667</v>
      </c>
    </row>
    <row r="635" spans="3:11" x14ac:dyDescent="0.25">
      <c r="C635" t="str">
        <f>IF(COUNTBLANK(E635:K635) = 7,"",IF(AND(NOT(ISBLANK(E635)),COUNTBLANK(E635:K635) = 6),"3 Delete",IF(ISBLANK(E635),"2 Add",IF(SHA1Range(E635:K635) = "d97dbeea301b2a705dda00c4ed11ddd7facfc091","0 Original","1 Modify"))))</f>
        <v>0 Original</v>
      </c>
      <c r="D635" s="3" t="s">
        <v>1258</v>
      </c>
      <c r="E635" s="5">
        <v>637</v>
      </c>
      <c r="F635">
        <v>197</v>
      </c>
      <c r="G635" t="s">
        <v>448</v>
      </c>
      <c r="H635" s="7">
        <v>8.99</v>
      </c>
      <c r="I635" s="5">
        <v>2</v>
      </c>
      <c r="J635" s="3" t="s">
        <v>29</v>
      </c>
      <c r="K635" s="9">
        <v>42483.62572916667</v>
      </c>
    </row>
    <row r="636" spans="3:11" x14ac:dyDescent="0.25">
      <c r="C636" t="str">
        <f>IF(COUNTBLANK(E636:K636) = 7,"",IF(AND(NOT(ISBLANK(E636)),COUNTBLANK(E636:K636) = 6),"3 Delete",IF(ISBLANK(E636),"2 Add",IF(SHA1Range(E636:K636) = "c29fd8e14a43752032e31c976f51addcb13ccd0f","0 Original","1 Modify"))))</f>
        <v>0 Original</v>
      </c>
      <c r="D636" s="3" t="s">
        <v>1259</v>
      </c>
      <c r="E636" s="5">
        <v>638</v>
      </c>
      <c r="F636">
        <v>197</v>
      </c>
      <c r="G636" t="s">
        <v>95</v>
      </c>
      <c r="H636" s="7">
        <v>8.99</v>
      </c>
      <c r="I636" s="5">
        <v>1</v>
      </c>
      <c r="J636" s="3" t="s">
        <v>29</v>
      </c>
      <c r="K636" s="9">
        <v>42483.62572916667</v>
      </c>
    </row>
    <row r="637" spans="3:11" x14ac:dyDescent="0.25">
      <c r="C637" t="str">
        <f>IF(COUNTBLANK(E637:K637) = 7,"",IF(AND(NOT(ISBLANK(E637)),COUNTBLANK(E637:K637) = 6),"3 Delete",IF(ISBLANK(E637),"2 Add",IF(SHA1Range(E637:K637) = "abd8aa05076dc775d03a19d88518d7c729c2671b","0 Original","1 Modify"))))</f>
        <v>0 Original</v>
      </c>
      <c r="D637" s="3" t="s">
        <v>1260</v>
      </c>
      <c r="E637" s="5">
        <v>639</v>
      </c>
      <c r="F637">
        <v>197</v>
      </c>
      <c r="G637" t="s">
        <v>136</v>
      </c>
      <c r="H637" s="7">
        <v>8.99</v>
      </c>
      <c r="I637" s="5">
        <v>1</v>
      </c>
      <c r="J637" s="3" t="s">
        <v>29</v>
      </c>
      <c r="K637" s="9">
        <v>42483.62572916667</v>
      </c>
    </row>
    <row r="638" spans="3:11" x14ac:dyDescent="0.25">
      <c r="C638" t="str">
        <f>IF(COUNTBLANK(E638:K638) = 7,"",IF(AND(NOT(ISBLANK(E638)),COUNTBLANK(E638:K638) = 6),"3 Delete",IF(ISBLANK(E638),"2 Add",IF(SHA1Range(E638:K638) = "949a6f2aec4bbac1901a91b653417f4bbcbef88c","0 Original","1 Modify"))))</f>
        <v>0 Original</v>
      </c>
      <c r="D638" s="3" t="s">
        <v>1261</v>
      </c>
      <c r="E638" s="5">
        <v>640</v>
      </c>
      <c r="F638">
        <v>198</v>
      </c>
      <c r="G638" t="s">
        <v>184</v>
      </c>
      <c r="H638" s="7">
        <v>8.99</v>
      </c>
      <c r="I638" s="5">
        <v>2</v>
      </c>
      <c r="J638" s="3" t="s">
        <v>29</v>
      </c>
      <c r="K638" s="9">
        <v>42483.62572916667</v>
      </c>
    </row>
    <row r="639" spans="3:11" x14ac:dyDescent="0.25">
      <c r="C639" t="str">
        <f>IF(COUNTBLANK(E639:K639) = 7,"",IF(AND(NOT(ISBLANK(E639)),COUNTBLANK(E639:K639) = 6),"3 Delete",IF(ISBLANK(E639),"2 Add",IF(SHA1Range(E639:K639) = "9eafab19cde569e2cdbbce4c9316a857c5f71cbb","0 Original","1 Modify"))))</f>
        <v>0 Original</v>
      </c>
      <c r="D639" s="3" t="s">
        <v>1262</v>
      </c>
      <c r="E639" s="5">
        <v>641</v>
      </c>
      <c r="F639">
        <v>199</v>
      </c>
      <c r="G639" t="s">
        <v>573</v>
      </c>
      <c r="H639" s="7">
        <v>9.99</v>
      </c>
      <c r="I639" s="5">
        <v>1</v>
      </c>
      <c r="J639" s="3" t="s">
        <v>29</v>
      </c>
      <c r="K639" s="9">
        <v>42483.62572916667</v>
      </c>
    </row>
    <row r="640" spans="3:11" x14ac:dyDescent="0.25">
      <c r="C640" t="str">
        <f>IF(COUNTBLANK(E640:K640) = 7,"",IF(AND(NOT(ISBLANK(E640)),COUNTBLANK(E640:K640) = 6),"3 Delete",IF(ISBLANK(E640),"2 Add",IF(SHA1Range(E640:K640) = "69d622e131b1bf881f83c44c0a3490e54105ab42","0 Original","1 Modify"))))</f>
        <v>0 Original</v>
      </c>
      <c r="D640" s="3" t="s">
        <v>1263</v>
      </c>
      <c r="E640" s="5">
        <v>642</v>
      </c>
      <c r="F640">
        <v>199</v>
      </c>
      <c r="G640" t="s">
        <v>372</v>
      </c>
      <c r="H640" s="7">
        <v>9.99</v>
      </c>
      <c r="I640" s="5">
        <v>2</v>
      </c>
      <c r="J640" s="3" t="s">
        <v>29</v>
      </c>
      <c r="K640" s="9">
        <v>42483.62572916667</v>
      </c>
    </row>
    <row r="641" spans="3:11" x14ac:dyDescent="0.25">
      <c r="C641" t="str">
        <f>IF(COUNTBLANK(E641:K641) = 7,"",IF(AND(NOT(ISBLANK(E641)),COUNTBLANK(E641:K641) = 6),"3 Delete",IF(ISBLANK(E641),"2 Add",IF(SHA1Range(E641:K641) = "5ee4ed823204154f80246637d683850e9e2570c2","0 Original","1 Modify"))))</f>
        <v>0 Original</v>
      </c>
      <c r="D641" s="3" t="s">
        <v>1264</v>
      </c>
      <c r="E641" s="5">
        <v>643</v>
      </c>
      <c r="F641">
        <v>199</v>
      </c>
      <c r="G641" t="s">
        <v>341</v>
      </c>
      <c r="H641" s="7">
        <v>6.99</v>
      </c>
      <c r="I641" s="5">
        <v>2</v>
      </c>
      <c r="J641" s="3" t="s">
        <v>29</v>
      </c>
      <c r="K641" s="9">
        <v>42483.62572916667</v>
      </c>
    </row>
    <row r="642" spans="3:11" x14ac:dyDescent="0.25">
      <c r="C642" t="str">
        <f>IF(COUNTBLANK(E642:K642) = 7,"",IF(AND(NOT(ISBLANK(E642)),COUNTBLANK(E642:K642) = 6),"3 Delete",IF(ISBLANK(E642),"2 Add",IF(SHA1Range(E642:K642) = "bc263a29a57827166e390a770589bb1b5916ed18","0 Original","1 Modify"))))</f>
        <v>0 Original</v>
      </c>
      <c r="D642" s="3" t="s">
        <v>1265</v>
      </c>
      <c r="E642" s="5">
        <v>644</v>
      </c>
      <c r="F642">
        <v>199</v>
      </c>
      <c r="G642" t="s">
        <v>102</v>
      </c>
      <c r="H642" s="7">
        <v>4.99</v>
      </c>
      <c r="I642" s="5">
        <v>1</v>
      </c>
      <c r="J642" s="3" t="s">
        <v>29</v>
      </c>
      <c r="K642" s="9">
        <v>42483.62572916667</v>
      </c>
    </row>
    <row r="643" spans="3:11" x14ac:dyDescent="0.25">
      <c r="C643" t="str">
        <f>IF(COUNTBLANK(E643:K643) = 7,"",IF(AND(NOT(ISBLANK(E643)),COUNTBLANK(E643:K643) = 6),"3 Delete",IF(ISBLANK(E643),"2 Add",IF(SHA1Range(E643:K643) = "13ee0495a05ca140d092c34b4ccd5d9ecfe8b3de","0 Original","1 Modify"))))</f>
        <v>0 Original</v>
      </c>
      <c r="D643" s="3" t="s">
        <v>1266</v>
      </c>
      <c r="E643" s="5">
        <v>645</v>
      </c>
      <c r="F643">
        <v>200</v>
      </c>
      <c r="G643" t="s">
        <v>288</v>
      </c>
      <c r="H643" s="7">
        <v>7.99</v>
      </c>
      <c r="I643" s="5">
        <v>2</v>
      </c>
      <c r="J643" s="3" t="s">
        <v>29</v>
      </c>
      <c r="K643" s="9">
        <v>42483.62572916667</v>
      </c>
    </row>
    <row r="644" spans="3:11" x14ac:dyDescent="0.25">
      <c r="C644" t="str">
        <f>IF(COUNTBLANK(E644:K644) = 7,"",IF(AND(NOT(ISBLANK(E644)),COUNTBLANK(E644:K644) = 6),"3 Delete",IF(ISBLANK(E644),"2 Add",IF(SHA1Range(E644:K644) = "b7469b6ca3d47e9a0e08d667efd5eda53ee19c64","0 Original","1 Modify"))))</f>
        <v>0 Original</v>
      </c>
      <c r="D644" s="3" t="s">
        <v>1267</v>
      </c>
      <c r="E644" s="5">
        <v>646</v>
      </c>
      <c r="F644">
        <v>200</v>
      </c>
      <c r="G644" t="s">
        <v>122</v>
      </c>
      <c r="H644" s="7">
        <v>8.99</v>
      </c>
      <c r="I644" s="5">
        <v>2</v>
      </c>
      <c r="J644" s="3" t="s">
        <v>29</v>
      </c>
      <c r="K644" s="9">
        <v>42483.62572916667</v>
      </c>
    </row>
    <row r="645" spans="3:11" x14ac:dyDescent="0.25">
      <c r="C645" t="str">
        <f>IF(COUNTBLANK(E645:K645) = 7,"",IF(AND(NOT(ISBLANK(E645)),COUNTBLANK(E645:K645) = 6),"3 Delete",IF(ISBLANK(E645),"2 Add",IF(SHA1Range(E645:K645) = "ea0340f3a45051f1c6d3374c3e329efaf363501c","0 Original","1 Modify"))))</f>
        <v>0 Original</v>
      </c>
      <c r="D645" s="3" t="s">
        <v>1268</v>
      </c>
      <c r="E645" s="5">
        <v>647</v>
      </c>
      <c r="F645">
        <v>200</v>
      </c>
      <c r="G645" t="s">
        <v>281</v>
      </c>
      <c r="H645" s="7">
        <v>7.99</v>
      </c>
      <c r="I645" s="5">
        <v>1</v>
      </c>
      <c r="J645" s="3" t="s">
        <v>29</v>
      </c>
      <c r="K645" s="9">
        <v>42483.62572916667</v>
      </c>
    </row>
    <row r="646" spans="3:11" x14ac:dyDescent="0.25">
      <c r="C646" t="str">
        <f>IF(COUNTBLANK(E646:K646) = 7,"",IF(AND(NOT(ISBLANK(E646)),COUNTBLANK(E646:K646) = 6),"3 Delete",IF(ISBLANK(E646),"2 Add",IF(SHA1Range(E646:K646) = "df40b612d1df9d7d705189ff4ed7b7e6c3733f21","0 Original","1 Modify"))))</f>
        <v>0 Original</v>
      </c>
      <c r="D646" s="3" t="s">
        <v>1269</v>
      </c>
      <c r="E646" s="5">
        <v>648</v>
      </c>
      <c r="F646">
        <v>200</v>
      </c>
      <c r="G646" t="s">
        <v>172</v>
      </c>
      <c r="H646" s="7">
        <v>5.99</v>
      </c>
      <c r="I646" s="5">
        <v>2</v>
      </c>
      <c r="J646" s="3" t="s">
        <v>29</v>
      </c>
      <c r="K646" s="9">
        <v>42483.62572916667</v>
      </c>
    </row>
    <row r="647" spans="3:11" x14ac:dyDescent="0.25">
      <c r="C647" t="str">
        <f>IF(COUNTBLANK(E647:K647) = 7,"",IF(AND(NOT(ISBLANK(E647)),COUNTBLANK(E647:K647) = 6),"3 Delete",IF(ISBLANK(E647),"2 Add",IF(SHA1Range(E647:K647) = "84fdec0cab4080f02fb8e8ae792ef5f9df2d48c9","0 Original","1 Modify"))))</f>
        <v>0 Original</v>
      </c>
      <c r="D647" s="3" t="s">
        <v>1270</v>
      </c>
      <c r="E647" s="5">
        <v>649</v>
      </c>
      <c r="F647">
        <v>200</v>
      </c>
      <c r="G647" t="s">
        <v>115</v>
      </c>
      <c r="H647" s="7">
        <v>4.99</v>
      </c>
      <c r="I647" s="5">
        <v>1</v>
      </c>
      <c r="J647" s="3" t="s">
        <v>29</v>
      </c>
      <c r="K647" s="9">
        <v>42483.62572916667</v>
      </c>
    </row>
    <row r="648" spans="3:11" x14ac:dyDescent="0.25">
      <c r="C648" t="str">
        <f>IF(COUNTBLANK(E648:K648) = 7,"",IF(AND(NOT(ISBLANK(E648)),COUNTBLANK(E648:K648) = 6),"3 Delete",IF(ISBLANK(E648),"2 Add",IF(SHA1Range(E648:K648) = "7157dfd571b2c71a34613b145968ea0911fb843d","0 Original","1 Modify"))))</f>
        <v>0 Original</v>
      </c>
      <c r="D648" s="3" t="s">
        <v>1271</v>
      </c>
      <c r="E648" s="5">
        <v>650</v>
      </c>
      <c r="F648">
        <v>200</v>
      </c>
      <c r="G648" t="s">
        <v>556</v>
      </c>
      <c r="H648" s="7">
        <v>8.99</v>
      </c>
      <c r="I648" s="5">
        <v>1</v>
      </c>
      <c r="J648" s="3" t="s">
        <v>29</v>
      </c>
      <c r="K648" s="9">
        <v>42483.62572916667</v>
      </c>
    </row>
    <row r="649" spans="3:11" x14ac:dyDescent="0.25">
      <c r="C649" t="str">
        <f>IF(COUNTBLANK(E649:K649) = 7,"",IF(AND(NOT(ISBLANK(E649)),COUNTBLANK(E649:K649) = 6),"3 Delete",IF(ISBLANK(E649),"2 Add",IF(SHA1Range(E649:K649) = "e5b0b71514dc842096112f9487fd3c43d61ac184","0 Original","1 Modify"))))</f>
        <v>0 Original</v>
      </c>
      <c r="D649" s="3" t="s">
        <v>1272</v>
      </c>
      <c r="E649" s="5">
        <v>651</v>
      </c>
      <c r="F649">
        <v>201</v>
      </c>
      <c r="G649" t="s">
        <v>537</v>
      </c>
      <c r="H649" s="7">
        <v>7.99</v>
      </c>
      <c r="I649" s="5">
        <v>1</v>
      </c>
      <c r="J649" s="3" t="s">
        <v>29</v>
      </c>
      <c r="K649" s="9">
        <v>42483.62572916667</v>
      </c>
    </row>
    <row r="650" spans="3:11" x14ac:dyDescent="0.25">
      <c r="C650" t="str">
        <f>IF(COUNTBLANK(E650:K650) = 7,"",IF(AND(NOT(ISBLANK(E650)),COUNTBLANK(E650:K650) = 6),"3 Delete",IF(ISBLANK(E650),"2 Add",IF(SHA1Range(E650:K650) = "d72c6bbdd712bbffb3e79d8cddcbe703016008d5","0 Original","1 Modify"))))</f>
        <v>0 Original</v>
      </c>
      <c r="D650" s="3" t="s">
        <v>1273</v>
      </c>
      <c r="E650" s="5">
        <v>652</v>
      </c>
      <c r="F650">
        <v>201</v>
      </c>
      <c r="G650" t="s">
        <v>234</v>
      </c>
      <c r="H650" s="7">
        <v>4.99</v>
      </c>
      <c r="I650" s="5">
        <v>2</v>
      </c>
      <c r="J650" s="3" t="s">
        <v>29</v>
      </c>
      <c r="K650" s="9">
        <v>42483.62572916667</v>
      </c>
    </row>
    <row r="651" spans="3:11" x14ac:dyDescent="0.25">
      <c r="C651" t="str">
        <f>IF(COUNTBLANK(E651:K651) = 7,"",IF(AND(NOT(ISBLANK(E651)),COUNTBLANK(E651:K651) = 6),"3 Delete",IF(ISBLANK(E651),"2 Add",IF(SHA1Range(E651:K651) = "d8a6e2de80c19df4be2ba2dfd39fbcc5e3406e0e","0 Original","1 Modify"))))</f>
        <v>0 Original</v>
      </c>
      <c r="D651" s="3" t="s">
        <v>1274</v>
      </c>
      <c r="E651" s="5">
        <v>653</v>
      </c>
      <c r="F651">
        <v>201</v>
      </c>
      <c r="G651" t="s">
        <v>37</v>
      </c>
      <c r="H651" s="7">
        <v>6.99</v>
      </c>
      <c r="I651" s="5">
        <v>1</v>
      </c>
      <c r="J651" s="3" t="s">
        <v>29</v>
      </c>
      <c r="K651" s="9">
        <v>42483.62572916667</v>
      </c>
    </row>
    <row r="652" spans="3:11" x14ac:dyDescent="0.25">
      <c r="C652" t="str">
        <f>IF(COUNTBLANK(E652:K652) = 7,"",IF(AND(NOT(ISBLANK(E652)),COUNTBLANK(E652:K652) = 6),"3 Delete",IF(ISBLANK(E652),"2 Add",IF(SHA1Range(E652:K652) = "96c0f8f2dc25b3d0032a63083f90b54c5ba9173f","0 Original","1 Modify"))))</f>
        <v>0 Original</v>
      </c>
      <c r="D652" s="3" t="s">
        <v>1275</v>
      </c>
      <c r="E652" s="5">
        <v>654</v>
      </c>
      <c r="F652">
        <v>201</v>
      </c>
      <c r="G652" t="s">
        <v>459</v>
      </c>
      <c r="H652" s="7">
        <v>5.99</v>
      </c>
      <c r="I652" s="5">
        <v>1</v>
      </c>
      <c r="J652" s="3" t="s">
        <v>29</v>
      </c>
      <c r="K652" s="9">
        <v>42483.62572916667</v>
      </c>
    </row>
    <row r="653" spans="3:11" x14ac:dyDescent="0.25">
      <c r="C653" t="str">
        <f>IF(COUNTBLANK(E653:K653) = 7,"",IF(AND(NOT(ISBLANK(E653)),COUNTBLANK(E653:K653) = 6),"3 Delete",IF(ISBLANK(E653),"2 Add",IF(SHA1Range(E653:K653) = "390594c24db5242064f8600bcc0067f6410b3318","0 Original","1 Modify"))))</f>
        <v>0 Original</v>
      </c>
      <c r="D653" s="3" t="s">
        <v>1276</v>
      </c>
      <c r="E653" s="5">
        <v>655</v>
      </c>
      <c r="F653">
        <v>201</v>
      </c>
      <c r="G653" t="s">
        <v>459</v>
      </c>
      <c r="H653" s="7">
        <v>5.99</v>
      </c>
      <c r="I653" s="5">
        <v>1</v>
      </c>
      <c r="J653" s="3" t="s">
        <v>29</v>
      </c>
      <c r="K653" s="9">
        <v>42483.62572916667</v>
      </c>
    </row>
    <row r="654" spans="3:11" x14ac:dyDescent="0.25">
      <c r="C654" t="str">
        <f>IF(COUNTBLANK(E654:K654) = 7,"",IF(AND(NOT(ISBLANK(E654)),COUNTBLANK(E654:K654) = 6),"3 Delete",IF(ISBLANK(E654),"2 Add",IF(SHA1Range(E654:K654) = "bf999b0177d09bec3563ff747e24aca6c4669289","0 Original","1 Modify"))))</f>
        <v>0 Original</v>
      </c>
      <c r="D654" s="3" t="s">
        <v>1277</v>
      </c>
      <c r="E654" s="5">
        <v>656</v>
      </c>
      <c r="F654">
        <v>202</v>
      </c>
      <c r="G654" t="s">
        <v>54</v>
      </c>
      <c r="H654" s="7">
        <v>5.99</v>
      </c>
      <c r="I654" s="5">
        <v>1</v>
      </c>
      <c r="J654" s="3" t="s">
        <v>29</v>
      </c>
      <c r="K654" s="9">
        <v>42483.62572916667</v>
      </c>
    </row>
    <row r="655" spans="3:11" x14ac:dyDescent="0.25">
      <c r="C655" t="str">
        <f>IF(COUNTBLANK(E655:K655) = 7,"",IF(AND(NOT(ISBLANK(E655)),COUNTBLANK(E655:K655) = 6),"3 Delete",IF(ISBLANK(E655),"2 Add",IF(SHA1Range(E655:K655) = "d9e8bc280dde69cb2c901603ae59181d354e93a7","0 Original","1 Modify"))))</f>
        <v>0 Original</v>
      </c>
      <c r="D655" s="3" t="s">
        <v>1278</v>
      </c>
      <c r="E655" s="5">
        <v>657</v>
      </c>
      <c r="F655">
        <v>202</v>
      </c>
      <c r="G655" t="s">
        <v>234</v>
      </c>
      <c r="H655" s="7">
        <v>4.99</v>
      </c>
      <c r="I655" s="5">
        <v>1</v>
      </c>
      <c r="J655" s="3" t="s">
        <v>29</v>
      </c>
      <c r="K655" s="9">
        <v>42483.62572916667</v>
      </c>
    </row>
    <row r="656" spans="3:11" x14ac:dyDescent="0.25">
      <c r="C656" t="str">
        <f>IF(COUNTBLANK(E656:K656) = 7,"",IF(AND(NOT(ISBLANK(E656)),COUNTBLANK(E656:K656) = 6),"3 Delete",IF(ISBLANK(E656),"2 Add",IF(SHA1Range(E656:K656) = "3a9851af15b1810b3fcaa650ac239d05b4714124","0 Original","1 Modify"))))</f>
        <v>0 Original</v>
      </c>
      <c r="D656" s="3" t="s">
        <v>1279</v>
      </c>
      <c r="E656" s="5">
        <v>658</v>
      </c>
      <c r="F656">
        <v>202</v>
      </c>
      <c r="G656" t="s">
        <v>421</v>
      </c>
      <c r="H656" s="7">
        <v>6.99</v>
      </c>
      <c r="I656" s="5">
        <v>1</v>
      </c>
      <c r="J656" s="3" t="s">
        <v>29</v>
      </c>
      <c r="K656" s="9">
        <v>42483.62572916667</v>
      </c>
    </row>
    <row r="657" spans="3:11" x14ac:dyDescent="0.25">
      <c r="C657" t="str">
        <f>IF(COUNTBLANK(E657:K657) = 7,"",IF(AND(NOT(ISBLANK(E657)),COUNTBLANK(E657:K657) = 6),"3 Delete",IF(ISBLANK(E657),"2 Add",IF(SHA1Range(E657:K657) = "a704bf20f33c620fcf3ddf2ae6666286a8b151dc","0 Original","1 Modify"))))</f>
        <v>0 Original</v>
      </c>
      <c r="D657" s="3" t="s">
        <v>1280</v>
      </c>
      <c r="E657" s="5">
        <v>659</v>
      </c>
      <c r="F657">
        <v>202</v>
      </c>
      <c r="G657" t="s">
        <v>51</v>
      </c>
      <c r="H657" s="7">
        <v>9.99</v>
      </c>
      <c r="I657" s="5">
        <v>1</v>
      </c>
      <c r="J657" s="3" t="s">
        <v>29</v>
      </c>
      <c r="K657" s="9">
        <v>42483.62572916667</v>
      </c>
    </row>
    <row r="658" spans="3:11" x14ac:dyDescent="0.25">
      <c r="C658" t="str">
        <f>IF(COUNTBLANK(E658:K658) = 7,"",IF(AND(NOT(ISBLANK(E658)),COUNTBLANK(E658:K658) = 6),"3 Delete",IF(ISBLANK(E658),"2 Add",IF(SHA1Range(E658:K658) = "ce8e56783332568784ecf7273dd689107928afdb","0 Original","1 Modify"))))</f>
        <v>0 Original</v>
      </c>
      <c r="D658" s="3" t="s">
        <v>1281</v>
      </c>
      <c r="E658" s="5">
        <v>660</v>
      </c>
      <c r="F658">
        <v>203</v>
      </c>
      <c r="G658" t="s">
        <v>448</v>
      </c>
      <c r="H658" s="7">
        <v>8.99</v>
      </c>
      <c r="I658" s="5">
        <v>1</v>
      </c>
      <c r="J658" s="3" t="s">
        <v>29</v>
      </c>
      <c r="K658" s="9">
        <v>42483.62572916667</v>
      </c>
    </row>
    <row r="659" spans="3:11" x14ac:dyDescent="0.25">
      <c r="C659" t="str">
        <f>IF(COUNTBLANK(E659:K659) = 7,"",IF(AND(NOT(ISBLANK(E659)),COUNTBLANK(E659:K659) = 6),"3 Delete",IF(ISBLANK(E659),"2 Add",IF(SHA1Range(E659:K659) = "6926ff37b75d59e341ac91c45eae7be108fff0b5","0 Original","1 Modify"))))</f>
        <v>0 Original</v>
      </c>
      <c r="D659" s="3" t="s">
        <v>1282</v>
      </c>
      <c r="E659" s="5">
        <v>661</v>
      </c>
      <c r="F659">
        <v>203</v>
      </c>
      <c r="G659" t="s">
        <v>388</v>
      </c>
      <c r="H659" s="7">
        <v>5.99</v>
      </c>
      <c r="I659" s="5">
        <v>2</v>
      </c>
      <c r="J659" s="3" t="s">
        <v>29</v>
      </c>
      <c r="K659" s="9">
        <v>42483.62572916667</v>
      </c>
    </row>
    <row r="660" spans="3:11" x14ac:dyDescent="0.25">
      <c r="C660" t="str">
        <f>IF(COUNTBLANK(E660:K660) = 7,"",IF(AND(NOT(ISBLANK(E660)),COUNTBLANK(E660:K660) = 6),"3 Delete",IF(ISBLANK(E660),"2 Add",IF(SHA1Range(E660:K660) = "298363a1719b76c0cb086667350cb532ebdb5917","0 Original","1 Modify"))))</f>
        <v>0 Original</v>
      </c>
      <c r="D660" s="3" t="s">
        <v>1283</v>
      </c>
      <c r="E660" s="5">
        <v>662</v>
      </c>
      <c r="F660">
        <v>204</v>
      </c>
      <c r="G660" t="s">
        <v>364</v>
      </c>
      <c r="H660" s="7">
        <v>9.99</v>
      </c>
      <c r="I660" s="5">
        <v>1</v>
      </c>
      <c r="J660" s="3" t="s">
        <v>29</v>
      </c>
      <c r="K660" s="9">
        <v>42483.62572916667</v>
      </c>
    </row>
    <row r="661" spans="3:11" x14ac:dyDescent="0.25">
      <c r="C661" t="str">
        <f>IF(COUNTBLANK(E661:K661) = 7,"",IF(AND(NOT(ISBLANK(E661)),COUNTBLANK(E661:K661) = 6),"3 Delete",IF(ISBLANK(E661),"2 Add",IF(SHA1Range(E661:K661) = "710571d142a9d6909e0f4fd636c42cbe9f5d80b3","0 Original","1 Modify"))))</f>
        <v>0 Original</v>
      </c>
      <c r="D661" s="3" t="s">
        <v>1284</v>
      </c>
      <c r="E661" s="5">
        <v>663</v>
      </c>
      <c r="F661">
        <v>204</v>
      </c>
      <c r="G661" t="s">
        <v>391</v>
      </c>
      <c r="H661" s="7">
        <v>7.99</v>
      </c>
      <c r="I661" s="5">
        <v>2</v>
      </c>
      <c r="J661" s="3" t="s">
        <v>29</v>
      </c>
      <c r="K661" s="9">
        <v>42483.62572916667</v>
      </c>
    </row>
    <row r="662" spans="3:11" x14ac:dyDescent="0.25">
      <c r="C662" t="str">
        <f>IF(COUNTBLANK(E662:K662) = 7,"",IF(AND(NOT(ISBLANK(E662)),COUNTBLANK(E662:K662) = 6),"3 Delete",IF(ISBLANK(E662),"2 Add",IF(SHA1Range(E662:K662) = "19167016434cd66573d92d55357f4f8ff16cdbd6","0 Original","1 Modify"))))</f>
        <v>0 Original</v>
      </c>
      <c r="D662" s="3" t="s">
        <v>1285</v>
      </c>
      <c r="E662" s="5">
        <v>664</v>
      </c>
      <c r="F662">
        <v>205</v>
      </c>
      <c r="G662" t="s">
        <v>459</v>
      </c>
      <c r="H662" s="7">
        <v>5.99</v>
      </c>
      <c r="I662" s="5">
        <v>1</v>
      </c>
      <c r="J662" s="3" t="s">
        <v>29</v>
      </c>
      <c r="K662" s="9">
        <v>42483.62572916667</v>
      </c>
    </row>
    <row r="663" spans="3:11" x14ac:dyDescent="0.25">
      <c r="C663" t="str">
        <f>IF(COUNTBLANK(E663:K663) = 7,"",IF(AND(NOT(ISBLANK(E663)),COUNTBLANK(E663:K663) = 6),"3 Delete",IF(ISBLANK(E663),"2 Add",IF(SHA1Range(E663:K663) = "6d266b45f764f352a85b06a950d3c8f38c25d7db","0 Original","1 Modify"))))</f>
        <v>0 Original</v>
      </c>
      <c r="D663" s="3" t="s">
        <v>1286</v>
      </c>
      <c r="E663" s="5">
        <v>665</v>
      </c>
      <c r="F663">
        <v>205</v>
      </c>
      <c r="G663" t="s">
        <v>602</v>
      </c>
      <c r="H663" s="7">
        <v>7.99</v>
      </c>
      <c r="I663" s="5">
        <v>1</v>
      </c>
      <c r="J663" s="3" t="s">
        <v>29</v>
      </c>
      <c r="K663" s="9">
        <v>42483.62572916667</v>
      </c>
    </row>
    <row r="664" spans="3:11" x14ac:dyDescent="0.25">
      <c r="C664" t="str">
        <f>IF(COUNTBLANK(E664:K664) = 7,"",IF(AND(NOT(ISBLANK(E664)),COUNTBLANK(E664:K664) = 6),"3 Delete",IF(ISBLANK(E664),"2 Add",IF(SHA1Range(E664:K664) = "7de60f0a25934df3095b0927c703884f2f6c4826","0 Original","1 Modify"))))</f>
        <v>0 Original</v>
      </c>
      <c r="D664" s="3" t="s">
        <v>1287</v>
      </c>
      <c r="E664" s="5">
        <v>666</v>
      </c>
      <c r="F664">
        <v>205</v>
      </c>
      <c r="G664" t="s">
        <v>51</v>
      </c>
      <c r="H664" s="7">
        <v>9.99</v>
      </c>
      <c r="I664" s="5">
        <v>2</v>
      </c>
      <c r="J664" s="3" t="s">
        <v>29</v>
      </c>
      <c r="K664" s="9">
        <v>42483.62572916667</v>
      </c>
    </row>
    <row r="665" spans="3:11" x14ac:dyDescent="0.25">
      <c r="C665" t="str">
        <f>IF(COUNTBLANK(E665:K665) = 7,"",IF(AND(NOT(ISBLANK(E665)),COUNTBLANK(E665:K665) = 6),"3 Delete",IF(ISBLANK(E665),"2 Add",IF(SHA1Range(E665:K665) = "d53e54ff618199e11b7bd0dcde23ec7139adaa9c","0 Original","1 Modify"))))</f>
        <v>0 Original</v>
      </c>
      <c r="D665" s="3" t="s">
        <v>1288</v>
      </c>
      <c r="E665" s="5">
        <v>667</v>
      </c>
      <c r="F665">
        <v>205</v>
      </c>
      <c r="G665" t="s">
        <v>388</v>
      </c>
      <c r="H665" s="7">
        <v>5.99</v>
      </c>
      <c r="I665" s="5">
        <v>1</v>
      </c>
      <c r="J665" s="3" t="s">
        <v>29</v>
      </c>
      <c r="K665" s="9">
        <v>42483.62572916667</v>
      </c>
    </row>
    <row r="666" spans="3:11" x14ac:dyDescent="0.25">
      <c r="C666" t="str">
        <f>IF(COUNTBLANK(E666:K666) = 7,"",IF(AND(NOT(ISBLANK(E666)),COUNTBLANK(E666:K666) = 6),"3 Delete",IF(ISBLANK(E666),"2 Add",IF(SHA1Range(E666:K666) = "d15464e714bb68583c180b1e089fe8300a34baf5","0 Original","1 Modify"))))</f>
        <v>0 Original</v>
      </c>
      <c r="D666" s="3" t="s">
        <v>1289</v>
      </c>
      <c r="E666" s="5">
        <v>668</v>
      </c>
      <c r="F666">
        <v>206</v>
      </c>
      <c r="G666" t="s">
        <v>257</v>
      </c>
      <c r="H666" s="7">
        <v>9.99</v>
      </c>
      <c r="I666" s="5">
        <v>2</v>
      </c>
      <c r="J666" s="3" t="s">
        <v>29</v>
      </c>
      <c r="K666" s="9">
        <v>42483.62572916667</v>
      </c>
    </row>
    <row r="667" spans="3:11" x14ac:dyDescent="0.25">
      <c r="C667" t="str">
        <f>IF(COUNTBLANK(E667:K667) = 7,"",IF(AND(NOT(ISBLANK(E667)),COUNTBLANK(E667:K667) = 6),"3 Delete",IF(ISBLANK(E667),"2 Add",IF(SHA1Range(E667:K667) = "6876b0324c3987b9907d16f08123e104f25937ed","0 Original","1 Modify"))))</f>
        <v>0 Original</v>
      </c>
      <c r="D667" s="3" t="s">
        <v>1290</v>
      </c>
      <c r="E667" s="5">
        <v>669</v>
      </c>
      <c r="F667">
        <v>206</v>
      </c>
      <c r="G667" t="s">
        <v>395</v>
      </c>
      <c r="H667" s="7">
        <v>8.99</v>
      </c>
      <c r="I667" s="5">
        <v>1</v>
      </c>
      <c r="J667" s="3" t="s">
        <v>29</v>
      </c>
      <c r="K667" s="9">
        <v>42483.62572916667</v>
      </c>
    </row>
    <row r="668" spans="3:11" x14ac:dyDescent="0.25">
      <c r="C668" t="str">
        <f>IF(COUNTBLANK(E668:K668) = 7,"",IF(AND(NOT(ISBLANK(E668)),COUNTBLANK(E668:K668) = 6),"3 Delete",IF(ISBLANK(E668),"2 Add",IF(SHA1Range(E668:K668) = "df368add5d29f5bd22fdfc802bd527a457c93d59","0 Original","1 Modify"))))</f>
        <v>0 Original</v>
      </c>
      <c r="D668" s="3" t="s">
        <v>1291</v>
      </c>
      <c r="E668" s="5">
        <v>670</v>
      </c>
      <c r="F668">
        <v>206</v>
      </c>
      <c r="G668" t="s">
        <v>184</v>
      </c>
      <c r="H668" s="7">
        <v>8.99</v>
      </c>
      <c r="I668" s="5">
        <v>1</v>
      </c>
      <c r="J668" s="3" t="s">
        <v>29</v>
      </c>
      <c r="K668" s="9">
        <v>42483.62572916667</v>
      </c>
    </row>
    <row r="669" spans="3:11" x14ac:dyDescent="0.25">
      <c r="C669" t="str">
        <f>IF(COUNTBLANK(E669:K669) = 7,"",IF(AND(NOT(ISBLANK(E669)),COUNTBLANK(E669:K669) = 6),"3 Delete",IF(ISBLANK(E669),"2 Add",IF(SHA1Range(E669:K669) = "c22419258bf43821cca8d6022c3ab350733d5676","0 Original","1 Modify"))))</f>
        <v>0 Original</v>
      </c>
      <c r="D669" s="3" t="s">
        <v>1292</v>
      </c>
      <c r="E669" s="5">
        <v>671</v>
      </c>
      <c r="F669">
        <v>206</v>
      </c>
      <c r="G669" t="s">
        <v>388</v>
      </c>
      <c r="H669" s="7">
        <v>5.99</v>
      </c>
      <c r="I669" s="5">
        <v>2</v>
      </c>
      <c r="J669" s="3" t="s">
        <v>29</v>
      </c>
      <c r="K669" s="9">
        <v>42483.62572916667</v>
      </c>
    </row>
    <row r="670" spans="3:11" x14ac:dyDescent="0.25">
      <c r="C670" t="str">
        <f>IF(COUNTBLANK(E670:K670) = 7,"",IF(AND(NOT(ISBLANK(E670)),COUNTBLANK(E670:K670) = 6),"3 Delete",IF(ISBLANK(E670),"2 Add",IF(SHA1Range(E670:K670) = "ab836f059cb3d48d0e3788f080d70ee2f9e70919","0 Original","1 Modify"))))</f>
        <v>0 Original</v>
      </c>
      <c r="D670" s="3" t="s">
        <v>1293</v>
      </c>
      <c r="E670" s="5">
        <v>672</v>
      </c>
      <c r="F670">
        <v>207</v>
      </c>
      <c r="G670" t="s">
        <v>388</v>
      </c>
      <c r="H670" s="7">
        <v>5.99</v>
      </c>
      <c r="I670" s="5">
        <v>1</v>
      </c>
      <c r="J670" s="3" t="s">
        <v>29</v>
      </c>
      <c r="K670" s="9">
        <v>42483.62572916667</v>
      </c>
    </row>
    <row r="671" spans="3:11" x14ac:dyDescent="0.25">
      <c r="C671" t="str">
        <f>IF(COUNTBLANK(E671:K671) = 7,"",IF(AND(NOT(ISBLANK(E671)),COUNTBLANK(E671:K671) = 6),"3 Delete",IF(ISBLANK(E671),"2 Add",IF(SHA1Range(E671:K671) = "ea396e42d4c94b44e95b5f9f50154bd2ab44f66e","0 Original","1 Modify"))))</f>
        <v>0 Original</v>
      </c>
      <c r="D671" s="3" t="s">
        <v>1294</v>
      </c>
      <c r="E671" s="5">
        <v>673</v>
      </c>
      <c r="F671">
        <v>207</v>
      </c>
      <c r="G671" t="s">
        <v>335</v>
      </c>
      <c r="H671" s="7">
        <v>5.99</v>
      </c>
      <c r="I671" s="5">
        <v>1</v>
      </c>
      <c r="J671" s="3" t="s">
        <v>29</v>
      </c>
      <c r="K671" s="9">
        <v>42483.62572916667</v>
      </c>
    </row>
    <row r="672" spans="3:11" x14ac:dyDescent="0.25">
      <c r="C672" t="str">
        <f>IF(COUNTBLANK(E672:K672) = 7,"",IF(AND(NOT(ISBLANK(E672)),COUNTBLANK(E672:K672) = 6),"3 Delete",IF(ISBLANK(E672),"2 Add",IF(SHA1Range(E672:K672) = "5a167e61c1792d39782de5298b9740ac03bd473b","0 Original","1 Modify"))))</f>
        <v>0 Original</v>
      </c>
      <c r="D672" s="3" t="s">
        <v>1295</v>
      </c>
      <c r="E672" s="5">
        <v>674</v>
      </c>
      <c r="F672">
        <v>208</v>
      </c>
      <c r="G672" t="s">
        <v>273</v>
      </c>
      <c r="H672" s="7">
        <v>8.99</v>
      </c>
      <c r="I672" s="5">
        <v>1</v>
      </c>
      <c r="J672" s="3" t="s">
        <v>29</v>
      </c>
      <c r="K672" s="9">
        <v>42483.62572916667</v>
      </c>
    </row>
    <row r="673" spans="3:11" x14ac:dyDescent="0.25">
      <c r="C673" t="str">
        <f>IF(COUNTBLANK(E673:K673) = 7,"",IF(AND(NOT(ISBLANK(E673)),COUNTBLANK(E673:K673) = 6),"3 Delete",IF(ISBLANK(E673),"2 Add",IF(SHA1Range(E673:K673) = "24a95384460020a7de68f83d404c9e61f97e0d93","0 Original","1 Modify"))))</f>
        <v>0 Original</v>
      </c>
      <c r="D673" s="3" t="s">
        <v>1296</v>
      </c>
      <c r="E673" s="5">
        <v>675</v>
      </c>
      <c r="F673">
        <v>208</v>
      </c>
      <c r="G673" t="s">
        <v>149</v>
      </c>
      <c r="H673" s="7">
        <v>7.99</v>
      </c>
      <c r="I673" s="5">
        <v>2</v>
      </c>
      <c r="J673" s="3" t="s">
        <v>29</v>
      </c>
      <c r="K673" s="9">
        <v>42483.62572916667</v>
      </c>
    </row>
    <row r="674" spans="3:11" x14ac:dyDescent="0.25">
      <c r="C674" t="str">
        <f>IF(COUNTBLANK(E674:K674) = 7,"",IF(AND(NOT(ISBLANK(E674)),COUNTBLANK(E674:K674) = 6),"3 Delete",IF(ISBLANK(E674),"2 Add",IF(SHA1Range(E674:K674) = "ae93c6a056d35d062b5200eea9631e33dfa6d3c4","0 Original","1 Modify"))))</f>
        <v>0 Original</v>
      </c>
      <c r="D674" s="3" t="s">
        <v>1297</v>
      </c>
      <c r="E674" s="5">
        <v>676</v>
      </c>
      <c r="F674">
        <v>208</v>
      </c>
      <c r="G674" t="s">
        <v>391</v>
      </c>
      <c r="H674" s="7">
        <v>7.99</v>
      </c>
      <c r="I674" s="5">
        <v>1</v>
      </c>
      <c r="J674" s="3" t="s">
        <v>29</v>
      </c>
      <c r="K674" s="9">
        <v>42483.62572916667</v>
      </c>
    </row>
    <row r="675" spans="3:11" x14ac:dyDescent="0.25">
      <c r="C675" t="str">
        <f>IF(COUNTBLANK(E675:K675) = 7,"",IF(AND(NOT(ISBLANK(E675)),COUNTBLANK(E675:K675) = 6),"3 Delete",IF(ISBLANK(E675),"2 Add",IF(SHA1Range(E675:K675) = "60485477d2f728fc38269b8c202716d2ecd05bea","0 Original","1 Modify"))))</f>
        <v>0 Original</v>
      </c>
      <c r="D675" s="3" t="s">
        <v>1298</v>
      </c>
      <c r="E675" s="5">
        <v>677</v>
      </c>
      <c r="F675">
        <v>208</v>
      </c>
      <c r="G675" t="s">
        <v>573</v>
      </c>
      <c r="H675" s="7">
        <v>9.99</v>
      </c>
      <c r="I675" s="5">
        <v>2</v>
      </c>
      <c r="J675" s="3" t="s">
        <v>29</v>
      </c>
      <c r="K675" s="9">
        <v>42483.62572916667</v>
      </c>
    </row>
    <row r="676" spans="3:11" x14ac:dyDescent="0.25">
      <c r="C676" t="str">
        <f>IF(COUNTBLANK(E676:K676) = 7,"",IF(AND(NOT(ISBLANK(E676)),COUNTBLANK(E676:K676) = 6),"3 Delete",IF(ISBLANK(E676),"2 Add",IF(SHA1Range(E676:K676) = "f6d8703af1875461f9a2464314f055a1622e862a","0 Original","1 Modify"))))</f>
        <v>0 Original</v>
      </c>
      <c r="D676" s="3" t="s">
        <v>1299</v>
      </c>
      <c r="E676" s="5">
        <v>678</v>
      </c>
      <c r="F676">
        <v>209</v>
      </c>
      <c r="G676" t="s">
        <v>133</v>
      </c>
      <c r="H676" s="7">
        <v>7.99</v>
      </c>
      <c r="I676" s="5">
        <v>1</v>
      </c>
      <c r="J676" s="3" t="s">
        <v>29</v>
      </c>
      <c r="K676" s="9">
        <v>42483.62572916667</v>
      </c>
    </row>
    <row r="677" spans="3:11" x14ac:dyDescent="0.25">
      <c r="C677" t="str">
        <f>IF(COUNTBLANK(E677:K677) = 7,"",IF(AND(NOT(ISBLANK(E677)),COUNTBLANK(E677:K677) = 6),"3 Delete",IF(ISBLANK(E677),"2 Add",IF(SHA1Range(E677:K677) = "cdff52b0b0a767273b2b42219a75e5e3f1aaf6d1","0 Original","1 Modify"))))</f>
        <v>0 Original</v>
      </c>
      <c r="D677" s="3" t="s">
        <v>1300</v>
      </c>
      <c r="E677" s="5">
        <v>679</v>
      </c>
      <c r="F677">
        <v>209</v>
      </c>
      <c r="G677" t="s">
        <v>425</v>
      </c>
      <c r="H677" s="7">
        <v>6.99</v>
      </c>
      <c r="I677" s="5">
        <v>1</v>
      </c>
      <c r="J677" s="3" t="s">
        <v>29</v>
      </c>
      <c r="K677" s="9">
        <v>42483.62572916667</v>
      </c>
    </row>
    <row r="678" spans="3:11" x14ac:dyDescent="0.25">
      <c r="C678" t="str">
        <f>IF(COUNTBLANK(E678:K678) = 7,"",IF(AND(NOT(ISBLANK(E678)),COUNTBLANK(E678:K678) = 6),"3 Delete",IF(ISBLANK(E678),"2 Add",IF(SHA1Range(E678:K678) = "adc1cfa2bd59a9ec6c6b4ab3b43aba2c88d5cc10","0 Original","1 Modify"))))</f>
        <v>0 Original</v>
      </c>
      <c r="D678" s="3" t="s">
        <v>1301</v>
      </c>
      <c r="E678" s="5">
        <v>680</v>
      </c>
      <c r="F678">
        <v>209</v>
      </c>
      <c r="G678" t="s">
        <v>133</v>
      </c>
      <c r="H678" s="7">
        <v>7.99</v>
      </c>
      <c r="I678" s="5">
        <v>1</v>
      </c>
      <c r="J678" s="3" t="s">
        <v>29</v>
      </c>
      <c r="K678" s="9">
        <v>42483.62572916667</v>
      </c>
    </row>
    <row r="679" spans="3:11" x14ac:dyDescent="0.25">
      <c r="C679" t="str">
        <f>IF(COUNTBLANK(E679:K679) = 7,"",IF(AND(NOT(ISBLANK(E679)),COUNTBLANK(E679:K679) = 6),"3 Delete",IF(ISBLANK(E679),"2 Add",IF(SHA1Range(E679:K679) = "526e768171c0e24bd22fe06f6a8b984deaeae8e8","0 Original","1 Modify"))))</f>
        <v>0 Original</v>
      </c>
      <c r="D679" s="3" t="s">
        <v>1302</v>
      </c>
      <c r="E679" s="5">
        <v>681</v>
      </c>
      <c r="F679">
        <v>209</v>
      </c>
      <c r="G679" t="s">
        <v>217</v>
      </c>
      <c r="H679" s="7">
        <v>9.99</v>
      </c>
      <c r="I679" s="5">
        <v>1</v>
      </c>
      <c r="J679" s="3" t="s">
        <v>29</v>
      </c>
      <c r="K679" s="9">
        <v>42483.62572916667</v>
      </c>
    </row>
    <row r="680" spans="3:11" x14ac:dyDescent="0.25">
      <c r="C680" t="str">
        <f>IF(COUNTBLANK(E680:K680) = 7,"",IF(AND(NOT(ISBLANK(E680)),COUNTBLANK(E680:K680) = 6),"3 Delete",IF(ISBLANK(E680),"2 Add",IF(SHA1Range(E680:K680) = "fd94c69b0a0d27de11a1a3ee21b7a3baa40ec23d","0 Original","1 Modify"))))</f>
        <v>0 Original</v>
      </c>
      <c r="D680" s="3" t="s">
        <v>1303</v>
      </c>
      <c r="E680" s="5">
        <v>682</v>
      </c>
      <c r="F680">
        <v>209</v>
      </c>
      <c r="G680" t="s">
        <v>364</v>
      </c>
      <c r="H680" s="7">
        <v>9.99</v>
      </c>
      <c r="I680" s="5">
        <v>1</v>
      </c>
      <c r="J680" s="3" t="s">
        <v>29</v>
      </c>
      <c r="K680" s="9">
        <v>42483.62572916667</v>
      </c>
    </row>
    <row r="681" spans="3:11" x14ac:dyDescent="0.25">
      <c r="C681" t="str">
        <f>IF(COUNTBLANK(E681:K681) = 7,"",IF(AND(NOT(ISBLANK(E681)),COUNTBLANK(E681:K681) = 6),"3 Delete",IF(ISBLANK(E681),"2 Add",IF(SHA1Range(E681:K681) = "69b98d989455d18f18e9286fbbe43b778633f4cc","0 Original","1 Modify"))))</f>
        <v>0 Original</v>
      </c>
      <c r="D681" s="3" t="s">
        <v>1304</v>
      </c>
      <c r="E681" s="5">
        <v>683</v>
      </c>
      <c r="F681">
        <v>210</v>
      </c>
      <c r="G681" t="s">
        <v>425</v>
      </c>
      <c r="H681" s="7">
        <v>6.99</v>
      </c>
      <c r="I681" s="5">
        <v>1</v>
      </c>
      <c r="J681" s="3" t="s">
        <v>29</v>
      </c>
      <c r="K681" s="9">
        <v>42483.62572916667</v>
      </c>
    </row>
    <row r="682" spans="3:11" x14ac:dyDescent="0.25">
      <c r="C682" t="str">
        <f>IF(COUNTBLANK(E682:K682) = 7,"",IF(AND(NOT(ISBLANK(E682)),COUNTBLANK(E682:K682) = 6),"3 Delete",IF(ISBLANK(E682),"2 Add",IF(SHA1Range(E682:K682) = "80136dcdf33f4b7d3457280f9e7c7e148ee55974","0 Original","1 Modify"))))</f>
        <v>0 Original</v>
      </c>
      <c r="D682" s="3" t="s">
        <v>1305</v>
      </c>
      <c r="E682" s="5">
        <v>684</v>
      </c>
      <c r="F682">
        <v>210</v>
      </c>
      <c r="G682" t="s">
        <v>250</v>
      </c>
      <c r="H682" s="7">
        <v>8.99</v>
      </c>
      <c r="I682" s="5">
        <v>1</v>
      </c>
      <c r="J682" s="3" t="s">
        <v>29</v>
      </c>
      <c r="K682" s="9">
        <v>42483.62572916667</v>
      </c>
    </row>
    <row r="683" spans="3:11" x14ac:dyDescent="0.25">
      <c r="C683" t="str">
        <f>IF(COUNTBLANK(E683:K683) = 7,"",IF(AND(NOT(ISBLANK(E683)),COUNTBLANK(E683:K683) = 6),"3 Delete",IF(ISBLANK(E683),"2 Add",IF(SHA1Range(E683:K683) = "a5665be3e02d3849b3d29ea44ccb64cfb352e7c8","0 Original","1 Modify"))))</f>
        <v>0 Original</v>
      </c>
      <c r="D683" s="3" t="s">
        <v>1306</v>
      </c>
      <c r="E683" s="5">
        <v>685</v>
      </c>
      <c r="F683">
        <v>210</v>
      </c>
      <c r="G683" t="s">
        <v>456</v>
      </c>
      <c r="H683" s="7">
        <v>9.99</v>
      </c>
      <c r="I683" s="5">
        <v>1</v>
      </c>
      <c r="J683" s="3" t="s">
        <v>29</v>
      </c>
      <c r="K683" s="9">
        <v>42483.62572916667</v>
      </c>
    </row>
    <row r="684" spans="3:11" x14ac:dyDescent="0.25">
      <c r="C684" t="str">
        <f>IF(COUNTBLANK(E684:K684) = 7,"",IF(AND(NOT(ISBLANK(E684)),COUNTBLANK(E684:K684) = 6),"3 Delete",IF(ISBLANK(E684),"2 Add",IF(SHA1Range(E684:K684) = "338bac09f93b8984d3e06abf67b5d5a9829828d7","0 Original","1 Modify"))))</f>
        <v>0 Original</v>
      </c>
      <c r="D684" s="3" t="s">
        <v>1307</v>
      </c>
      <c r="E684" s="5">
        <v>686</v>
      </c>
      <c r="F684">
        <v>210</v>
      </c>
      <c r="G684" t="s">
        <v>130</v>
      </c>
      <c r="H684" s="7">
        <v>8.99</v>
      </c>
      <c r="I684" s="5">
        <v>1</v>
      </c>
      <c r="J684" s="3" t="s">
        <v>29</v>
      </c>
      <c r="K684" s="9">
        <v>42483.62572916667</v>
      </c>
    </row>
    <row r="685" spans="3:11" x14ac:dyDescent="0.25">
      <c r="C685" t="str">
        <f>IF(COUNTBLANK(E685:K685) = 7,"",IF(AND(NOT(ISBLANK(E685)),COUNTBLANK(E685:K685) = 6),"3 Delete",IF(ISBLANK(E685),"2 Add",IF(SHA1Range(E685:K685) = "3b2b0d67b12e23038c43c9c2a471a2822efac277","0 Original","1 Modify"))))</f>
        <v>0 Original</v>
      </c>
      <c r="D685" s="3" t="s">
        <v>1308</v>
      </c>
      <c r="E685" s="5">
        <v>687</v>
      </c>
      <c r="F685">
        <v>211</v>
      </c>
      <c r="G685" t="s">
        <v>142</v>
      </c>
      <c r="H685" s="7">
        <v>4.99</v>
      </c>
      <c r="I685" s="5">
        <v>1</v>
      </c>
      <c r="J685" s="3" t="s">
        <v>29</v>
      </c>
      <c r="K685" s="9">
        <v>42483.62572916667</v>
      </c>
    </row>
    <row r="686" spans="3:11" x14ac:dyDescent="0.25">
      <c r="C686" t="str">
        <f>IF(COUNTBLANK(E686:K686) = 7,"",IF(AND(NOT(ISBLANK(E686)),COUNTBLANK(E686:K686) = 6),"3 Delete",IF(ISBLANK(E686),"2 Add",IF(SHA1Range(E686:K686) = "a439a021435cd67aa3babd4794ca675fb8cdbf2a","0 Original","1 Modify"))))</f>
        <v>0 Original</v>
      </c>
      <c r="D686" s="3" t="s">
        <v>1309</v>
      </c>
      <c r="E686" s="5">
        <v>688</v>
      </c>
      <c r="F686">
        <v>211</v>
      </c>
      <c r="G686" t="s">
        <v>546</v>
      </c>
      <c r="H686" s="7">
        <v>9.99</v>
      </c>
      <c r="I686" s="5">
        <v>1</v>
      </c>
      <c r="J686" s="3" t="s">
        <v>29</v>
      </c>
      <c r="K686" s="9">
        <v>42483.62572916667</v>
      </c>
    </row>
    <row r="687" spans="3:11" x14ac:dyDescent="0.25">
      <c r="C687" t="str">
        <f>IF(COUNTBLANK(E687:K687) = 7,"",IF(AND(NOT(ISBLANK(E687)),COUNTBLANK(E687:K687) = 6),"3 Delete",IF(ISBLANK(E687),"2 Add",IF(SHA1Range(E687:K687) = "6d3a25d0d7360a7005d2115026c93c7d6843da4f","0 Original","1 Modify"))))</f>
        <v>0 Original</v>
      </c>
      <c r="D687" s="3" t="s">
        <v>1310</v>
      </c>
      <c r="E687" s="5">
        <v>689</v>
      </c>
      <c r="F687">
        <v>211</v>
      </c>
      <c r="G687" t="s">
        <v>250</v>
      </c>
      <c r="H687" s="7">
        <v>8.99</v>
      </c>
      <c r="I687" s="5">
        <v>1</v>
      </c>
      <c r="J687" s="3" t="s">
        <v>29</v>
      </c>
      <c r="K687" s="9">
        <v>42483.62572916667</v>
      </c>
    </row>
    <row r="688" spans="3:11" x14ac:dyDescent="0.25">
      <c r="C688" t="str">
        <f>IF(COUNTBLANK(E688:K688) = 7,"",IF(AND(NOT(ISBLANK(E688)),COUNTBLANK(E688:K688) = 6),"3 Delete",IF(ISBLANK(E688),"2 Add",IF(SHA1Range(E688:K688) = "73288730329420bece94c37c6266efae973eb16c","0 Original","1 Modify"))))</f>
        <v>0 Original</v>
      </c>
      <c r="D688" s="3" t="s">
        <v>1311</v>
      </c>
      <c r="E688" s="5">
        <v>690</v>
      </c>
      <c r="F688">
        <v>211</v>
      </c>
      <c r="G688" t="s">
        <v>58</v>
      </c>
      <c r="H688" s="7">
        <v>8.99</v>
      </c>
      <c r="I688" s="5">
        <v>2</v>
      </c>
      <c r="J688" s="3" t="s">
        <v>29</v>
      </c>
      <c r="K688" s="9">
        <v>42483.62572916667</v>
      </c>
    </row>
    <row r="689" spans="3:11" x14ac:dyDescent="0.25">
      <c r="C689" t="str">
        <f>IF(COUNTBLANK(E689:K689) = 7,"",IF(AND(NOT(ISBLANK(E689)),COUNTBLANK(E689:K689) = 6),"3 Delete",IF(ISBLANK(E689),"2 Add",IF(SHA1Range(E689:K689) = "608d910fd8c6e25a4ebc5ac281ba5a010cb106b5","0 Original","1 Modify"))))</f>
        <v>0 Original</v>
      </c>
      <c r="D689" s="3" t="s">
        <v>1312</v>
      </c>
      <c r="E689" s="5">
        <v>691</v>
      </c>
      <c r="F689">
        <v>211</v>
      </c>
      <c r="G689" t="s">
        <v>304</v>
      </c>
      <c r="H689" s="7">
        <v>8.99</v>
      </c>
      <c r="I689" s="5">
        <v>1</v>
      </c>
      <c r="J689" s="3" t="s">
        <v>29</v>
      </c>
      <c r="K689" s="9">
        <v>42483.62572916667</v>
      </c>
    </row>
    <row r="690" spans="3:11" x14ac:dyDescent="0.25">
      <c r="C690" t="str">
        <f>IF(COUNTBLANK(E690:K690) = 7,"",IF(AND(NOT(ISBLANK(E690)),COUNTBLANK(E690:K690) = 6),"3 Delete",IF(ISBLANK(E690),"2 Add",IF(SHA1Range(E690:K690) = "fd3c0bffa59752bbc80fb5b35c5517d28a336558","0 Original","1 Modify"))))</f>
        <v>0 Original</v>
      </c>
      <c r="D690" s="3" t="s">
        <v>1313</v>
      </c>
      <c r="E690" s="5">
        <v>692</v>
      </c>
      <c r="F690">
        <v>212</v>
      </c>
      <c r="G690" t="s">
        <v>234</v>
      </c>
      <c r="H690" s="7">
        <v>4.99</v>
      </c>
      <c r="I690" s="5">
        <v>1</v>
      </c>
      <c r="J690" s="3" t="s">
        <v>29</v>
      </c>
      <c r="K690" s="9">
        <v>42483.62572916667</v>
      </c>
    </row>
    <row r="691" spans="3:11" x14ac:dyDescent="0.25">
      <c r="C691" t="str">
        <f>IF(COUNTBLANK(E691:K691) = 7,"",IF(AND(NOT(ISBLANK(E691)),COUNTBLANK(E691:K691) = 6),"3 Delete",IF(ISBLANK(E691),"2 Add",IF(SHA1Range(E691:K691) = "fdf4a6b44ff72e8a69897e1f3999f56abbb1f0c0","0 Original","1 Modify"))))</f>
        <v>0 Original</v>
      </c>
      <c r="D691" s="3" t="s">
        <v>1314</v>
      </c>
      <c r="E691" s="5">
        <v>693</v>
      </c>
      <c r="F691">
        <v>212</v>
      </c>
      <c r="G691" t="s">
        <v>246</v>
      </c>
      <c r="H691" s="7">
        <v>7.99</v>
      </c>
      <c r="I691" s="5">
        <v>2</v>
      </c>
      <c r="J691" s="3" t="s">
        <v>29</v>
      </c>
      <c r="K691" s="9">
        <v>42483.62572916667</v>
      </c>
    </row>
    <row r="692" spans="3:11" x14ac:dyDescent="0.25">
      <c r="C692" t="str">
        <f>IF(COUNTBLANK(E692:K692) = 7,"",IF(AND(NOT(ISBLANK(E692)),COUNTBLANK(E692:K692) = 6),"3 Delete",IF(ISBLANK(E692),"2 Add",IF(SHA1Range(E692:K692) = "dfbcfb12a98ef0ce883f5d284ae6066c04fde31b","0 Original","1 Modify"))))</f>
        <v>0 Original</v>
      </c>
      <c r="D692" s="3" t="s">
        <v>1315</v>
      </c>
      <c r="E692" s="5">
        <v>694</v>
      </c>
      <c r="F692">
        <v>213</v>
      </c>
      <c r="G692" t="s">
        <v>304</v>
      </c>
      <c r="H692" s="7">
        <v>8.99</v>
      </c>
      <c r="I692" s="5">
        <v>1</v>
      </c>
      <c r="J692" s="3" t="s">
        <v>29</v>
      </c>
      <c r="K692" s="9">
        <v>42483.62572916667</v>
      </c>
    </row>
    <row r="693" spans="3:11" x14ac:dyDescent="0.25">
      <c r="C693" t="str">
        <f>IF(COUNTBLANK(E693:K693) = 7,"",IF(AND(NOT(ISBLANK(E693)),COUNTBLANK(E693:K693) = 6),"3 Delete",IF(ISBLANK(E693),"2 Add",IF(SHA1Range(E693:K693) = "999a177dbbcb4a6178fd326e9876174d982a35bb","0 Original","1 Modify"))))</f>
        <v>0 Original</v>
      </c>
      <c r="D693" s="3" t="s">
        <v>1316</v>
      </c>
      <c r="E693" s="5">
        <v>695</v>
      </c>
      <c r="F693">
        <v>213</v>
      </c>
      <c r="G693" t="s">
        <v>238</v>
      </c>
      <c r="H693" s="7">
        <v>5.99</v>
      </c>
      <c r="I693" s="5">
        <v>1</v>
      </c>
      <c r="J693" s="3" t="s">
        <v>29</v>
      </c>
      <c r="K693" s="9">
        <v>42483.62572916667</v>
      </c>
    </row>
    <row r="694" spans="3:11" x14ac:dyDescent="0.25">
      <c r="C694" t="str">
        <f>IF(COUNTBLANK(E694:K694) = 7,"",IF(AND(NOT(ISBLANK(E694)),COUNTBLANK(E694:K694) = 6),"3 Delete",IF(ISBLANK(E694),"2 Add",IF(SHA1Range(E694:K694) = "50aa8210b1f4bfd1d7268ae67d0c13a1793e0551","0 Original","1 Modify"))))</f>
        <v>0 Original</v>
      </c>
      <c r="D694" s="3" t="s">
        <v>1317</v>
      </c>
      <c r="E694" s="5">
        <v>696</v>
      </c>
      <c r="F694">
        <v>213</v>
      </c>
      <c r="G694" t="s">
        <v>221</v>
      </c>
      <c r="H694" s="7">
        <v>6.99</v>
      </c>
      <c r="I694" s="5">
        <v>1</v>
      </c>
      <c r="J694" s="3" t="s">
        <v>29</v>
      </c>
      <c r="K694" s="9">
        <v>42483.62572916667</v>
      </c>
    </row>
    <row r="695" spans="3:11" x14ac:dyDescent="0.25">
      <c r="C695" t="str">
        <f>IF(COUNTBLANK(E695:K695) = 7,"",IF(AND(NOT(ISBLANK(E695)),COUNTBLANK(E695:K695) = 6),"3 Delete",IF(ISBLANK(E695),"2 Add",IF(SHA1Range(E695:K695) = "61b981f2be61c579c5e22f882d23ef976a3a289f","0 Original","1 Modify"))))</f>
        <v>0 Original</v>
      </c>
      <c r="D695" s="3" t="s">
        <v>1318</v>
      </c>
      <c r="E695" s="5">
        <v>697</v>
      </c>
      <c r="F695">
        <v>213</v>
      </c>
      <c r="G695" t="s">
        <v>295</v>
      </c>
      <c r="H695" s="7">
        <v>7.99</v>
      </c>
      <c r="I695" s="5">
        <v>1</v>
      </c>
      <c r="J695" s="3" t="s">
        <v>29</v>
      </c>
      <c r="K695" s="9">
        <v>42483.62572916667</v>
      </c>
    </row>
    <row r="696" spans="3:11" x14ac:dyDescent="0.25">
      <c r="C696" t="str">
        <f>IF(COUNTBLANK(E696:K696) = 7,"",IF(AND(NOT(ISBLANK(E696)),COUNTBLANK(E696:K696) = 6),"3 Delete",IF(ISBLANK(E696),"2 Add",IF(SHA1Range(E696:K696) = "061542557c713630eb4c65174a69d938feba529c","0 Original","1 Modify"))))</f>
        <v>0 Original</v>
      </c>
      <c r="D696" s="3" t="s">
        <v>1319</v>
      </c>
      <c r="E696" s="5">
        <v>698</v>
      </c>
      <c r="F696">
        <v>214</v>
      </c>
      <c r="G696" t="s">
        <v>459</v>
      </c>
      <c r="H696" s="7">
        <v>5.99</v>
      </c>
      <c r="I696" s="5">
        <v>2</v>
      </c>
      <c r="J696" s="3" t="s">
        <v>29</v>
      </c>
      <c r="K696" s="9">
        <v>42483.62572916667</v>
      </c>
    </row>
    <row r="697" spans="3:11" x14ac:dyDescent="0.25">
      <c r="C697" t="str">
        <f>IF(COUNTBLANK(E697:K697) = 7,"",IF(AND(NOT(ISBLANK(E697)),COUNTBLANK(E697:K697) = 6),"3 Delete",IF(ISBLANK(E697),"2 Add",IF(SHA1Range(E697:K697) = "6bda24681146a1479d106916b1954982776212f2","0 Original","1 Modify"))))</f>
        <v>0 Original</v>
      </c>
      <c r="D697" s="3" t="s">
        <v>1320</v>
      </c>
      <c r="E697" s="5">
        <v>699</v>
      </c>
      <c r="F697">
        <v>214</v>
      </c>
      <c r="G697" t="s">
        <v>30</v>
      </c>
      <c r="H697" s="7">
        <v>9.99</v>
      </c>
      <c r="I697" s="5">
        <v>1</v>
      </c>
      <c r="J697" s="3" t="s">
        <v>29</v>
      </c>
      <c r="K697" s="9">
        <v>42483.62572916667</v>
      </c>
    </row>
    <row r="698" spans="3:11" x14ac:dyDescent="0.25">
      <c r="C698" t="str">
        <f>IF(COUNTBLANK(E698:K698) = 7,"",IF(AND(NOT(ISBLANK(E698)),COUNTBLANK(E698:K698) = 6),"3 Delete",IF(ISBLANK(E698),"2 Add",IF(SHA1Range(E698:K698) = "ad75f22fbb33da33baffc8d6be8d166e819c2a3d","0 Original","1 Modify"))))</f>
        <v>0 Original</v>
      </c>
      <c r="D698" s="3" t="s">
        <v>1321</v>
      </c>
      <c r="E698" s="5">
        <v>700</v>
      </c>
      <c r="F698">
        <v>214</v>
      </c>
      <c r="G698" t="s">
        <v>546</v>
      </c>
      <c r="H698" s="7">
        <v>9.99</v>
      </c>
      <c r="I698" s="5">
        <v>1</v>
      </c>
      <c r="J698" s="3" t="s">
        <v>29</v>
      </c>
      <c r="K698" s="9">
        <v>42483.62572916667</v>
      </c>
    </row>
    <row r="699" spans="3:11" x14ac:dyDescent="0.25">
      <c r="C699" t="str">
        <f>IF(COUNTBLANK(E699:K699) = 7,"",IF(AND(NOT(ISBLANK(E699)),COUNTBLANK(E699:K699) = 6),"3 Delete",IF(ISBLANK(E699),"2 Add",IF(SHA1Range(E699:K699) = "c8ae4afaa0dfd83c71388450a1846aa74f8a3828","0 Original","1 Modify"))))</f>
        <v>0 Original</v>
      </c>
      <c r="D699" s="3" t="s">
        <v>1322</v>
      </c>
      <c r="E699" s="5">
        <v>701</v>
      </c>
      <c r="F699">
        <v>214</v>
      </c>
      <c r="G699" t="s">
        <v>525</v>
      </c>
      <c r="H699" s="7">
        <v>4.99</v>
      </c>
      <c r="I699" s="5">
        <v>2</v>
      </c>
      <c r="J699" s="3" t="s">
        <v>29</v>
      </c>
      <c r="K699" s="9">
        <v>42483.62572916667</v>
      </c>
    </row>
    <row r="700" spans="3:11" x14ac:dyDescent="0.25">
      <c r="C700" t="str">
        <f>IF(COUNTBLANK(E700:K700) = 7,"",IF(AND(NOT(ISBLANK(E700)),COUNTBLANK(E700:K700) = 6),"3 Delete",IF(ISBLANK(E700),"2 Add",IF(SHA1Range(E700:K700) = "cacef3369fcc39540ac031ef02e837fbc49af7e7","0 Original","1 Modify"))))</f>
        <v>0 Original</v>
      </c>
      <c r="D700" s="3" t="s">
        <v>1323</v>
      </c>
      <c r="E700" s="5">
        <v>702</v>
      </c>
      <c r="F700">
        <v>214</v>
      </c>
      <c r="G700" t="s">
        <v>152</v>
      </c>
      <c r="H700" s="7">
        <v>5.99</v>
      </c>
      <c r="I700" s="5">
        <v>2</v>
      </c>
      <c r="J700" s="3" t="s">
        <v>29</v>
      </c>
      <c r="K700" s="9">
        <v>42483.62572916667</v>
      </c>
    </row>
    <row r="701" spans="3:11" x14ac:dyDescent="0.25">
      <c r="C701" t="str">
        <f>IF(COUNTBLANK(E701:K701) = 7,"",IF(AND(NOT(ISBLANK(E701)),COUNTBLANK(E701:K701) = 6),"3 Delete",IF(ISBLANK(E701),"2 Add",IF(SHA1Range(E701:K701) = "a8b5f79efc06def7a055805edf92c9c09993fe1e","0 Original","1 Modify"))))</f>
        <v>0 Original</v>
      </c>
      <c r="D701" s="3" t="s">
        <v>1324</v>
      </c>
      <c r="E701" s="5">
        <v>703</v>
      </c>
      <c r="F701">
        <v>214</v>
      </c>
      <c r="G701" t="s">
        <v>273</v>
      </c>
      <c r="H701" s="7">
        <v>8.99</v>
      </c>
      <c r="I701" s="5">
        <v>2</v>
      </c>
      <c r="J701" s="3" t="s">
        <v>29</v>
      </c>
      <c r="K701" s="9">
        <v>42483.62572916667</v>
      </c>
    </row>
    <row r="702" spans="3:11" x14ac:dyDescent="0.25">
      <c r="C702" t="str">
        <f>IF(COUNTBLANK(E702:K702) = 7,"",IF(AND(NOT(ISBLANK(E702)),COUNTBLANK(E702:K702) = 6),"3 Delete",IF(ISBLANK(E702),"2 Add",IF(SHA1Range(E702:K702) = "28e2c53e925223ddee2558c0b2095b530dc9318c","0 Original","1 Modify"))))</f>
        <v>0 Original</v>
      </c>
      <c r="D702" s="3" t="s">
        <v>1325</v>
      </c>
      <c r="E702" s="5">
        <v>704</v>
      </c>
      <c r="F702">
        <v>214</v>
      </c>
      <c r="G702" t="s">
        <v>448</v>
      </c>
      <c r="H702" s="7">
        <v>8.99</v>
      </c>
      <c r="I702" s="5">
        <v>2</v>
      </c>
      <c r="J702" s="3" t="s">
        <v>29</v>
      </c>
      <c r="K702" s="9">
        <v>42483.62572916667</v>
      </c>
    </row>
    <row r="703" spans="3:11" x14ac:dyDescent="0.25">
      <c r="C703" t="str">
        <f>IF(COUNTBLANK(E703:K703) = 7,"",IF(AND(NOT(ISBLANK(E703)),COUNTBLANK(E703:K703) = 6),"3 Delete",IF(ISBLANK(E703),"2 Add",IF(SHA1Range(E703:K703) = "119f7c7f0046a03997c636a2c0b7225d823ac0f7","0 Original","1 Modify"))))</f>
        <v>0 Original</v>
      </c>
      <c r="D703" s="3" t="s">
        <v>1326</v>
      </c>
      <c r="E703" s="5">
        <v>705</v>
      </c>
      <c r="F703">
        <v>215</v>
      </c>
      <c r="G703" t="s">
        <v>54</v>
      </c>
      <c r="H703" s="7">
        <v>5.99</v>
      </c>
      <c r="I703" s="5">
        <v>1</v>
      </c>
      <c r="J703" s="3" t="s">
        <v>29</v>
      </c>
      <c r="K703" s="9">
        <v>42483.62572916667</v>
      </c>
    </row>
    <row r="704" spans="3:11" x14ac:dyDescent="0.25">
      <c r="C704" t="str">
        <f>IF(COUNTBLANK(E704:K704) = 7,"",IF(AND(NOT(ISBLANK(E704)),COUNTBLANK(E704:K704) = 6),"3 Delete",IF(ISBLANK(E704),"2 Add",IF(SHA1Range(E704:K704) = "1da842fadfbeeef283ca2e8807a7175819d3ef0e","0 Original","1 Modify"))))</f>
        <v>0 Original</v>
      </c>
      <c r="D704" s="3" t="s">
        <v>1327</v>
      </c>
      <c r="E704" s="5">
        <v>706</v>
      </c>
      <c r="F704">
        <v>215</v>
      </c>
      <c r="G704" t="s">
        <v>576</v>
      </c>
      <c r="H704" s="7">
        <v>5.99</v>
      </c>
      <c r="I704" s="5">
        <v>2</v>
      </c>
      <c r="J704" s="3" t="s">
        <v>29</v>
      </c>
      <c r="K704" s="9">
        <v>42483.62572916667</v>
      </c>
    </row>
    <row r="705" spans="3:11" x14ac:dyDescent="0.25">
      <c r="C705" t="str">
        <f>IF(COUNTBLANK(E705:K705) = 7,"",IF(AND(NOT(ISBLANK(E705)),COUNTBLANK(E705:K705) = 6),"3 Delete",IF(ISBLANK(E705),"2 Add",IF(SHA1Range(E705:K705) = "125a49ab61e948bd7028183dc75fa3754dada0a2","0 Original","1 Modify"))))</f>
        <v>0 Original</v>
      </c>
      <c r="D705" s="3" t="s">
        <v>1328</v>
      </c>
      <c r="E705" s="5">
        <v>707</v>
      </c>
      <c r="F705">
        <v>215</v>
      </c>
      <c r="G705" t="s">
        <v>398</v>
      </c>
      <c r="H705" s="7">
        <v>4.99</v>
      </c>
      <c r="I705" s="5">
        <v>1</v>
      </c>
      <c r="J705" s="3" t="s">
        <v>29</v>
      </c>
      <c r="K705" s="9">
        <v>42483.62572916667</v>
      </c>
    </row>
    <row r="706" spans="3:11" x14ac:dyDescent="0.25">
      <c r="C706" t="str">
        <f>IF(COUNTBLANK(E706:K706) = 7,"",IF(AND(NOT(ISBLANK(E706)),COUNTBLANK(E706:K706) = 6),"3 Delete",IF(ISBLANK(E706),"2 Add",IF(SHA1Range(E706:K706) = "b89cb9ea7a5bf1237d253434b019826786bda5c9","0 Original","1 Modify"))))</f>
        <v>0 Original</v>
      </c>
      <c r="D706" s="3" t="s">
        <v>1329</v>
      </c>
      <c r="E706" s="5">
        <v>708</v>
      </c>
      <c r="F706">
        <v>215</v>
      </c>
      <c r="G706" t="s">
        <v>217</v>
      </c>
      <c r="H706" s="7">
        <v>9.99</v>
      </c>
      <c r="I706" s="5">
        <v>1</v>
      </c>
      <c r="J706" s="3" t="s">
        <v>29</v>
      </c>
      <c r="K706" s="9">
        <v>42483.62572916667</v>
      </c>
    </row>
    <row r="707" spans="3:11" x14ac:dyDescent="0.25">
      <c r="C707" t="str">
        <f>IF(COUNTBLANK(E707:K707) = 7,"",IF(AND(NOT(ISBLANK(E707)),COUNTBLANK(E707:K707) = 6),"3 Delete",IF(ISBLANK(E707),"2 Add",IF(SHA1Range(E707:K707) = "05f5705ccfafc02328c254c3bbbbd6f0a719b0cc","0 Original","1 Modify"))))</f>
        <v>0 Original</v>
      </c>
      <c r="D707" s="3" t="s">
        <v>1330</v>
      </c>
      <c r="E707" s="5">
        <v>709</v>
      </c>
      <c r="F707">
        <v>216</v>
      </c>
      <c r="G707" t="s">
        <v>448</v>
      </c>
      <c r="H707" s="7">
        <v>8.99</v>
      </c>
      <c r="I707" s="5">
        <v>1</v>
      </c>
      <c r="J707" s="3" t="s">
        <v>29</v>
      </c>
      <c r="K707" s="9">
        <v>42483.62572916667</v>
      </c>
    </row>
    <row r="708" spans="3:11" x14ac:dyDescent="0.25">
      <c r="C708" t="str">
        <f>IF(COUNTBLANK(E708:K708) = 7,"",IF(AND(NOT(ISBLANK(E708)),COUNTBLANK(E708:K708) = 6),"3 Delete",IF(ISBLANK(E708),"2 Add",IF(SHA1Range(E708:K708) = "3d749cf6e27dff0083887e68782386a6db4ed5fc","0 Original","1 Modify"))))</f>
        <v>0 Original</v>
      </c>
      <c r="D708" s="3" t="s">
        <v>1331</v>
      </c>
      <c r="E708" s="5">
        <v>710</v>
      </c>
      <c r="F708">
        <v>216</v>
      </c>
      <c r="G708" t="s">
        <v>136</v>
      </c>
      <c r="H708" s="7">
        <v>8.99</v>
      </c>
      <c r="I708" s="5">
        <v>1</v>
      </c>
      <c r="J708" s="3" t="s">
        <v>29</v>
      </c>
      <c r="K708" s="9">
        <v>42483.62572916667</v>
      </c>
    </row>
    <row r="709" spans="3:11" x14ac:dyDescent="0.25">
      <c r="C709" t="str">
        <f>IF(COUNTBLANK(E709:K709) = 7,"",IF(AND(NOT(ISBLANK(E709)),COUNTBLANK(E709:K709) = 6),"3 Delete",IF(ISBLANK(E709),"2 Add",IF(SHA1Range(E709:K709) = "39ab00b3ac3baed0a94bef8fbf2fd981e45b1e49","0 Original","1 Modify"))))</f>
        <v>0 Original</v>
      </c>
      <c r="D709" s="3" t="s">
        <v>1332</v>
      </c>
      <c r="E709" s="5">
        <v>711</v>
      </c>
      <c r="F709">
        <v>216</v>
      </c>
      <c r="G709" t="s">
        <v>391</v>
      </c>
      <c r="H709" s="7">
        <v>7.99</v>
      </c>
      <c r="I709" s="5">
        <v>1</v>
      </c>
      <c r="J709" s="3" t="s">
        <v>29</v>
      </c>
      <c r="K709" s="9">
        <v>42483.62572916667</v>
      </c>
    </row>
    <row r="710" spans="3:11" x14ac:dyDescent="0.25">
      <c r="C710" t="str">
        <f>IF(COUNTBLANK(E710:K710) = 7,"",IF(AND(NOT(ISBLANK(E710)),COUNTBLANK(E710:K710) = 6),"3 Delete",IF(ISBLANK(E710),"2 Add",IF(SHA1Range(E710:K710) = "54cf738528cf7ef4eedd7f077933ecf61abfc9ff","0 Original","1 Modify"))))</f>
        <v>0 Original</v>
      </c>
      <c r="D710" s="3" t="s">
        <v>1333</v>
      </c>
      <c r="E710" s="5">
        <v>712</v>
      </c>
      <c r="F710">
        <v>216</v>
      </c>
      <c r="G710" t="s">
        <v>418</v>
      </c>
      <c r="H710" s="7">
        <v>6.99</v>
      </c>
      <c r="I710" s="5">
        <v>1</v>
      </c>
      <c r="J710" s="3" t="s">
        <v>29</v>
      </c>
      <c r="K710" s="9">
        <v>42483.62572916667</v>
      </c>
    </row>
    <row r="711" spans="3:11" x14ac:dyDescent="0.25">
      <c r="C711" t="str">
        <f>IF(COUNTBLANK(E711:K711) = 7,"",IF(AND(NOT(ISBLANK(E711)),COUNTBLANK(E711:K711) = 6),"3 Delete",IF(ISBLANK(E711),"2 Add",IF(SHA1Range(E711:K711) = "b2f10c4df10332abf86b55f911e9671325f3fc19","0 Original","1 Modify"))))</f>
        <v>0 Original</v>
      </c>
      <c r="D711" s="3" t="s">
        <v>1334</v>
      </c>
      <c r="E711" s="5">
        <v>713</v>
      </c>
      <c r="F711">
        <v>217</v>
      </c>
      <c r="G711" t="s">
        <v>398</v>
      </c>
      <c r="H711" s="7">
        <v>4.99</v>
      </c>
      <c r="I711" s="5">
        <v>2</v>
      </c>
      <c r="J711" s="3" t="s">
        <v>29</v>
      </c>
      <c r="K711" s="9">
        <v>42483.62572916667</v>
      </c>
    </row>
    <row r="712" spans="3:11" x14ac:dyDescent="0.25">
      <c r="C712" t="str">
        <f>IF(COUNTBLANK(E712:K712) = 7,"",IF(AND(NOT(ISBLANK(E712)),COUNTBLANK(E712:K712) = 6),"3 Delete",IF(ISBLANK(E712),"2 Add",IF(SHA1Range(E712:K712) = "447ba2c4c691ebbf04577c39a2b964e35f8a9a56","0 Original","1 Modify"))))</f>
        <v>0 Original</v>
      </c>
      <c r="D712" s="3" t="s">
        <v>1335</v>
      </c>
      <c r="E712" s="5">
        <v>714</v>
      </c>
      <c r="F712">
        <v>217</v>
      </c>
      <c r="G712" t="s">
        <v>459</v>
      </c>
      <c r="H712" s="7">
        <v>5.99</v>
      </c>
      <c r="I712" s="5">
        <v>1</v>
      </c>
      <c r="J712" s="3" t="s">
        <v>29</v>
      </c>
      <c r="K712" s="9">
        <v>42483.62572916667</v>
      </c>
    </row>
    <row r="713" spans="3:11" x14ac:dyDescent="0.25">
      <c r="C713" t="str">
        <f>IF(COUNTBLANK(E713:K713) = 7,"",IF(AND(NOT(ISBLANK(E713)),COUNTBLANK(E713:K713) = 6),"3 Delete",IF(ISBLANK(E713),"2 Add",IF(SHA1Range(E713:K713) = "0231829b35add1dfd56962620dde857da21e066c","0 Original","1 Modify"))))</f>
        <v>0 Original</v>
      </c>
      <c r="D713" s="3" t="s">
        <v>1336</v>
      </c>
      <c r="E713" s="5">
        <v>715</v>
      </c>
      <c r="F713">
        <v>217</v>
      </c>
      <c r="G713" t="s">
        <v>537</v>
      </c>
      <c r="H713" s="7">
        <v>7.99</v>
      </c>
      <c r="I713" s="5">
        <v>1</v>
      </c>
      <c r="J713" s="3" t="s">
        <v>29</v>
      </c>
      <c r="K713" s="9">
        <v>42483.62572916667</v>
      </c>
    </row>
    <row r="714" spans="3:11" x14ac:dyDescent="0.25">
      <c r="C714" t="str">
        <f>IF(COUNTBLANK(E714:K714) = 7,"",IF(AND(NOT(ISBLANK(E714)),COUNTBLANK(E714:K714) = 6),"3 Delete",IF(ISBLANK(E714),"2 Add",IF(SHA1Range(E714:K714) = "99c44239d62624731cb820a5f2c05cc525303ff0","0 Original","1 Modify"))))</f>
        <v>0 Original</v>
      </c>
      <c r="D714" s="3" t="s">
        <v>1337</v>
      </c>
      <c r="E714" s="5">
        <v>716</v>
      </c>
      <c r="F714">
        <v>217</v>
      </c>
      <c r="G714" t="s">
        <v>537</v>
      </c>
      <c r="H714" s="7">
        <v>7.99</v>
      </c>
      <c r="I714" s="5">
        <v>2</v>
      </c>
      <c r="J714" s="3" t="s">
        <v>29</v>
      </c>
      <c r="K714" s="9">
        <v>42483.62572916667</v>
      </c>
    </row>
    <row r="715" spans="3:11" x14ac:dyDescent="0.25">
      <c r="C715" t="str">
        <f>IF(COUNTBLANK(E715:K715) = 7,"",IF(AND(NOT(ISBLANK(E715)),COUNTBLANK(E715:K715) = 6),"3 Delete",IF(ISBLANK(E715),"2 Add",IF(SHA1Range(E715:K715) = "0a3f2cb84fc373ecc19393a8cc053cf9eb8fba70","0 Original","1 Modify"))))</f>
        <v>0 Original</v>
      </c>
      <c r="D715" s="3" t="s">
        <v>1338</v>
      </c>
      <c r="E715" s="5">
        <v>717</v>
      </c>
      <c r="F715">
        <v>217</v>
      </c>
      <c r="G715" t="s">
        <v>281</v>
      </c>
      <c r="H715" s="7">
        <v>7.99</v>
      </c>
      <c r="I715" s="5">
        <v>1</v>
      </c>
      <c r="J715" s="3" t="s">
        <v>29</v>
      </c>
      <c r="K715" s="9">
        <v>42483.62572916667</v>
      </c>
    </row>
    <row r="716" spans="3:11" x14ac:dyDescent="0.25">
      <c r="C716" t="str">
        <f>IF(COUNTBLANK(E716:K716) = 7,"",IF(AND(NOT(ISBLANK(E716)),COUNTBLANK(E716:K716) = 6),"3 Delete",IF(ISBLANK(E716),"2 Add",IF(SHA1Range(E716:K716) = "7d8409784a6d08dae0bc94026b13e6390de6786e","0 Original","1 Modify"))))</f>
        <v>0 Original</v>
      </c>
      <c r="D716" s="3" t="s">
        <v>1339</v>
      </c>
      <c r="E716" s="5">
        <v>718</v>
      </c>
      <c r="F716">
        <v>218</v>
      </c>
      <c r="G716" t="s">
        <v>238</v>
      </c>
      <c r="H716" s="7">
        <v>5.99</v>
      </c>
      <c r="I716" s="5">
        <v>2</v>
      </c>
      <c r="J716" s="3" t="s">
        <v>29</v>
      </c>
      <c r="K716" s="9">
        <v>42483.62572916667</v>
      </c>
    </row>
    <row r="717" spans="3:11" x14ac:dyDescent="0.25">
      <c r="C717" t="str">
        <f>IF(COUNTBLANK(E717:K717) = 7,"",IF(AND(NOT(ISBLANK(E717)),COUNTBLANK(E717:K717) = 6),"3 Delete",IF(ISBLANK(E717),"2 Add",IF(SHA1Range(E717:K717) = "323132e8726117b9ae558e91f95ab34cbf27b212","0 Original","1 Modify"))))</f>
        <v>0 Original</v>
      </c>
      <c r="D717" s="3" t="s">
        <v>1340</v>
      </c>
      <c r="E717" s="5">
        <v>719</v>
      </c>
      <c r="F717">
        <v>218</v>
      </c>
      <c r="G717" t="s">
        <v>133</v>
      </c>
      <c r="H717" s="7">
        <v>7.99</v>
      </c>
      <c r="I717" s="5">
        <v>1</v>
      </c>
      <c r="J717" s="3" t="s">
        <v>29</v>
      </c>
      <c r="K717" s="9">
        <v>42483.62572916667</v>
      </c>
    </row>
    <row r="718" spans="3:11" x14ac:dyDescent="0.25">
      <c r="C718" t="str">
        <f>IF(COUNTBLANK(E718:K718) = 7,"",IF(AND(NOT(ISBLANK(E718)),COUNTBLANK(E718:K718) = 6),"3 Delete",IF(ISBLANK(E718),"2 Add",IF(SHA1Range(E718:K718) = "c7559be70a97f802b65936d8d7de2d48e08988b6","0 Original","1 Modify"))))</f>
        <v>0 Original</v>
      </c>
      <c r="D718" s="3" t="s">
        <v>1341</v>
      </c>
      <c r="E718" s="5">
        <v>720</v>
      </c>
      <c r="F718">
        <v>219</v>
      </c>
      <c r="G718" t="s">
        <v>152</v>
      </c>
      <c r="H718" s="7">
        <v>5.99</v>
      </c>
      <c r="I718" s="5">
        <v>2</v>
      </c>
      <c r="J718" s="3" t="s">
        <v>29</v>
      </c>
      <c r="K718" s="9">
        <v>42483.62572916667</v>
      </c>
    </row>
    <row r="719" spans="3:11" x14ac:dyDescent="0.25">
      <c r="C719" t="str">
        <f>IF(COUNTBLANK(E719:K719) = 7,"",IF(AND(NOT(ISBLANK(E719)),COUNTBLANK(E719:K719) = 6),"3 Delete",IF(ISBLANK(E719),"2 Add",IF(SHA1Range(E719:K719) = "d8d38cd900336647de004e6ac3aa3d358b13b4f9","0 Original","1 Modify"))))</f>
        <v>0 Original</v>
      </c>
      <c r="D719" s="3" t="s">
        <v>1342</v>
      </c>
      <c r="E719" s="5">
        <v>721</v>
      </c>
      <c r="F719">
        <v>220</v>
      </c>
      <c r="G719" t="s">
        <v>51</v>
      </c>
      <c r="H719" s="7">
        <v>9.99</v>
      </c>
      <c r="I719" s="5">
        <v>1</v>
      </c>
      <c r="J719" s="3" t="s">
        <v>29</v>
      </c>
      <c r="K719" s="9">
        <v>42483.62572916667</v>
      </c>
    </row>
    <row r="720" spans="3:11" x14ac:dyDescent="0.25">
      <c r="C720" t="str">
        <f>IF(COUNTBLANK(E720:K720) = 7,"",IF(AND(NOT(ISBLANK(E720)),COUNTBLANK(E720:K720) = 6),"3 Delete",IF(ISBLANK(E720),"2 Add",IF(SHA1Range(E720:K720) = "15dc4b0ef0a1bb3cb3bce20cc9e1e4b5b2277ecb","0 Original","1 Modify"))))</f>
        <v>0 Original</v>
      </c>
      <c r="D720" s="3" t="s">
        <v>1343</v>
      </c>
      <c r="E720" s="5">
        <v>722</v>
      </c>
      <c r="F720">
        <v>220</v>
      </c>
      <c r="G720" t="s">
        <v>421</v>
      </c>
      <c r="H720" s="7">
        <v>6.99</v>
      </c>
      <c r="I720" s="5">
        <v>1</v>
      </c>
      <c r="J720" s="3" t="s">
        <v>29</v>
      </c>
      <c r="K720" s="9">
        <v>42483.62572916667</v>
      </c>
    </row>
    <row r="721" spans="3:11" x14ac:dyDescent="0.25">
      <c r="C721" t="str">
        <f>IF(COUNTBLANK(E721:K721) = 7,"",IF(AND(NOT(ISBLANK(E721)),COUNTBLANK(E721:K721) = 6),"3 Delete",IF(ISBLANK(E721),"2 Add",IF(SHA1Range(E721:K721) = "498db86debad2f7db8f4ef4a173fab0ff8f4e273","0 Original","1 Modify"))))</f>
        <v>0 Original</v>
      </c>
      <c r="D721" s="3" t="s">
        <v>1344</v>
      </c>
      <c r="E721" s="5">
        <v>723</v>
      </c>
      <c r="F721">
        <v>220</v>
      </c>
      <c r="G721" t="s">
        <v>142</v>
      </c>
      <c r="H721" s="7">
        <v>4.99</v>
      </c>
      <c r="I721" s="5">
        <v>2</v>
      </c>
      <c r="J721" s="3" t="s">
        <v>29</v>
      </c>
      <c r="K721" s="9">
        <v>42483.62572916667</v>
      </c>
    </row>
    <row r="722" spans="3:11" x14ac:dyDescent="0.25">
      <c r="C722" t="str">
        <f>IF(COUNTBLANK(E722:K722) = 7,"",IF(AND(NOT(ISBLANK(E722)),COUNTBLANK(E722:K722) = 6),"3 Delete",IF(ISBLANK(E722),"2 Add",IF(SHA1Range(E722:K722) = "e9b8841f730df34bc1ad7c4e806aae8f08e04fef","0 Original","1 Modify"))))</f>
        <v>0 Original</v>
      </c>
      <c r="D722" s="3" t="s">
        <v>1345</v>
      </c>
      <c r="E722" s="5">
        <v>724</v>
      </c>
      <c r="F722">
        <v>220</v>
      </c>
      <c r="G722" t="s">
        <v>37</v>
      </c>
      <c r="H722" s="7">
        <v>6.99</v>
      </c>
      <c r="I722" s="5">
        <v>2</v>
      </c>
      <c r="J722" s="3" t="s">
        <v>29</v>
      </c>
      <c r="K722" s="9">
        <v>42483.62572916667</v>
      </c>
    </row>
    <row r="723" spans="3:11" x14ac:dyDescent="0.25">
      <c r="C723" t="str">
        <f>IF(COUNTBLANK(E723:K723) = 7,"",IF(AND(NOT(ISBLANK(E723)),COUNTBLANK(E723:K723) = 6),"3 Delete",IF(ISBLANK(E723),"2 Add",IF(SHA1Range(E723:K723) = "48b2606dde5a6b5df457bbb85154931311925097","0 Original","1 Modify"))))</f>
        <v>0 Original</v>
      </c>
      <c r="D723" s="3" t="s">
        <v>1346</v>
      </c>
      <c r="E723" s="5">
        <v>725</v>
      </c>
      <c r="F723">
        <v>221</v>
      </c>
      <c r="G723" t="s">
        <v>254</v>
      </c>
      <c r="H723" s="7">
        <v>4.99</v>
      </c>
      <c r="I723" s="5">
        <v>1</v>
      </c>
      <c r="J723" s="3" t="s">
        <v>29</v>
      </c>
      <c r="K723" s="9">
        <v>42483.62572916667</v>
      </c>
    </row>
    <row r="724" spans="3:11" x14ac:dyDescent="0.25">
      <c r="C724" t="str">
        <f>IF(COUNTBLANK(E724:K724) = 7,"",IF(AND(NOT(ISBLANK(E724)),COUNTBLANK(E724:K724) = 6),"3 Delete",IF(ISBLANK(E724),"2 Add",IF(SHA1Range(E724:K724) = "8b8a01141b3dad15d022e17132cc0dab1284a810","0 Original","1 Modify"))))</f>
        <v>0 Original</v>
      </c>
      <c r="D724" s="3" t="s">
        <v>1347</v>
      </c>
      <c r="E724" s="5">
        <v>726</v>
      </c>
      <c r="F724">
        <v>221</v>
      </c>
      <c r="G724" t="s">
        <v>142</v>
      </c>
      <c r="H724" s="7">
        <v>4.99</v>
      </c>
      <c r="I724" s="5">
        <v>1</v>
      </c>
      <c r="J724" s="3" t="s">
        <v>29</v>
      </c>
      <c r="K724" s="9">
        <v>42483.62572916667</v>
      </c>
    </row>
    <row r="725" spans="3:11" x14ac:dyDescent="0.25">
      <c r="C725" t="str">
        <f>IF(COUNTBLANK(E725:K725) = 7,"",IF(AND(NOT(ISBLANK(E725)),COUNTBLANK(E725:K725) = 6),"3 Delete",IF(ISBLANK(E725),"2 Add",IF(SHA1Range(E725:K725) = "8e709fb0740cd481dbb3c86e317101ae63ee5159","0 Original","1 Modify"))))</f>
        <v>0 Original</v>
      </c>
      <c r="D725" s="3" t="s">
        <v>1348</v>
      </c>
      <c r="E725" s="5">
        <v>727</v>
      </c>
      <c r="F725">
        <v>222</v>
      </c>
      <c r="G725" t="s">
        <v>126</v>
      </c>
      <c r="H725" s="7">
        <v>6.99</v>
      </c>
      <c r="I725" s="5">
        <v>2</v>
      </c>
      <c r="J725" s="3" t="s">
        <v>29</v>
      </c>
      <c r="K725" s="9">
        <v>42483.62572916667</v>
      </c>
    </row>
    <row r="726" spans="3:11" x14ac:dyDescent="0.25">
      <c r="C726" t="str">
        <f>IF(COUNTBLANK(E726:K726) = 7,"",IF(AND(NOT(ISBLANK(E726)),COUNTBLANK(E726:K726) = 6),"3 Delete",IF(ISBLANK(E726),"2 Add",IF(SHA1Range(E726:K726) = "1511fd1f284e98e1392ca08a8235387591c6faf2","0 Original","1 Modify"))))</f>
        <v>0 Original</v>
      </c>
      <c r="D726" s="3" t="s">
        <v>1349</v>
      </c>
      <c r="E726" s="5">
        <v>728</v>
      </c>
      <c r="F726">
        <v>222</v>
      </c>
      <c r="G726" t="s">
        <v>246</v>
      </c>
      <c r="H726" s="7">
        <v>7.99</v>
      </c>
      <c r="I726" s="5">
        <v>1</v>
      </c>
      <c r="J726" s="3" t="s">
        <v>29</v>
      </c>
      <c r="K726" s="9">
        <v>42483.62572916667</v>
      </c>
    </row>
    <row r="727" spans="3:11" x14ac:dyDescent="0.25">
      <c r="C727" t="str">
        <f>IF(COUNTBLANK(E727:K727) = 7,"",IF(AND(NOT(ISBLANK(E727)),COUNTBLANK(E727:K727) = 6),"3 Delete",IF(ISBLANK(E727),"2 Add",IF(SHA1Range(E727:K727) = "5b8bfc72d8bba7b572fe8309e9e64e0920309654","0 Original","1 Modify"))))</f>
        <v>0 Original</v>
      </c>
      <c r="D727" s="3" t="s">
        <v>1350</v>
      </c>
      <c r="E727" s="5">
        <v>729</v>
      </c>
      <c r="F727">
        <v>222</v>
      </c>
      <c r="G727" t="s">
        <v>281</v>
      </c>
      <c r="H727" s="7">
        <v>7.99</v>
      </c>
      <c r="I727" s="5">
        <v>1</v>
      </c>
      <c r="J727" s="3" t="s">
        <v>29</v>
      </c>
      <c r="K727" s="9">
        <v>42483.62572916667</v>
      </c>
    </row>
    <row r="728" spans="3:11" x14ac:dyDescent="0.25">
      <c r="C728" t="str">
        <f>IF(COUNTBLANK(E728:K728) = 7,"",IF(AND(NOT(ISBLANK(E728)),COUNTBLANK(E728:K728) = 6),"3 Delete",IF(ISBLANK(E728),"2 Add",IF(SHA1Range(E728:K728) = "69391f09d993730e095ba292aafd8937b9cb7e38","0 Original","1 Modify"))))</f>
        <v>0 Original</v>
      </c>
      <c r="D728" s="3" t="s">
        <v>1351</v>
      </c>
      <c r="E728" s="5">
        <v>730</v>
      </c>
      <c r="F728">
        <v>222</v>
      </c>
      <c r="G728" t="s">
        <v>576</v>
      </c>
      <c r="H728" s="7">
        <v>5.99</v>
      </c>
      <c r="I728" s="5">
        <v>2</v>
      </c>
      <c r="J728" s="3" t="s">
        <v>29</v>
      </c>
      <c r="K728" s="9">
        <v>42483.62572916667</v>
      </c>
    </row>
    <row r="729" spans="3:11" x14ac:dyDescent="0.25">
      <c r="C729" t="str">
        <f>IF(COUNTBLANK(E729:K729) = 7,"",IF(AND(NOT(ISBLANK(E729)),COUNTBLANK(E729:K729) = 6),"3 Delete",IF(ISBLANK(E729),"2 Add",IF(SHA1Range(E729:K729) = "d48a2285050928269a807e494b4db5e4d6f932f3","0 Original","1 Modify"))))</f>
        <v>0 Original</v>
      </c>
      <c r="D729" s="3" t="s">
        <v>1352</v>
      </c>
      <c r="E729" s="5">
        <v>731</v>
      </c>
      <c r="F729">
        <v>222</v>
      </c>
      <c r="G729" t="s">
        <v>418</v>
      </c>
      <c r="H729" s="7">
        <v>6.99</v>
      </c>
      <c r="I729" s="5">
        <v>2</v>
      </c>
      <c r="J729" s="3" t="s">
        <v>29</v>
      </c>
      <c r="K729" s="9">
        <v>42483.62572916667</v>
      </c>
    </row>
    <row r="730" spans="3:11" x14ac:dyDescent="0.25">
      <c r="C730" t="str">
        <f>IF(COUNTBLANK(E730:K730) = 7,"",IF(AND(NOT(ISBLANK(E730)),COUNTBLANK(E730:K730) = 6),"3 Delete",IF(ISBLANK(E730),"2 Add",IF(SHA1Range(E730:K730) = "5c7360257c2c5551af4950b6398777bcbf30e276","0 Original","1 Modify"))))</f>
        <v>0 Original</v>
      </c>
      <c r="D730" s="3" t="s">
        <v>1353</v>
      </c>
      <c r="E730" s="5">
        <v>732</v>
      </c>
      <c r="F730">
        <v>223</v>
      </c>
      <c r="G730" t="s">
        <v>54</v>
      </c>
      <c r="H730" s="7">
        <v>5.99</v>
      </c>
      <c r="I730" s="5">
        <v>1</v>
      </c>
      <c r="J730" s="3" t="s">
        <v>29</v>
      </c>
      <c r="K730" s="9">
        <v>42483.62572916667</v>
      </c>
    </row>
    <row r="731" spans="3:11" x14ac:dyDescent="0.25">
      <c r="C731" t="str">
        <f>IF(COUNTBLANK(E731:K731) = 7,"",IF(AND(NOT(ISBLANK(E731)),COUNTBLANK(E731:K731) = 6),"3 Delete",IF(ISBLANK(E731),"2 Add",IF(SHA1Range(E731:K731) = "b8bfb29948fdc76019e5ac6eadee836a1eb082c1","0 Original","1 Modify"))))</f>
        <v>0 Original</v>
      </c>
      <c r="D731" s="3" t="s">
        <v>1354</v>
      </c>
      <c r="E731" s="5">
        <v>733</v>
      </c>
      <c r="F731">
        <v>223</v>
      </c>
      <c r="G731" t="s">
        <v>254</v>
      </c>
      <c r="H731" s="7">
        <v>4.99</v>
      </c>
      <c r="I731" s="5">
        <v>1</v>
      </c>
      <c r="J731" s="3" t="s">
        <v>29</v>
      </c>
      <c r="K731" s="9">
        <v>42483.62572916667</v>
      </c>
    </row>
    <row r="732" spans="3:11" x14ac:dyDescent="0.25">
      <c r="C732" t="str">
        <f>IF(COUNTBLANK(E732:K732) = 7,"",IF(AND(NOT(ISBLANK(E732)),COUNTBLANK(E732:K732) = 6),"3 Delete",IF(ISBLANK(E732),"2 Add",IF(SHA1Range(E732:K732) = "c3c5d9c9e591999bc8d1c2eff0c1928380944fe7","0 Original","1 Modify"))))</f>
        <v>0 Original</v>
      </c>
      <c r="D732" s="3" t="s">
        <v>1355</v>
      </c>
      <c r="E732" s="5">
        <v>734</v>
      </c>
      <c r="F732">
        <v>223</v>
      </c>
      <c r="G732" t="s">
        <v>304</v>
      </c>
      <c r="H732" s="7">
        <v>8.99</v>
      </c>
      <c r="I732" s="5">
        <v>1</v>
      </c>
      <c r="J732" s="3" t="s">
        <v>29</v>
      </c>
      <c r="K732" s="9">
        <v>42483.62572916667</v>
      </c>
    </row>
    <row r="733" spans="3:11" x14ac:dyDescent="0.25">
      <c r="C733" t="str">
        <f>IF(COUNTBLANK(E733:K733) = 7,"",IF(AND(NOT(ISBLANK(E733)),COUNTBLANK(E733:K733) = 6),"3 Delete",IF(ISBLANK(E733),"2 Add",IF(SHA1Range(E733:K733) = "788f5318dfe32ad2e22c7f505549c5045d000d49","0 Original","1 Modify"))))</f>
        <v>0 Original</v>
      </c>
      <c r="D733" s="3" t="s">
        <v>1356</v>
      </c>
      <c r="E733" s="5">
        <v>735</v>
      </c>
      <c r="F733">
        <v>224</v>
      </c>
      <c r="G733" t="s">
        <v>295</v>
      </c>
      <c r="H733" s="7">
        <v>7.99</v>
      </c>
      <c r="I733" s="5">
        <v>1</v>
      </c>
      <c r="J733" s="3" t="s">
        <v>29</v>
      </c>
      <c r="K733" s="9">
        <v>42483.62572916667</v>
      </c>
    </row>
    <row r="734" spans="3:11" x14ac:dyDescent="0.25">
      <c r="C734" t="str">
        <f>IF(COUNTBLANK(E734:K734) = 7,"",IF(AND(NOT(ISBLANK(E734)),COUNTBLANK(E734:K734) = 6),"3 Delete",IF(ISBLANK(E734),"2 Add",IF(SHA1Range(E734:K734) = "cd1ea25d25f2598acb50dd940e8b4fe7ab47acfe","0 Original","1 Modify"))))</f>
        <v>0 Original</v>
      </c>
      <c r="D734" s="3" t="s">
        <v>1357</v>
      </c>
      <c r="E734" s="5">
        <v>736</v>
      </c>
      <c r="F734">
        <v>224</v>
      </c>
      <c r="G734" t="s">
        <v>273</v>
      </c>
      <c r="H734" s="7">
        <v>8.99</v>
      </c>
      <c r="I734" s="5">
        <v>1</v>
      </c>
      <c r="J734" s="3" t="s">
        <v>29</v>
      </c>
      <c r="K734" s="9">
        <v>42483.62572916667</v>
      </c>
    </row>
    <row r="735" spans="3:11" x14ac:dyDescent="0.25">
      <c r="C735" t="str">
        <f>IF(COUNTBLANK(E735:K735) = 7,"",IF(AND(NOT(ISBLANK(E735)),COUNTBLANK(E735:K735) = 6),"3 Delete",IF(ISBLANK(E735),"2 Add",IF(SHA1Range(E735:K735) = "ea8212038f802d1434dd00521c9ddf8b58db3b88","0 Original","1 Modify"))))</f>
        <v>0 Original</v>
      </c>
      <c r="D735" s="3" t="s">
        <v>1358</v>
      </c>
      <c r="E735" s="5">
        <v>737</v>
      </c>
      <c r="F735">
        <v>224</v>
      </c>
      <c r="G735" t="s">
        <v>54</v>
      </c>
      <c r="H735" s="7">
        <v>5.99</v>
      </c>
      <c r="I735" s="5">
        <v>1</v>
      </c>
      <c r="J735" s="3" t="s">
        <v>29</v>
      </c>
      <c r="K735" s="9">
        <v>42483.62572916667</v>
      </c>
    </row>
    <row r="736" spans="3:11" x14ac:dyDescent="0.25">
      <c r="C736" t="str">
        <f>IF(COUNTBLANK(E736:K736) = 7,"",IF(AND(NOT(ISBLANK(E736)),COUNTBLANK(E736:K736) = 6),"3 Delete",IF(ISBLANK(E736),"2 Add",IF(SHA1Range(E736:K736) = "3f916f4b91c1e4807f27bdd4e7719137f1c3f94a","0 Original","1 Modify"))))</f>
        <v>0 Original</v>
      </c>
      <c r="D736" s="3" t="s">
        <v>1359</v>
      </c>
      <c r="E736" s="5">
        <v>738</v>
      </c>
      <c r="F736">
        <v>225</v>
      </c>
      <c r="G736" t="s">
        <v>54</v>
      </c>
      <c r="H736" s="7">
        <v>5.99</v>
      </c>
      <c r="I736" s="5">
        <v>2</v>
      </c>
      <c r="J736" s="3" t="s">
        <v>29</v>
      </c>
      <c r="K736" s="9">
        <v>42483.62572916667</v>
      </c>
    </row>
    <row r="737" spans="3:11" x14ac:dyDescent="0.25">
      <c r="C737" t="str">
        <f>IF(COUNTBLANK(E737:K737) = 7,"",IF(AND(NOT(ISBLANK(E737)),COUNTBLANK(E737:K737) = 6),"3 Delete",IF(ISBLANK(E737),"2 Add",IF(SHA1Range(E737:K737) = "0dce423f61b8a22ffd26075ebaf6317a2b2becd5","0 Original","1 Modify"))))</f>
        <v>0 Original</v>
      </c>
      <c r="D737" s="3" t="s">
        <v>1360</v>
      </c>
      <c r="E737" s="5">
        <v>739</v>
      </c>
      <c r="F737">
        <v>225</v>
      </c>
      <c r="G737" t="s">
        <v>576</v>
      </c>
      <c r="H737" s="7">
        <v>5.99</v>
      </c>
      <c r="I737" s="5">
        <v>2</v>
      </c>
      <c r="J737" s="3" t="s">
        <v>29</v>
      </c>
      <c r="K737" s="9">
        <v>42483.62572916667</v>
      </c>
    </row>
    <row r="738" spans="3:11" x14ac:dyDescent="0.25">
      <c r="C738" t="str">
        <f>IF(COUNTBLANK(E738:K738) = 7,"",IF(AND(NOT(ISBLANK(E738)),COUNTBLANK(E738:K738) = 6),"3 Delete",IF(ISBLANK(E738),"2 Add",IF(SHA1Range(E738:K738) = "d30dd506e4d832507874366fff15c8ffc1def729","0 Original","1 Modify"))))</f>
        <v>0 Original</v>
      </c>
      <c r="D738" s="3" t="s">
        <v>1361</v>
      </c>
      <c r="E738" s="5">
        <v>740</v>
      </c>
      <c r="F738">
        <v>225</v>
      </c>
      <c r="G738" t="s">
        <v>364</v>
      </c>
      <c r="H738" s="7">
        <v>9.99</v>
      </c>
      <c r="I738" s="5">
        <v>2</v>
      </c>
      <c r="J738" s="3" t="s">
        <v>29</v>
      </c>
      <c r="K738" s="9">
        <v>42483.62572916667</v>
      </c>
    </row>
    <row r="739" spans="3:11" x14ac:dyDescent="0.25">
      <c r="C739" t="str">
        <f>IF(COUNTBLANK(E739:K739) = 7,"",IF(AND(NOT(ISBLANK(E739)),COUNTBLANK(E739:K739) = 6),"3 Delete",IF(ISBLANK(E739),"2 Add",IF(SHA1Range(E739:K739) = "fbddf1cd16afe77f572d58adbe7be6213777dc80","0 Original","1 Modify"))))</f>
        <v>0 Original</v>
      </c>
      <c r="D739" s="3" t="s">
        <v>1362</v>
      </c>
      <c r="E739" s="5">
        <v>741</v>
      </c>
      <c r="F739">
        <v>226</v>
      </c>
      <c r="G739" t="s">
        <v>395</v>
      </c>
      <c r="H739" s="7">
        <v>8.99</v>
      </c>
      <c r="I739" s="5">
        <v>2</v>
      </c>
      <c r="J739" s="3" t="s">
        <v>29</v>
      </c>
      <c r="K739" s="9">
        <v>42483.62572916667</v>
      </c>
    </row>
    <row r="740" spans="3:11" x14ac:dyDescent="0.25">
      <c r="C740" t="str">
        <f>IF(COUNTBLANK(E740:K740) = 7,"",IF(AND(NOT(ISBLANK(E740)),COUNTBLANK(E740:K740) = 6),"3 Delete",IF(ISBLANK(E740),"2 Add",IF(SHA1Range(E740:K740) = "b398e731bae9cd44b4a77fc8623fd4ecb66f7fbd","0 Original","1 Modify"))))</f>
        <v>0 Original</v>
      </c>
      <c r="D740" s="3" t="s">
        <v>1363</v>
      </c>
      <c r="E740" s="5">
        <v>742</v>
      </c>
      <c r="F740">
        <v>226</v>
      </c>
      <c r="G740" t="s">
        <v>238</v>
      </c>
      <c r="H740" s="7">
        <v>5.99</v>
      </c>
      <c r="I740" s="5">
        <v>1</v>
      </c>
      <c r="J740" s="3" t="s">
        <v>29</v>
      </c>
      <c r="K740" s="9">
        <v>42483.62572916667</v>
      </c>
    </row>
    <row r="741" spans="3:11" x14ac:dyDescent="0.25">
      <c r="C741" t="str">
        <f>IF(COUNTBLANK(E741:K741) = 7,"",IF(AND(NOT(ISBLANK(E741)),COUNTBLANK(E741:K741) = 6),"3 Delete",IF(ISBLANK(E741),"2 Add",IF(SHA1Range(E741:K741) = "db8d716f4ca4d0d514b28f8b4e8639868017c093","0 Original","1 Modify"))))</f>
        <v>0 Original</v>
      </c>
      <c r="D741" s="3" t="s">
        <v>1364</v>
      </c>
      <c r="E741" s="5">
        <v>743</v>
      </c>
      <c r="F741">
        <v>227</v>
      </c>
      <c r="G741" t="s">
        <v>149</v>
      </c>
      <c r="H741" s="7">
        <v>7.99</v>
      </c>
      <c r="I741" s="5">
        <v>1</v>
      </c>
      <c r="J741" s="3" t="s">
        <v>29</v>
      </c>
      <c r="K741" s="9">
        <v>42483.62572916667</v>
      </c>
    </row>
    <row r="742" spans="3:11" x14ac:dyDescent="0.25">
      <c r="C742" t="str">
        <f>IF(COUNTBLANK(E742:K742) = 7,"",IF(AND(NOT(ISBLANK(E742)),COUNTBLANK(E742:K742) = 6),"3 Delete",IF(ISBLANK(E742),"2 Add",IF(SHA1Range(E742:K742) = "083ca1419d952a531796295fa5fb298fcae25f1b","0 Original","1 Modify"))))</f>
        <v>0 Original</v>
      </c>
      <c r="D742" s="3" t="s">
        <v>1365</v>
      </c>
      <c r="E742" s="5">
        <v>744</v>
      </c>
      <c r="F742">
        <v>227</v>
      </c>
      <c r="G742" t="s">
        <v>136</v>
      </c>
      <c r="H742" s="7">
        <v>8.99</v>
      </c>
      <c r="I742" s="5">
        <v>1</v>
      </c>
      <c r="J742" s="3" t="s">
        <v>29</v>
      </c>
      <c r="K742" s="9">
        <v>42483.62572916667</v>
      </c>
    </row>
    <row r="743" spans="3:11" x14ac:dyDescent="0.25">
      <c r="C743" t="str">
        <f>IF(COUNTBLANK(E743:K743) = 7,"",IF(AND(NOT(ISBLANK(E743)),COUNTBLANK(E743:K743) = 6),"3 Delete",IF(ISBLANK(E743),"2 Add",IF(SHA1Range(E743:K743) = "889a37e8f9869f0eec3bb97fb7f11b84f70bdcf2","0 Original","1 Modify"))))</f>
        <v>0 Original</v>
      </c>
      <c r="D743" s="3" t="s">
        <v>1366</v>
      </c>
      <c r="E743" s="5">
        <v>745</v>
      </c>
      <c r="F743">
        <v>228</v>
      </c>
      <c r="G743" t="s">
        <v>58</v>
      </c>
      <c r="H743" s="7">
        <v>8.99</v>
      </c>
      <c r="I743" s="5">
        <v>1</v>
      </c>
      <c r="J743" s="3" t="s">
        <v>29</v>
      </c>
      <c r="K743" s="9">
        <v>42483.62572916667</v>
      </c>
    </row>
    <row r="744" spans="3:11" x14ac:dyDescent="0.25">
      <c r="C744" t="str">
        <f>IF(COUNTBLANK(E744:K744) = 7,"",IF(AND(NOT(ISBLANK(E744)),COUNTBLANK(E744:K744) = 6),"3 Delete",IF(ISBLANK(E744),"2 Add",IF(SHA1Range(E744:K744) = "97a930d402d43eefdcb6edeb482139c0375595fc","0 Original","1 Modify"))))</f>
        <v>0 Original</v>
      </c>
      <c r="D744" s="3" t="s">
        <v>1367</v>
      </c>
      <c r="E744" s="5">
        <v>746</v>
      </c>
      <c r="F744">
        <v>229</v>
      </c>
      <c r="G744" t="s">
        <v>37</v>
      </c>
      <c r="H744" s="7">
        <v>6.99</v>
      </c>
      <c r="I744" s="5">
        <v>2</v>
      </c>
      <c r="J744" s="3" t="s">
        <v>29</v>
      </c>
      <c r="K744" s="9">
        <v>42483.62572916667</v>
      </c>
    </row>
    <row r="745" spans="3:11" x14ac:dyDescent="0.25">
      <c r="C745" t="str">
        <f>IF(COUNTBLANK(E745:K745) = 7,"",IF(AND(NOT(ISBLANK(E745)),COUNTBLANK(E745:K745) = 6),"3 Delete",IF(ISBLANK(E745),"2 Add",IF(SHA1Range(E745:K745) = "7d9f396e624624d251099586f228ebc1849b05b4","0 Original","1 Modify"))))</f>
        <v>0 Original</v>
      </c>
      <c r="D745" s="3" t="s">
        <v>1368</v>
      </c>
      <c r="E745" s="5">
        <v>747</v>
      </c>
      <c r="F745">
        <v>229</v>
      </c>
      <c r="G745" t="s">
        <v>599</v>
      </c>
      <c r="H745" s="7">
        <v>5.99</v>
      </c>
      <c r="I745" s="5">
        <v>2</v>
      </c>
      <c r="J745" s="3" t="s">
        <v>29</v>
      </c>
      <c r="K745" s="9">
        <v>42483.62572916667</v>
      </c>
    </row>
    <row r="746" spans="3:11" x14ac:dyDescent="0.25">
      <c r="C746" t="str">
        <f>IF(COUNTBLANK(E746:K746) = 7,"",IF(AND(NOT(ISBLANK(E746)),COUNTBLANK(E746:K746) = 6),"3 Delete",IF(ISBLANK(E746),"2 Add",IF(SHA1Range(E746:K746) = "6dd572a97cddd5e083c3f8e22c5ca606cb512186","0 Original","1 Modify"))))</f>
        <v>0 Original</v>
      </c>
      <c r="D746" s="3" t="s">
        <v>1369</v>
      </c>
      <c r="E746" s="5">
        <v>748</v>
      </c>
      <c r="F746">
        <v>229</v>
      </c>
      <c r="G746" t="s">
        <v>54</v>
      </c>
      <c r="H746" s="7">
        <v>5.99</v>
      </c>
      <c r="I746" s="5">
        <v>1</v>
      </c>
      <c r="J746" s="3" t="s">
        <v>29</v>
      </c>
      <c r="K746" s="9">
        <v>42483.62572916667</v>
      </c>
    </row>
    <row r="747" spans="3:11" x14ac:dyDescent="0.25">
      <c r="C747" t="str">
        <f>IF(COUNTBLANK(E747:K747) = 7,"",IF(AND(NOT(ISBLANK(E747)),COUNTBLANK(E747:K747) = 6),"3 Delete",IF(ISBLANK(E747),"2 Add",IF(SHA1Range(E747:K747) = "09e70882417ce1df9e47459803074b402ff8a066","0 Original","1 Modify"))))</f>
        <v>0 Original</v>
      </c>
      <c r="D747" s="3" t="s">
        <v>1370</v>
      </c>
      <c r="E747" s="5">
        <v>749</v>
      </c>
      <c r="F747">
        <v>229</v>
      </c>
      <c r="G747" t="s">
        <v>136</v>
      </c>
      <c r="H747" s="7">
        <v>8.99</v>
      </c>
      <c r="I747" s="5">
        <v>2</v>
      </c>
      <c r="J747" s="3" t="s">
        <v>29</v>
      </c>
      <c r="K747" s="9">
        <v>42483.62572916667</v>
      </c>
    </row>
    <row r="748" spans="3:11" x14ac:dyDescent="0.25">
      <c r="C748" t="str">
        <f>IF(COUNTBLANK(E748:K748) = 7,"",IF(AND(NOT(ISBLANK(E748)),COUNTBLANK(E748:K748) = 6),"3 Delete",IF(ISBLANK(E748),"2 Add",IF(SHA1Range(E748:K748) = "9ce8985d8be26eefed21a6762e7434547b542ad0","0 Original","1 Modify"))))</f>
        <v>0 Original</v>
      </c>
      <c r="D748" s="3" t="s">
        <v>1371</v>
      </c>
      <c r="E748" s="5">
        <v>750</v>
      </c>
      <c r="F748">
        <v>229</v>
      </c>
      <c r="G748" t="s">
        <v>418</v>
      </c>
      <c r="H748" s="7">
        <v>6.99</v>
      </c>
      <c r="I748" s="5">
        <v>1</v>
      </c>
      <c r="J748" s="3" t="s">
        <v>29</v>
      </c>
      <c r="K748" s="9">
        <v>42483.62572916667</v>
      </c>
    </row>
    <row r="749" spans="3:11" x14ac:dyDescent="0.25">
      <c r="C749" t="str">
        <f>IF(COUNTBLANK(E749:K749) = 7,"",IF(AND(NOT(ISBLANK(E749)),COUNTBLANK(E749:K749) = 6),"3 Delete",IF(ISBLANK(E749),"2 Add",IF(SHA1Range(E749:K749) = "7ad14ca4d79c6b77edf918a5cb5a16d858fa9898","0 Original","1 Modify"))))</f>
        <v>0 Original</v>
      </c>
      <c r="D749" s="3" t="s">
        <v>1372</v>
      </c>
      <c r="E749" s="5">
        <v>751</v>
      </c>
      <c r="F749">
        <v>229</v>
      </c>
      <c r="G749" t="s">
        <v>30</v>
      </c>
      <c r="H749" s="7">
        <v>9.99</v>
      </c>
      <c r="I749" s="5">
        <v>1</v>
      </c>
      <c r="J749" s="3" t="s">
        <v>29</v>
      </c>
      <c r="K749" s="9">
        <v>42483.62572916667</v>
      </c>
    </row>
    <row r="750" spans="3:11" x14ac:dyDescent="0.25">
      <c r="C750" t="str">
        <f>IF(COUNTBLANK(E750:K750) = 7,"",IF(AND(NOT(ISBLANK(E750)),COUNTBLANK(E750:K750) = 6),"3 Delete",IF(ISBLANK(E750),"2 Add",IF(SHA1Range(E750:K750) = "57216fcbb3e568fd5bc98b51d84fc6b3fd13c321","0 Original","1 Modify"))))</f>
        <v>0 Original</v>
      </c>
      <c r="D750" s="3" t="s">
        <v>1373</v>
      </c>
      <c r="E750" s="5">
        <v>752</v>
      </c>
      <c r="F750">
        <v>229</v>
      </c>
      <c r="G750" t="s">
        <v>230</v>
      </c>
      <c r="H750" s="7">
        <v>5.99</v>
      </c>
      <c r="I750" s="5">
        <v>1</v>
      </c>
      <c r="J750" s="3" t="s">
        <v>29</v>
      </c>
      <c r="K750" s="9">
        <v>42483.62572916667</v>
      </c>
    </row>
    <row r="751" spans="3:11" x14ac:dyDescent="0.25">
      <c r="C751" t="str">
        <f>IF(COUNTBLANK(E751:K751) = 7,"",IF(AND(NOT(ISBLANK(E751)),COUNTBLANK(E751:K751) = 6),"3 Delete",IF(ISBLANK(E751),"2 Add",IF(SHA1Range(E751:K751) = "c78d648968e24e3c6e0a8de2ab2bc3f8a011a470","0 Original","1 Modify"))))</f>
        <v>0 Original</v>
      </c>
      <c r="D751" s="3" t="s">
        <v>1374</v>
      </c>
      <c r="E751" s="5">
        <v>753</v>
      </c>
      <c r="F751">
        <v>230</v>
      </c>
      <c r="G751" t="s">
        <v>54</v>
      </c>
      <c r="H751" s="7">
        <v>5.99</v>
      </c>
      <c r="I751" s="5">
        <v>1</v>
      </c>
      <c r="J751" s="3" t="s">
        <v>29</v>
      </c>
      <c r="K751" s="9">
        <v>42483.62572916667</v>
      </c>
    </row>
    <row r="752" spans="3:11" x14ac:dyDescent="0.25">
      <c r="C752" t="str">
        <f>IF(COUNTBLANK(E752:K752) = 7,"",IF(AND(NOT(ISBLANK(E752)),COUNTBLANK(E752:K752) = 6),"3 Delete",IF(ISBLANK(E752),"2 Add",IF(SHA1Range(E752:K752) = "531d8a81bebafc303dae60db4a36723d87266658","0 Original","1 Modify"))))</f>
        <v>0 Original</v>
      </c>
      <c r="D752" s="3" t="s">
        <v>1375</v>
      </c>
      <c r="E752" s="5">
        <v>754</v>
      </c>
      <c r="F752">
        <v>230</v>
      </c>
      <c r="G752" t="s">
        <v>238</v>
      </c>
      <c r="H752" s="7">
        <v>5.99</v>
      </c>
      <c r="I752" s="5">
        <v>2</v>
      </c>
      <c r="J752" s="3" t="s">
        <v>29</v>
      </c>
      <c r="K752" s="9">
        <v>42483.62572916667</v>
      </c>
    </row>
    <row r="753" spans="3:11" x14ac:dyDescent="0.25">
      <c r="C753" t="str">
        <f>IF(COUNTBLANK(E753:K753) = 7,"",IF(AND(NOT(ISBLANK(E753)),COUNTBLANK(E753:K753) = 6),"3 Delete",IF(ISBLANK(E753),"2 Add",IF(SHA1Range(E753:K753) = "afa87d517cdd6a960ea996591f366292426ca9f7","0 Original","1 Modify"))))</f>
        <v>0 Original</v>
      </c>
      <c r="D753" s="3" t="s">
        <v>1376</v>
      </c>
      <c r="E753" s="5">
        <v>755</v>
      </c>
      <c r="F753">
        <v>230</v>
      </c>
      <c r="G753" t="s">
        <v>149</v>
      </c>
      <c r="H753" s="7">
        <v>7.99</v>
      </c>
      <c r="I753" s="5">
        <v>2</v>
      </c>
      <c r="J753" s="3" t="s">
        <v>29</v>
      </c>
      <c r="K753" s="9">
        <v>42483.62572916667</v>
      </c>
    </row>
    <row r="754" spans="3:11" x14ac:dyDescent="0.25">
      <c r="C754" t="str">
        <f>IF(COUNTBLANK(E754:K754) = 7,"",IF(AND(NOT(ISBLANK(E754)),COUNTBLANK(E754:K754) = 6),"3 Delete",IF(ISBLANK(E754),"2 Add",IF(SHA1Range(E754:K754) = "75d61c1e2fc53b912c5b175ee61c9b84dd81e9ae","0 Original","1 Modify"))))</f>
        <v>0 Original</v>
      </c>
      <c r="D754" s="3" t="s">
        <v>1377</v>
      </c>
      <c r="E754" s="5">
        <v>756</v>
      </c>
      <c r="F754">
        <v>230</v>
      </c>
      <c r="G754" t="s">
        <v>503</v>
      </c>
      <c r="H754" s="7">
        <v>8.99</v>
      </c>
      <c r="I754" s="5">
        <v>2</v>
      </c>
      <c r="J754" s="3" t="s">
        <v>29</v>
      </c>
      <c r="K754" s="9">
        <v>42483.62572916667</v>
      </c>
    </row>
    <row r="755" spans="3:11" x14ac:dyDescent="0.25">
      <c r="C755" t="str">
        <f>IF(COUNTBLANK(E755:K755) = 7,"",IF(AND(NOT(ISBLANK(E755)),COUNTBLANK(E755:K755) = 6),"3 Delete",IF(ISBLANK(E755),"2 Add",IF(SHA1Range(E755:K755) = "b92ba13aecb2bc5c5ad514c95b8ff645e7433c7d","0 Original","1 Modify"))))</f>
        <v>0 Original</v>
      </c>
      <c r="D755" s="3" t="s">
        <v>1378</v>
      </c>
      <c r="E755" s="5">
        <v>757</v>
      </c>
      <c r="F755">
        <v>231</v>
      </c>
      <c r="G755" t="s">
        <v>30</v>
      </c>
      <c r="H755" s="7">
        <v>9.99</v>
      </c>
      <c r="I755" s="5">
        <v>1</v>
      </c>
      <c r="J755" s="3" t="s">
        <v>29</v>
      </c>
      <c r="K755" s="9">
        <v>42483.62572916667</v>
      </c>
    </row>
    <row r="756" spans="3:11" x14ac:dyDescent="0.25">
      <c r="C756" t="str">
        <f>IF(COUNTBLANK(E756:K756) = 7,"",IF(AND(NOT(ISBLANK(E756)),COUNTBLANK(E756:K756) = 6),"3 Delete",IF(ISBLANK(E756),"2 Add",IF(SHA1Range(E756:K756) = "6ead8b37e77a95f4c87b529a9c0a97bee7e5f97b","0 Original","1 Modify"))))</f>
        <v>0 Original</v>
      </c>
      <c r="D756" s="3" t="s">
        <v>1379</v>
      </c>
      <c r="E756" s="5">
        <v>758</v>
      </c>
      <c r="F756">
        <v>231</v>
      </c>
      <c r="G756" t="s">
        <v>335</v>
      </c>
      <c r="H756" s="7">
        <v>5.99</v>
      </c>
      <c r="I756" s="5">
        <v>2</v>
      </c>
      <c r="J756" s="3" t="s">
        <v>29</v>
      </c>
      <c r="K756" s="9">
        <v>42483.62572916667</v>
      </c>
    </row>
    <row r="757" spans="3:11" x14ac:dyDescent="0.25">
      <c r="C757" t="str">
        <f>IF(COUNTBLANK(E757:K757) = 7,"",IF(AND(NOT(ISBLANK(E757)),COUNTBLANK(E757:K757) = 6),"3 Delete",IF(ISBLANK(E757),"2 Add",IF(SHA1Range(E757:K757) = "df17ad58022744ebda2fa106e05dad2372f41855","0 Original","1 Modify"))))</f>
        <v>0 Original</v>
      </c>
      <c r="D757" s="3" t="s">
        <v>1380</v>
      </c>
      <c r="E757" s="5">
        <v>759</v>
      </c>
      <c r="F757">
        <v>232</v>
      </c>
      <c r="G757" t="s">
        <v>599</v>
      </c>
      <c r="H757" s="7">
        <v>5.99</v>
      </c>
      <c r="I757" s="5">
        <v>1</v>
      </c>
      <c r="J757" s="3" t="s">
        <v>29</v>
      </c>
      <c r="K757" s="9">
        <v>42483.62572916667</v>
      </c>
    </row>
    <row r="758" spans="3:11" x14ac:dyDescent="0.25">
      <c r="C758" t="str">
        <f>IF(COUNTBLANK(E758:K758) = 7,"",IF(AND(NOT(ISBLANK(E758)),COUNTBLANK(E758:K758) = 6),"3 Delete",IF(ISBLANK(E758),"2 Add",IF(SHA1Range(E758:K758) = "a38364a7b605170b2aca9de228ce10f445777bd5","0 Original","1 Modify"))))</f>
        <v>0 Original</v>
      </c>
      <c r="D758" s="3" t="s">
        <v>1381</v>
      </c>
      <c r="E758" s="5">
        <v>760</v>
      </c>
      <c r="F758">
        <v>232</v>
      </c>
      <c r="G758" t="s">
        <v>152</v>
      </c>
      <c r="H758" s="7">
        <v>5.99</v>
      </c>
      <c r="I758" s="5">
        <v>1</v>
      </c>
      <c r="J758" s="3" t="s">
        <v>29</v>
      </c>
      <c r="K758" s="9">
        <v>42483.62572916667</v>
      </c>
    </row>
    <row r="759" spans="3:11" x14ac:dyDescent="0.25">
      <c r="C759" t="str">
        <f>IF(COUNTBLANK(E759:K759) = 7,"",IF(AND(NOT(ISBLANK(E759)),COUNTBLANK(E759:K759) = 6),"3 Delete",IF(ISBLANK(E759),"2 Add",IF(SHA1Range(E759:K759) = "425b48f402916253642f09f2143c917d23bebbb0","0 Original","1 Modify"))))</f>
        <v>0 Original</v>
      </c>
      <c r="D759" s="3" t="s">
        <v>1382</v>
      </c>
      <c r="E759" s="5">
        <v>761</v>
      </c>
      <c r="F759">
        <v>232</v>
      </c>
      <c r="G759" t="s">
        <v>246</v>
      </c>
      <c r="H759" s="7">
        <v>7.99</v>
      </c>
      <c r="I759" s="5">
        <v>2</v>
      </c>
      <c r="J759" s="3" t="s">
        <v>29</v>
      </c>
      <c r="K759" s="9">
        <v>42483.62572916667</v>
      </c>
    </row>
    <row r="760" spans="3:11" x14ac:dyDescent="0.25">
      <c r="C760" t="str">
        <f>IF(COUNTBLANK(E760:K760) = 7,"",IF(AND(NOT(ISBLANK(E760)),COUNTBLANK(E760:K760) = 6),"3 Delete",IF(ISBLANK(E760),"2 Add",IF(SHA1Range(E760:K760) = "e5e75518ac1e40fccbaa0ae335e68e3a8d0a8dc8","0 Original","1 Modify"))))</f>
        <v>0 Original</v>
      </c>
      <c r="D760" s="3" t="s">
        <v>1383</v>
      </c>
      <c r="E760" s="5">
        <v>762</v>
      </c>
      <c r="F760">
        <v>233</v>
      </c>
      <c r="G760" t="s">
        <v>537</v>
      </c>
      <c r="H760" s="7">
        <v>7.99</v>
      </c>
      <c r="I760" s="5">
        <v>1</v>
      </c>
      <c r="J760" s="3" t="s">
        <v>29</v>
      </c>
      <c r="K760" s="9">
        <v>42483.62572916667</v>
      </c>
    </row>
    <row r="761" spans="3:11" x14ac:dyDescent="0.25">
      <c r="C761" t="str">
        <f>IF(COUNTBLANK(E761:K761) = 7,"",IF(AND(NOT(ISBLANK(E761)),COUNTBLANK(E761:K761) = 6),"3 Delete",IF(ISBLANK(E761),"2 Add",IF(SHA1Range(E761:K761) = "350c7ff1cd5768b7d65a789248220b8552cbab42","0 Original","1 Modify"))))</f>
        <v>0 Original</v>
      </c>
      <c r="D761" s="3" t="s">
        <v>1384</v>
      </c>
      <c r="E761" s="5">
        <v>763</v>
      </c>
      <c r="F761">
        <v>234</v>
      </c>
      <c r="G761" t="s">
        <v>459</v>
      </c>
      <c r="H761" s="7">
        <v>5.99</v>
      </c>
      <c r="I761" s="5">
        <v>2</v>
      </c>
      <c r="J761" s="3" t="s">
        <v>29</v>
      </c>
      <c r="K761" s="9">
        <v>42483.62572916667</v>
      </c>
    </row>
    <row r="762" spans="3:11" x14ac:dyDescent="0.25">
      <c r="C762" t="str">
        <f>IF(COUNTBLANK(E762:K762) = 7,"",IF(AND(NOT(ISBLANK(E762)),COUNTBLANK(E762:K762) = 6),"3 Delete",IF(ISBLANK(E762),"2 Add",IF(SHA1Range(E762:K762) = "f2976394dfd2b5c1d395d757c18fd037be37f198","0 Original","1 Modify"))))</f>
        <v>0 Original</v>
      </c>
      <c r="D762" s="3" t="s">
        <v>1385</v>
      </c>
      <c r="E762" s="5">
        <v>764</v>
      </c>
      <c r="F762">
        <v>235</v>
      </c>
      <c r="G762" t="s">
        <v>257</v>
      </c>
      <c r="H762" s="7">
        <v>9.99</v>
      </c>
      <c r="I762" s="5">
        <v>1</v>
      </c>
      <c r="J762" s="3" t="s">
        <v>29</v>
      </c>
      <c r="K762" s="9">
        <v>42483.62572916667</v>
      </c>
    </row>
    <row r="763" spans="3:11" x14ac:dyDescent="0.25">
      <c r="C763" t="str">
        <f>IF(COUNTBLANK(E763:K763) = 7,"",IF(AND(NOT(ISBLANK(E763)),COUNTBLANK(E763:K763) = 6),"3 Delete",IF(ISBLANK(E763),"2 Add",IF(SHA1Range(E763:K763) = "e4dd76b6b7905ef88e34f165d5d6c488635346a8","0 Original","1 Modify"))))</f>
        <v>0 Original</v>
      </c>
      <c r="D763" s="3" t="s">
        <v>1386</v>
      </c>
      <c r="E763" s="5">
        <v>765</v>
      </c>
      <c r="F763">
        <v>235</v>
      </c>
      <c r="G763" t="s">
        <v>295</v>
      </c>
      <c r="H763" s="7">
        <v>7.99</v>
      </c>
      <c r="I763" s="5">
        <v>1</v>
      </c>
      <c r="J763" s="3" t="s">
        <v>29</v>
      </c>
      <c r="K763" s="9">
        <v>42483.62572916667</v>
      </c>
    </row>
    <row r="764" spans="3:11" x14ac:dyDescent="0.25">
      <c r="C764" t="str">
        <f>IF(COUNTBLANK(E764:K764) = 7,"",IF(AND(NOT(ISBLANK(E764)),COUNTBLANK(E764:K764) = 6),"3 Delete",IF(ISBLANK(E764),"2 Add",IF(SHA1Range(E764:K764) = "e3339766cbf8b1d967f6bd8f38127d126bbf06cc","0 Original","1 Modify"))))</f>
        <v>0 Original</v>
      </c>
      <c r="D764" s="3" t="s">
        <v>1387</v>
      </c>
      <c r="E764" s="5">
        <v>766</v>
      </c>
      <c r="F764">
        <v>235</v>
      </c>
      <c r="G764" t="s">
        <v>537</v>
      </c>
      <c r="H764" s="7">
        <v>7.99</v>
      </c>
      <c r="I764" s="5">
        <v>1</v>
      </c>
      <c r="J764" s="3" t="s">
        <v>29</v>
      </c>
      <c r="K764" s="9">
        <v>42483.62572916667</v>
      </c>
    </row>
    <row r="765" spans="3:11" x14ac:dyDescent="0.25">
      <c r="C765" t="str">
        <f>IF(COUNTBLANK(E765:K765) = 7,"",IF(AND(NOT(ISBLANK(E765)),COUNTBLANK(E765:K765) = 6),"3 Delete",IF(ISBLANK(E765),"2 Add",IF(SHA1Range(E765:K765) = "cbbd920911dfe37de33eaf7afba072bb6a084578","0 Original","1 Modify"))))</f>
        <v>0 Original</v>
      </c>
      <c r="D765" s="3" t="s">
        <v>1388</v>
      </c>
      <c r="E765" s="5">
        <v>767</v>
      </c>
      <c r="F765">
        <v>235</v>
      </c>
      <c r="G765" t="s">
        <v>602</v>
      </c>
      <c r="H765" s="7">
        <v>7.99</v>
      </c>
      <c r="I765" s="5">
        <v>2</v>
      </c>
      <c r="J765" s="3" t="s">
        <v>29</v>
      </c>
      <c r="K765" s="9">
        <v>42483.62572916667</v>
      </c>
    </row>
    <row r="766" spans="3:11" x14ac:dyDescent="0.25">
      <c r="C766" t="str">
        <f>IF(COUNTBLANK(E766:K766) = 7,"",IF(AND(NOT(ISBLANK(E766)),COUNTBLANK(E766:K766) = 6),"3 Delete",IF(ISBLANK(E766),"2 Add",IF(SHA1Range(E766:K766) = "8d09618077f2a77cc0161f2e3d91dfde26ada245","0 Original","1 Modify"))))</f>
        <v>0 Original</v>
      </c>
      <c r="D766" s="3" t="s">
        <v>1389</v>
      </c>
      <c r="E766" s="5">
        <v>768</v>
      </c>
      <c r="F766">
        <v>236</v>
      </c>
      <c r="G766" t="s">
        <v>246</v>
      </c>
      <c r="H766" s="7">
        <v>7.99</v>
      </c>
      <c r="I766" s="5">
        <v>1</v>
      </c>
      <c r="J766" s="3" t="s">
        <v>29</v>
      </c>
      <c r="K766" s="9">
        <v>42483.62572916667</v>
      </c>
    </row>
    <row r="767" spans="3:11" x14ac:dyDescent="0.25">
      <c r="C767" t="str">
        <f>IF(COUNTBLANK(E767:K767) = 7,"",IF(AND(NOT(ISBLANK(E767)),COUNTBLANK(E767:K767) = 6),"3 Delete",IF(ISBLANK(E767),"2 Add",IF(SHA1Range(E767:K767) = "ee9d988c15cb3bcedbc69f3e8df150817edb24d2","0 Original","1 Modify"))))</f>
        <v>0 Original</v>
      </c>
      <c r="D767" s="3" t="s">
        <v>1390</v>
      </c>
      <c r="E767" s="5">
        <v>769</v>
      </c>
      <c r="F767">
        <v>236</v>
      </c>
      <c r="G767" t="s">
        <v>425</v>
      </c>
      <c r="H767" s="7">
        <v>6.99</v>
      </c>
      <c r="I767" s="5">
        <v>1</v>
      </c>
      <c r="J767" s="3" t="s">
        <v>29</v>
      </c>
      <c r="K767" s="9">
        <v>42483.62572916667</v>
      </c>
    </row>
    <row r="768" spans="3:11" x14ac:dyDescent="0.25">
      <c r="C768" t="str">
        <f>IF(COUNTBLANK(E768:K768) = 7,"",IF(AND(NOT(ISBLANK(E768)),COUNTBLANK(E768:K768) = 6),"3 Delete",IF(ISBLANK(E768),"2 Add",IF(SHA1Range(E768:K768) = "0caa0ab504247817302b11cfddcb9cfced8c322c","0 Original","1 Modify"))))</f>
        <v>0 Original</v>
      </c>
      <c r="D768" s="3" t="s">
        <v>1391</v>
      </c>
      <c r="E768" s="5">
        <v>770</v>
      </c>
      <c r="F768">
        <v>236</v>
      </c>
      <c r="G768" t="s">
        <v>459</v>
      </c>
      <c r="H768" s="7">
        <v>5.99</v>
      </c>
      <c r="I768" s="5">
        <v>2</v>
      </c>
      <c r="J768" s="3" t="s">
        <v>29</v>
      </c>
      <c r="K768" s="9">
        <v>42483.62572916667</v>
      </c>
    </row>
    <row r="769" spans="3:11" x14ac:dyDescent="0.25">
      <c r="C769" t="str">
        <f>IF(COUNTBLANK(E769:K769) = 7,"",IF(AND(NOT(ISBLANK(E769)),COUNTBLANK(E769:K769) = 6),"3 Delete",IF(ISBLANK(E769),"2 Add",IF(SHA1Range(E769:K769) = "2df1e38349c9eb51a8731722d35df02fad48e154","0 Original","1 Modify"))))</f>
        <v>0 Original</v>
      </c>
      <c r="D769" s="3" t="s">
        <v>1392</v>
      </c>
      <c r="E769" s="5">
        <v>771</v>
      </c>
      <c r="F769">
        <v>236</v>
      </c>
      <c r="G769" t="s">
        <v>335</v>
      </c>
      <c r="H769" s="7">
        <v>5.99</v>
      </c>
      <c r="I769" s="5">
        <v>1</v>
      </c>
      <c r="J769" s="3" t="s">
        <v>29</v>
      </c>
      <c r="K769" s="9">
        <v>42483.62572916667</v>
      </c>
    </row>
    <row r="770" spans="3:11" x14ac:dyDescent="0.25">
      <c r="C770" t="str">
        <f>IF(COUNTBLANK(E770:K770) = 7,"",IF(AND(NOT(ISBLANK(E770)),COUNTBLANK(E770:K770) = 6),"3 Delete",IF(ISBLANK(E770),"2 Add",IF(SHA1Range(E770:K770) = "57bc7493bda5f0e538381911162619be4268bfb0","0 Original","1 Modify"))))</f>
        <v>0 Original</v>
      </c>
      <c r="D770" s="3" t="s">
        <v>1393</v>
      </c>
      <c r="E770" s="5">
        <v>772</v>
      </c>
      <c r="F770">
        <v>236</v>
      </c>
      <c r="G770" t="s">
        <v>456</v>
      </c>
      <c r="H770" s="7">
        <v>9.99</v>
      </c>
      <c r="I770" s="5">
        <v>1</v>
      </c>
      <c r="J770" s="3" t="s">
        <v>29</v>
      </c>
      <c r="K770" s="9">
        <v>42483.62572916667</v>
      </c>
    </row>
    <row r="771" spans="3:11" x14ac:dyDescent="0.25">
      <c r="C771" t="str">
        <f>IF(COUNTBLANK(E771:K771) = 7,"",IF(AND(NOT(ISBLANK(E771)),COUNTBLANK(E771:K771) = 6),"3 Delete",IF(ISBLANK(E771),"2 Add",IF(SHA1Range(E771:K771) = "bc4de7ffc62c644e5e315e8314b505828a10eac3","0 Original","1 Modify"))))</f>
        <v>0 Original</v>
      </c>
      <c r="D771" s="3" t="s">
        <v>1394</v>
      </c>
      <c r="E771" s="5">
        <v>773</v>
      </c>
      <c r="F771">
        <v>236</v>
      </c>
      <c r="G771" t="s">
        <v>254</v>
      </c>
      <c r="H771" s="7">
        <v>4.99</v>
      </c>
      <c r="I771" s="5">
        <v>1</v>
      </c>
      <c r="J771" s="3" t="s">
        <v>29</v>
      </c>
      <c r="K771" s="9">
        <v>42483.62572916667</v>
      </c>
    </row>
    <row r="772" spans="3:11" x14ac:dyDescent="0.25">
      <c r="C772" t="str">
        <f>IF(COUNTBLANK(E772:K772) = 7,"",IF(AND(NOT(ISBLANK(E772)),COUNTBLANK(E772:K772) = 6),"3 Delete",IF(ISBLANK(E772),"2 Add",IF(SHA1Range(E772:K772) = "df13924233f28d78b354e897bc07ff2b6715f759","0 Original","1 Modify"))))</f>
        <v>0 Original</v>
      </c>
      <c r="D772" s="3" t="s">
        <v>1395</v>
      </c>
      <c r="E772" s="5">
        <v>774</v>
      </c>
      <c r="F772">
        <v>237</v>
      </c>
      <c r="G772" t="s">
        <v>126</v>
      </c>
      <c r="H772" s="7">
        <v>6.99</v>
      </c>
      <c r="I772" s="5">
        <v>1</v>
      </c>
      <c r="J772" s="3" t="s">
        <v>29</v>
      </c>
      <c r="K772" s="9">
        <v>42483.62572916667</v>
      </c>
    </row>
    <row r="773" spans="3:11" x14ac:dyDescent="0.25">
      <c r="C773" t="str">
        <f>IF(COUNTBLANK(E773:K773) = 7,"",IF(AND(NOT(ISBLANK(E773)),COUNTBLANK(E773:K773) = 6),"3 Delete",IF(ISBLANK(E773),"2 Add",IF(SHA1Range(E773:K773) = "7cbd9eb1b2e4390809b30ef1f4d2a169cdaaa736","0 Original","1 Modify"))))</f>
        <v>0 Original</v>
      </c>
      <c r="D773" s="3" t="s">
        <v>1396</v>
      </c>
      <c r="E773" s="5">
        <v>775</v>
      </c>
      <c r="F773">
        <v>237</v>
      </c>
      <c r="G773" t="s">
        <v>407</v>
      </c>
      <c r="H773" s="7">
        <v>9.99</v>
      </c>
      <c r="I773" s="5">
        <v>1</v>
      </c>
      <c r="J773" s="3" t="s">
        <v>29</v>
      </c>
      <c r="K773" s="9">
        <v>42483.62572916667</v>
      </c>
    </row>
    <row r="774" spans="3:11" x14ac:dyDescent="0.25">
      <c r="C774" t="str">
        <f>IF(COUNTBLANK(E774:K774) = 7,"",IF(AND(NOT(ISBLANK(E774)),COUNTBLANK(E774:K774) = 6),"3 Delete",IF(ISBLANK(E774),"2 Add",IF(SHA1Range(E774:K774) = "21c5ff3786d879c12f3aaad6af7efbd4987b292b","0 Original","1 Modify"))))</f>
        <v>0 Original</v>
      </c>
      <c r="D774" s="3" t="s">
        <v>1397</v>
      </c>
      <c r="E774" s="5">
        <v>776</v>
      </c>
      <c r="F774">
        <v>237</v>
      </c>
      <c r="G774" t="s">
        <v>573</v>
      </c>
      <c r="H774" s="7">
        <v>9.99</v>
      </c>
      <c r="I774" s="5">
        <v>2</v>
      </c>
      <c r="J774" s="3" t="s">
        <v>29</v>
      </c>
      <c r="K774" s="9">
        <v>42483.62572916667</v>
      </c>
    </row>
    <row r="775" spans="3:11" x14ac:dyDescent="0.25">
      <c r="C775" t="str">
        <f>IF(COUNTBLANK(E775:K775) = 7,"",IF(AND(NOT(ISBLANK(E775)),COUNTBLANK(E775:K775) = 6),"3 Delete",IF(ISBLANK(E775),"2 Add",IF(SHA1Range(E775:K775) = "7f2b4753e493bca88ece5c5c7265cc0cc6adae6a","0 Original","1 Modify"))))</f>
        <v>0 Original</v>
      </c>
      <c r="D775" s="3" t="s">
        <v>1398</v>
      </c>
      <c r="E775" s="5">
        <v>777</v>
      </c>
      <c r="F775">
        <v>237</v>
      </c>
      <c r="G775" t="s">
        <v>130</v>
      </c>
      <c r="H775" s="7">
        <v>8.99</v>
      </c>
      <c r="I775" s="5">
        <v>2</v>
      </c>
      <c r="J775" s="3" t="s">
        <v>29</v>
      </c>
      <c r="K775" s="9">
        <v>42483.62572916667</v>
      </c>
    </row>
    <row r="776" spans="3:11" x14ac:dyDescent="0.25">
      <c r="C776" t="str">
        <f>IF(COUNTBLANK(E776:K776) = 7,"",IF(AND(NOT(ISBLANK(E776)),COUNTBLANK(E776:K776) = 6),"3 Delete",IF(ISBLANK(E776),"2 Add",IF(SHA1Range(E776:K776) = "a84fa7c1ddb8a2353ef0e230399ed10a78ea98f8","0 Original","1 Modify"))))</f>
        <v>0 Original</v>
      </c>
      <c r="D776" s="3" t="s">
        <v>1399</v>
      </c>
      <c r="E776" s="5">
        <v>778</v>
      </c>
      <c r="F776">
        <v>238</v>
      </c>
      <c r="G776" t="s">
        <v>250</v>
      </c>
      <c r="H776" s="7">
        <v>8.99</v>
      </c>
      <c r="I776" s="5">
        <v>1</v>
      </c>
      <c r="J776" s="3" t="s">
        <v>29</v>
      </c>
      <c r="K776" s="9">
        <v>42483.62572916667</v>
      </c>
    </row>
    <row r="777" spans="3:11" x14ac:dyDescent="0.25">
      <c r="C777" t="str">
        <f>IF(COUNTBLANK(E777:K777) = 7,"",IF(AND(NOT(ISBLANK(E777)),COUNTBLANK(E777:K777) = 6),"3 Delete",IF(ISBLANK(E777),"2 Add",IF(SHA1Range(E777:K777) = "2bdb1b0cf935cccb06466ffb219b9a13ea210d06","0 Original","1 Modify"))))</f>
        <v>0 Original</v>
      </c>
      <c r="D777" s="3" t="s">
        <v>1400</v>
      </c>
      <c r="E777" s="5">
        <v>779</v>
      </c>
      <c r="F777">
        <v>238</v>
      </c>
      <c r="G777" t="s">
        <v>136</v>
      </c>
      <c r="H777" s="7">
        <v>8.99</v>
      </c>
      <c r="I777" s="5">
        <v>1</v>
      </c>
      <c r="J777" s="3" t="s">
        <v>29</v>
      </c>
      <c r="K777" s="9">
        <v>42483.62572916667</v>
      </c>
    </row>
    <row r="778" spans="3:11" x14ac:dyDescent="0.25">
      <c r="C778" t="str">
        <f>IF(COUNTBLANK(E778:K778) = 7,"",IF(AND(NOT(ISBLANK(E778)),COUNTBLANK(E778:K778) = 6),"3 Delete",IF(ISBLANK(E778),"2 Add",IF(SHA1Range(E778:K778) = "8c8f7445e61017c776fc83317e450653a535412f","0 Original","1 Modify"))))</f>
        <v>0 Original</v>
      </c>
      <c r="D778" s="3" t="s">
        <v>1401</v>
      </c>
      <c r="E778" s="5">
        <v>780</v>
      </c>
      <c r="F778">
        <v>239</v>
      </c>
      <c r="G778" t="s">
        <v>304</v>
      </c>
      <c r="H778" s="7">
        <v>8.99</v>
      </c>
      <c r="I778" s="5">
        <v>1</v>
      </c>
      <c r="J778" s="3" t="s">
        <v>29</v>
      </c>
      <c r="K778" s="9">
        <v>42483.62572916667</v>
      </c>
    </row>
    <row r="779" spans="3:11" x14ac:dyDescent="0.25">
      <c r="C779" t="str">
        <f>IF(COUNTBLANK(E779:K779) = 7,"",IF(AND(NOT(ISBLANK(E779)),COUNTBLANK(E779:K779) = 6),"3 Delete",IF(ISBLANK(E779),"2 Add",IF(SHA1Range(E779:K779) = "740dc3d3ce08d19a7cbb271d734766c55b38e691","0 Original","1 Modify"))))</f>
        <v>0 Original</v>
      </c>
      <c r="D779" s="3" t="s">
        <v>1402</v>
      </c>
      <c r="E779" s="5">
        <v>781</v>
      </c>
      <c r="F779">
        <v>239</v>
      </c>
      <c r="G779" t="s">
        <v>109</v>
      </c>
      <c r="H779" s="7">
        <v>8.99</v>
      </c>
      <c r="I779" s="5">
        <v>1</v>
      </c>
      <c r="J779" s="3" t="s">
        <v>29</v>
      </c>
      <c r="K779" s="9">
        <v>42483.62572916667</v>
      </c>
    </row>
    <row r="780" spans="3:11" x14ac:dyDescent="0.25">
      <c r="C780" t="str">
        <f>IF(COUNTBLANK(E780:K780) = 7,"",IF(AND(NOT(ISBLANK(E780)),COUNTBLANK(E780:K780) = 6),"3 Delete",IF(ISBLANK(E780),"2 Add",IF(SHA1Range(E780:K780) = "bb303240d22b23571b6eae06ffae46f9c49bb831","0 Original","1 Modify"))))</f>
        <v>0 Original</v>
      </c>
      <c r="D780" s="3" t="s">
        <v>1403</v>
      </c>
      <c r="E780" s="5">
        <v>782</v>
      </c>
      <c r="F780">
        <v>240</v>
      </c>
      <c r="G780" t="s">
        <v>546</v>
      </c>
      <c r="H780" s="7">
        <v>9.99</v>
      </c>
      <c r="I780" s="5">
        <v>2</v>
      </c>
      <c r="J780" s="3" t="s">
        <v>29</v>
      </c>
      <c r="K780" s="9">
        <v>42483.62572916667</v>
      </c>
    </row>
    <row r="781" spans="3:11" x14ac:dyDescent="0.25">
      <c r="C781" t="str">
        <f>IF(COUNTBLANK(E781:K781) = 7,"",IF(AND(NOT(ISBLANK(E781)),COUNTBLANK(E781:K781) = 6),"3 Delete",IF(ISBLANK(E781),"2 Add",IF(SHA1Range(E781:K781) = "d755ce9d73d960fa454c8cfe326d3cda44a31809","0 Original","1 Modify"))))</f>
        <v>0 Original</v>
      </c>
      <c r="D781" s="3" t="s">
        <v>1404</v>
      </c>
      <c r="E781" s="5">
        <v>783</v>
      </c>
      <c r="F781">
        <v>240</v>
      </c>
      <c r="G781" t="s">
        <v>388</v>
      </c>
      <c r="H781" s="7">
        <v>5.99</v>
      </c>
      <c r="I781" s="5">
        <v>2</v>
      </c>
      <c r="J781" s="3" t="s">
        <v>29</v>
      </c>
      <c r="K781" s="9">
        <v>42483.62572916667</v>
      </c>
    </row>
    <row r="782" spans="3:11" x14ac:dyDescent="0.25">
      <c r="C782" t="str">
        <f>IF(COUNTBLANK(E782:K782) = 7,"",IF(AND(NOT(ISBLANK(E782)),COUNTBLANK(E782:K782) = 6),"3 Delete",IF(ISBLANK(E782),"2 Add",IF(SHA1Range(E782:K782) = "cca2571b52c5d300f759c5c18e87ed0b624f82b3","0 Original","1 Modify"))))</f>
        <v>0 Original</v>
      </c>
      <c r="D782" s="3" t="s">
        <v>1405</v>
      </c>
      <c r="E782" s="5">
        <v>784</v>
      </c>
      <c r="F782">
        <v>240</v>
      </c>
      <c r="G782" t="s">
        <v>335</v>
      </c>
      <c r="H782" s="7">
        <v>5.99</v>
      </c>
      <c r="I782" s="5">
        <v>2</v>
      </c>
      <c r="J782" s="3" t="s">
        <v>29</v>
      </c>
      <c r="K782" s="9">
        <v>42483.62572916667</v>
      </c>
    </row>
    <row r="783" spans="3:11" x14ac:dyDescent="0.25">
      <c r="C783" t="str">
        <f>IF(COUNTBLANK(E783:K783) = 7,"",IF(AND(NOT(ISBLANK(E783)),COUNTBLANK(E783:K783) = 6),"3 Delete",IF(ISBLANK(E783),"2 Add",IF(SHA1Range(E783:K783) = "f8da531c6f0ff4f10a8126e47d0db1cc44f5c04f","0 Original","1 Modify"))))</f>
        <v>0 Original</v>
      </c>
      <c r="D783" s="3" t="s">
        <v>1406</v>
      </c>
      <c r="E783" s="5">
        <v>785</v>
      </c>
      <c r="F783">
        <v>240</v>
      </c>
      <c r="G783" t="s">
        <v>398</v>
      </c>
      <c r="H783" s="7">
        <v>4.99</v>
      </c>
      <c r="I783" s="5">
        <v>2</v>
      </c>
      <c r="J783" s="3" t="s">
        <v>29</v>
      </c>
      <c r="K783" s="9">
        <v>42483.62572916667</v>
      </c>
    </row>
    <row r="784" spans="3:11" x14ac:dyDescent="0.25">
      <c r="C784" t="str">
        <f>IF(COUNTBLANK(E784:K784) = 7,"",IF(AND(NOT(ISBLANK(E784)),COUNTBLANK(E784:K784) = 6),"3 Delete",IF(ISBLANK(E784),"2 Add",IF(SHA1Range(E784:K784) = "e641e14ddee4e9bbf488a2a36408264aa53611e3","0 Original","1 Modify"))))</f>
        <v>0 Original</v>
      </c>
      <c r="D784" s="3" t="s">
        <v>1407</v>
      </c>
      <c r="E784" s="5">
        <v>786</v>
      </c>
      <c r="F784">
        <v>241</v>
      </c>
      <c r="G784" t="s">
        <v>234</v>
      </c>
      <c r="H784" s="7">
        <v>4.99</v>
      </c>
      <c r="I784" s="5">
        <v>2</v>
      </c>
      <c r="J784" s="3" t="s">
        <v>29</v>
      </c>
      <c r="K784" s="9">
        <v>42483.62572916667</v>
      </c>
    </row>
    <row r="785" spans="3:11" x14ac:dyDescent="0.25">
      <c r="C785" t="str">
        <f>IF(COUNTBLANK(E785:K785) = 7,"",IF(AND(NOT(ISBLANK(E785)),COUNTBLANK(E785:K785) = 6),"3 Delete",IF(ISBLANK(E785),"2 Add",IF(SHA1Range(E785:K785) = "2fce7167101a0c520d3fc6c99c6f57b46b5d985c","0 Original","1 Modify"))))</f>
        <v>0 Original</v>
      </c>
      <c r="D785" s="3" t="s">
        <v>1408</v>
      </c>
      <c r="E785" s="5">
        <v>787</v>
      </c>
      <c r="F785">
        <v>241</v>
      </c>
      <c r="G785" t="s">
        <v>573</v>
      </c>
      <c r="H785" s="7">
        <v>9.99</v>
      </c>
      <c r="I785" s="5">
        <v>1</v>
      </c>
      <c r="J785" s="3" t="s">
        <v>29</v>
      </c>
      <c r="K785" s="9">
        <v>42483.62572916667</v>
      </c>
    </row>
    <row r="786" spans="3:11" x14ac:dyDescent="0.25">
      <c r="C786" t="str">
        <f>IF(COUNTBLANK(E786:K786) = 7,"",IF(AND(NOT(ISBLANK(E786)),COUNTBLANK(E786:K786) = 6),"3 Delete",IF(ISBLANK(E786),"2 Add",IF(SHA1Range(E786:K786) = "c7ca7adc4d61ad9aa08c4f60d573a481415ece2c","0 Original","1 Modify"))))</f>
        <v>0 Original</v>
      </c>
      <c r="D786" s="3" t="s">
        <v>1409</v>
      </c>
      <c r="E786" s="5">
        <v>788</v>
      </c>
      <c r="F786">
        <v>241</v>
      </c>
      <c r="G786" t="s">
        <v>576</v>
      </c>
      <c r="H786" s="7">
        <v>5.99</v>
      </c>
      <c r="I786" s="5">
        <v>2</v>
      </c>
      <c r="J786" s="3" t="s">
        <v>29</v>
      </c>
      <c r="K786" s="9">
        <v>42483.62572916667</v>
      </c>
    </row>
    <row r="787" spans="3:11" x14ac:dyDescent="0.25">
      <c r="C787" t="str">
        <f>IF(COUNTBLANK(E787:K787) = 7,"",IF(AND(NOT(ISBLANK(E787)),COUNTBLANK(E787:K787) = 6),"3 Delete",IF(ISBLANK(E787),"2 Add",IF(SHA1Range(E787:K787) = "f20d6e794c61a38c62cfd3c3861406bca4d0e09e","0 Original","1 Modify"))))</f>
        <v>0 Original</v>
      </c>
      <c r="D787" s="3" t="s">
        <v>1410</v>
      </c>
      <c r="E787" s="5">
        <v>789</v>
      </c>
      <c r="F787">
        <v>241</v>
      </c>
      <c r="G787" t="s">
        <v>142</v>
      </c>
      <c r="H787" s="7">
        <v>4.99</v>
      </c>
      <c r="I787" s="5">
        <v>1</v>
      </c>
      <c r="J787" s="3" t="s">
        <v>29</v>
      </c>
      <c r="K787" s="9">
        <v>42483.62572916667</v>
      </c>
    </row>
    <row r="788" spans="3:11" x14ac:dyDescent="0.25">
      <c r="C788" t="str">
        <f>IF(COUNTBLANK(E788:K788) = 7,"",IF(AND(NOT(ISBLANK(E788)),COUNTBLANK(E788:K788) = 6),"3 Delete",IF(ISBLANK(E788),"2 Add",IF(SHA1Range(E788:K788) = "22ab935afaa4dcb8bc8fce6c2db9833ecbf254bd","0 Original","1 Modify"))))</f>
        <v>0 Original</v>
      </c>
      <c r="D788" s="3" t="s">
        <v>1411</v>
      </c>
      <c r="E788" s="5">
        <v>790</v>
      </c>
      <c r="F788">
        <v>242</v>
      </c>
      <c r="G788" t="s">
        <v>221</v>
      </c>
      <c r="H788" s="7">
        <v>6.99</v>
      </c>
      <c r="I788" s="5">
        <v>2</v>
      </c>
      <c r="J788" s="3" t="s">
        <v>29</v>
      </c>
      <c r="K788" s="9">
        <v>42483.62572916667</v>
      </c>
    </row>
    <row r="789" spans="3:11" x14ac:dyDescent="0.25">
      <c r="C789" t="str">
        <f>IF(COUNTBLANK(E789:K789) = 7,"",IF(AND(NOT(ISBLANK(E789)),COUNTBLANK(E789:K789) = 6),"3 Delete",IF(ISBLANK(E789),"2 Add",IF(SHA1Range(E789:K789) = "c27553f987ff2516585c91adb7b65087d65c590f","0 Original","1 Modify"))))</f>
        <v>0 Original</v>
      </c>
      <c r="D789" s="3" t="s">
        <v>1412</v>
      </c>
      <c r="E789" s="5">
        <v>791</v>
      </c>
      <c r="F789">
        <v>242</v>
      </c>
      <c r="G789" t="s">
        <v>246</v>
      </c>
      <c r="H789" s="7">
        <v>7.99</v>
      </c>
      <c r="I789" s="5">
        <v>1</v>
      </c>
      <c r="J789" s="3" t="s">
        <v>29</v>
      </c>
      <c r="K789" s="9">
        <v>42483.62572916667</v>
      </c>
    </row>
    <row r="790" spans="3:11" x14ac:dyDescent="0.25">
      <c r="C790" t="str">
        <f>IF(COUNTBLANK(E790:K790) = 7,"",IF(AND(NOT(ISBLANK(E790)),COUNTBLANK(E790:K790) = 6),"3 Delete",IF(ISBLANK(E790),"2 Add",IF(SHA1Range(E790:K790) = "6c0a45d19ee21c2d44706d412f9ec33305d73b9e","0 Original","1 Modify"))))</f>
        <v>0 Original</v>
      </c>
      <c r="D790" s="3" t="s">
        <v>1413</v>
      </c>
      <c r="E790" s="5">
        <v>792</v>
      </c>
      <c r="F790">
        <v>243</v>
      </c>
      <c r="G790" t="s">
        <v>238</v>
      </c>
      <c r="H790" s="7">
        <v>5.99</v>
      </c>
      <c r="I790" s="5">
        <v>1</v>
      </c>
      <c r="J790" s="3" t="s">
        <v>29</v>
      </c>
      <c r="K790" s="9">
        <v>42483.62572916667</v>
      </c>
    </row>
    <row r="791" spans="3:11" x14ac:dyDescent="0.25">
      <c r="C791" t="str">
        <f>IF(COUNTBLANK(E791:K791) = 7,"",IF(AND(NOT(ISBLANK(E791)),COUNTBLANK(E791:K791) = 6),"3 Delete",IF(ISBLANK(E791),"2 Add",IF(SHA1Range(E791:K791) = "32ab2ddf26acd9e55b7339a1574d1ef84a85f982","0 Original","1 Modify"))))</f>
        <v>0 Original</v>
      </c>
      <c r="D791" s="3" t="s">
        <v>1414</v>
      </c>
      <c r="E791" s="5">
        <v>793</v>
      </c>
      <c r="F791">
        <v>243</v>
      </c>
      <c r="G791" t="s">
        <v>230</v>
      </c>
      <c r="H791" s="7">
        <v>5.99</v>
      </c>
      <c r="I791" s="5">
        <v>2</v>
      </c>
      <c r="J791" s="3" t="s">
        <v>29</v>
      </c>
      <c r="K791" s="9">
        <v>42483.62572916667</v>
      </c>
    </row>
    <row r="792" spans="3:11" x14ac:dyDescent="0.25">
      <c r="C792" t="str">
        <f>IF(COUNTBLANK(E792:K792) = 7,"",IF(AND(NOT(ISBLANK(E792)),COUNTBLANK(E792:K792) = 6),"3 Delete",IF(ISBLANK(E792),"2 Add",IF(SHA1Range(E792:K792) = "df14e634f4f37ef27fab239429ec09b6acf9d06a","0 Original","1 Modify"))))</f>
        <v>0 Original</v>
      </c>
      <c r="D792" s="3" t="s">
        <v>1415</v>
      </c>
      <c r="E792" s="5">
        <v>794</v>
      </c>
      <c r="F792">
        <v>244</v>
      </c>
      <c r="G792" t="s">
        <v>152</v>
      </c>
      <c r="H792" s="7">
        <v>5.99</v>
      </c>
      <c r="I792" s="5">
        <v>1</v>
      </c>
      <c r="J792" s="3" t="s">
        <v>29</v>
      </c>
      <c r="K792" s="9">
        <v>42483.62572916667</v>
      </c>
    </row>
    <row r="793" spans="3:11" x14ac:dyDescent="0.25">
      <c r="C793" t="str">
        <f>IF(COUNTBLANK(E793:K793) = 7,"",IF(AND(NOT(ISBLANK(E793)),COUNTBLANK(E793:K793) = 6),"3 Delete",IF(ISBLANK(E793),"2 Add",IF(SHA1Range(E793:K793) = "a1d8f95893d177bfbdb68239d07c7e3d4f880973","0 Original","1 Modify"))))</f>
        <v>0 Original</v>
      </c>
      <c r="D793" s="3" t="s">
        <v>1416</v>
      </c>
      <c r="E793" s="5">
        <v>795</v>
      </c>
      <c r="F793">
        <v>244</v>
      </c>
      <c r="G793" t="s">
        <v>142</v>
      </c>
      <c r="H793" s="7">
        <v>4.99</v>
      </c>
      <c r="I793" s="5">
        <v>1</v>
      </c>
      <c r="J793" s="3" t="s">
        <v>29</v>
      </c>
      <c r="K793" s="9">
        <v>42483.62572916667</v>
      </c>
    </row>
    <row r="794" spans="3:11" x14ac:dyDescent="0.25">
      <c r="C794" t="str">
        <f>IF(COUNTBLANK(E794:K794) = 7,"",IF(AND(NOT(ISBLANK(E794)),COUNTBLANK(E794:K794) = 6),"3 Delete",IF(ISBLANK(E794),"2 Add",IF(SHA1Range(E794:K794) = "7ca569ddd06282c510300e631c26451d3f0468d8","0 Original","1 Modify"))))</f>
        <v>0 Original</v>
      </c>
      <c r="D794" s="3" t="s">
        <v>1417</v>
      </c>
      <c r="E794" s="5">
        <v>796</v>
      </c>
      <c r="F794">
        <v>244</v>
      </c>
      <c r="G794" t="s">
        <v>573</v>
      </c>
      <c r="H794" s="7">
        <v>9.99</v>
      </c>
      <c r="I794" s="5">
        <v>1</v>
      </c>
      <c r="J794" s="3" t="s">
        <v>29</v>
      </c>
      <c r="K794" s="9">
        <v>42483.62572916667</v>
      </c>
    </row>
    <row r="795" spans="3:11" x14ac:dyDescent="0.25">
      <c r="C795" t="str">
        <f>IF(COUNTBLANK(E795:K795) = 7,"",IF(AND(NOT(ISBLANK(E795)),COUNTBLANK(E795:K795) = 6),"3 Delete",IF(ISBLANK(E795),"2 Add",IF(SHA1Range(E795:K795) = "c9c21398568ad6f1424397b2af545c68315ddf2a","0 Original","1 Modify"))))</f>
        <v>0 Original</v>
      </c>
      <c r="D795" s="3" t="s">
        <v>1418</v>
      </c>
      <c r="E795" s="5">
        <v>797</v>
      </c>
      <c r="F795">
        <v>244</v>
      </c>
      <c r="G795" t="s">
        <v>398</v>
      </c>
      <c r="H795" s="7">
        <v>4.99</v>
      </c>
      <c r="I795" s="5">
        <v>1</v>
      </c>
      <c r="J795" s="3" t="s">
        <v>29</v>
      </c>
      <c r="K795" s="9">
        <v>42483.62572916667</v>
      </c>
    </row>
    <row r="796" spans="3:11" x14ac:dyDescent="0.25">
      <c r="C796" t="str">
        <f>IF(COUNTBLANK(E796:K796) = 7,"",IF(AND(NOT(ISBLANK(E796)),COUNTBLANK(E796:K796) = 6),"3 Delete",IF(ISBLANK(E796),"2 Add",IF(SHA1Range(E796:K796) = "a9052d2251743d127abf70fb1b72250e63109c23","0 Original","1 Modify"))))</f>
        <v>0 Original</v>
      </c>
      <c r="D796" s="3" t="s">
        <v>1419</v>
      </c>
      <c r="E796" s="5">
        <v>798</v>
      </c>
      <c r="F796">
        <v>244</v>
      </c>
      <c r="G796" t="s">
        <v>418</v>
      </c>
      <c r="H796" s="7">
        <v>6.99</v>
      </c>
      <c r="I796" s="5">
        <v>1</v>
      </c>
      <c r="J796" s="3" t="s">
        <v>29</v>
      </c>
      <c r="K796" s="9">
        <v>42483.62572916667</v>
      </c>
    </row>
    <row r="797" spans="3:11" x14ac:dyDescent="0.25">
      <c r="C797" t="str">
        <f>IF(COUNTBLANK(E797:K797) = 7,"",IF(AND(NOT(ISBLANK(E797)),COUNTBLANK(E797:K797) = 6),"3 Delete",IF(ISBLANK(E797),"2 Add",IF(SHA1Range(E797:K797) = "35ffdd563657b2a6822471a0416ef1a6699b6e8c","0 Original","1 Modify"))))</f>
        <v>0 Original</v>
      </c>
      <c r="D797" s="3" t="s">
        <v>1420</v>
      </c>
      <c r="E797" s="5">
        <v>799</v>
      </c>
      <c r="F797">
        <v>245</v>
      </c>
      <c r="G797" t="s">
        <v>30</v>
      </c>
      <c r="H797" s="7">
        <v>9.99</v>
      </c>
      <c r="I797" s="5">
        <v>1</v>
      </c>
      <c r="J797" s="3" t="s">
        <v>29</v>
      </c>
      <c r="K797" s="9">
        <v>42483.62572916667</v>
      </c>
    </row>
    <row r="798" spans="3:11" x14ac:dyDescent="0.25">
      <c r="C798" t="str">
        <f>IF(COUNTBLANK(E798:K798) = 7,"",IF(AND(NOT(ISBLANK(E798)),COUNTBLANK(E798:K798) = 6),"3 Delete",IF(ISBLANK(E798),"2 Add",IF(SHA1Range(E798:K798) = "8ce07766455bbdd57245d1f686eba1cf5b80b570","0 Original","1 Modify"))))</f>
        <v>0 Original</v>
      </c>
      <c r="D798" s="3" t="s">
        <v>1421</v>
      </c>
      <c r="E798" s="5">
        <v>800</v>
      </c>
      <c r="F798">
        <v>245</v>
      </c>
      <c r="G798" t="s">
        <v>295</v>
      </c>
      <c r="H798" s="7">
        <v>7.99</v>
      </c>
      <c r="I798" s="5">
        <v>1</v>
      </c>
      <c r="J798" s="3" t="s">
        <v>29</v>
      </c>
      <c r="K798" s="9">
        <v>42483.62572916667</v>
      </c>
    </row>
    <row r="799" spans="3:11" x14ac:dyDescent="0.25">
      <c r="C799" t="str">
        <f>IF(COUNTBLANK(E799:K799) = 7,"",IF(AND(NOT(ISBLANK(E799)),COUNTBLANK(E799:K799) = 6),"3 Delete",IF(ISBLANK(E799),"2 Add",IF(SHA1Range(E799:K799) = "7f0d7e02c6b226195bd75859d37e0771f3aff71b","0 Original","1 Modify"))))</f>
        <v>0 Original</v>
      </c>
      <c r="D799" s="3" t="s">
        <v>1422</v>
      </c>
      <c r="E799" s="5">
        <v>801</v>
      </c>
      <c r="F799">
        <v>246</v>
      </c>
      <c r="G799" t="s">
        <v>109</v>
      </c>
      <c r="H799" s="7">
        <v>8.99</v>
      </c>
      <c r="I799" s="5">
        <v>1</v>
      </c>
      <c r="J799" s="3" t="s">
        <v>29</v>
      </c>
      <c r="K799" s="9">
        <v>42483.62572916667</v>
      </c>
    </row>
    <row r="800" spans="3:11" x14ac:dyDescent="0.25">
      <c r="C800" t="str">
        <f>IF(COUNTBLANK(E800:K800) = 7,"",IF(AND(NOT(ISBLANK(E800)),COUNTBLANK(E800:K800) = 6),"3 Delete",IF(ISBLANK(E800),"2 Add",IF(SHA1Range(E800:K800) = "fd6ac8cfe0cfefaa01474d809918171998f2f7fd","0 Original","1 Modify"))))</f>
        <v>0 Original</v>
      </c>
      <c r="D800" s="3" t="s">
        <v>1423</v>
      </c>
      <c r="E800" s="5">
        <v>802</v>
      </c>
      <c r="F800">
        <v>246</v>
      </c>
      <c r="G800" t="s">
        <v>152</v>
      </c>
      <c r="H800" s="7">
        <v>5.99</v>
      </c>
      <c r="I800" s="5">
        <v>1</v>
      </c>
      <c r="J800" s="3" t="s">
        <v>29</v>
      </c>
      <c r="K800" s="9">
        <v>42483.62572916667</v>
      </c>
    </row>
    <row r="801" spans="3:11" x14ac:dyDescent="0.25">
      <c r="C801" t="str">
        <f>IF(COUNTBLANK(E801:K801) = 7,"",IF(AND(NOT(ISBLANK(E801)),COUNTBLANK(E801:K801) = 6),"3 Delete",IF(ISBLANK(E801),"2 Add",IF(SHA1Range(E801:K801) = "26b56714a59de8f611089bebbb117303b781fbba","0 Original","1 Modify"))))</f>
        <v>0 Original</v>
      </c>
      <c r="D801" s="3" t="s">
        <v>1424</v>
      </c>
      <c r="E801" s="5">
        <v>803</v>
      </c>
      <c r="F801">
        <v>246</v>
      </c>
      <c r="G801" t="s">
        <v>54</v>
      </c>
      <c r="H801" s="7">
        <v>5.99</v>
      </c>
      <c r="I801" s="5">
        <v>2</v>
      </c>
      <c r="J801" s="3" t="s">
        <v>29</v>
      </c>
      <c r="K801" s="9">
        <v>42483.62572916667</v>
      </c>
    </row>
    <row r="802" spans="3:11" x14ac:dyDescent="0.25">
      <c r="C802" t="str">
        <f>IF(COUNTBLANK(E802:K802) = 7,"",IF(AND(NOT(ISBLANK(E802)),COUNTBLANK(E802:K802) = 6),"3 Delete",IF(ISBLANK(E802),"2 Add",IF(SHA1Range(E802:K802) = "eb3f69ef9c9595826fd4b390096b9c7f7ef7fd4e","0 Original","1 Modify"))))</f>
        <v>0 Original</v>
      </c>
      <c r="D802" s="3" t="s">
        <v>1425</v>
      </c>
      <c r="E802" s="5">
        <v>804</v>
      </c>
      <c r="F802">
        <v>246</v>
      </c>
      <c r="G802" t="s">
        <v>295</v>
      </c>
      <c r="H802" s="7">
        <v>7.99</v>
      </c>
      <c r="I802" s="5">
        <v>1</v>
      </c>
      <c r="J802" s="3" t="s">
        <v>29</v>
      </c>
      <c r="K802" s="9">
        <v>42483.62572916667</v>
      </c>
    </row>
    <row r="803" spans="3:11" x14ac:dyDescent="0.25">
      <c r="C803" t="str">
        <f>IF(COUNTBLANK(E803:K803) = 7,"",IF(AND(NOT(ISBLANK(E803)),COUNTBLANK(E803:K803) = 6),"3 Delete",IF(ISBLANK(E803),"2 Add",IF(SHA1Range(E803:K803) = "1aedb003d21254c44230999a86cf95fda4306b38","0 Original","1 Modify"))))</f>
        <v>0 Original</v>
      </c>
      <c r="D803" s="3" t="s">
        <v>1426</v>
      </c>
      <c r="E803" s="5">
        <v>805</v>
      </c>
      <c r="F803">
        <v>247</v>
      </c>
      <c r="G803" t="s">
        <v>573</v>
      </c>
      <c r="H803" s="7">
        <v>9.99</v>
      </c>
      <c r="I803" s="5">
        <v>2</v>
      </c>
      <c r="J803" s="3" t="s">
        <v>29</v>
      </c>
      <c r="K803" s="9">
        <v>42483.62572916667</v>
      </c>
    </row>
    <row r="804" spans="3:11" x14ac:dyDescent="0.25">
      <c r="C804" t="str">
        <f>IF(COUNTBLANK(E804:K804) = 7,"",IF(AND(NOT(ISBLANK(E804)),COUNTBLANK(E804:K804) = 6),"3 Delete",IF(ISBLANK(E804),"2 Add",IF(SHA1Range(E804:K804) = "cd25de0435deb786e5ecbffe92291a6f0b05772a","0 Original","1 Modify"))))</f>
        <v>0 Original</v>
      </c>
      <c r="D804" s="3" t="s">
        <v>1427</v>
      </c>
      <c r="E804" s="5">
        <v>806</v>
      </c>
      <c r="F804">
        <v>247</v>
      </c>
      <c r="G804" t="s">
        <v>503</v>
      </c>
      <c r="H804" s="7">
        <v>8.99</v>
      </c>
      <c r="I804" s="5">
        <v>1</v>
      </c>
      <c r="J804" s="3" t="s">
        <v>29</v>
      </c>
      <c r="K804" s="9">
        <v>42483.62572916667</v>
      </c>
    </row>
    <row r="805" spans="3:11" x14ac:dyDescent="0.25">
      <c r="C805" t="str">
        <f>IF(COUNTBLANK(E805:K805) = 7,"",IF(AND(NOT(ISBLANK(E805)),COUNTBLANK(E805:K805) = 6),"3 Delete",IF(ISBLANK(E805),"2 Add",IF(SHA1Range(E805:K805) = "bdc72c7de8c01e052b1cfffabaf061e37edcfa62","0 Original","1 Modify"))))</f>
        <v>0 Original</v>
      </c>
      <c r="D805" s="3" t="s">
        <v>1428</v>
      </c>
      <c r="E805" s="5">
        <v>807</v>
      </c>
      <c r="F805">
        <v>247</v>
      </c>
      <c r="G805" t="s">
        <v>388</v>
      </c>
      <c r="H805" s="7">
        <v>5.99</v>
      </c>
      <c r="I805" s="5">
        <v>2</v>
      </c>
      <c r="J805" s="3" t="s">
        <v>29</v>
      </c>
      <c r="K805" s="9">
        <v>42483.62572916667</v>
      </c>
    </row>
    <row r="806" spans="3:11" x14ac:dyDescent="0.25">
      <c r="C806" t="str">
        <f>IF(COUNTBLANK(E806:K806) = 7,"",IF(AND(NOT(ISBLANK(E806)),COUNTBLANK(E806:K806) = 6),"3 Delete",IF(ISBLANK(E806),"2 Add",IF(SHA1Range(E806:K806) = "8e1ed651375086909ce48e3cd926e1bf129dfec0","0 Original","1 Modify"))))</f>
        <v>0 Original</v>
      </c>
      <c r="D806" s="3" t="s">
        <v>1429</v>
      </c>
      <c r="E806" s="5">
        <v>808</v>
      </c>
      <c r="F806">
        <v>248</v>
      </c>
      <c r="G806" t="s">
        <v>395</v>
      </c>
      <c r="H806" s="7">
        <v>8.99</v>
      </c>
      <c r="I806" s="5">
        <v>1</v>
      </c>
      <c r="J806" s="3" t="s">
        <v>29</v>
      </c>
      <c r="K806" s="9">
        <v>42483.62572916667</v>
      </c>
    </row>
    <row r="807" spans="3:11" x14ac:dyDescent="0.25">
      <c r="C807" t="str">
        <f>IF(COUNTBLANK(E807:K807) = 7,"",IF(AND(NOT(ISBLANK(E807)),COUNTBLANK(E807:K807) = 6),"3 Delete",IF(ISBLANK(E807),"2 Add",IF(SHA1Range(E807:K807) = "01148b25adb3d836ff9a7b3c6a8a028d16ed3317","0 Original","1 Modify"))))</f>
        <v>0 Original</v>
      </c>
      <c r="D807" s="3" t="s">
        <v>1430</v>
      </c>
      <c r="E807" s="5">
        <v>809</v>
      </c>
      <c r="F807">
        <v>248</v>
      </c>
      <c r="G807" t="s">
        <v>537</v>
      </c>
      <c r="H807" s="7">
        <v>7.99</v>
      </c>
      <c r="I807" s="5">
        <v>1</v>
      </c>
      <c r="J807" s="3" t="s">
        <v>29</v>
      </c>
      <c r="K807" s="9">
        <v>42483.62572916667</v>
      </c>
    </row>
    <row r="808" spans="3:11" x14ac:dyDescent="0.25">
      <c r="C808" t="str">
        <f>IF(COUNTBLANK(E808:K808) = 7,"",IF(AND(NOT(ISBLANK(E808)),COUNTBLANK(E808:K808) = 6),"3 Delete",IF(ISBLANK(E808),"2 Add",IF(SHA1Range(E808:K808) = "d99cce278775f1049f662770b5c2f80d023f2ce3","0 Original","1 Modify"))))</f>
        <v>0 Original</v>
      </c>
      <c r="D808" s="3" t="s">
        <v>1431</v>
      </c>
      <c r="E808" s="5">
        <v>810</v>
      </c>
      <c r="F808">
        <v>248</v>
      </c>
      <c r="G808" t="s">
        <v>281</v>
      </c>
      <c r="H808" s="7">
        <v>7.99</v>
      </c>
      <c r="I808" s="5">
        <v>1</v>
      </c>
      <c r="J808" s="3" t="s">
        <v>29</v>
      </c>
      <c r="K808" s="9">
        <v>42483.62572916667</v>
      </c>
    </row>
    <row r="809" spans="3:11" x14ac:dyDescent="0.25">
      <c r="C809" t="str">
        <f>IF(COUNTBLANK(E809:K809) = 7,"",IF(AND(NOT(ISBLANK(E809)),COUNTBLANK(E809:K809) = 6),"3 Delete",IF(ISBLANK(E809),"2 Add",IF(SHA1Range(E809:K809) = "4a532f187ceed08e06daa732024a2048722dad30","0 Original","1 Modify"))))</f>
        <v>0 Original</v>
      </c>
      <c r="D809" s="3" t="s">
        <v>1432</v>
      </c>
      <c r="E809" s="5">
        <v>811</v>
      </c>
      <c r="F809">
        <v>249</v>
      </c>
      <c r="G809" t="s">
        <v>51</v>
      </c>
      <c r="H809" s="7">
        <v>9.99</v>
      </c>
      <c r="I809" s="5">
        <v>2</v>
      </c>
      <c r="J809" s="3" t="s">
        <v>29</v>
      </c>
      <c r="K809" s="9">
        <v>42483.62572916667</v>
      </c>
    </row>
    <row r="810" spans="3:11" x14ac:dyDescent="0.25">
      <c r="C810" t="str">
        <f>IF(COUNTBLANK(E810:K810) = 7,"",IF(AND(NOT(ISBLANK(E810)),COUNTBLANK(E810:K810) = 6),"3 Delete",IF(ISBLANK(E810),"2 Add",IF(SHA1Range(E810:K810) = "d4bc2819a8730a7c1ff3bf15dab536baf5b9a65b","0 Original","1 Modify"))))</f>
        <v>0 Original</v>
      </c>
      <c r="D810" s="3" t="s">
        <v>1433</v>
      </c>
      <c r="E810" s="5">
        <v>812</v>
      </c>
      <c r="F810">
        <v>250</v>
      </c>
      <c r="G810" t="s">
        <v>217</v>
      </c>
      <c r="H810" s="7">
        <v>9.99</v>
      </c>
      <c r="I810" s="5">
        <v>1</v>
      </c>
      <c r="J810" s="3" t="s">
        <v>29</v>
      </c>
      <c r="K810" s="9">
        <v>42483.62572916667</v>
      </c>
    </row>
    <row r="811" spans="3:11" x14ac:dyDescent="0.25">
      <c r="C811" t="str">
        <f>IF(COUNTBLANK(E811:K811) = 7,"",IF(AND(NOT(ISBLANK(E811)),COUNTBLANK(E811:K811) = 6),"3 Delete",IF(ISBLANK(E811),"2 Add",IF(SHA1Range(E811:K811) = "63b9616e03a84b2d376e2a2b27b9098a81a8a273","0 Original","1 Modify"))))</f>
        <v>0 Original</v>
      </c>
      <c r="D811" s="3" t="s">
        <v>1434</v>
      </c>
      <c r="E811" s="5">
        <v>813</v>
      </c>
      <c r="F811">
        <v>251</v>
      </c>
      <c r="G811" t="s">
        <v>58</v>
      </c>
      <c r="H811" s="7">
        <v>8.99</v>
      </c>
      <c r="I811" s="5">
        <v>2</v>
      </c>
      <c r="J811" s="3" t="s">
        <v>29</v>
      </c>
      <c r="K811" s="9">
        <v>42483.62572916667</v>
      </c>
    </row>
    <row r="812" spans="3:11" x14ac:dyDescent="0.25">
      <c r="C812" t="str">
        <f>IF(COUNTBLANK(E812:K812) = 7,"",IF(AND(NOT(ISBLANK(E812)),COUNTBLANK(E812:K812) = 6),"3 Delete",IF(ISBLANK(E812),"2 Add",IF(SHA1Range(E812:K812) = "33d033ae74dcd6c7e0ee81af63b16412e6d3c978","0 Original","1 Modify"))))</f>
        <v>0 Original</v>
      </c>
      <c r="D812" s="3" t="s">
        <v>1435</v>
      </c>
      <c r="E812" s="5">
        <v>814</v>
      </c>
      <c r="F812">
        <v>251</v>
      </c>
      <c r="G812" t="s">
        <v>217</v>
      </c>
      <c r="H812" s="7">
        <v>9.99</v>
      </c>
      <c r="I812" s="5">
        <v>1</v>
      </c>
      <c r="J812" s="3" t="s">
        <v>29</v>
      </c>
      <c r="K812" s="9">
        <v>42483.62572916667</v>
      </c>
    </row>
    <row r="813" spans="3:11" x14ac:dyDescent="0.25">
      <c r="C813" t="str">
        <f>IF(COUNTBLANK(E813:K813) = 7,"",IF(AND(NOT(ISBLANK(E813)),COUNTBLANK(E813:K813) = 6),"3 Delete",IF(ISBLANK(E813),"2 Add",IF(SHA1Range(E813:K813) = "46c1ede3b097aa93b3b79a7856a37b79d49903b4","0 Original","1 Modify"))))</f>
        <v>0 Original</v>
      </c>
      <c r="D813" s="3" t="s">
        <v>1436</v>
      </c>
      <c r="E813" s="5">
        <v>815</v>
      </c>
      <c r="F813">
        <v>251</v>
      </c>
      <c r="G813" t="s">
        <v>254</v>
      </c>
      <c r="H813" s="7">
        <v>4.99</v>
      </c>
      <c r="I813" s="5">
        <v>1</v>
      </c>
      <c r="J813" s="3" t="s">
        <v>29</v>
      </c>
      <c r="K813" s="9">
        <v>42483.62572916667</v>
      </c>
    </row>
    <row r="814" spans="3:11" x14ac:dyDescent="0.25">
      <c r="C814" t="str">
        <f>IF(COUNTBLANK(E814:K814) = 7,"",IF(AND(NOT(ISBLANK(E814)),COUNTBLANK(E814:K814) = 6),"3 Delete",IF(ISBLANK(E814),"2 Add",IF(SHA1Range(E814:K814) = "b1896a3f44adda94baa025b2a81091e1c0ed5b7b","0 Original","1 Modify"))))</f>
        <v>0 Original</v>
      </c>
      <c r="D814" s="3" t="s">
        <v>1437</v>
      </c>
      <c r="E814" s="5">
        <v>816</v>
      </c>
      <c r="F814">
        <v>251</v>
      </c>
      <c r="G814" t="s">
        <v>234</v>
      </c>
      <c r="H814" s="7">
        <v>4.99</v>
      </c>
      <c r="I814" s="5">
        <v>1</v>
      </c>
      <c r="J814" s="3" t="s">
        <v>29</v>
      </c>
      <c r="K814" s="9">
        <v>42483.62572916667</v>
      </c>
    </row>
    <row r="815" spans="3:11" x14ac:dyDescent="0.25">
      <c r="C815" t="str">
        <f>IF(COUNTBLANK(E815:K815) = 7,"",IF(AND(NOT(ISBLANK(E815)),COUNTBLANK(E815:K815) = 6),"3 Delete",IF(ISBLANK(E815),"2 Add",IF(SHA1Range(E815:K815) = "19bfaa83f8f863216214040650415986e572921f","0 Original","1 Modify"))))</f>
        <v>0 Original</v>
      </c>
      <c r="D815" s="3" t="s">
        <v>1438</v>
      </c>
      <c r="E815" s="5">
        <v>817</v>
      </c>
      <c r="F815">
        <v>251</v>
      </c>
      <c r="G815" t="s">
        <v>459</v>
      </c>
      <c r="H815" s="7">
        <v>5.99</v>
      </c>
      <c r="I815" s="5">
        <v>2</v>
      </c>
      <c r="J815" s="3" t="s">
        <v>29</v>
      </c>
      <c r="K815" s="9">
        <v>42483.62572916667</v>
      </c>
    </row>
    <row r="816" spans="3:11" x14ac:dyDescent="0.25">
      <c r="C816" t="str">
        <f>IF(COUNTBLANK(E816:K816) = 7,"",IF(AND(NOT(ISBLANK(E816)),COUNTBLANK(E816:K816) = 6),"3 Delete",IF(ISBLANK(E816),"2 Add",IF(SHA1Range(E816:K816) = "a635d37c8edb6639db227a2a12079745beaaa6fa","0 Original","1 Modify"))))</f>
        <v>0 Original</v>
      </c>
      <c r="D816" s="3" t="s">
        <v>1439</v>
      </c>
      <c r="E816" s="5">
        <v>818</v>
      </c>
      <c r="F816">
        <v>251</v>
      </c>
      <c r="G816" t="s">
        <v>537</v>
      </c>
      <c r="H816" s="7">
        <v>7.99</v>
      </c>
      <c r="I816" s="5">
        <v>1</v>
      </c>
      <c r="J816" s="3" t="s">
        <v>29</v>
      </c>
      <c r="K816" s="9">
        <v>42483.62572916667</v>
      </c>
    </row>
    <row r="817" spans="3:11" x14ac:dyDescent="0.25">
      <c r="C817" t="str">
        <f>IF(COUNTBLANK(E817:K817) = 7,"",IF(AND(NOT(ISBLANK(E817)),COUNTBLANK(E817:K817) = 6),"3 Delete",IF(ISBLANK(E817),"2 Add",IF(SHA1Range(E817:K817) = "1db9325b7e50d2bdd4c6ea67f63f34306d059bf3","0 Original","1 Modify"))))</f>
        <v>0 Original</v>
      </c>
      <c r="D817" s="3" t="s">
        <v>1440</v>
      </c>
      <c r="E817" s="5">
        <v>819</v>
      </c>
      <c r="F817">
        <v>251</v>
      </c>
      <c r="G817" t="s">
        <v>250</v>
      </c>
      <c r="H817" s="7">
        <v>8.99</v>
      </c>
      <c r="I817" s="5">
        <v>1</v>
      </c>
      <c r="J817" s="3" t="s">
        <v>29</v>
      </c>
      <c r="K817" s="9">
        <v>42483.62572916667</v>
      </c>
    </row>
    <row r="818" spans="3:11" x14ac:dyDescent="0.25">
      <c r="C818" t="str">
        <f>IF(COUNTBLANK(E818:K818) = 7,"",IF(AND(NOT(ISBLANK(E818)),COUNTBLANK(E818:K818) = 6),"3 Delete",IF(ISBLANK(E818),"2 Add",IF(SHA1Range(E818:K818) = "f9010f1545c80e9c0deb389eb8ef0515c84aa3d0","0 Original","1 Modify"))))</f>
        <v>0 Original</v>
      </c>
      <c r="D818" s="3" t="s">
        <v>1441</v>
      </c>
      <c r="E818" s="5">
        <v>820</v>
      </c>
      <c r="F818">
        <v>252</v>
      </c>
      <c r="G818" t="s">
        <v>546</v>
      </c>
      <c r="H818" s="7">
        <v>9.99</v>
      </c>
      <c r="I818" s="5">
        <v>1</v>
      </c>
      <c r="J818" s="3" t="s">
        <v>29</v>
      </c>
      <c r="K818" s="9">
        <v>42483.62572916667</v>
      </c>
    </row>
    <row r="819" spans="3:11" x14ac:dyDescent="0.25">
      <c r="C819" t="str">
        <f>IF(COUNTBLANK(E819:K819) = 7,"",IF(AND(NOT(ISBLANK(E819)),COUNTBLANK(E819:K819) = 6),"3 Delete",IF(ISBLANK(E819),"2 Add",IF(SHA1Range(E819:K819) = "6523a1d1d4755c2df23efecf847b23d0b19bcda8","0 Original","1 Modify"))))</f>
        <v>0 Original</v>
      </c>
      <c r="D819" s="3" t="s">
        <v>1442</v>
      </c>
      <c r="E819" s="5">
        <v>821</v>
      </c>
      <c r="F819">
        <v>252</v>
      </c>
      <c r="G819" t="s">
        <v>295</v>
      </c>
      <c r="H819" s="7">
        <v>7.99</v>
      </c>
      <c r="I819" s="5">
        <v>1</v>
      </c>
      <c r="J819" s="3" t="s">
        <v>29</v>
      </c>
      <c r="K819" s="9">
        <v>42483.62572916667</v>
      </c>
    </row>
    <row r="820" spans="3:11" x14ac:dyDescent="0.25">
      <c r="C820" t="str">
        <f>IF(COUNTBLANK(E820:K820) = 7,"",IF(AND(NOT(ISBLANK(E820)),COUNTBLANK(E820:K820) = 6),"3 Delete",IF(ISBLANK(E820),"2 Add",IF(SHA1Range(E820:K820) = "9e5eda836fa6d5f2cb29957e07d70ea1f952b30c","0 Original","1 Modify"))))</f>
        <v>0 Original</v>
      </c>
      <c r="D820" s="3" t="s">
        <v>1443</v>
      </c>
      <c r="E820" s="5">
        <v>822</v>
      </c>
      <c r="F820">
        <v>252</v>
      </c>
      <c r="G820" t="s">
        <v>109</v>
      </c>
      <c r="H820" s="7">
        <v>8.99</v>
      </c>
      <c r="I820" s="5">
        <v>1</v>
      </c>
      <c r="J820" s="3" t="s">
        <v>29</v>
      </c>
      <c r="K820" s="9">
        <v>42483.62572916667</v>
      </c>
    </row>
    <row r="821" spans="3:11" x14ac:dyDescent="0.25">
      <c r="C821" t="str">
        <f>IF(COUNTBLANK(E821:K821) = 7,"",IF(AND(NOT(ISBLANK(E821)),COUNTBLANK(E821:K821) = 6),"3 Delete",IF(ISBLANK(E821),"2 Add",IF(SHA1Range(E821:K821) = "87f8c990e41e9aab28c7649e1517be29225e380e","0 Original","1 Modify"))))</f>
        <v>0 Original</v>
      </c>
      <c r="D821" s="3" t="s">
        <v>1444</v>
      </c>
      <c r="E821" s="5">
        <v>823</v>
      </c>
      <c r="F821">
        <v>253</v>
      </c>
      <c r="G821" t="s">
        <v>250</v>
      </c>
      <c r="H821" s="7">
        <v>8.99</v>
      </c>
      <c r="I821" s="5">
        <v>1</v>
      </c>
      <c r="J821" s="3" t="s">
        <v>29</v>
      </c>
      <c r="K821" s="9">
        <v>42483.62572916667</v>
      </c>
    </row>
    <row r="822" spans="3:11" x14ac:dyDescent="0.25">
      <c r="C822" t="str">
        <f>IF(COUNTBLANK(E822:K822) = 7,"",IF(AND(NOT(ISBLANK(E822)),COUNTBLANK(E822:K822) = 6),"3 Delete",IF(ISBLANK(E822),"2 Add",IF(SHA1Range(E822:K822) = "cdd31ca2452bcd82a5838e805d9fb9a4ecc98a8b","0 Original","1 Modify"))))</f>
        <v>0 Original</v>
      </c>
      <c r="D822" s="3" t="s">
        <v>1445</v>
      </c>
      <c r="E822" s="5">
        <v>824</v>
      </c>
      <c r="F822">
        <v>253</v>
      </c>
      <c r="G822" t="s">
        <v>136</v>
      </c>
      <c r="H822" s="7">
        <v>8.99</v>
      </c>
      <c r="I822" s="5">
        <v>1</v>
      </c>
      <c r="J822" s="3" t="s">
        <v>29</v>
      </c>
      <c r="K822" s="9">
        <v>42483.62572916667</v>
      </c>
    </row>
    <row r="823" spans="3:11" x14ac:dyDescent="0.25">
      <c r="C823" t="str">
        <f>IF(COUNTBLANK(E823:K823) = 7,"",IF(AND(NOT(ISBLANK(E823)),COUNTBLANK(E823:K823) = 6),"3 Delete",IF(ISBLANK(E823),"2 Add",IF(SHA1Range(E823:K823) = "ba28f4c6071eef06178bff9c138db662dad4acb1","0 Original","1 Modify"))))</f>
        <v>0 Original</v>
      </c>
      <c r="D823" s="3" t="s">
        <v>1446</v>
      </c>
      <c r="E823" s="5">
        <v>825</v>
      </c>
      <c r="F823">
        <v>253</v>
      </c>
      <c r="G823" t="s">
        <v>234</v>
      </c>
      <c r="H823" s="7">
        <v>4.99</v>
      </c>
      <c r="I823" s="5">
        <v>1</v>
      </c>
      <c r="J823" s="3" t="s">
        <v>29</v>
      </c>
      <c r="K823" s="9">
        <v>42483.62572916667</v>
      </c>
    </row>
    <row r="824" spans="3:11" x14ac:dyDescent="0.25">
      <c r="C824" t="str">
        <f>IF(COUNTBLANK(E824:K824) = 7,"",IF(AND(NOT(ISBLANK(E824)),COUNTBLANK(E824:K824) = 6),"3 Delete",IF(ISBLANK(E824),"2 Add",IF(SHA1Range(E824:K824) = "b1919b5ffd49f6a2d2f407a2020430e7ad1be025","0 Original","1 Modify"))))</f>
        <v>0 Original</v>
      </c>
      <c r="D824" s="3" t="s">
        <v>1447</v>
      </c>
      <c r="E824" s="5">
        <v>826</v>
      </c>
      <c r="F824">
        <v>253</v>
      </c>
      <c r="G824" t="s">
        <v>142</v>
      </c>
      <c r="H824" s="7">
        <v>4.99</v>
      </c>
      <c r="I824" s="5">
        <v>1</v>
      </c>
      <c r="J824" s="3" t="s">
        <v>29</v>
      </c>
      <c r="K824" s="9">
        <v>42483.62572916667</v>
      </c>
    </row>
    <row r="825" spans="3:11" x14ac:dyDescent="0.25">
      <c r="C825" t="str">
        <f>IF(COUNTBLANK(E825:K825) = 7,"",IF(AND(NOT(ISBLANK(E825)),COUNTBLANK(E825:K825) = 6),"3 Delete",IF(ISBLANK(E825),"2 Add",IF(SHA1Range(E825:K825) = "e60a3dc7375b3705d274b3d171a5610305b34bd5","0 Original","1 Modify"))))</f>
        <v>0 Original</v>
      </c>
      <c r="D825" s="3" t="s">
        <v>1448</v>
      </c>
      <c r="E825" s="5">
        <v>827</v>
      </c>
      <c r="F825">
        <v>253</v>
      </c>
      <c r="G825" t="s">
        <v>142</v>
      </c>
      <c r="H825" s="7">
        <v>4.99</v>
      </c>
      <c r="I825" s="5">
        <v>2</v>
      </c>
      <c r="J825" s="3" t="s">
        <v>29</v>
      </c>
      <c r="K825" s="9">
        <v>42483.62572916667</v>
      </c>
    </row>
    <row r="826" spans="3:11" x14ac:dyDescent="0.25">
      <c r="C826" t="str">
        <f>IF(COUNTBLANK(E826:K826) = 7,"",IF(AND(NOT(ISBLANK(E826)),COUNTBLANK(E826:K826) = 6),"3 Delete",IF(ISBLANK(E826),"2 Add",IF(SHA1Range(E826:K826) = "4816b5aea76a3df8ca2d18d3ed2c54a5c50960c2","0 Original","1 Modify"))))</f>
        <v>0 Original</v>
      </c>
      <c r="D826" s="3" t="s">
        <v>1449</v>
      </c>
      <c r="E826" s="5">
        <v>828</v>
      </c>
      <c r="F826">
        <v>254</v>
      </c>
      <c r="G826" t="s">
        <v>335</v>
      </c>
      <c r="H826" s="7">
        <v>5.99</v>
      </c>
      <c r="I826" s="5">
        <v>1</v>
      </c>
      <c r="J826" s="3" t="s">
        <v>29</v>
      </c>
      <c r="K826" s="9">
        <v>42483.62572916667</v>
      </c>
    </row>
    <row r="827" spans="3:11" x14ac:dyDescent="0.25">
      <c r="C827" t="str">
        <f>IF(COUNTBLANK(E827:K827) = 7,"",IF(AND(NOT(ISBLANK(E827)),COUNTBLANK(E827:K827) = 6),"3 Delete",IF(ISBLANK(E827),"2 Add",IF(SHA1Range(E827:K827) = "819816bd5678c3debaaae28ee5395c26c01f5386","0 Original","1 Modify"))))</f>
        <v>0 Original</v>
      </c>
      <c r="D827" s="3" t="s">
        <v>1450</v>
      </c>
      <c r="E827" s="5">
        <v>829</v>
      </c>
      <c r="F827">
        <v>254</v>
      </c>
      <c r="G827" t="s">
        <v>395</v>
      </c>
      <c r="H827" s="7">
        <v>8.99</v>
      </c>
      <c r="I827" s="5">
        <v>1</v>
      </c>
      <c r="J827" s="3" t="s">
        <v>29</v>
      </c>
      <c r="K827" s="9">
        <v>42483.62572916667</v>
      </c>
    </row>
    <row r="828" spans="3:11" x14ac:dyDescent="0.25">
      <c r="C828" t="str">
        <f>IF(COUNTBLANK(E828:K828) = 7,"",IF(AND(NOT(ISBLANK(E828)),COUNTBLANK(E828:K828) = 6),"3 Delete",IF(ISBLANK(E828),"2 Add",IF(SHA1Range(E828:K828) = "ed93f7638c88647d99f9e82b1d35e1421e657d41","0 Original","1 Modify"))))</f>
        <v>0 Original</v>
      </c>
      <c r="D828" s="3" t="s">
        <v>1451</v>
      </c>
      <c r="E828" s="5">
        <v>830</v>
      </c>
      <c r="F828">
        <v>254</v>
      </c>
      <c r="G828" t="s">
        <v>525</v>
      </c>
      <c r="H828" s="7">
        <v>4.99</v>
      </c>
      <c r="I828" s="5">
        <v>1</v>
      </c>
      <c r="J828" s="3" t="s">
        <v>29</v>
      </c>
      <c r="K828" s="9">
        <v>42483.62572916667</v>
      </c>
    </row>
    <row r="829" spans="3:11" x14ac:dyDescent="0.25">
      <c r="C829" t="str">
        <f>IF(COUNTBLANK(E829:K829) = 7,"",IF(AND(NOT(ISBLANK(E829)),COUNTBLANK(E829:K829) = 6),"3 Delete",IF(ISBLANK(E829),"2 Add",IF(SHA1Range(E829:K829) = "a148a0ea9c1c5c4807fe02290cd4c77f215a9c50","0 Original","1 Modify"))))</f>
        <v>0 Original</v>
      </c>
      <c r="D829" s="3" t="s">
        <v>1452</v>
      </c>
      <c r="E829" s="5">
        <v>831</v>
      </c>
      <c r="F829">
        <v>254</v>
      </c>
      <c r="G829" t="s">
        <v>184</v>
      </c>
      <c r="H829" s="7">
        <v>8.99</v>
      </c>
      <c r="I829" s="5">
        <v>2</v>
      </c>
      <c r="J829" s="3" t="s">
        <v>29</v>
      </c>
      <c r="K829" s="9">
        <v>42483.62572916667</v>
      </c>
    </row>
    <row r="830" spans="3:11" x14ac:dyDescent="0.25">
      <c r="C830" t="str">
        <f>IF(COUNTBLANK(E830:K830) = 7,"",IF(AND(NOT(ISBLANK(E830)),COUNTBLANK(E830:K830) = 6),"3 Delete",IF(ISBLANK(E830),"2 Add",IF(SHA1Range(E830:K830) = "a1dbee10f19e130061e674c7fb3dbdfcca092d6a","0 Original","1 Modify"))))</f>
        <v>0 Original</v>
      </c>
      <c r="D830" s="3" t="s">
        <v>1453</v>
      </c>
      <c r="E830" s="5">
        <v>832</v>
      </c>
      <c r="F830">
        <v>254</v>
      </c>
      <c r="G830" t="s">
        <v>230</v>
      </c>
      <c r="H830" s="7">
        <v>5.99</v>
      </c>
      <c r="I830" s="5">
        <v>1</v>
      </c>
      <c r="J830" s="3" t="s">
        <v>29</v>
      </c>
      <c r="K830" s="9">
        <v>42483.62572916667</v>
      </c>
    </row>
    <row r="831" spans="3:11" x14ac:dyDescent="0.25">
      <c r="C831" t="str">
        <f>IF(COUNTBLANK(E831:K831) = 7,"",IF(AND(NOT(ISBLANK(E831)),COUNTBLANK(E831:K831) = 6),"3 Delete",IF(ISBLANK(E831),"2 Add",IF(SHA1Range(E831:K831) = "177876304af0922be61a21f0c9f723ea5a9e44f1","0 Original","1 Modify"))))</f>
        <v>0 Original</v>
      </c>
      <c r="D831" s="3" t="s">
        <v>1454</v>
      </c>
      <c r="E831" s="5">
        <v>833</v>
      </c>
      <c r="F831">
        <v>255</v>
      </c>
      <c r="G831" t="s">
        <v>459</v>
      </c>
      <c r="H831" s="7">
        <v>5.99</v>
      </c>
      <c r="I831" s="5">
        <v>1</v>
      </c>
      <c r="J831" s="3" t="s">
        <v>29</v>
      </c>
      <c r="K831" s="9">
        <v>42483.62572916667</v>
      </c>
    </row>
    <row r="832" spans="3:11" x14ac:dyDescent="0.25">
      <c r="C832" t="str">
        <f>IF(COUNTBLANK(E832:K832) = 7,"",IF(AND(NOT(ISBLANK(E832)),COUNTBLANK(E832:K832) = 6),"3 Delete",IF(ISBLANK(E832),"2 Add",IF(SHA1Range(E832:K832) = "7dcd6ba4cf89643ac4a1266c5628a48199fbb81d","0 Original","1 Modify"))))</f>
        <v>0 Original</v>
      </c>
      <c r="D832" s="3" t="s">
        <v>1455</v>
      </c>
      <c r="E832" s="5">
        <v>834</v>
      </c>
      <c r="F832">
        <v>255</v>
      </c>
      <c r="G832" t="s">
        <v>448</v>
      </c>
      <c r="H832" s="7">
        <v>8.99</v>
      </c>
      <c r="I832" s="5">
        <v>1</v>
      </c>
      <c r="J832" s="3" t="s">
        <v>29</v>
      </c>
      <c r="K832" s="9">
        <v>42483.62572916667</v>
      </c>
    </row>
    <row r="833" spans="3:11" x14ac:dyDescent="0.25">
      <c r="C833" t="str">
        <f>IF(COUNTBLANK(E833:K833) = 7,"",IF(AND(NOT(ISBLANK(E833)),COUNTBLANK(E833:K833) = 6),"3 Delete",IF(ISBLANK(E833),"2 Add",IF(SHA1Range(E833:K833) = "7a06a8cee2a610dc0de0cd0df8665a46238a1de4","0 Original","1 Modify"))))</f>
        <v>0 Original</v>
      </c>
      <c r="D833" s="3" t="s">
        <v>1456</v>
      </c>
      <c r="E833" s="5">
        <v>835</v>
      </c>
      <c r="F833">
        <v>255</v>
      </c>
      <c r="G833" t="s">
        <v>273</v>
      </c>
      <c r="H833" s="7">
        <v>8.99</v>
      </c>
      <c r="I833" s="5">
        <v>1</v>
      </c>
      <c r="J833" s="3" t="s">
        <v>29</v>
      </c>
      <c r="K833" s="9">
        <v>42483.62572916667</v>
      </c>
    </row>
    <row r="834" spans="3:11" x14ac:dyDescent="0.25">
      <c r="C834" t="str">
        <f>IF(COUNTBLANK(E834:K834) = 7,"",IF(AND(NOT(ISBLANK(E834)),COUNTBLANK(E834:K834) = 6),"3 Delete",IF(ISBLANK(E834),"2 Add",IF(SHA1Range(E834:K834) = "7b61cea06a87ee668c29a7fbb483293641db6396","0 Original","1 Modify"))))</f>
        <v>0 Original</v>
      </c>
      <c r="D834" s="3" t="s">
        <v>1457</v>
      </c>
      <c r="E834" s="5">
        <v>836</v>
      </c>
      <c r="F834">
        <v>256</v>
      </c>
      <c r="G834" t="s">
        <v>238</v>
      </c>
      <c r="H834" s="7">
        <v>5.99</v>
      </c>
      <c r="I834" s="5">
        <v>1</v>
      </c>
      <c r="J834" s="3" t="s">
        <v>29</v>
      </c>
      <c r="K834" s="9">
        <v>42483.62572916667</v>
      </c>
    </row>
    <row r="835" spans="3:11" x14ac:dyDescent="0.25">
      <c r="C835" t="str">
        <f>IF(COUNTBLANK(E835:K835) = 7,"",IF(AND(NOT(ISBLANK(E835)),COUNTBLANK(E835:K835) = 6),"3 Delete",IF(ISBLANK(E835),"2 Add",IF(SHA1Range(E835:K835) = "e7e9e322fa5c850ccf849aef4e9c437f8bc15c6f","0 Original","1 Modify"))))</f>
        <v>0 Original</v>
      </c>
      <c r="D835" s="3" t="s">
        <v>1458</v>
      </c>
      <c r="E835" s="5">
        <v>837</v>
      </c>
      <c r="F835">
        <v>256</v>
      </c>
      <c r="G835" t="s">
        <v>335</v>
      </c>
      <c r="H835" s="7">
        <v>5.99</v>
      </c>
      <c r="I835" s="5">
        <v>2</v>
      </c>
      <c r="J835" s="3" t="s">
        <v>29</v>
      </c>
      <c r="K835" s="9">
        <v>42483.62572916667</v>
      </c>
    </row>
    <row r="836" spans="3:11" x14ac:dyDescent="0.25">
      <c r="C836" t="str">
        <f>IF(COUNTBLANK(E836:K836) = 7,"",IF(AND(NOT(ISBLANK(E836)),COUNTBLANK(E836:K836) = 6),"3 Delete",IF(ISBLANK(E836),"2 Add",IF(SHA1Range(E836:K836) = "cd0e8a085fddbb636ab28c2ef7d714949ed416da","0 Original","1 Modify"))))</f>
        <v>0 Original</v>
      </c>
      <c r="D836" s="3" t="s">
        <v>1459</v>
      </c>
      <c r="E836" s="5">
        <v>838</v>
      </c>
      <c r="F836">
        <v>256</v>
      </c>
      <c r="G836" t="s">
        <v>51</v>
      </c>
      <c r="H836" s="7">
        <v>9.99</v>
      </c>
      <c r="I836" s="5">
        <v>1</v>
      </c>
      <c r="J836" s="3" t="s">
        <v>29</v>
      </c>
      <c r="K836" s="9">
        <v>42483.62572916667</v>
      </c>
    </row>
    <row r="837" spans="3:11" x14ac:dyDescent="0.25">
      <c r="C837" t="str">
        <f>IF(COUNTBLANK(E837:K837) = 7,"",IF(AND(NOT(ISBLANK(E837)),COUNTBLANK(E837:K837) = 6),"3 Delete",IF(ISBLANK(E837),"2 Add",IF(SHA1Range(E837:K837) = "f8c73ea7473859bc16d7f8c224c1082e26d30957","0 Original","1 Modify"))))</f>
        <v>0 Original</v>
      </c>
      <c r="D837" s="3" t="s">
        <v>1460</v>
      </c>
      <c r="E837" s="5">
        <v>839</v>
      </c>
      <c r="F837">
        <v>257</v>
      </c>
      <c r="G837" t="s">
        <v>234</v>
      </c>
      <c r="H837" s="7">
        <v>4.99</v>
      </c>
      <c r="I837" s="5">
        <v>1</v>
      </c>
      <c r="J837" s="3" t="s">
        <v>29</v>
      </c>
      <c r="K837" s="9">
        <v>42483.62572916667</v>
      </c>
    </row>
    <row r="838" spans="3:11" x14ac:dyDescent="0.25">
      <c r="C838" t="str">
        <f>IF(COUNTBLANK(E838:K838) = 7,"",IF(AND(NOT(ISBLANK(E838)),COUNTBLANK(E838:K838) = 6),"3 Delete",IF(ISBLANK(E838),"2 Add",IF(SHA1Range(E838:K838) = "17b515bfa2d37733f83f75355b287e0d28ad6a6c","0 Original","1 Modify"))))</f>
        <v>0 Original</v>
      </c>
      <c r="D838" s="3" t="s">
        <v>1461</v>
      </c>
      <c r="E838" s="5">
        <v>840</v>
      </c>
      <c r="F838">
        <v>257</v>
      </c>
      <c r="G838" t="s">
        <v>257</v>
      </c>
      <c r="H838" s="7">
        <v>9.99</v>
      </c>
      <c r="I838" s="5">
        <v>2</v>
      </c>
      <c r="J838" s="3" t="s">
        <v>29</v>
      </c>
      <c r="K838" s="9">
        <v>42483.62572916667</v>
      </c>
    </row>
    <row r="839" spans="3:11" x14ac:dyDescent="0.25">
      <c r="C839" t="str">
        <f>IF(COUNTBLANK(E839:K839) = 7,"",IF(AND(NOT(ISBLANK(E839)),COUNTBLANK(E839:K839) = 6),"3 Delete",IF(ISBLANK(E839),"2 Add",IF(SHA1Range(E839:K839) = "72ebe054d0f7a4ad6e843fa287604e02751f4b7b","0 Original","1 Modify"))))</f>
        <v>0 Original</v>
      </c>
      <c r="D839" s="3" t="s">
        <v>1462</v>
      </c>
      <c r="E839" s="5">
        <v>841</v>
      </c>
      <c r="F839">
        <v>257</v>
      </c>
      <c r="G839" t="s">
        <v>602</v>
      </c>
      <c r="H839" s="7">
        <v>7.99</v>
      </c>
      <c r="I839" s="5">
        <v>1</v>
      </c>
      <c r="J839" s="3" t="s">
        <v>29</v>
      </c>
      <c r="K839" s="9">
        <v>42483.62572916667</v>
      </c>
    </row>
    <row r="840" spans="3:11" x14ac:dyDescent="0.25">
      <c r="C840" t="str">
        <f>IF(COUNTBLANK(E840:K840) = 7,"",IF(AND(NOT(ISBLANK(E840)),COUNTBLANK(E840:K840) = 6),"3 Delete",IF(ISBLANK(E840),"2 Add",IF(SHA1Range(E840:K840) = "9233f034852b05a9dee31d707f080ba03de35b11","0 Original","1 Modify"))))</f>
        <v>0 Original</v>
      </c>
      <c r="D840" s="3" t="s">
        <v>1463</v>
      </c>
      <c r="E840" s="5">
        <v>842</v>
      </c>
      <c r="F840">
        <v>258</v>
      </c>
      <c r="G840" t="s">
        <v>217</v>
      </c>
      <c r="H840" s="7">
        <v>9.99</v>
      </c>
      <c r="I840" s="5">
        <v>1</v>
      </c>
      <c r="J840" s="3" t="s">
        <v>29</v>
      </c>
      <c r="K840" s="9">
        <v>42483.62572916667</v>
      </c>
    </row>
    <row r="841" spans="3:11" x14ac:dyDescent="0.25">
      <c r="C841" t="str">
        <f>IF(COUNTBLANK(E841:K841) = 7,"",IF(AND(NOT(ISBLANK(E841)),COUNTBLANK(E841:K841) = 6),"3 Delete",IF(ISBLANK(E841),"2 Add",IF(SHA1Range(E841:K841) = "cba829a06e0d388e41ffc973fd5e6ce19ec7a1c5","0 Original","1 Modify"))))</f>
        <v>0 Original</v>
      </c>
      <c r="D841" s="3" t="s">
        <v>1464</v>
      </c>
      <c r="E841" s="5">
        <v>843</v>
      </c>
      <c r="F841">
        <v>258</v>
      </c>
      <c r="G841" t="s">
        <v>602</v>
      </c>
      <c r="H841" s="7">
        <v>7.99</v>
      </c>
      <c r="I841" s="5">
        <v>1</v>
      </c>
      <c r="J841" s="3" t="s">
        <v>29</v>
      </c>
      <c r="K841" s="9">
        <v>42483.62572916667</v>
      </c>
    </row>
    <row r="842" spans="3:11" x14ac:dyDescent="0.25">
      <c r="C842" t="str">
        <f>IF(COUNTBLANK(E842:K842) = 7,"",IF(AND(NOT(ISBLANK(E842)),COUNTBLANK(E842:K842) = 6),"3 Delete",IF(ISBLANK(E842),"2 Add",IF(SHA1Range(E842:K842) = "3a46f633dc2a1482072bcc61e07cd37b0b09680e","0 Original","1 Modify"))))</f>
        <v>0 Original</v>
      </c>
      <c r="D842" s="3" t="s">
        <v>1465</v>
      </c>
      <c r="E842" s="5">
        <v>844</v>
      </c>
      <c r="F842">
        <v>258</v>
      </c>
      <c r="G842" t="s">
        <v>388</v>
      </c>
      <c r="H842" s="7">
        <v>5.99</v>
      </c>
      <c r="I842" s="5">
        <v>1</v>
      </c>
      <c r="J842" s="3" t="s">
        <v>29</v>
      </c>
      <c r="K842" s="9">
        <v>42483.62572916667</v>
      </c>
    </row>
    <row r="843" spans="3:11" x14ac:dyDescent="0.25">
      <c r="C843" t="str">
        <f>IF(COUNTBLANK(E843:K843) = 7,"",IF(AND(NOT(ISBLANK(E843)),COUNTBLANK(E843:K843) = 6),"3 Delete",IF(ISBLANK(E843),"2 Add",IF(SHA1Range(E843:K843) = "47c64747f116f1294058afe17e20549fb59369de","0 Original","1 Modify"))))</f>
        <v>0 Original</v>
      </c>
      <c r="D843" s="3" t="s">
        <v>1466</v>
      </c>
      <c r="E843" s="5">
        <v>845</v>
      </c>
      <c r="F843">
        <v>259</v>
      </c>
      <c r="G843" t="s">
        <v>459</v>
      </c>
      <c r="H843" s="7">
        <v>5.99</v>
      </c>
      <c r="I843" s="5">
        <v>1</v>
      </c>
      <c r="J843" s="3" t="s">
        <v>29</v>
      </c>
      <c r="K843" s="9">
        <v>42483.62572916667</v>
      </c>
    </row>
    <row r="844" spans="3:11" x14ac:dyDescent="0.25">
      <c r="C844" t="str">
        <f>IF(COUNTBLANK(E844:K844) = 7,"",IF(AND(NOT(ISBLANK(E844)),COUNTBLANK(E844:K844) = 6),"3 Delete",IF(ISBLANK(E844),"2 Add",IF(SHA1Range(E844:K844) = "bc6c536169a26bc51ef7bb1d63fe0decfd2141a5","0 Original","1 Modify"))))</f>
        <v>0 Original</v>
      </c>
      <c r="D844" s="3" t="s">
        <v>1467</v>
      </c>
      <c r="E844" s="5">
        <v>846</v>
      </c>
      <c r="F844">
        <v>259</v>
      </c>
      <c r="G844" t="s">
        <v>126</v>
      </c>
      <c r="H844" s="7">
        <v>6.99</v>
      </c>
      <c r="I844" s="5">
        <v>2</v>
      </c>
      <c r="J844" s="3" t="s">
        <v>29</v>
      </c>
      <c r="K844" s="9">
        <v>42483.62572916667</v>
      </c>
    </row>
    <row r="845" spans="3:11" x14ac:dyDescent="0.25">
      <c r="C845" t="str">
        <f>IF(COUNTBLANK(E845:K845) = 7,"",IF(AND(NOT(ISBLANK(E845)),COUNTBLANK(E845:K845) = 6),"3 Delete",IF(ISBLANK(E845),"2 Add",IF(SHA1Range(E845:K845) = "ea3dea7007da021f3c0118093b8c2ea32ceddf14","0 Original","1 Modify"))))</f>
        <v>0 Original</v>
      </c>
      <c r="D845" s="3" t="s">
        <v>1468</v>
      </c>
      <c r="E845" s="5">
        <v>847</v>
      </c>
      <c r="F845">
        <v>259</v>
      </c>
      <c r="G845" t="s">
        <v>364</v>
      </c>
      <c r="H845" s="7">
        <v>9.99</v>
      </c>
      <c r="I845" s="5">
        <v>2</v>
      </c>
      <c r="J845" s="3" t="s">
        <v>29</v>
      </c>
      <c r="K845" s="9">
        <v>42483.62572916667</v>
      </c>
    </row>
    <row r="846" spans="3:11" x14ac:dyDescent="0.25">
      <c r="C846" t="str">
        <f>IF(COUNTBLANK(E846:K846) = 7,"",IF(AND(NOT(ISBLANK(E846)),COUNTBLANK(E846:K846) = 6),"3 Delete",IF(ISBLANK(E846),"2 Add",IF(SHA1Range(E846:K846) = "198b4072fa45ce6d6b9286f7ce0b10c6c875e036","0 Original","1 Modify"))))</f>
        <v>0 Original</v>
      </c>
      <c r="D846" s="3" t="s">
        <v>1469</v>
      </c>
      <c r="E846" s="5">
        <v>848</v>
      </c>
      <c r="F846">
        <v>259</v>
      </c>
      <c r="G846" t="s">
        <v>295</v>
      </c>
      <c r="H846" s="7">
        <v>7.99</v>
      </c>
      <c r="I846" s="5">
        <v>2</v>
      </c>
      <c r="J846" s="3" t="s">
        <v>29</v>
      </c>
      <c r="K846" s="9">
        <v>42483.62572916667</v>
      </c>
    </row>
    <row r="847" spans="3:11" x14ac:dyDescent="0.25">
      <c r="C847" t="str">
        <f>IF(COUNTBLANK(E847:K847) = 7,"",IF(AND(NOT(ISBLANK(E847)),COUNTBLANK(E847:K847) = 6),"3 Delete",IF(ISBLANK(E847),"2 Add",IF(SHA1Range(E847:K847) = "0a543bdbcb41a8877162de3ace20938af4ef9d17","0 Original","1 Modify"))))</f>
        <v>0 Original</v>
      </c>
      <c r="D847" s="3" t="s">
        <v>1470</v>
      </c>
      <c r="E847" s="5">
        <v>849</v>
      </c>
      <c r="F847">
        <v>260</v>
      </c>
      <c r="G847" t="s">
        <v>130</v>
      </c>
      <c r="H847" s="7">
        <v>8.99</v>
      </c>
      <c r="I847" s="5">
        <v>1</v>
      </c>
      <c r="J847" s="3" t="s">
        <v>29</v>
      </c>
      <c r="K847" s="9">
        <v>42483.62572916667</v>
      </c>
    </row>
    <row r="848" spans="3:11" x14ac:dyDescent="0.25">
      <c r="C848" t="str">
        <f>IF(COUNTBLANK(E848:K848) = 7,"",IF(AND(NOT(ISBLANK(E848)),COUNTBLANK(E848:K848) = 6),"3 Delete",IF(ISBLANK(E848),"2 Add",IF(SHA1Range(E848:K848) = "92390b3345701448fc9402c50d01b322fa8217bc","0 Original","1 Modify"))))</f>
        <v>0 Original</v>
      </c>
      <c r="D848" s="3" t="s">
        <v>1471</v>
      </c>
      <c r="E848" s="5">
        <v>850</v>
      </c>
      <c r="F848">
        <v>260</v>
      </c>
      <c r="G848" t="s">
        <v>184</v>
      </c>
      <c r="H848" s="7">
        <v>8.99</v>
      </c>
      <c r="I848" s="5">
        <v>2</v>
      </c>
      <c r="J848" s="3" t="s">
        <v>29</v>
      </c>
      <c r="K848" s="9">
        <v>42483.62572916667</v>
      </c>
    </row>
    <row r="849" spans="3:11" x14ac:dyDescent="0.25">
      <c r="C849" t="str">
        <f>IF(COUNTBLANK(E849:K849) = 7,"",IF(AND(NOT(ISBLANK(E849)),COUNTBLANK(E849:K849) = 6),"3 Delete",IF(ISBLANK(E849),"2 Add",IF(SHA1Range(E849:K849) = "b667f3321af96586ac9ee5a3ceb1db771e094cdd","0 Original","1 Modify"))))</f>
        <v>0 Original</v>
      </c>
      <c r="D849" s="3" t="s">
        <v>1472</v>
      </c>
      <c r="E849" s="5">
        <v>851</v>
      </c>
      <c r="F849">
        <v>261</v>
      </c>
      <c r="G849" t="s">
        <v>448</v>
      </c>
      <c r="H849" s="7">
        <v>8.99</v>
      </c>
      <c r="I849" s="5">
        <v>1</v>
      </c>
      <c r="J849" s="3" t="s">
        <v>29</v>
      </c>
      <c r="K849" s="9">
        <v>42483.62572916667</v>
      </c>
    </row>
    <row r="850" spans="3:11" x14ac:dyDescent="0.25">
      <c r="C850" t="str">
        <f>IF(COUNTBLANK(E850:K850) = 7,"",IF(AND(NOT(ISBLANK(E850)),COUNTBLANK(E850:K850) = 6),"3 Delete",IF(ISBLANK(E850),"2 Add",IF(SHA1Range(E850:K850) = "ca8aaf945fce3af34b8c3889a819f5b1aa416201","0 Original","1 Modify"))))</f>
        <v>0 Original</v>
      </c>
      <c r="D850" s="3" t="s">
        <v>1473</v>
      </c>
      <c r="E850" s="5">
        <v>852</v>
      </c>
      <c r="F850">
        <v>261</v>
      </c>
      <c r="G850" t="s">
        <v>407</v>
      </c>
      <c r="H850" s="7">
        <v>9.99</v>
      </c>
      <c r="I850" s="5">
        <v>2</v>
      </c>
      <c r="J850" s="3" t="s">
        <v>29</v>
      </c>
      <c r="K850" s="9">
        <v>42483.62572916667</v>
      </c>
    </row>
    <row r="851" spans="3:11" x14ac:dyDescent="0.25">
      <c r="C851" t="str">
        <f>IF(COUNTBLANK(E851:K851) = 7,"",IF(AND(NOT(ISBLANK(E851)),COUNTBLANK(E851:K851) = 6),"3 Delete",IF(ISBLANK(E851),"2 Add",IF(SHA1Range(E851:K851) = "24befd444bbea39ac99fd76120a882b565886bcc","0 Original","1 Modify"))))</f>
        <v>0 Original</v>
      </c>
      <c r="D851" s="3" t="s">
        <v>1474</v>
      </c>
      <c r="E851" s="5">
        <v>853</v>
      </c>
      <c r="F851">
        <v>262</v>
      </c>
      <c r="G851" t="s">
        <v>54</v>
      </c>
      <c r="H851" s="7">
        <v>5.99</v>
      </c>
      <c r="I851" s="5">
        <v>1</v>
      </c>
      <c r="J851" s="3" t="s">
        <v>29</v>
      </c>
      <c r="K851" s="9">
        <v>42483.62572916667</v>
      </c>
    </row>
    <row r="852" spans="3:11" x14ac:dyDescent="0.25">
      <c r="C852" t="str">
        <f>IF(COUNTBLANK(E852:K852) = 7,"",IF(AND(NOT(ISBLANK(E852)),COUNTBLANK(E852:K852) = 6),"3 Delete",IF(ISBLANK(E852),"2 Add",IF(SHA1Range(E852:K852) = "f327c51d7805542dd0eae31da4b99c446d369b1f","0 Original","1 Modify"))))</f>
        <v>0 Original</v>
      </c>
      <c r="D852" s="3" t="s">
        <v>1475</v>
      </c>
      <c r="E852" s="5">
        <v>854</v>
      </c>
      <c r="F852">
        <v>262</v>
      </c>
      <c r="G852" t="s">
        <v>234</v>
      </c>
      <c r="H852" s="7">
        <v>4.99</v>
      </c>
      <c r="I852" s="5">
        <v>1</v>
      </c>
      <c r="J852" s="3" t="s">
        <v>29</v>
      </c>
      <c r="K852" s="9">
        <v>42483.62572916667</v>
      </c>
    </row>
    <row r="853" spans="3:11" x14ac:dyDescent="0.25">
      <c r="C853" t="str">
        <f>IF(COUNTBLANK(E853:K853) = 7,"",IF(AND(NOT(ISBLANK(E853)),COUNTBLANK(E853:K853) = 6),"3 Delete",IF(ISBLANK(E853),"2 Add",IF(SHA1Range(E853:K853) = "4600edba402b731627e813f8009881b4437b237d","0 Original","1 Modify"))))</f>
        <v>0 Original</v>
      </c>
      <c r="D853" s="3" t="s">
        <v>1476</v>
      </c>
      <c r="E853" s="5">
        <v>855</v>
      </c>
      <c r="F853">
        <v>262</v>
      </c>
      <c r="G853" t="s">
        <v>546</v>
      </c>
      <c r="H853" s="7">
        <v>9.99</v>
      </c>
      <c r="I853" s="5">
        <v>2</v>
      </c>
      <c r="J853" s="3" t="s">
        <v>29</v>
      </c>
      <c r="K853" s="9">
        <v>42483.62572916667</v>
      </c>
    </row>
    <row r="854" spans="3:11" x14ac:dyDescent="0.25">
      <c r="C854" t="str">
        <f>IF(COUNTBLANK(E854:K854) = 7,"",IF(AND(NOT(ISBLANK(E854)),COUNTBLANK(E854:K854) = 6),"3 Delete",IF(ISBLANK(E854),"2 Add",IF(SHA1Range(E854:K854) = "f37a3b0c7279368445ce39bc27e8bf18857d4f36","0 Original","1 Modify"))))</f>
        <v>0 Original</v>
      </c>
      <c r="D854" s="3" t="s">
        <v>1477</v>
      </c>
      <c r="E854" s="5">
        <v>856</v>
      </c>
      <c r="F854">
        <v>263</v>
      </c>
      <c r="G854" t="s">
        <v>54</v>
      </c>
      <c r="H854" s="7">
        <v>5.99</v>
      </c>
      <c r="I854" s="5">
        <v>1</v>
      </c>
      <c r="J854" s="3" t="s">
        <v>29</v>
      </c>
      <c r="K854" s="9">
        <v>42483.62572916667</v>
      </c>
    </row>
    <row r="855" spans="3:11" x14ac:dyDescent="0.25">
      <c r="C855" t="str">
        <f>IF(COUNTBLANK(E855:K855) = 7,"",IF(AND(NOT(ISBLANK(E855)),COUNTBLANK(E855:K855) = 6),"3 Delete",IF(ISBLANK(E855),"2 Add",IF(SHA1Range(E855:K855) = "00fa5c9773c30c45904f7b05e886b9eef15bf45f","0 Original","1 Modify"))))</f>
        <v>0 Original</v>
      </c>
      <c r="D855" s="3" t="s">
        <v>1478</v>
      </c>
      <c r="E855" s="5">
        <v>857</v>
      </c>
      <c r="F855">
        <v>263</v>
      </c>
      <c r="G855" t="s">
        <v>130</v>
      </c>
      <c r="H855" s="7">
        <v>8.99</v>
      </c>
      <c r="I855" s="5">
        <v>2</v>
      </c>
      <c r="J855" s="3" t="s">
        <v>29</v>
      </c>
      <c r="K855" s="9">
        <v>42483.62572916667</v>
      </c>
    </row>
    <row r="856" spans="3:11" x14ac:dyDescent="0.25">
      <c r="C856" t="str">
        <f>IF(COUNTBLANK(E856:K856) = 7,"",IF(AND(NOT(ISBLANK(E856)),COUNTBLANK(E856:K856) = 6),"3 Delete",IF(ISBLANK(E856),"2 Add",IF(SHA1Range(E856:K856) = "7389b7388ce3c38f2b325aff62a83a12c380dd39","0 Original","1 Modify"))))</f>
        <v>0 Original</v>
      </c>
      <c r="D856" s="3" t="s">
        <v>1479</v>
      </c>
      <c r="E856" s="5">
        <v>858</v>
      </c>
      <c r="F856">
        <v>263</v>
      </c>
      <c r="G856" t="s">
        <v>395</v>
      </c>
      <c r="H856" s="7">
        <v>8.99</v>
      </c>
      <c r="I856" s="5">
        <v>1</v>
      </c>
      <c r="J856" s="3" t="s">
        <v>29</v>
      </c>
      <c r="K856" s="9">
        <v>42483.62572916667</v>
      </c>
    </row>
    <row r="857" spans="3:11" x14ac:dyDescent="0.25">
      <c r="C857" t="str">
        <f>IF(COUNTBLANK(E857:K857) = 7,"",IF(AND(NOT(ISBLANK(E857)),COUNTBLANK(E857:K857) = 6),"3 Delete",IF(ISBLANK(E857),"2 Add",IF(SHA1Range(E857:K857) = "cb244e468fb7d07481bba9e4cea59e34fb15a3a6","0 Original","1 Modify"))))</f>
        <v>0 Original</v>
      </c>
      <c r="D857" s="3" t="s">
        <v>1480</v>
      </c>
      <c r="E857" s="5">
        <v>859</v>
      </c>
      <c r="F857">
        <v>264</v>
      </c>
      <c r="G857" t="s">
        <v>391</v>
      </c>
      <c r="H857" s="7">
        <v>7.99</v>
      </c>
      <c r="I857" s="5">
        <v>1</v>
      </c>
      <c r="J857" s="3" t="s">
        <v>29</v>
      </c>
      <c r="K857" s="9">
        <v>42483.62572916667</v>
      </c>
    </row>
    <row r="858" spans="3:11" x14ac:dyDescent="0.25">
      <c r="C858" t="str">
        <f>IF(COUNTBLANK(E858:K858) = 7,"",IF(AND(NOT(ISBLANK(E858)),COUNTBLANK(E858:K858) = 6),"3 Delete",IF(ISBLANK(E858),"2 Add",IF(SHA1Range(E858:K858) = "dab7c9d584063626f4bbb1d68c66c4919c58763e","0 Original","1 Modify"))))</f>
        <v>0 Original</v>
      </c>
      <c r="D858" s="3" t="s">
        <v>1481</v>
      </c>
      <c r="E858" s="5">
        <v>860</v>
      </c>
      <c r="F858">
        <v>264</v>
      </c>
      <c r="G858" t="s">
        <v>576</v>
      </c>
      <c r="H858" s="7">
        <v>5.99</v>
      </c>
      <c r="I858" s="5">
        <v>2</v>
      </c>
      <c r="J858" s="3" t="s">
        <v>29</v>
      </c>
      <c r="K858" s="9">
        <v>42483.62572916667</v>
      </c>
    </row>
    <row r="859" spans="3:11" x14ac:dyDescent="0.25">
      <c r="C859" t="str">
        <f>IF(COUNTBLANK(E859:K859) = 7,"",IF(AND(NOT(ISBLANK(E859)),COUNTBLANK(E859:K859) = 6),"3 Delete",IF(ISBLANK(E859),"2 Add",IF(SHA1Range(E859:K859) = "9fa1f547e1577f1d7de624a1b1a62a7603595c31","0 Original","1 Modify"))))</f>
        <v>0 Original</v>
      </c>
      <c r="D859" s="3" t="s">
        <v>1482</v>
      </c>
      <c r="E859" s="5">
        <v>861</v>
      </c>
      <c r="F859">
        <v>264</v>
      </c>
      <c r="G859" t="s">
        <v>44</v>
      </c>
      <c r="H859" s="7">
        <v>6.99</v>
      </c>
      <c r="I859" s="5">
        <v>1</v>
      </c>
      <c r="J859" s="3" t="s">
        <v>29</v>
      </c>
      <c r="K859" s="9">
        <v>42483.62572916667</v>
      </c>
    </row>
    <row r="860" spans="3:11" x14ac:dyDescent="0.25">
      <c r="C860" t="str">
        <f>IF(COUNTBLANK(E860:K860) = 7,"",IF(AND(NOT(ISBLANK(E860)),COUNTBLANK(E860:K860) = 6),"3 Delete",IF(ISBLANK(E860),"2 Add",IF(SHA1Range(E860:K860) = "67e3ad79b7eb648d838e66da8aab20f2f479ad55","0 Original","1 Modify"))))</f>
        <v>0 Original</v>
      </c>
      <c r="D860" s="3" t="s">
        <v>1483</v>
      </c>
      <c r="E860" s="5">
        <v>862</v>
      </c>
      <c r="F860">
        <v>264</v>
      </c>
      <c r="G860" t="s">
        <v>573</v>
      </c>
      <c r="H860" s="7">
        <v>9.99</v>
      </c>
      <c r="I860" s="5">
        <v>1</v>
      </c>
      <c r="J860" s="3" t="s">
        <v>29</v>
      </c>
      <c r="K860" s="9">
        <v>42483.62572916667</v>
      </c>
    </row>
    <row r="861" spans="3:11" x14ac:dyDescent="0.25">
      <c r="C861" t="str">
        <f>IF(COUNTBLANK(E861:K861) = 7,"",IF(AND(NOT(ISBLANK(E861)),COUNTBLANK(E861:K861) = 6),"3 Delete",IF(ISBLANK(E861),"2 Add",IF(SHA1Range(E861:K861) = "aea8a8163d1b4bd188b0deaf396bfd869e381ffd","0 Original","1 Modify"))))</f>
        <v>0 Original</v>
      </c>
      <c r="D861" s="3" t="s">
        <v>1484</v>
      </c>
      <c r="E861" s="5">
        <v>863</v>
      </c>
      <c r="F861">
        <v>265</v>
      </c>
      <c r="G861" t="s">
        <v>388</v>
      </c>
      <c r="H861" s="7">
        <v>5.99</v>
      </c>
      <c r="I861" s="5">
        <v>1</v>
      </c>
      <c r="J861" s="3" t="s">
        <v>29</v>
      </c>
      <c r="K861" s="9">
        <v>42483.62572916667</v>
      </c>
    </row>
    <row r="862" spans="3:11" x14ac:dyDescent="0.25">
      <c r="C862" t="str">
        <f>IF(COUNTBLANK(E862:K862) = 7,"",IF(AND(NOT(ISBLANK(E862)),COUNTBLANK(E862:K862) = 6),"3 Delete",IF(ISBLANK(E862),"2 Add",IF(SHA1Range(E862:K862) = "42d2a821b0e3503c55f54231a8d951654e87d3e9","0 Original","1 Modify"))))</f>
        <v>0 Original</v>
      </c>
      <c r="D862" s="3" t="s">
        <v>1485</v>
      </c>
      <c r="E862" s="5">
        <v>864</v>
      </c>
      <c r="F862">
        <v>265</v>
      </c>
      <c r="G862" t="s">
        <v>281</v>
      </c>
      <c r="H862" s="7">
        <v>7.99</v>
      </c>
      <c r="I862" s="5">
        <v>1</v>
      </c>
      <c r="J862" s="3" t="s">
        <v>29</v>
      </c>
      <c r="K862" s="9">
        <v>42483.62572916667</v>
      </c>
    </row>
    <row r="863" spans="3:11" x14ac:dyDescent="0.25">
      <c r="C863" t="str">
        <f>IF(COUNTBLANK(E863:K863) = 7,"",IF(AND(NOT(ISBLANK(E863)),COUNTBLANK(E863:K863) = 6),"3 Delete",IF(ISBLANK(E863),"2 Add",IF(SHA1Range(E863:K863) = "1b2d5d4f07baef4a6cbfd8f73298a0d927b51ca7","0 Original","1 Modify"))))</f>
        <v>0 Original</v>
      </c>
      <c r="D863" s="3" t="s">
        <v>1486</v>
      </c>
      <c r="E863" s="5">
        <v>865</v>
      </c>
      <c r="F863">
        <v>266</v>
      </c>
      <c r="G863" t="s">
        <v>391</v>
      </c>
      <c r="H863" s="7">
        <v>7.99</v>
      </c>
      <c r="I863" s="5">
        <v>1</v>
      </c>
      <c r="J863" s="3" t="s">
        <v>29</v>
      </c>
      <c r="K863" s="9">
        <v>42483.62572916667</v>
      </c>
    </row>
    <row r="864" spans="3:11" x14ac:dyDescent="0.25">
      <c r="C864" t="str">
        <f>IF(COUNTBLANK(E864:K864) = 7,"",IF(AND(NOT(ISBLANK(E864)),COUNTBLANK(E864:K864) = 6),"3 Delete",IF(ISBLANK(E864),"2 Add",IF(SHA1Range(E864:K864) = "79eb3f0c1152cff11a78a2439675b7065256b1aa","0 Original","1 Modify"))))</f>
        <v>0 Original</v>
      </c>
      <c r="D864" s="3" t="s">
        <v>1487</v>
      </c>
      <c r="E864" s="5">
        <v>866</v>
      </c>
      <c r="F864">
        <v>266</v>
      </c>
      <c r="G864" t="s">
        <v>130</v>
      </c>
      <c r="H864" s="7">
        <v>8.99</v>
      </c>
      <c r="I864" s="5">
        <v>2</v>
      </c>
      <c r="J864" s="3" t="s">
        <v>29</v>
      </c>
      <c r="K864" s="9">
        <v>42483.62572916667</v>
      </c>
    </row>
    <row r="865" spans="3:11" x14ac:dyDescent="0.25">
      <c r="C865" t="str">
        <f>IF(COUNTBLANK(E865:K865) = 7,"",IF(AND(NOT(ISBLANK(E865)),COUNTBLANK(E865:K865) = 6),"3 Delete",IF(ISBLANK(E865),"2 Add",IF(SHA1Range(E865:K865) = "d1cf6d3ff4e96f5fe6e2547905b1fabca7995295","0 Original","1 Modify"))))</f>
        <v>0 Original</v>
      </c>
      <c r="D865" s="3" t="s">
        <v>1488</v>
      </c>
      <c r="E865" s="5">
        <v>867</v>
      </c>
      <c r="F865">
        <v>266</v>
      </c>
      <c r="G865" t="s">
        <v>602</v>
      </c>
      <c r="H865" s="7">
        <v>7.99</v>
      </c>
      <c r="I865" s="5">
        <v>3</v>
      </c>
      <c r="J865" s="3" t="s">
        <v>29</v>
      </c>
      <c r="K865" s="9">
        <v>42483.62572916667</v>
      </c>
    </row>
    <row r="866" spans="3:11" x14ac:dyDescent="0.25">
      <c r="C866" t="str">
        <f>IF(COUNTBLANK(E866:K866) = 7,"",IF(AND(NOT(ISBLANK(E866)),COUNTBLANK(E866:K866) = 6),"3 Delete",IF(ISBLANK(E866),"2 Add",IF(SHA1Range(E866:K866) = "f099d252cb14f88216f2a182f94610430e45dd68","0 Original","1 Modify"))))</f>
        <v>0 Original</v>
      </c>
      <c r="D866" s="3" t="s">
        <v>1489</v>
      </c>
      <c r="E866" s="5">
        <v>868</v>
      </c>
      <c r="F866">
        <v>266</v>
      </c>
      <c r="G866" t="s">
        <v>602</v>
      </c>
      <c r="H866" s="7">
        <v>7.99</v>
      </c>
      <c r="I866" s="5">
        <v>1</v>
      </c>
      <c r="J866" s="3" t="s">
        <v>29</v>
      </c>
      <c r="K866" s="9">
        <v>42483.62572916667</v>
      </c>
    </row>
    <row r="867" spans="3:11" x14ac:dyDescent="0.25">
      <c r="C867" t="str">
        <f>IF(COUNTBLANK(E867:K867) = 7,"",IF(AND(NOT(ISBLANK(E867)),COUNTBLANK(E867:K867) = 6),"3 Delete",IF(ISBLANK(E867),"2 Add",IF(SHA1Range(E867:K867) = "7539a08ab92fc2bc67843cff206eb515966bed8c","0 Original","1 Modify"))))</f>
        <v>0 Original</v>
      </c>
      <c r="D867" s="3" t="s">
        <v>1490</v>
      </c>
      <c r="E867" s="5">
        <v>869</v>
      </c>
      <c r="F867">
        <v>266</v>
      </c>
      <c r="G867" t="s">
        <v>456</v>
      </c>
      <c r="H867" s="7">
        <v>9.99</v>
      </c>
      <c r="I867" s="5">
        <v>2</v>
      </c>
      <c r="J867" s="3" t="s">
        <v>29</v>
      </c>
      <c r="K867" s="9">
        <v>42483.62572916667</v>
      </c>
    </row>
    <row r="868" spans="3:11" x14ac:dyDescent="0.25">
      <c r="C868" t="str">
        <f>IF(COUNTBLANK(E868:K868) = 7,"",IF(AND(NOT(ISBLANK(E868)),COUNTBLANK(E868:K868) = 6),"3 Delete",IF(ISBLANK(E868),"2 Add",IF(SHA1Range(E868:K868) = "7300b1d8d5ba7649221b073d1dfdfe9fde0bfb57","0 Original","1 Modify"))))</f>
        <v>0 Original</v>
      </c>
      <c r="D868" s="3" t="s">
        <v>1491</v>
      </c>
      <c r="E868" s="5">
        <v>870</v>
      </c>
      <c r="F868">
        <v>267</v>
      </c>
      <c r="G868" t="s">
        <v>398</v>
      </c>
      <c r="H868" s="7">
        <v>4.99</v>
      </c>
      <c r="I868" s="5">
        <v>2</v>
      </c>
      <c r="J868" s="3" t="s">
        <v>29</v>
      </c>
      <c r="K868" s="9">
        <v>42483.62572916667</v>
      </c>
    </row>
    <row r="869" spans="3:11" x14ac:dyDescent="0.25">
      <c r="C869" t="str">
        <f>IF(COUNTBLANK(E869:K869) = 7,"",IF(AND(NOT(ISBLANK(E869)),COUNTBLANK(E869:K869) = 6),"3 Delete",IF(ISBLANK(E869),"2 Add",IF(SHA1Range(E869:K869) = "1abdc954c6f3c584296bb46e4115ef8f78b691da","0 Original","1 Modify"))))</f>
        <v>0 Original</v>
      </c>
      <c r="D869" s="3" t="s">
        <v>1492</v>
      </c>
      <c r="E869" s="5">
        <v>871</v>
      </c>
      <c r="F869">
        <v>267</v>
      </c>
      <c r="G869" t="s">
        <v>273</v>
      </c>
      <c r="H869" s="7">
        <v>8.99</v>
      </c>
      <c r="I869" s="5">
        <v>1</v>
      </c>
      <c r="J869" s="3" t="s">
        <v>29</v>
      </c>
      <c r="K869" s="9">
        <v>42483.62572916667</v>
      </c>
    </row>
    <row r="870" spans="3:11" x14ac:dyDescent="0.25">
      <c r="C870" t="str">
        <f>IF(COUNTBLANK(E870:K870) = 7,"",IF(AND(NOT(ISBLANK(E870)),COUNTBLANK(E870:K870) = 6),"3 Delete",IF(ISBLANK(E870),"2 Add",IF(SHA1Range(E870:K870) = "0e057d04a5888e8397fd9a1ce36648225888c016","0 Original","1 Modify"))))</f>
        <v>0 Original</v>
      </c>
      <c r="D870" s="3" t="s">
        <v>1493</v>
      </c>
      <c r="E870" s="5">
        <v>872</v>
      </c>
      <c r="F870">
        <v>267</v>
      </c>
      <c r="G870" t="s">
        <v>246</v>
      </c>
      <c r="H870" s="7">
        <v>7.99</v>
      </c>
      <c r="I870" s="5">
        <v>1</v>
      </c>
      <c r="J870" s="3" t="s">
        <v>29</v>
      </c>
      <c r="K870" s="9">
        <v>42483.62572916667</v>
      </c>
    </row>
    <row r="871" spans="3:11" x14ac:dyDescent="0.25">
      <c r="C871" t="str">
        <f>IF(COUNTBLANK(E871:K871) = 7,"",IF(AND(NOT(ISBLANK(E871)),COUNTBLANK(E871:K871) = 6),"3 Delete",IF(ISBLANK(E871),"2 Add",IF(SHA1Range(E871:K871) = "bbc03fca1fb8266f68dad95caeee3533223196c0","0 Original","1 Modify"))))</f>
        <v>0 Original</v>
      </c>
      <c r="D871" s="3" t="s">
        <v>1494</v>
      </c>
      <c r="E871" s="5">
        <v>873</v>
      </c>
      <c r="F871">
        <v>267</v>
      </c>
      <c r="G871" t="s">
        <v>184</v>
      </c>
      <c r="H871" s="7">
        <v>8.99</v>
      </c>
      <c r="I871" s="5">
        <v>1</v>
      </c>
      <c r="J871" s="3" t="s">
        <v>29</v>
      </c>
      <c r="K871" s="9">
        <v>42483.62572916667</v>
      </c>
    </row>
    <row r="872" spans="3:11" x14ac:dyDescent="0.25">
      <c r="C872" t="str">
        <f>IF(COUNTBLANK(E872:K872) = 7,"",IF(AND(NOT(ISBLANK(E872)),COUNTBLANK(E872:K872) = 6),"3 Delete",IF(ISBLANK(E872),"2 Add",IF(SHA1Range(E872:K872) = "23498180209725d72c879bf5546ca39f7ee583c3","0 Original","1 Modify"))))</f>
        <v>0 Original</v>
      </c>
      <c r="D872" s="3" t="s">
        <v>1495</v>
      </c>
      <c r="E872" s="5">
        <v>874</v>
      </c>
      <c r="F872">
        <v>267</v>
      </c>
      <c r="G872" t="s">
        <v>51</v>
      </c>
      <c r="H872" s="7">
        <v>9.99</v>
      </c>
      <c r="I872" s="5">
        <v>1</v>
      </c>
      <c r="J872" s="3" t="s">
        <v>29</v>
      </c>
      <c r="K872" s="9">
        <v>42483.62572916667</v>
      </c>
    </row>
    <row r="873" spans="3:11" x14ac:dyDescent="0.25">
      <c r="C873" t="str">
        <f>IF(COUNTBLANK(E873:K873) = 7,"",IF(AND(NOT(ISBLANK(E873)),COUNTBLANK(E873:K873) = 6),"3 Delete",IF(ISBLANK(E873),"2 Add",IF(SHA1Range(E873:K873) = "918164c043ef8742c5aab454d590b8cc8fc804e4","0 Original","1 Modify"))))</f>
        <v>0 Original</v>
      </c>
      <c r="D873" s="3" t="s">
        <v>1496</v>
      </c>
      <c r="E873" s="5">
        <v>875</v>
      </c>
      <c r="F873">
        <v>267</v>
      </c>
      <c r="G873" t="s">
        <v>109</v>
      </c>
      <c r="H873" s="7">
        <v>8.99</v>
      </c>
      <c r="I873" s="5">
        <v>2</v>
      </c>
      <c r="J873" s="3" t="s">
        <v>29</v>
      </c>
      <c r="K873" s="9">
        <v>42483.62572916667</v>
      </c>
    </row>
    <row r="874" spans="3:11" x14ac:dyDescent="0.25">
      <c r="C874" t="str">
        <f>IF(COUNTBLANK(E874:K874) = 7,"",IF(AND(NOT(ISBLANK(E874)),COUNTBLANK(E874:K874) = 6),"3 Delete",IF(ISBLANK(E874),"2 Add",IF(SHA1Range(E874:K874) = "0c21c0e5e20c7613ba93ea8288de15311df08db4","0 Original","1 Modify"))))</f>
        <v>0 Original</v>
      </c>
      <c r="D874" s="3" t="s">
        <v>1497</v>
      </c>
      <c r="E874" s="5">
        <v>876</v>
      </c>
      <c r="F874">
        <v>268</v>
      </c>
      <c r="G874" t="s">
        <v>448</v>
      </c>
      <c r="H874" s="7">
        <v>8.99</v>
      </c>
      <c r="I874" s="5">
        <v>1</v>
      </c>
      <c r="J874" s="3" t="s">
        <v>29</v>
      </c>
      <c r="K874" s="9">
        <v>42483.62572916667</v>
      </c>
    </row>
    <row r="875" spans="3:11" x14ac:dyDescent="0.25">
      <c r="C875" t="str">
        <f>IF(COUNTBLANK(E875:K875) = 7,"",IF(AND(NOT(ISBLANK(E875)),COUNTBLANK(E875:K875) = 6),"3 Delete",IF(ISBLANK(E875),"2 Add",IF(SHA1Range(E875:K875) = "dae8216fc26f353c876d2c47c277994bf05c6370","0 Original","1 Modify"))))</f>
        <v>0 Original</v>
      </c>
      <c r="D875" s="3" t="s">
        <v>1498</v>
      </c>
      <c r="E875" s="5">
        <v>877</v>
      </c>
      <c r="F875">
        <v>268</v>
      </c>
      <c r="G875" t="s">
        <v>388</v>
      </c>
      <c r="H875" s="7">
        <v>5.99</v>
      </c>
      <c r="I875" s="5">
        <v>1</v>
      </c>
      <c r="J875" s="3" t="s">
        <v>29</v>
      </c>
      <c r="K875" s="9">
        <v>42483.62572916667</v>
      </c>
    </row>
    <row r="876" spans="3:11" x14ac:dyDescent="0.25">
      <c r="C876" t="str">
        <f>IF(COUNTBLANK(E876:K876) = 7,"",IF(AND(NOT(ISBLANK(E876)),COUNTBLANK(E876:K876) = 6),"3 Delete",IF(ISBLANK(E876),"2 Add",IF(SHA1Range(E876:K876) = "832e4b14a8eb57357af204ee61ca228385c0f8a2","0 Original","1 Modify"))))</f>
        <v>0 Original</v>
      </c>
      <c r="D876" s="3" t="s">
        <v>1499</v>
      </c>
      <c r="E876" s="5">
        <v>878</v>
      </c>
      <c r="F876">
        <v>268</v>
      </c>
      <c r="G876" t="s">
        <v>503</v>
      </c>
      <c r="H876" s="7">
        <v>8.99</v>
      </c>
      <c r="I876" s="5">
        <v>1</v>
      </c>
      <c r="J876" s="3" t="s">
        <v>29</v>
      </c>
      <c r="K876" s="9">
        <v>42483.62572916667</v>
      </c>
    </row>
    <row r="877" spans="3:11" x14ac:dyDescent="0.25">
      <c r="C877" t="str">
        <f>IF(COUNTBLANK(E877:K877) = 7,"",IF(AND(NOT(ISBLANK(E877)),COUNTBLANK(E877:K877) = 6),"3 Delete",IF(ISBLANK(E877),"2 Add",IF(SHA1Range(E877:K877) = "777dd8cd9003d08b7f6a66f2eadee1de794897ff","0 Original","1 Modify"))))</f>
        <v>0 Original</v>
      </c>
      <c r="D877" s="3" t="s">
        <v>1500</v>
      </c>
      <c r="E877" s="5">
        <v>879</v>
      </c>
      <c r="F877">
        <v>268</v>
      </c>
      <c r="G877" t="s">
        <v>573</v>
      </c>
      <c r="H877" s="7">
        <v>9.99</v>
      </c>
      <c r="I877" s="5">
        <v>1</v>
      </c>
      <c r="J877" s="3" t="s">
        <v>29</v>
      </c>
      <c r="K877" s="9">
        <v>42483.62572916667</v>
      </c>
    </row>
    <row r="878" spans="3:11" x14ac:dyDescent="0.25">
      <c r="C878" t="str">
        <f>IF(COUNTBLANK(E878:K878) = 7,"",IF(AND(NOT(ISBLANK(E878)),COUNTBLANK(E878:K878) = 6),"3 Delete",IF(ISBLANK(E878),"2 Add",IF(SHA1Range(E878:K878) = "8865c773825746986debf358c81d8236aaccc40d","0 Original","1 Modify"))))</f>
        <v>0 Original</v>
      </c>
      <c r="D878" s="3" t="s">
        <v>1501</v>
      </c>
      <c r="E878" s="5">
        <v>880</v>
      </c>
      <c r="F878">
        <v>269</v>
      </c>
      <c r="G878" t="s">
        <v>58</v>
      </c>
      <c r="H878" s="7">
        <v>8.99</v>
      </c>
      <c r="I878" s="5">
        <v>1</v>
      </c>
      <c r="J878" s="3" t="s">
        <v>29</v>
      </c>
      <c r="K878" s="9">
        <v>42483.62572916667</v>
      </c>
    </row>
    <row r="879" spans="3:11" x14ac:dyDescent="0.25">
      <c r="C879" t="str">
        <f>IF(COUNTBLANK(E879:K879) = 7,"",IF(AND(NOT(ISBLANK(E879)),COUNTBLANK(E879:K879) = 6),"3 Delete",IF(ISBLANK(E879),"2 Add",IF(SHA1Range(E879:K879) = "41c74ed11eeaeb9534c23075a806573a3c3dcbb6","0 Original","1 Modify"))))</f>
        <v>0 Original</v>
      </c>
      <c r="D879" s="3" t="s">
        <v>1502</v>
      </c>
      <c r="E879" s="5">
        <v>881</v>
      </c>
      <c r="F879">
        <v>270</v>
      </c>
      <c r="G879" t="s">
        <v>250</v>
      </c>
      <c r="H879" s="7">
        <v>8.99</v>
      </c>
      <c r="I879" s="5">
        <v>1</v>
      </c>
      <c r="J879" s="3" t="s">
        <v>29</v>
      </c>
      <c r="K879" s="9">
        <v>42483.62572916667</v>
      </c>
    </row>
    <row r="880" spans="3:11" x14ac:dyDescent="0.25">
      <c r="C880" t="str">
        <f>IF(COUNTBLANK(E880:K880) = 7,"",IF(AND(NOT(ISBLANK(E880)),COUNTBLANK(E880:K880) = 6),"3 Delete",IF(ISBLANK(E880),"2 Add",IF(SHA1Range(E880:K880) = "1bd65555f21909a7795d0fce2c77791a7fe7cd17","0 Original","1 Modify"))))</f>
        <v>0 Original</v>
      </c>
      <c r="D880" s="3" t="s">
        <v>1503</v>
      </c>
      <c r="E880" s="5">
        <v>882</v>
      </c>
      <c r="F880">
        <v>271</v>
      </c>
      <c r="G880" t="s">
        <v>184</v>
      </c>
      <c r="H880" s="7">
        <v>8.99</v>
      </c>
      <c r="I880" s="5">
        <v>2</v>
      </c>
      <c r="J880" s="3" t="s">
        <v>29</v>
      </c>
      <c r="K880" s="9">
        <v>42483.62572916667</v>
      </c>
    </row>
    <row r="881" spans="3:11" x14ac:dyDescent="0.25">
      <c r="C881" t="str">
        <f>IF(COUNTBLANK(E881:K881) = 7,"",IF(AND(NOT(ISBLANK(E881)),COUNTBLANK(E881:K881) = 6),"3 Delete",IF(ISBLANK(E881),"2 Add",IF(SHA1Range(E881:K881) = "397729deaacc82d930c0f2a31d967ca9a3af7924","0 Original","1 Modify"))))</f>
        <v>0 Original</v>
      </c>
      <c r="D881" s="3" t="s">
        <v>1504</v>
      </c>
      <c r="E881" s="5">
        <v>883</v>
      </c>
      <c r="F881">
        <v>271</v>
      </c>
      <c r="G881" t="s">
        <v>136</v>
      </c>
      <c r="H881" s="7">
        <v>8.99</v>
      </c>
      <c r="I881" s="5">
        <v>1</v>
      </c>
      <c r="J881" s="3" t="s">
        <v>29</v>
      </c>
      <c r="K881" s="9">
        <v>42483.62572916667</v>
      </c>
    </row>
    <row r="882" spans="3:11" x14ac:dyDescent="0.25">
      <c r="C882" t="str">
        <f>IF(COUNTBLANK(E882:K882) = 7,"",IF(AND(NOT(ISBLANK(E882)),COUNTBLANK(E882:K882) = 6),"3 Delete",IF(ISBLANK(E882),"2 Add",IF(SHA1Range(E882:K882) = "479babb21dbb8737df542484fd9794f96ce3df02","0 Original","1 Modify"))))</f>
        <v>0 Original</v>
      </c>
      <c r="D882" s="3" t="s">
        <v>1505</v>
      </c>
      <c r="E882" s="5">
        <v>884</v>
      </c>
      <c r="F882">
        <v>272</v>
      </c>
      <c r="G882" t="s">
        <v>30</v>
      </c>
      <c r="H882" s="7">
        <v>9.99</v>
      </c>
      <c r="I882" s="5">
        <v>2</v>
      </c>
      <c r="J882" s="3" t="s">
        <v>29</v>
      </c>
      <c r="K882" s="9">
        <v>42483.62572916667</v>
      </c>
    </row>
    <row r="883" spans="3:11" x14ac:dyDescent="0.25">
      <c r="C883" t="str">
        <f>IF(COUNTBLANK(E883:K883) = 7,"",IF(AND(NOT(ISBLANK(E883)),COUNTBLANK(E883:K883) = 6),"3 Delete",IF(ISBLANK(E883),"2 Add",IF(SHA1Range(E883:K883) = "4e18bd93f2e1e142e233a210ff0a1c6bafea5fe7","0 Original","1 Modify"))))</f>
        <v>0 Original</v>
      </c>
      <c r="D883" s="3" t="s">
        <v>1506</v>
      </c>
      <c r="E883" s="5">
        <v>885</v>
      </c>
      <c r="F883">
        <v>273</v>
      </c>
      <c r="G883" t="s">
        <v>136</v>
      </c>
      <c r="H883" s="7">
        <v>8.99</v>
      </c>
      <c r="I883" s="5">
        <v>1</v>
      </c>
      <c r="J883" s="3" t="s">
        <v>29</v>
      </c>
      <c r="K883" s="9">
        <v>42483.62572916667</v>
      </c>
    </row>
    <row r="884" spans="3:11" x14ac:dyDescent="0.25">
      <c r="C884" t="str">
        <f>IF(COUNTBLANK(E884:K884) = 7,"",IF(AND(NOT(ISBLANK(E884)),COUNTBLANK(E884:K884) = 6),"3 Delete",IF(ISBLANK(E884),"2 Add",IF(SHA1Range(E884:K884) = "11db9f1f7441a98020a3ebcfa41af2e6c2e8ac73","0 Original","1 Modify"))))</f>
        <v>0 Original</v>
      </c>
      <c r="D884" s="3" t="s">
        <v>1507</v>
      </c>
      <c r="E884" s="5">
        <v>886</v>
      </c>
      <c r="F884">
        <v>273</v>
      </c>
      <c r="G884" t="s">
        <v>130</v>
      </c>
      <c r="H884" s="7">
        <v>8.99</v>
      </c>
      <c r="I884" s="5">
        <v>2</v>
      </c>
      <c r="J884" s="3" t="s">
        <v>29</v>
      </c>
      <c r="K884" s="9">
        <v>42483.62572916667</v>
      </c>
    </row>
    <row r="885" spans="3:11" x14ac:dyDescent="0.25">
      <c r="C885" t="str">
        <f>IF(COUNTBLANK(E885:K885) = 7,"",IF(AND(NOT(ISBLANK(E885)),COUNTBLANK(E885:K885) = 6),"3 Delete",IF(ISBLANK(E885),"2 Add",IF(SHA1Range(E885:K885) = "41bba5d84191cb7d1e2ef3e32e289a6b0527d0b1","0 Original","1 Modify"))))</f>
        <v>0 Original</v>
      </c>
      <c r="D885" s="3" t="s">
        <v>1508</v>
      </c>
      <c r="E885" s="5">
        <v>887</v>
      </c>
      <c r="F885">
        <v>273</v>
      </c>
      <c r="G885" t="s">
        <v>152</v>
      </c>
      <c r="H885" s="7">
        <v>5.99</v>
      </c>
      <c r="I885" s="5">
        <v>2</v>
      </c>
      <c r="J885" s="3" t="s">
        <v>29</v>
      </c>
      <c r="K885" s="9">
        <v>42483.62572916667</v>
      </c>
    </row>
    <row r="886" spans="3:11" x14ac:dyDescent="0.25">
      <c r="C886" t="str">
        <f>IF(COUNTBLANK(E886:K886) = 7,"",IF(AND(NOT(ISBLANK(E886)),COUNTBLANK(E886:K886) = 6),"3 Delete",IF(ISBLANK(E886),"2 Add",IF(SHA1Range(E886:K886) = "e642ee4323cba3c00dac52374ab6d2bd50cf8a2a","0 Original","1 Modify"))))</f>
        <v>0 Original</v>
      </c>
      <c r="D886" s="3" t="s">
        <v>1509</v>
      </c>
      <c r="E886" s="5">
        <v>888</v>
      </c>
      <c r="F886">
        <v>274</v>
      </c>
      <c r="G886" t="s">
        <v>335</v>
      </c>
      <c r="H886" s="7">
        <v>5.99</v>
      </c>
      <c r="I886" s="5">
        <v>1</v>
      </c>
      <c r="J886" s="3" t="s">
        <v>29</v>
      </c>
      <c r="K886" s="9">
        <v>42483.62572916667</v>
      </c>
    </row>
    <row r="887" spans="3:11" x14ac:dyDescent="0.25">
      <c r="C887" t="str">
        <f>IF(COUNTBLANK(E887:K887) = 7,"",IF(AND(NOT(ISBLANK(E887)),COUNTBLANK(E887:K887) = 6),"3 Delete",IF(ISBLANK(E887),"2 Add",IF(SHA1Range(E887:K887) = "c313c46dd4543fe4e105951254cddf6faf81133c","0 Original","1 Modify"))))</f>
        <v>0 Original</v>
      </c>
      <c r="D887" s="3" t="s">
        <v>1510</v>
      </c>
      <c r="E887" s="5">
        <v>889</v>
      </c>
      <c r="F887">
        <v>274</v>
      </c>
      <c r="G887" t="s">
        <v>184</v>
      </c>
      <c r="H887" s="7">
        <v>8.99</v>
      </c>
      <c r="I887" s="5">
        <v>1</v>
      </c>
      <c r="J887" s="3" t="s">
        <v>29</v>
      </c>
      <c r="K887" s="9">
        <v>42483.62572916667</v>
      </c>
    </row>
    <row r="888" spans="3:11" x14ac:dyDescent="0.25">
      <c r="C888" t="str">
        <f>IF(COUNTBLANK(E888:K888) = 7,"",IF(AND(NOT(ISBLANK(E888)),COUNTBLANK(E888:K888) = 6),"3 Delete",IF(ISBLANK(E888),"2 Add",IF(SHA1Range(E888:K888) = "47fe3f665fb5865416110bfe42f58b5118dc6de7","0 Original","1 Modify"))))</f>
        <v>0 Original</v>
      </c>
      <c r="D888" s="3" t="s">
        <v>1511</v>
      </c>
      <c r="E888" s="5">
        <v>890</v>
      </c>
      <c r="F888">
        <v>275</v>
      </c>
      <c r="G888" t="s">
        <v>472</v>
      </c>
      <c r="H888" s="7">
        <v>6.99</v>
      </c>
      <c r="I888" s="5">
        <v>1</v>
      </c>
      <c r="J888" s="3" t="s">
        <v>29</v>
      </c>
      <c r="K888" s="9">
        <v>42483.62572916667</v>
      </c>
    </row>
    <row r="889" spans="3:11" x14ac:dyDescent="0.25">
      <c r="C889" t="str">
        <f>IF(COUNTBLANK(E889:K889) = 7,"",IF(AND(NOT(ISBLANK(E889)),COUNTBLANK(E889:K889) = 6),"3 Delete",IF(ISBLANK(E889),"2 Add",IF(SHA1Range(E889:K889) = "56d970ef0daa517e8b51ec59ba250d303cdf4d24","0 Original","1 Modify"))))</f>
        <v>0 Original</v>
      </c>
      <c r="D889" s="3" t="s">
        <v>1512</v>
      </c>
      <c r="E889" s="5">
        <v>891</v>
      </c>
      <c r="F889">
        <v>275</v>
      </c>
      <c r="G889" t="s">
        <v>109</v>
      </c>
      <c r="H889" s="7">
        <v>8.99</v>
      </c>
      <c r="I889" s="5">
        <v>2</v>
      </c>
      <c r="J889" s="3" t="s">
        <v>29</v>
      </c>
      <c r="K889" s="9">
        <v>42483.62572916667</v>
      </c>
    </row>
    <row r="890" spans="3:11" x14ac:dyDescent="0.25">
      <c r="C890" t="str">
        <f>IF(COUNTBLANK(E890:K890) = 7,"",IF(AND(NOT(ISBLANK(E890)),COUNTBLANK(E890:K890) = 6),"3 Delete",IF(ISBLANK(E890),"2 Add",IF(SHA1Range(E890:K890) = "51907f3650ebfbb2ab538beb9a7781b3686f5d32","0 Original","1 Modify"))))</f>
        <v>0 Original</v>
      </c>
      <c r="D890" s="3" t="s">
        <v>1513</v>
      </c>
      <c r="E890" s="5">
        <v>892</v>
      </c>
      <c r="F890">
        <v>276</v>
      </c>
      <c r="G890" t="s">
        <v>126</v>
      </c>
      <c r="H890" s="7">
        <v>6.99</v>
      </c>
      <c r="I890" s="5">
        <v>1</v>
      </c>
      <c r="J890" s="3" t="s">
        <v>29</v>
      </c>
      <c r="K890" s="9">
        <v>42483.62572916667</v>
      </c>
    </row>
    <row r="891" spans="3:11" x14ac:dyDescent="0.25">
      <c r="C891" t="str">
        <f>IF(COUNTBLANK(E891:K891) = 7,"",IF(AND(NOT(ISBLANK(E891)),COUNTBLANK(E891:K891) = 6),"3 Delete",IF(ISBLANK(E891),"2 Add",IF(SHA1Range(E891:K891) = "d0eb17740cd4870b4ddb71f27a87bd01c6773233","0 Original","1 Modify"))))</f>
        <v>0 Original</v>
      </c>
      <c r="D891" s="3" t="s">
        <v>1514</v>
      </c>
      <c r="E891" s="5">
        <v>893</v>
      </c>
      <c r="F891">
        <v>276</v>
      </c>
      <c r="G891" t="s">
        <v>130</v>
      </c>
      <c r="H891" s="7">
        <v>8.99</v>
      </c>
      <c r="I891" s="5">
        <v>1</v>
      </c>
      <c r="J891" s="3" t="s">
        <v>29</v>
      </c>
      <c r="K891" s="9">
        <v>42483.62572916667</v>
      </c>
    </row>
    <row r="892" spans="3:11" x14ac:dyDescent="0.25">
      <c r="C892" t="str">
        <f>IF(COUNTBLANK(E892:K892) = 7,"",IF(AND(NOT(ISBLANK(E892)),COUNTBLANK(E892:K892) = 6),"3 Delete",IF(ISBLANK(E892),"2 Add",IF(SHA1Range(E892:K892) = "d32e3d0b7e6987e7ce59bb007e495836329b5d4e","0 Original","1 Modify"))))</f>
        <v>0 Original</v>
      </c>
      <c r="D892" s="3" t="s">
        <v>1515</v>
      </c>
      <c r="E892" s="5">
        <v>894</v>
      </c>
      <c r="F892">
        <v>277</v>
      </c>
      <c r="G892" t="s">
        <v>44</v>
      </c>
      <c r="H892" s="7">
        <v>6.99</v>
      </c>
      <c r="I892" s="5">
        <v>1</v>
      </c>
      <c r="J892" s="3" t="s">
        <v>29</v>
      </c>
      <c r="K892" s="9">
        <v>42483.62572916667</v>
      </c>
    </row>
    <row r="893" spans="3:11" x14ac:dyDescent="0.25">
      <c r="C893" t="str">
        <f>IF(COUNTBLANK(E893:K893) = 7,"",IF(AND(NOT(ISBLANK(E893)),COUNTBLANK(E893:K893) = 6),"3 Delete",IF(ISBLANK(E893),"2 Add",IF(SHA1Range(E893:K893) = "4087483c94f659c50e0d2032a1c0d708c1611f68","0 Original","1 Modify"))))</f>
        <v>0 Original</v>
      </c>
      <c r="D893" s="3" t="s">
        <v>1516</v>
      </c>
      <c r="E893" s="5">
        <v>895</v>
      </c>
      <c r="F893">
        <v>278</v>
      </c>
      <c r="G893" t="s">
        <v>602</v>
      </c>
      <c r="H893" s="7">
        <v>7.99</v>
      </c>
      <c r="I893" s="5">
        <v>2</v>
      </c>
      <c r="J893" s="3" t="s">
        <v>29</v>
      </c>
      <c r="K893" s="9">
        <v>42483.62572916667</v>
      </c>
    </row>
    <row r="894" spans="3:11" x14ac:dyDescent="0.25">
      <c r="C894" t="str">
        <f>IF(COUNTBLANK(E894:K894) = 7,"",IF(AND(NOT(ISBLANK(E894)),COUNTBLANK(E894:K894) = 6),"3 Delete",IF(ISBLANK(E894),"2 Add",IF(SHA1Range(E894:K894) = "cd3a1061d01367f53a947d2632193cf8467f9c13","0 Original","1 Modify"))))</f>
        <v>0 Original</v>
      </c>
      <c r="D894" s="3" t="s">
        <v>1517</v>
      </c>
      <c r="E894" s="5">
        <v>896</v>
      </c>
      <c r="F894">
        <v>278</v>
      </c>
      <c r="G894" t="s">
        <v>599</v>
      </c>
      <c r="H894" s="7">
        <v>5.99</v>
      </c>
      <c r="I894" s="5">
        <v>1</v>
      </c>
      <c r="J894" s="3" t="s">
        <v>29</v>
      </c>
      <c r="K894" s="9">
        <v>42483.62572916667</v>
      </c>
    </row>
    <row r="895" spans="3:11" x14ac:dyDescent="0.25">
      <c r="C895" t="str">
        <f>IF(COUNTBLANK(E895:K895) = 7,"",IF(AND(NOT(ISBLANK(E895)),COUNTBLANK(E895:K895) = 6),"3 Delete",IF(ISBLANK(E895),"2 Add",IF(SHA1Range(E895:K895) = "7fe136b1c91c232608d77576fd290a13b40eac3c","0 Original","1 Modify"))))</f>
        <v>0 Original</v>
      </c>
      <c r="D895" s="3" t="s">
        <v>1518</v>
      </c>
      <c r="E895" s="5">
        <v>897</v>
      </c>
      <c r="F895">
        <v>278</v>
      </c>
      <c r="G895" t="s">
        <v>246</v>
      </c>
      <c r="H895" s="7">
        <v>7.99</v>
      </c>
      <c r="I895" s="5">
        <v>2</v>
      </c>
      <c r="J895" s="3" t="s">
        <v>29</v>
      </c>
      <c r="K895" s="9">
        <v>42483.62572916667</v>
      </c>
    </row>
    <row r="896" spans="3:11" x14ac:dyDescent="0.25">
      <c r="C896" t="str">
        <f>IF(COUNTBLANK(E896:K896) = 7,"",IF(AND(NOT(ISBLANK(E896)),COUNTBLANK(E896:K896) = 6),"3 Delete",IF(ISBLANK(E896),"2 Add",IF(SHA1Range(E896:K896) = "48279532b345e2a3e5d8f7026f936558eb094ec4","0 Original","1 Modify"))))</f>
        <v>0 Original</v>
      </c>
      <c r="D896" s="3" t="s">
        <v>1519</v>
      </c>
      <c r="E896" s="5">
        <v>898</v>
      </c>
      <c r="F896">
        <v>279</v>
      </c>
      <c r="G896" t="s">
        <v>391</v>
      </c>
      <c r="H896" s="7">
        <v>7.99</v>
      </c>
      <c r="I896" s="5">
        <v>1</v>
      </c>
      <c r="J896" s="3" t="s">
        <v>29</v>
      </c>
      <c r="K896" s="9">
        <v>42483.62572916667</v>
      </c>
    </row>
    <row r="897" spans="3:11" x14ac:dyDescent="0.25">
      <c r="C897" t="str">
        <f>IF(COUNTBLANK(E897:K897) = 7,"",IF(AND(NOT(ISBLANK(E897)),COUNTBLANK(E897:K897) = 6),"3 Delete",IF(ISBLANK(E897),"2 Add",IF(SHA1Range(E897:K897) = "e8cf44030c0a80180e1b6038f6f0d0957281522e","0 Original","1 Modify"))))</f>
        <v>0 Original</v>
      </c>
      <c r="D897" s="3" t="s">
        <v>1520</v>
      </c>
      <c r="E897" s="5">
        <v>899</v>
      </c>
      <c r="F897">
        <v>279</v>
      </c>
      <c r="G897" t="s">
        <v>238</v>
      </c>
      <c r="H897" s="7">
        <v>5.99</v>
      </c>
      <c r="I897" s="5">
        <v>1</v>
      </c>
      <c r="J897" s="3" t="s">
        <v>29</v>
      </c>
      <c r="K897" s="9">
        <v>42483.62572916667</v>
      </c>
    </row>
    <row r="898" spans="3:11" x14ac:dyDescent="0.25">
      <c r="C898" t="str">
        <f>IF(COUNTBLANK(E898:K898) = 7,"",IF(AND(NOT(ISBLANK(E898)),COUNTBLANK(E898:K898) = 6),"3 Delete",IF(ISBLANK(E898),"2 Add",IF(SHA1Range(E898:K898) = "be574ea4eaf7074f2cec667f97991944049e8258","0 Original","1 Modify"))))</f>
        <v>0 Original</v>
      </c>
      <c r="D898" s="3" t="s">
        <v>1521</v>
      </c>
      <c r="E898" s="5">
        <v>900</v>
      </c>
      <c r="F898">
        <v>279</v>
      </c>
      <c r="G898" t="s">
        <v>448</v>
      </c>
      <c r="H898" s="7">
        <v>8.99</v>
      </c>
      <c r="I898" s="5">
        <v>1</v>
      </c>
      <c r="J898" s="3" t="s">
        <v>29</v>
      </c>
      <c r="K898" s="9">
        <v>42483.62572916667</v>
      </c>
    </row>
    <row r="899" spans="3:11" x14ac:dyDescent="0.25">
      <c r="C899" t="str">
        <f>IF(COUNTBLANK(E899:K899) = 7,"",IF(AND(NOT(ISBLANK(E899)),COUNTBLANK(E899:K899) = 6),"3 Delete",IF(ISBLANK(E899),"2 Add",IF(SHA1Range(E899:K899) = "75e555ada34cfd4a6ad8f395ddf8849d9f717c9d","0 Original","1 Modify"))))</f>
        <v>0 Original</v>
      </c>
      <c r="D899" s="3" t="s">
        <v>1522</v>
      </c>
      <c r="E899" s="5">
        <v>901</v>
      </c>
      <c r="F899">
        <v>279</v>
      </c>
      <c r="G899" t="s">
        <v>142</v>
      </c>
      <c r="H899" s="7">
        <v>4.99</v>
      </c>
      <c r="I899" s="5">
        <v>2</v>
      </c>
      <c r="J899" s="3" t="s">
        <v>29</v>
      </c>
      <c r="K899" s="9">
        <v>42483.62572916667</v>
      </c>
    </row>
    <row r="900" spans="3:11" x14ac:dyDescent="0.25">
      <c r="C900" t="str">
        <f>IF(COUNTBLANK(E900:K900) = 7,"",IF(AND(NOT(ISBLANK(E900)),COUNTBLANK(E900:K900) = 6),"3 Delete",IF(ISBLANK(E900),"2 Add",IF(SHA1Range(E900:K900) = "596a72a302250261039c46d41a38d7d013a32db0","0 Original","1 Modify"))))</f>
        <v>0 Original</v>
      </c>
      <c r="D900" s="3" t="s">
        <v>1523</v>
      </c>
      <c r="E900" s="5">
        <v>902</v>
      </c>
      <c r="F900">
        <v>279</v>
      </c>
      <c r="G900" t="s">
        <v>304</v>
      </c>
      <c r="H900" s="7">
        <v>8.99</v>
      </c>
      <c r="I900" s="5">
        <v>2</v>
      </c>
      <c r="J900" s="3" t="s">
        <v>29</v>
      </c>
      <c r="K900" s="9">
        <v>42483.62572916667</v>
      </c>
    </row>
    <row r="901" spans="3:11" x14ac:dyDescent="0.25">
      <c r="C901" t="str">
        <f>IF(COUNTBLANK(E901:K901) = 7,"",IF(AND(NOT(ISBLANK(E901)),COUNTBLANK(E901:K901) = 6),"3 Delete",IF(ISBLANK(E901),"2 Add",IF(SHA1Range(E901:K901) = "4d870993451f70431b7ad970f6d028aba5107008","0 Original","1 Modify"))))</f>
        <v>0 Original</v>
      </c>
      <c r="D901" s="3" t="s">
        <v>1524</v>
      </c>
      <c r="E901" s="5">
        <v>903</v>
      </c>
      <c r="F901">
        <v>279</v>
      </c>
      <c r="G901" t="s">
        <v>456</v>
      </c>
      <c r="H901" s="7">
        <v>9.99</v>
      </c>
      <c r="I901" s="5">
        <v>1</v>
      </c>
      <c r="J901" s="3" t="s">
        <v>29</v>
      </c>
      <c r="K901" s="9">
        <v>42483.62572916667</v>
      </c>
    </row>
    <row r="902" spans="3:11" x14ac:dyDescent="0.25">
      <c r="C902" t="str">
        <f>IF(COUNTBLANK(E902:K902) = 7,"",IF(AND(NOT(ISBLANK(E902)),COUNTBLANK(E902:K902) = 6),"3 Delete",IF(ISBLANK(E902),"2 Add",IF(SHA1Range(E902:K902) = "17c72b52abeada905bfbb7bd85dbaacfd39d9cd9","0 Original","1 Modify"))))</f>
        <v>0 Original</v>
      </c>
      <c r="D902" s="3" t="s">
        <v>1525</v>
      </c>
      <c r="E902" s="5">
        <v>904</v>
      </c>
      <c r="F902">
        <v>280</v>
      </c>
      <c r="G902" t="s">
        <v>273</v>
      </c>
      <c r="H902" s="7">
        <v>8.99</v>
      </c>
      <c r="I902" s="5">
        <v>1</v>
      </c>
      <c r="J902" s="3" t="s">
        <v>29</v>
      </c>
      <c r="K902" s="9">
        <v>42483.62572916667</v>
      </c>
    </row>
    <row r="903" spans="3:11" x14ac:dyDescent="0.25">
      <c r="C903" t="str">
        <f>IF(COUNTBLANK(E903:K903) = 7,"",IF(AND(NOT(ISBLANK(E903)),COUNTBLANK(E903:K903) = 6),"3 Delete",IF(ISBLANK(E903),"2 Add",IF(SHA1Range(E903:K903) = "3b3279ebd03897c7fdf035fa7912e657ddaa69fd","0 Original","1 Modify"))))</f>
        <v>0 Original</v>
      </c>
      <c r="D903" s="3" t="s">
        <v>1526</v>
      </c>
      <c r="E903" s="5">
        <v>905</v>
      </c>
      <c r="F903">
        <v>280</v>
      </c>
      <c r="G903" t="s">
        <v>364</v>
      </c>
      <c r="H903" s="7">
        <v>9.99</v>
      </c>
      <c r="I903" s="5">
        <v>1</v>
      </c>
      <c r="J903" s="3" t="s">
        <v>29</v>
      </c>
      <c r="K903" s="9">
        <v>42483.62572916667</v>
      </c>
    </row>
    <row r="904" spans="3:11" x14ac:dyDescent="0.25">
      <c r="C904" t="str">
        <f>IF(COUNTBLANK(E904:K904) = 7,"",IF(AND(NOT(ISBLANK(E904)),COUNTBLANK(E904:K904) = 6),"3 Delete",IF(ISBLANK(E904),"2 Add",IF(SHA1Range(E904:K904) = "401dd8772bfbd936dcf6fbaaed1d2a1caec578f0","0 Original","1 Modify"))))</f>
        <v>0 Original</v>
      </c>
      <c r="D904" s="3" t="s">
        <v>1527</v>
      </c>
      <c r="E904" s="5">
        <v>906</v>
      </c>
      <c r="F904">
        <v>281</v>
      </c>
      <c r="G904" t="s">
        <v>58</v>
      </c>
      <c r="H904" s="7">
        <v>8.99</v>
      </c>
      <c r="I904" s="5">
        <v>1</v>
      </c>
      <c r="J904" s="3" t="s">
        <v>29</v>
      </c>
      <c r="K904" s="9">
        <v>42483.62572916667</v>
      </c>
    </row>
    <row r="905" spans="3:11" x14ac:dyDescent="0.25">
      <c r="C905" t="str">
        <f>IF(COUNTBLANK(E905:K905) = 7,"",IF(AND(NOT(ISBLANK(E905)),COUNTBLANK(E905:K905) = 6),"3 Delete",IF(ISBLANK(E905),"2 Add",IF(SHA1Range(E905:K905) = "7b0fb3fbeec7aeabff623d1f500a1905b7865b95","0 Original","1 Modify"))))</f>
        <v>0 Original</v>
      </c>
      <c r="D905" s="3" t="s">
        <v>1528</v>
      </c>
      <c r="E905" s="5">
        <v>907</v>
      </c>
      <c r="F905">
        <v>281</v>
      </c>
      <c r="G905" t="s">
        <v>230</v>
      </c>
      <c r="H905" s="7">
        <v>5.99</v>
      </c>
      <c r="I905" s="5">
        <v>1</v>
      </c>
      <c r="J905" s="3" t="s">
        <v>29</v>
      </c>
      <c r="K905" s="9">
        <v>42483.62572916667</v>
      </c>
    </row>
    <row r="906" spans="3:11" x14ac:dyDescent="0.25">
      <c r="C906" t="str">
        <f>IF(COUNTBLANK(E906:K906) = 7,"",IF(AND(NOT(ISBLANK(E906)),COUNTBLANK(E906:K906) = 6),"3 Delete",IF(ISBLANK(E906),"2 Add",IF(SHA1Range(E906:K906) = "fca57aeac88df1000f94f190c799d3f0204d83d9","0 Original","1 Modify"))))</f>
        <v>0 Original</v>
      </c>
      <c r="D906" s="3" t="s">
        <v>1529</v>
      </c>
      <c r="E906" s="5">
        <v>908</v>
      </c>
      <c r="F906">
        <v>281</v>
      </c>
      <c r="G906" t="s">
        <v>37</v>
      </c>
      <c r="H906" s="7">
        <v>6.99</v>
      </c>
      <c r="I906" s="5">
        <v>1</v>
      </c>
      <c r="J906" s="3" t="s">
        <v>29</v>
      </c>
      <c r="K906" s="9">
        <v>42483.62572916667</v>
      </c>
    </row>
    <row r="907" spans="3:11" x14ac:dyDescent="0.25">
      <c r="C907" t="str">
        <f>IF(COUNTBLANK(E907:K907) = 7,"",IF(AND(NOT(ISBLANK(E907)),COUNTBLANK(E907:K907) = 6),"3 Delete",IF(ISBLANK(E907),"2 Add",IF(SHA1Range(E907:K907) = "9434aef0ca46e32546e873f6df04f174981f9665","0 Original","1 Modify"))))</f>
        <v>0 Original</v>
      </c>
      <c r="D907" s="3" t="s">
        <v>1530</v>
      </c>
      <c r="E907" s="5">
        <v>909</v>
      </c>
      <c r="F907">
        <v>282</v>
      </c>
      <c r="G907" t="s">
        <v>472</v>
      </c>
      <c r="H907" s="7">
        <v>6.99</v>
      </c>
      <c r="I907" s="5">
        <v>2</v>
      </c>
      <c r="J907" s="3" t="s">
        <v>29</v>
      </c>
      <c r="K907" s="9">
        <v>42483.62572916667</v>
      </c>
    </row>
    <row r="908" spans="3:11" x14ac:dyDescent="0.25">
      <c r="C908" t="str">
        <f>IF(COUNTBLANK(E908:K908) = 7,"",IF(AND(NOT(ISBLANK(E908)),COUNTBLANK(E908:K908) = 6),"3 Delete",IF(ISBLANK(E908),"2 Add",IF(SHA1Range(E908:K908) = "ed9d2c23126ce84f5945af1c3dfeea3b6c987fe4","0 Original","1 Modify"))))</f>
        <v>0 Original</v>
      </c>
      <c r="D908" s="3" t="s">
        <v>1531</v>
      </c>
      <c r="E908" s="5">
        <v>910</v>
      </c>
      <c r="F908">
        <v>283</v>
      </c>
      <c r="G908" t="s">
        <v>576</v>
      </c>
      <c r="H908" s="7">
        <v>5.99</v>
      </c>
      <c r="I908" s="5">
        <v>2</v>
      </c>
      <c r="J908" s="3" t="s">
        <v>29</v>
      </c>
      <c r="K908" s="9">
        <v>42483.62572916667</v>
      </c>
    </row>
    <row r="909" spans="3:11" x14ac:dyDescent="0.25">
      <c r="C909" t="str">
        <f>IF(COUNTBLANK(E909:K909) = 7,"",IF(AND(NOT(ISBLANK(E909)),COUNTBLANK(E909:K909) = 6),"3 Delete",IF(ISBLANK(E909),"2 Add",IF(SHA1Range(E909:K909) = "4baaee0bc9f40346c86cd4f2534d8d86f9de500e","0 Original","1 Modify"))))</f>
        <v>0 Original</v>
      </c>
      <c r="D909" s="3" t="s">
        <v>1532</v>
      </c>
      <c r="E909" s="5">
        <v>911</v>
      </c>
      <c r="F909">
        <v>283</v>
      </c>
      <c r="G909" t="s">
        <v>234</v>
      </c>
      <c r="H909" s="7">
        <v>4.99</v>
      </c>
      <c r="I909" s="5">
        <v>1</v>
      </c>
      <c r="J909" s="3" t="s">
        <v>29</v>
      </c>
      <c r="K909" s="9">
        <v>42483.62572916667</v>
      </c>
    </row>
    <row r="910" spans="3:11" x14ac:dyDescent="0.25">
      <c r="C910" t="str">
        <f>IF(COUNTBLANK(E910:K910) = 7,"",IF(AND(NOT(ISBLANK(E910)),COUNTBLANK(E910:K910) = 6),"3 Delete",IF(ISBLANK(E910),"2 Add",IF(SHA1Range(E910:K910) = "20cacd9b42aa8851ccf1f37f0e1d70fabedec833","0 Original","1 Modify"))))</f>
        <v>0 Original</v>
      </c>
      <c r="D910" s="3" t="s">
        <v>1533</v>
      </c>
      <c r="E910" s="5">
        <v>912</v>
      </c>
      <c r="F910">
        <v>283</v>
      </c>
      <c r="G910" t="s">
        <v>246</v>
      </c>
      <c r="H910" s="7">
        <v>7.99</v>
      </c>
      <c r="I910" s="5">
        <v>1</v>
      </c>
      <c r="J910" s="3" t="s">
        <v>29</v>
      </c>
      <c r="K910" s="9">
        <v>42483.62572916667</v>
      </c>
    </row>
    <row r="911" spans="3:11" x14ac:dyDescent="0.25">
      <c r="C911" t="str">
        <f>IF(COUNTBLANK(E911:K911) = 7,"",IF(AND(NOT(ISBLANK(E911)),COUNTBLANK(E911:K911) = 6),"3 Delete",IF(ISBLANK(E911),"2 Add",IF(SHA1Range(E911:K911) = "6e9a0ee65794e060d7182322dd362dc5a2860006","0 Original","1 Modify"))))</f>
        <v>0 Original</v>
      </c>
      <c r="D911" s="3" t="s">
        <v>1534</v>
      </c>
      <c r="E911" s="5">
        <v>913</v>
      </c>
      <c r="F911">
        <v>284</v>
      </c>
      <c r="G911" t="s">
        <v>184</v>
      </c>
      <c r="H911" s="7">
        <v>8.99</v>
      </c>
      <c r="I911" s="5">
        <v>1</v>
      </c>
      <c r="J911" s="3" t="s">
        <v>29</v>
      </c>
      <c r="K911" s="9">
        <v>42483.62572916667</v>
      </c>
    </row>
    <row r="912" spans="3:11" x14ac:dyDescent="0.25">
      <c r="C912" t="str">
        <f>IF(COUNTBLANK(E912:K912) = 7,"",IF(AND(NOT(ISBLANK(E912)),COUNTBLANK(E912:K912) = 6),"3 Delete",IF(ISBLANK(E912),"2 Add",IF(SHA1Range(E912:K912) = "2e1d47ff6c237bc38c050a93cc5b06234f1e97da","0 Original","1 Modify"))))</f>
        <v>0 Original</v>
      </c>
      <c r="D912" s="3" t="s">
        <v>1535</v>
      </c>
      <c r="E912" s="5">
        <v>914</v>
      </c>
      <c r="F912">
        <v>285</v>
      </c>
      <c r="G912" t="s">
        <v>335</v>
      </c>
      <c r="H912" s="7">
        <v>5.99</v>
      </c>
      <c r="I912" s="5">
        <v>2</v>
      </c>
      <c r="J912" s="3" t="s">
        <v>29</v>
      </c>
      <c r="K912" s="9">
        <v>42483.62572916667</v>
      </c>
    </row>
    <row r="913" spans="3:11" x14ac:dyDescent="0.25">
      <c r="C913" t="str">
        <f>IF(COUNTBLANK(E913:K913) = 7,"",IF(AND(NOT(ISBLANK(E913)),COUNTBLANK(E913:K913) = 6),"3 Delete",IF(ISBLANK(E913),"2 Add",IF(SHA1Range(E913:K913) = "ec1b19101a5631044ff96db7c482f7dc8d9ad9b1","0 Original","1 Modify"))))</f>
        <v>0 Original</v>
      </c>
      <c r="D913" s="3" t="s">
        <v>1536</v>
      </c>
      <c r="E913" s="5">
        <v>915</v>
      </c>
      <c r="F913">
        <v>285</v>
      </c>
      <c r="G913" t="s">
        <v>126</v>
      </c>
      <c r="H913" s="7">
        <v>6.99</v>
      </c>
      <c r="I913" s="5">
        <v>1</v>
      </c>
      <c r="J913" s="3" t="s">
        <v>29</v>
      </c>
      <c r="K913" s="9">
        <v>42483.62572916667</v>
      </c>
    </row>
    <row r="914" spans="3:11" x14ac:dyDescent="0.25">
      <c r="C914" t="str">
        <f>IF(COUNTBLANK(E914:K914) = 7,"",IF(AND(NOT(ISBLANK(E914)),COUNTBLANK(E914:K914) = 6),"3 Delete",IF(ISBLANK(E914),"2 Add",IF(SHA1Range(E914:K914) = "d95dcf918440963525d44ed765f40a06e98d1c63","0 Original","1 Modify"))))</f>
        <v>0 Original</v>
      </c>
      <c r="D914" s="3" t="s">
        <v>1537</v>
      </c>
      <c r="E914" s="5">
        <v>916</v>
      </c>
      <c r="F914">
        <v>286</v>
      </c>
      <c r="G914" t="s">
        <v>395</v>
      </c>
      <c r="H914" s="7">
        <v>8.99</v>
      </c>
      <c r="I914" s="5">
        <v>1</v>
      </c>
      <c r="J914" s="3" t="s">
        <v>29</v>
      </c>
      <c r="K914" s="9">
        <v>42483.62572916667</v>
      </c>
    </row>
    <row r="915" spans="3:11" x14ac:dyDescent="0.25">
      <c r="C915" t="str">
        <f>IF(COUNTBLANK(E915:K915) = 7,"",IF(AND(NOT(ISBLANK(E915)),COUNTBLANK(E915:K915) = 6),"3 Delete",IF(ISBLANK(E915),"2 Add",IF(SHA1Range(E915:K915) = "58e34ec085a71e512e5fb17f811176cdffb6d927","0 Original","1 Modify"))))</f>
        <v>0 Original</v>
      </c>
      <c r="D915" s="3" t="s">
        <v>1538</v>
      </c>
      <c r="E915" s="5">
        <v>917</v>
      </c>
      <c r="F915">
        <v>286</v>
      </c>
      <c r="G915" t="s">
        <v>281</v>
      </c>
      <c r="H915" s="7">
        <v>7.99</v>
      </c>
      <c r="I915" s="5">
        <v>2</v>
      </c>
      <c r="J915" s="3" t="s">
        <v>29</v>
      </c>
      <c r="K915" s="9">
        <v>42483.62572916667</v>
      </c>
    </row>
    <row r="916" spans="3:11" x14ac:dyDescent="0.25">
      <c r="C916" t="str">
        <f>IF(COUNTBLANK(E916:K916) = 7,"",IF(AND(NOT(ISBLANK(E916)),COUNTBLANK(E916:K916) = 6),"3 Delete",IF(ISBLANK(E916),"2 Add",IF(SHA1Range(E916:K916) = "bad92ba43430edea81b8e6782469a3300cceda9d","0 Original","1 Modify"))))</f>
        <v>0 Original</v>
      </c>
      <c r="D916" s="3" t="s">
        <v>1539</v>
      </c>
      <c r="E916" s="5">
        <v>918</v>
      </c>
      <c r="F916">
        <v>286</v>
      </c>
      <c r="G916" t="s">
        <v>421</v>
      </c>
      <c r="H916" s="7">
        <v>6.99</v>
      </c>
      <c r="I916" s="5">
        <v>2</v>
      </c>
      <c r="J916" s="3" t="s">
        <v>29</v>
      </c>
      <c r="K916" s="9">
        <v>42483.62572916667</v>
      </c>
    </row>
    <row r="917" spans="3:11" x14ac:dyDescent="0.25">
      <c r="C917" t="str">
        <f>IF(COUNTBLANK(E917:K917) = 7,"",IF(AND(NOT(ISBLANK(E917)),COUNTBLANK(E917:K917) = 6),"3 Delete",IF(ISBLANK(E917),"2 Add",IF(SHA1Range(E917:K917) = "644d15711d83bb1045d436418de488e85c759040","0 Original","1 Modify"))))</f>
        <v>0 Original</v>
      </c>
      <c r="D917" s="3" t="s">
        <v>1540</v>
      </c>
      <c r="E917" s="5">
        <v>919</v>
      </c>
      <c r="F917">
        <v>286</v>
      </c>
      <c r="G917" t="s">
        <v>30</v>
      </c>
      <c r="H917" s="7">
        <v>9.99</v>
      </c>
      <c r="I917" s="5">
        <v>1</v>
      </c>
      <c r="J917" s="3" t="s">
        <v>29</v>
      </c>
      <c r="K917" s="9">
        <v>42483.62572916667</v>
      </c>
    </row>
    <row r="918" spans="3:11" x14ac:dyDescent="0.25">
      <c r="C918" t="str">
        <f>IF(COUNTBLANK(E918:K918) = 7,"",IF(AND(NOT(ISBLANK(E918)),COUNTBLANK(E918:K918) = 6),"3 Delete",IF(ISBLANK(E918),"2 Add",IF(SHA1Range(E918:K918) = "f37b6fdcb333cbc342ba2b9ebfea567773aac310","0 Original","1 Modify"))))</f>
        <v>0 Original</v>
      </c>
      <c r="D918" s="3" t="s">
        <v>1541</v>
      </c>
      <c r="E918" s="5">
        <v>920</v>
      </c>
      <c r="F918">
        <v>286</v>
      </c>
      <c r="G918" t="s">
        <v>142</v>
      </c>
      <c r="H918" s="7">
        <v>4.99</v>
      </c>
      <c r="I918" s="5">
        <v>1</v>
      </c>
      <c r="J918" s="3" t="s">
        <v>29</v>
      </c>
      <c r="K918" s="9">
        <v>42483.62572916667</v>
      </c>
    </row>
    <row r="919" spans="3:11" x14ac:dyDescent="0.25">
      <c r="C919" t="str">
        <f>IF(COUNTBLANK(E919:K919) = 7,"",IF(AND(NOT(ISBLANK(E919)),COUNTBLANK(E919:K919) = 6),"3 Delete",IF(ISBLANK(E919),"2 Add",IF(SHA1Range(E919:K919) = "20c82728bb1c1ab73010feb91360a83cd6b41ab9","0 Original","1 Modify"))))</f>
        <v>0 Original</v>
      </c>
      <c r="D919" s="3" t="s">
        <v>1542</v>
      </c>
      <c r="E919" s="5">
        <v>921</v>
      </c>
      <c r="F919">
        <v>287</v>
      </c>
      <c r="G919" t="s">
        <v>398</v>
      </c>
      <c r="H919" s="7">
        <v>4.99</v>
      </c>
      <c r="I919" s="5">
        <v>2</v>
      </c>
      <c r="J919" s="3" t="s">
        <v>29</v>
      </c>
      <c r="K919" s="9">
        <v>42483.62572916667</v>
      </c>
    </row>
    <row r="920" spans="3:11" x14ac:dyDescent="0.25">
      <c r="C920" t="str">
        <f>IF(COUNTBLANK(E920:K920) = 7,"",IF(AND(NOT(ISBLANK(E920)),COUNTBLANK(E920:K920) = 6),"3 Delete",IF(ISBLANK(E920),"2 Add",IF(SHA1Range(E920:K920) = "d293c9423cb9e189868a3bbf91f8f65d7aac51da","0 Original","1 Modify"))))</f>
        <v>0 Original</v>
      </c>
      <c r="D920" s="3" t="s">
        <v>1543</v>
      </c>
      <c r="E920" s="5">
        <v>922</v>
      </c>
      <c r="F920">
        <v>288</v>
      </c>
      <c r="G920" t="s">
        <v>184</v>
      </c>
      <c r="H920" s="7">
        <v>8.99</v>
      </c>
      <c r="I920" s="5">
        <v>1</v>
      </c>
      <c r="J920" s="3" t="s">
        <v>29</v>
      </c>
      <c r="K920" s="9">
        <v>42483.62572916667</v>
      </c>
    </row>
    <row r="921" spans="3:11" x14ac:dyDescent="0.25">
      <c r="C921" t="str">
        <f>IF(COUNTBLANK(E921:K921) = 7,"",IF(AND(NOT(ISBLANK(E921)),COUNTBLANK(E921:K921) = 6),"3 Delete",IF(ISBLANK(E921),"2 Add",IF(SHA1Range(E921:K921) = "39686e2307a8ec7ab7e0ec12abdfeabe14b0fafa","0 Original","1 Modify"))))</f>
        <v>0 Original</v>
      </c>
      <c r="D921" s="3" t="s">
        <v>1544</v>
      </c>
      <c r="E921" s="5">
        <v>923</v>
      </c>
      <c r="F921">
        <v>288</v>
      </c>
      <c r="G921" t="s">
        <v>109</v>
      </c>
      <c r="H921" s="7">
        <v>8.99</v>
      </c>
      <c r="I921" s="5">
        <v>2</v>
      </c>
      <c r="J921" s="3" t="s">
        <v>29</v>
      </c>
      <c r="K921" s="9">
        <v>42483.62572916667</v>
      </c>
    </row>
    <row r="922" spans="3:11" x14ac:dyDescent="0.25">
      <c r="C922" t="str">
        <f>IF(COUNTBLANK(E922:K922) = 7,"",IF(AND(NOT(ISBLANK(E922)),COUNTBLANK(E922:K922) = 6),"3 Delete",IF(ISBLANK(E922),"2 Add",IF(SHA1Range(E922:K922) = "7918c3e1679c0555696544d984d4e2818bea1d39","0 Original","1 Modify"))))</f>
        <v>0 Original</v>
      </c>
      <c r="D922" s="3" t="s">
        <v>1545</v>
      </c>
      <c r="E922" s="5">
        <v>924</v>
      </c>
      <c r="F922">
        <v>288</v>
      </c>
      <c r="G922" t="s">
        <v>133</v>
      </c>
      <c r="H922" s="7">
        <v>7.99</v>
      </c>
      <c r="I922" s="5">
        <v>1</v>
      </c>
      <c r="J922" s="3" t="s">
        <v>29</v>
      </c>
      <c r="K922" s="9">
        <v>42483.62572916667</v>
      </c>
    </row>
    <row r="923" spans="3:11" x14ac:dyDescent="0.25">
      <c r="C923" t="str">
        <f>IF(COUNTBLANK(E923:K923) = 7,"",IF(AND(NOT(ISBLANK(E923)),COUNTBLANK(E923:K923) = 6),"3 Delete",IF(ISBLANK(E923),"2 Add",IF(SHA1Range(E923:K923) = "1b5610af591d7525fddb130c13377486feeb51bb","0 Original","1 Modify"))))</f>
        <v>0 Original</v>
      </c>
      <c r="D923" s="3" t="s">
        <v>1546</v>
      </c>
      <c r="E923" s="5">
        <v>925</v>
      </c>
      <c r="F923">
        <v>288</v>
      </c>
      <c r="G923" t="s">
        <v>472</v>
      </c>
      <c r="H923" s="7">
        <v>6.99</v>
      </c>
      <c r="I923" s="5">
        <v>1</v>
      </c>
      <c r="J923" s="3" t="s">
        <v>29</v>
      </c>
      <c r="K923" s="9">
        <v>42483.62572916667</v>
      </c>
    </row>
    <row r="924" spans="3:11" x14ac:dyDescent="0.25">
      <c r="C924" t="str">
        <f>IF(COUNTBLANK(E924:K924) = 7,"",IF(AND(NOT(ISBLANK(E924)),COUNTBLANK(E924:K924) = 6),"3 Delete",IF(ISBLANK(E924),"2 Add",IF(SHA1Range(E924:K924) = "6f7083ce0719f0db9bfa3e40bc79ec7d8fcdf0fe","0 Original","1 Modify"))))</f>
        <v>0 Original</v>
      </c>
      <c r="D924" s="3" t="s">
        <v>1547</v>
      </c>
      <c r="E924" s="5">
        <v>926</v>
      </c>
      <c r="F924">
        <v>288</v>
      </c>
      <c r="G924" t="s">
        <v>335</v>
      </c>
      <c r="H924" s="7">
        <v>5.99</v>
      </c>
      <c r="I924" s="5">
        <v>2</v>
      </c>
      <c r="J924" s="3" t="s">
        <v>29</v>
      </c>
      <c r="K924" s="9">
        <v>42483.62572916667</v>
      </c>
    </row>
    <row r="925" spans="3:11" x14ac:dyDescent="0.25">
      <c r="C925" t="str">
        <f>IF(COUNTBLANK(E925:K925) = 7,"",IF(AND(NOT(ISBLANK(E925)),COUNTBLANK(E925:K925) = 6),"3 Delete",IF(ISBLANK(E925),"2 Add",IF(SHA1Range(E925:K925) = "4b2415df69e49441a2e8b40150ceae65bf269d3b","0 Original","1 Modify"))))</f>
        <v>0 Original</v>
      </c>
      <c r="D925" s="3" t="s">
        <v>1548</v>
      </c>
      <c r="E925" s="5">
        <v>927</v>
      </c>
      <c r="F925">
        <v>289</v>
      </c>
      <c r="G925" t="s">
        <v>407</v>
      </c>
      <c r="H925" s="7">
        <v>9.99</v>
      </c>
      <c r="I925" s="5">
        <v>1</v>
      </c>
      <c r="J925" s="3" t="s">
        <v>29</v>
      </c>
      <c r="K925" s="9">
        <v>42483.62572916667</v>
      </c>
    </row>
    <row r="926" spans="3:11" x14ac:dyDescent="0.25">
      <c r="C926" t="str">
        <f>IF(COUNTBLANK(E926:K926) = 7,"",IF(AND(NOT(ISBLANK(E926)),COUNTBLANK(E926:K926) = 6),"3 Delete",IF(ISBLANK(E926),"2 Add",IF(SHA1Range(E926:K926) = "e52e2b5caebc835061f9a4c0c975eeec756dadbd","0 Original","1 Modify"))))</f>
        <v>0 Original</v>
      </c>
      <c r="D926" s="3" t="s">
        <v>1549</v>
      </c>
      <c r="E926" s="5">
        <v>928</v>
      </c>
      <c r="F926">
        <v>290</v>
      </c>
      <c r="G926" t="s">
        <v>51</v>
      </c>
      <c r="H926" s="7">
        <v>9.99</v>
      </c>
      <c r="I926" s="5">
        <v>1</v>
      </c>
      <c r="J926" s="3" t="s">
        <v>29</v>
      </c>
      <c r="K926" s="9">
        <v>42483.62572916667</v>
      </c>
    </row>
    <row r="927" spans="3:11" x14ac:dyDescent="0.25">
      <c r="C927" t="str">
        <f>IF(COUNTBLANK(E927:K927) = 7,"",IF(AND(NOT(ISBLANK(E927)),COUNTBLANK(E927:K927) = 6),"3 Delete",IF(ISBLANK(E927),"2 Add",IF(SHA1Range(E927:K927) = "b642f1e4964656aff3816b9b6f83bdf391d755f2","0 Original","1 Modify"))))</f>
        <v>0 Original</v>
      </c>
      <c r="D927" s="3" t="s">
        <v>1550</v>
      </c>
      <c r="E927" s="5">
        <v>929</v>
      </c>
      <c r="F927">
        <v>290</v>
      </c>
      <c r="G927" t="s">
        <v>152</v>
      </c>
      <c r="H927" s="7">
        <v>5.99</v>
      </c>
      <c r="I927" s="5">
        <v>1</v>
      </c>
      <c r="J927" s="3" t="s">
        <v>29</v>
      </c>
      <c r="K927" s="9">
        <v>42483.62572916667</v>
      </c>
    </row>
    <row r="928" spans="3:11" x14ac:dyDescent="0.25">
      <c r="C928" t="str">
        <f>IF(COUNTBLANK(E928:K928) = 7,"",IF(AND(NOT(ISBLANK(E928)),COUNTBLANK(E928:K928) = 6),"3 Delete",IF(ISBLANK(E928),"2 Add",IF(SHA1Range(E928:K928) = "e619394d3ba004a754eeb3ad509ec415a5d3ada6","0 Original","1 Modify"))))</f>
        <v>0 Original</v>
      </c>
      <c r="D928" s="3" t="s">
        <v>1551</v>
      </c>
      <c r="E928" s="5">
        <v>930</v>
      </c>
      <c r="F928">
        <v>290</v>
      </c>
      <c r="G928" t="s">
        <v>126</v>
      </c>
      <c r="H928" s="7">
        <v>6.99</v>
      </c>
      <c r="I928" s="5">
        <v>1</v>
      </c>
      <c r="J928" s="3" t="s">
        <v>29</v>
      </c>
      <c r="K928" s="9">
        <v>42483.62572916667</v>
      </c>
    </row>
    <row r="929" spans="3:11" x14ac:dyDescent="0.25">
      <c r="C929" t="str">
        <f>IF(COUNTBLANK(E929:K929) = 7,"",IF(AND(NOT(ISBLANK(E929)),COUNTBLANK(E929:K929) = 6),"3 Delete",IF(ISBLANK(E929),"2 Add",IF(SHA1Range(E929:K929) = "6cf7dacec1531af7fd3c6d9c2cb177d64e4de12b","0 Original","1 Modify"))))</f>
        <v>0 Original</v>
      </c>
      <c r="D929" s="3" t="s">
        <v>1552</v>
      </c>
      <c r="E929" s="5">
        <v>931</v>
      </c>
      <c r="F929">
        <v>290</v>
      </c>
      <c r="G929" t="s">
        <v>184</v>
      </c>
      <c r="H929" s="7">
        <v>8.99</v>
      </c>
      <c r="I929" s="5">
        <v>1</v>
      </c>
      <c r="J929" s="3" t="s">
        <v>29</v>
      </c>
      <c r="K929" s="9">
        <v>42483.62572916667</v>
      </c>
    </row>
    <row r="930" spans="3:11" x14ac:dyDescent="0.25">
      <c r="C930" t="str">
        <f>IF(COUNTBLANK(E930:K930) = 7,"",IF(AND(NOT(ISBLANK(E930)),COUNTBLANK(E930:K930) = 6),"3 Delete",IF(ISBLANK(E930),"2 Add",IF(SHA1Range(E930:K930) = "55c8f66292c5d2c5cb0e5ea4df09e12287e05ff8","0 Original","1 Modify"))))</f>
        <v>0 Original</v>
      </c>
      <c r="D930" s="3" t="s">
        <v>1553</v>
      </c>
      <c r="E930" s="5">
        <v>932</v>
      </c>
      <c r="F930">
        <v>290</v>
      </c>
      <c r="G930" t="s">
        <v>152</v>
      </c>
      <c r="H930" s="7">
        <v>5.99</v>
      </c>
      <c r="I930" s="5">
        <v>1</v>
      </c>
      <c r="J930" s="3" t="s">
        <v>29</v>
      </c>
      <c r="K930" s="9">
        <v>42483.62572916667</v>
      </c>
    </row>
    <row r="931" spans="3:11" x14ac:dyDescent="0.25">
      <c r="C931" t="str">
        <f>IF(COUNTBLANK(E931:K931) = 7,"",IF(AND(NOT(ISBLANK(E931)),COUNTBLANK(E931:K931) = 6),"3 Delete",IF(ISBLANK(E931),"2 Add",IF(SHA1Range(E931:K931) = "817d76de4829f89dfff0db33cf6799a06758795d","0 Original","1 Modify"))))</f>
        <v>0 Original</v>
      </c>
      <c r="D931" s="3" t="s">
        <v>1554</v>
      </c>
      <c r="E931" s="5">
        <v>933</v>
      </c>
      <c r="F931">
        <v>290</v>
      </c>
      <c r="G931" t="s">
        <v>459</v>
      </c>
      <c r="H931" s="7">
        <v>5.99</v>
      </c>
      <c r="I931" s="5">
        <v>1</v>
      </c>
      <c r="J931" s="3" t="s">
        <v>29</v>
      </c>
      <c r="K931" s="9">
        <v>42483.62572916667</v>
      </c>
    </row>
    <row r="932" spans="3:11" x14ac:dyDescent="0.25">
      <c r="C932" t="str">
        <f>IF(COUNTBLANK(E932:K932) = 7,"",IF(AND(NOT(ISBLANK(E932)),COUNTBLANK(E932:K932) = 6),"3 Delete",IF(ISBLANK(E932),"2 Add",IF(SHA1Range(E932:K932) = "d6c005467fda1cc90ed9cc8c220b6430b07e8396","0 Original","1 Modify"))))</f>
        <v>0 Original</v>
      </c>
      <c r="D932" s="3" t="s">
        <v>1555</v>
      </c>
      <c r="E932" s="5">
        <v>934</v>
      </c>
      <c r="F932">
        <v>290</v>
      </c>
      <c r="G932" t="s">
        <v>44</v>
      </c>
      <c r="H932" s="7">
        <v>6.99</v>
      </c>
      <c r="I932" s="5">
        <v>1</v>
      </c>
      <c r="J932" s="3" t="s">
        <v>29</v>
      </c>
      <c r="K932" s="9">
        <v>42483.62572916667</v>
      </c>
    </row>
    <row r="933" spans="3:11" x14ac:dyDescent="0.25">
      <c r="C933" t="str">
        <f>IF(COUNTBLANK(E933:K933) = 7,"",IF(AND(NOT(ISBLANK(E933)),COUNTBLANK(E933:K933) = 6),"3 Delete",IF(ISBLANK(E933),"2 Add",IF(SHA1Range(E933:K933) = "c6938a142690ac81cb27406dbd0c501ff667e3ff","0 Original","1 Modify"))))</f>
        <v>0 Original</v>
      </c>
      <c r="D933" s="3" t="s">
        <v>1556</v>
      </c>
      <c r="E933" s="5">
        <v>935</v>
      </c>
      <c r="F933">
        <v>290</v>
      </c>
      <c r="G933" t="s">
        <v>448</v>
      </c>
      <c r="H933" s="7">
        <v>8.99</v>
      </c>
      <c r="I933" s="5">
        <v>2</v>
      </c>
      <c r="J933" s="3" t="s">
        <v>29</v>
      </c>
      <c r="K933" s="9">
        <v>42483.62572916667</v>
      </c>
    </row>
    <row r="934" spans="3:11" x14ac:dyDescent="0.25">
      <c r="C934" t="str">
        <f>IF(COUNTBLANK(E934:K934) = 7,"",IF(AND(NOT(ISBLANK(E934)),COUNTBLANK(E934:K934) = 6),"3 Delete",IF(ISBLANK(E934),"2 Add",IF(SHA1Range(E934:K934) = "51b3b65cc369ed0e3b63130395ec32f273fc0c8b","0 Original","1 Modify"))))</f>
        <v>0 Original</v>
      </c>
      <c r="D934" s="3" t="s">
        <v>1557</v>
      </c>
      <c r="E934" s="5">
        <v>936</v>
      </c>
      <c r="F934">
        <v>291</v>
      </c>
      <c r="G934" t="s">
        <v>576</v>
      </c>
      <c r="H934" s="7">
        <v>5.99</v>
      </c>
      <c r="I934" s="5">
        <v>1</v>
      </c>
      <c r="J934" s="3" t="s">
        <v>29</v>
      </c>
      <c r="K934" s="9">
        <v>42483.62572916667</v>
      </c>
    </row>
    <row r="935" spans="3:11" x14ac:dyDescent="0.25">
      <c r="C935" t="str">
        <f>IF(COUNTBLANK(E935:K935) = 7,"",IF(AND(NOT(ISBLANK(E935)),COUNTBLANK(E935:K935) = 6),"3 Delete",IF(ISBLANK(E935),"2 Add",IF(SHA1Range(E935:K935) = "d96a72b06e7fce90aef5deed5454bae14dca7fa1","0 Original","1 Modify"))))</f>
        <v>0 Original</v>
      </c>
      <c r="D935" s="3" t="s">
        <v>1558</v>
      </c>
      <c r="E935" s="5">
        <v>937</v>
      </c>
      <c r="F935">
        <v>291</v>
      </c>
      <c r="G935" t="s">
        <v>109</v>
      </c>
      <c r="H935" s="7">
        <v>8.99</v>
      </c>
      <c r="I935" s="5">
        <v>1</v>
      </c>
      <c r="J935" s="3" t="s">
        <v>29</v>
      </c>
      <c r="K935" s="9">
        <v>42483.62572916667</v>
      </c>
    </row>
    <row r="936" spans="3:11" x14ac:dyDescent="0.25">
      <c r="C936" t="str">
        <f>IF(COUNTBLANK(E936:K936) = 7,"",IF(AND(NOT(ISBLANK(E936)),COUNTBLANK(E936:K936) = 6),"3 Delete",IF(ISBLANK(E936),"2 Add",IF(SHA1Range(E936:K936) = "017ce9e2cb65cbb5db9a4da6aa1e843e269421be","0 Original","1 Modify"))))</f>
        <v>0 Original</v>
      </c>
      <c r="D936" s="3" t="s">
        <v>1559</v>
      </c>
      <c r="E936" s="5">
        <v>938</v>
      </c>
      <c r="F936">
        <v>291</v>
      </c>
      <c r="G936" t="s">
        <v>395</v>
      </c>
      <c r="H936" s="7">
        <v>8.99</v>
      </c>
      <c r="I936" s="5">
        <v>1</v>
      </c>
      <c r="J936" s="3" t="s">
        <v>29</v>
      </c>
      <c r="K936" s="9">
        <v>42483.62572916667</v>
      </c>
    </row>
    <row r="937" spans="3:11" x14ac:dyDescent="0.25">
      <c r="C937" t="str">
        <f>IF(COUNTBLANK(E937:K937) = 7,"",IF(AND(NOT(ISBLANK(E937)),COUNTBLANK(E937:K937) = 6),"3 Delete",IF(ISBLANK(E937),"2 Add",IF(SHA1Range(E937:K937) = "6975ebdf8ba4e23c2fa8e7dbe6fca185d63f54a2","0 Original","1 Modify"))))</f>
        <v>0 Original</v>
      </c>
      <c r="D937" s="3" t="s">
        <v>1560</v>
      </c>
      <c r="E937" s="5">
        <v>939</v>
      </c>
      <c r="F937">
        <v>292</v>
      </c>
      <c r="G937" t="s">
        <v>599</v>
      </c>
      <c r="H937" s="7">
        <v>5.99</v>
      </c>
      <c r="I937" s="5">
        <v>2</v>
      </c>
      <c r="J937" s="3" t="s">
        <v>29</v>
      </c>
      <c r="K937" s="9">
        <v>42483.62572916667</v>
      </c>
    </row>
    <row r="938" spans="3:11" x14ac:dyDescent="0.25">
      <c r="C938" t="str">
        <f>IF(COUNTBLANK(E938:K938) = 7,"",IF(AND(NOT(ISBLANK(E938)),COUNTBLANK(E938:K938) = 6),"3 Delete",IF(ISBLANK(E938),"2 Add",IF(SHA1Range(E938:K938) = "ed558d7aabdf8814bdda06fab99b87e9603845bb","0 Original","1 Modify"))))</f>
        <v>0 Original</v>
      </c>
      <c r="D938" s="3" t="s">
        <v>1561</v>
      </c>
      <c r="E938" s="5">
        <v>940</v>
      </c>
      <c r="F938">
        <v>292</v>
      </c>
      <c r="G938" t="s">
        <v>37</v>
      </c>
      <c r="H938" s="7">
        <v>6.99</v>
      </c>
      <c r="I938" s="5">
        <v>2</v>
      </c>
      <c r="J938" s="3" t="s">
        <v>29</v>
      </c>
      <c r="K938" s="9">
        <v>42483.62572916667</v>
      </c>
    </row>
    <row r="939" spans="3:11" x14ac:dyDescent="0.25">
      <c r="C939" t="str">
        <f>IF(COUNTBLANK(E939:K939) = 7,"",IF(AND(NOT(ISBLANK(E939)),COUNTBLANK(E939:K939) = 6),"3 Delete",IF(ISBLANK(E939),"2 Add",IF(SHA1Range(E939:K939) = "d6d493ab648ab01ccdde47dda6bebdc217e95def","0 Original","1 Modify"))))</f>
        <v>0 Original</v>
      </c>
      <c r="D939" s="3" t="s">
        <v>1562</v>
      </c>
      <c r="E939" s="5">
        <v>941</v>
      </c>
      <c r="F939">
        <v>292</v>
      </c>
      <c r="G939" t="s">
        <v>130</v>
      </c>
      <c r="H939" s="7">
        <v>8.99</v>
      </c>
      <c r="I939" s="5">
        <v>2</v>
      </c>
      <c r="J939" s="3" t="s">
        <v>29</v>
      </c>
      <c r="K939" s="9">
        <v>42483.62572916667</v>
      </c>
    </row>
    <row r="940" spans="3:11" x14ac:dyDescent="0.25">
      <c r="C940" t="str">
        <f>IF(COUNTBLANK(E940:K940) = 7,"",IF(AND(NOT(ISBLANK(E940)),COUNTBLANK(E940:K940) = 6),"3 Delete",IF(ISBLANK(E940),"2 Add",IF(SHA1Range(E940:K940) = "c7e80581b2a0c9995fb04c23a491db17648270f3","0 Original","1 Modify"))))</f>
        <v>0 Original</v>
      </c>
      <c r="D940" s="3" t="s">
        <v>1563</v>
      </c>
      <c r="E940" s="5">
        <v>942</v>
      </c>
      <c r="F940">
        <v>292</v>
      </c>
      <c r="G940" t="s">
        <v>573</v>
      </c>
      <c r="H940" s="7">
        <v>9.99</v>
      </c>
      <c r="I940" s="5">
        <v>1</v>
      </c>
      <c r="J940" s="3" t="s">
        <v>29</v>
      </c>
      <c r="K940" s="9">
        <v>42483.62572916667</v>
      </c>
    </row>
    <row r="941" spans="3:11" x14ac:dyDescent="0.25">
      <c r="C941" t="str">
        <f>IF(COUNTBLANK(E941:K941) = 7,"",IF(AND(NOT(ISBLANK(E941)),COUNTBLANK(E941:K941) = 6),"3 Delete",IF(ISBLANK(E941),"2 Add",IF(SHA1Range(E941:K941) = "380638aa4114ee42252cc8f9be5eb3d3540ae486","0 Original","1 Modify"))))</f>
        <v>0 Original</v>
      </c>
      <c r="D941" s="3" t="s">
        <v>1564</v>
      </c>
      <c r="E941" s="5">
        <v>943</v>
      </c>
      <c r="F941">
        <v>292</v>
      </c>
      <c r="G941" t="s">
        <v>130</v>
      </c>
      <c r="H941" s="7">
        <v>8.99</v>
      </c>
      <c r="I941" s="5">
        <v>1</v>
      </c>
      <c r="J941" s="3" t="s">
        <v>29</v>
      </c>
      <c r="K941" s="9">
        <v>42483.62572916667</v>
      </c>
    </row>
    <row r="942" spans="3:11" x14ac:dyDescent="0.25">
      <c r="C942" t="str">
        <f>IF(COUNTBLANK(E942:K942) = 7,"",IF(AND(NOT(ISBLANK(E942)),COUNTBLANK(E942:K942) = 6),"3 Delete",IF(ISBLANK(E942),"2 Add",IF(SHA1Range(E942:K942) = "94c201a1f2260f46397e0e778b706a0598caeb94","0 Original","1 Modify"))))</f>
        <v>0 Original</v>
      </c>
      <c r="D942" s="3" t="s">
        <v>1565</v>
      </c>
      <c r="E942" s="5">
        <v>944</v>
      </c>
      <c r="F942">
        <v>292</v>
      </c>
      <c r="G942" t="s">
        <v>421</v>
      </c>
      <c r="H942" s="7">
        <v>6.99</v>
      </c>
      <c r="I942" s="5">
        <v>1</v>
      </c>
      <c r="J942" s="3" t="s">
        <v>29</v>
      </c>
      <c r="K942" s="9">
        <v>42483.62572916667</v>
      </c>
    </row>
    <row r="943" spans="3:11" x14ac:dyDescent="0.25">
      <c r="C943" t="str">
        <f>IF(COUNTBLANK(E943:K943) = 7,"",IF(AND(NOT(ISBLANK(E943)),COUNTBLANK(E943:K943) = 6),"3 Delete",IF(ISBLANK(E943),"2 Add",IF(SHA1Range(E943:K943) = "2122d40df6ba6b05a40ef03f3f932481b9898921","0 Original","1 Modify"))))</f>
        <v>0 Original</v>
      </c>
      <c r="D943" s="3" t="s">
        <v>1566</v>
      </c>
      <c r="E943" s="5">
        <v>945</v>
      </c>
      <c r="F943">
        <v>292</v>
      </c>
      <c r="G943" t="s">
        <v>304</v>
      </c>
      <c r="H943" s="7">
        <v>8.99</v>
      </c>
      <c r="I943" s="5">
        <v>1</v>
      </c>
      <c r="J943" s="3" t="s">
        <v>29</v>
      </c>
      <c r="K943" s="9">
        <v>42483.62572916667</v>
      </c>
    </row>
    <row r="944" spans="3:11" x14ac:dyDescent="0.25">
      <c r="C944" t="str">
        <f>IF(COUNTBLANK(E944:K944) = 7,"",IF(AND(NOT(ISBLANK(E944)),COUNTBLANK(E944:K944) = 6),"3 Delete",IF(ISBLANK(E944),"2 Add",IF(SHA1Range(E944:K944) = "cd3fe5bbf47b61326bccdd8e67623cfeaad15cba","0 Original","1 Modify"))))</f>
        <v>0 Original</v>
      </c>
      <c r="D944" s="3" t="s">
        <v>1567</v>
      </c>
      <c r="E944" s="5">
        <v>946</v>
      </c>
      <c r="F944">
        <v>292</v>
      </c>
      <c r="G944" t="s">
        <v>230</v>
      </c>
      <c r="H944" s="7">
        <v>5.99</v>
      </c>
      <c r="I944" s="5">
        <v>1</v>
      </c>
      <c r="J944" s="3" t="s">
        <v>29</v>
      </c>
      <c r="K944" s="9">
        <v>42483.62572916667</v>
      </c>
    </row>
    <row r="945" spans="3:11" x14ac:dyDescent="0.25">
      <c r="C945" t="str">
        <f>IF(COUNTBLANK(E945:K945) = 7,"",IF(AND(NOT(ISBLANK(E945)),COUNTBLANK(E945:K945) = 6),"3 Delete",IF(ISBLANK(E945),"2 Add",IF(SHA1Range(E945:K945) = "1c1457b4d2c1753407b235217189d4edf2641bfa","0 Original","1 Modify"))))</f>
        <v>0 Original</v>
      </c>
      <c r="D945" s="3" t="s">
        <v>1568</v>
      </c>
      <c r="E945" s="5">
        <v>947</v>
      </c>
      <c r="F945">
        <v>293</v>
      </c>
      <c r="G945" t="s">
        <v>126</v>
      </c>
      <c r="H945" s="7">
        <v>6.99</v>
      </c>
      <c r="I945" s="5">
        <v>1</v>
      </c>
      <c r="J945" s="3" t="s">
        <v>29</v>
      </c>
      <c r="K945" s="9">
        <v>42483.62572916667</v>
      </c>
    </row>
    <row r="946" spans="3:11" x14ac:dyDescent="0.25">
      <c r="C946" t="str">
        <f>IF(COUNTBLANK(E946:K946) = 7,"",IF(AND(NOT(ISBLANK(E946)),COUNTBLANK(E946:K946) = 6),"3 Delete",IF(ISBLANK(E946),"2 Add",IF(SHA1Range(E946:K946) = "c33a81b107a0d1e745a575caeb176925806ed84b","0 Original","1 Modify"))))</f>
        <v>0 Original</v>
      </c>
      <c r="D946" s="3" t="s">
        <v>1569</v>
      </c>
      <c r="E946" s="5">
        <v>948</v>
      </c>
      <c r="F946">
        <v>293</v>
      </c>
      <c r="G946" t="s">
        <v>257</v>
      </c>
      <c r="H946" s="7">
        <v>9.99</v>
      </c>
      <c r="I946" s="5">
        <v>1</v>
      </c>
      <c r="J946" s="3" t="s">
        <v>29</v>
      </c>
      <c r="K946" s="9">
        <v>42483.62572916667</v>
      </c>
    </row>
    <row r="947" spans="3:11" x14ac:dyDescent="0.25">
      <c r="C947" t="str">
        <f>IF(COUNTBLANK(E947:K947) = 7,"",IF(AND(NOT(ISBLANK(E947)),COUNTBLANK(E947:K947) = 6),"3 Delete",IF(ISBLANK(E947),"2 Add",IF(SHA1Range(E947:K947) = "7da332c61d577ced40398670f736ebf16eb20157","0 Original","1 Modify"))))</f>
        <v>0 Original</v>
      </c>
      <c r="D947" s="3" t="s">
        <v>1570</v>
      </c>
      <c r="E947" s="5">
        <v>949</v>
      </c>
      <c r="F947">
        <v>294</v>
      </c>
      <c r="G947" t="s">
        <v>136</v>
      </c>
      <c r="H947" s="7">
        <v>8.99</v>
      </c>
      <c r="I947" s="5">
        <v>1</v>
      </c>
      <c r="J947" s="3" t="s">
        <v>29</v>
      </c>
      <c r="K947" s="9">
        <v>42483.62572916667</v>
      </c>
    </row>
    <row r="948" spans="3:11" x14ac:dyDescent="0.25">
      <c r="C948" t="str">
        <f>IF(COUNTBLANK(E948:K948) = 7,"",IF(AND(NOT(ISBLANK(E948)),COUNTBLANK(E948:K948) = 6),"3 Delete",IF(ISBLANK(E948),"2 Add",IF(SHA1Range(E948:K948) = "956ff92920488b34332b5bb8a9ef4d7ecdaef063","0 Original","1 Modify"))))</f>
        <v>0 Original</v>
      </c>
      <c r="D948" s="3" t="s">
        <v>1571</v>
      </c>
      <c r="E948" s="5">
        <v>950</v>
      </c>
      <c r="F948">
        <v>294</v>
      </c>
      <c r="G948" t="s">
        <v>217</v>
      </c>
      <c r="H948" s="7">
        <v>9.99</v>
      </c>
      <c r="I948" s="5">
        <v>1</v>
      </c>
      <c r="J948" s="3" t="s">
        <v>29</v>
      </c>
      <c r="K948" s="9">
        <v>42483.62572916667</v>
      </c>
    </row>
    <row r="949" spans="3:11" x14ac:dyDescent="0.25">
      <c r="C949" t="str">
        <f>IF(COUNTBLANK(E949:K949) = 7,"",IF(AND(NOT(ISBLANK(E949)),COUNTBLANK(E949:K949) = 6),"3 Delete",IF(ISBLANK(E949),"2 Add",IF(SHA1Range(E949:K949) = "7f79a32560405c53871ed1992363458c92b2b6ef","0 Original","1 Modify"))))</f>
        <v>0 Original</v>
      </c>
      <c r="D949" s="3" t="s">
        <v>1572</v>
      </c>
      <c r="E949" s="5">
        <v>951</v>
      </c>
      <c r="F949">
        <v>295</v>
      </c>
      <c r="G949" t="s">
        <v>573</v>
      </c>
      <c r="H949" s="7">
        <v>9.99</v>
      </c>
      <c r="I949" s="5">
        <v>1</v>
      </c>
      <c r="J949" s="3" t="s">
        <v>29</v>
      </c>
      <c r="K949" s="9">
        <v>42483.62572916667</v>
      </c>
    </row>
    <row r="950" spans="3:11" x14ac:dyDescent="0.25">
      <c r="C950" t="str">
        <f>IF(COUNTBLANK(E950:K950) = 7,"",IF(AND(NOT(ISBLANK(E950)),COUNTBLANK(E950:K950) = 6),"3 Delete",IF(ISBLANK(E950),"2 Add",IF(SHA1Range(E950:K950) = "e8611e7677ea6df6b7d84d53b671f65356d7ad84","0 Original","1 Modify"))))</f>
        <v>0 Original</v>
      </c>
      <c r="D950" s="3" t="s">
        <v>1573</v>
      </c>
      <c r="E950" s="5">
        <v>952</v>
      </c>
      <c r="F950">
        <v>295</v>
      </c>
      <c r="G950" t="s">
        <v>136</v>
      </c>
      <c r="H950" s="7">
        <v>8.99</v>
      </c>
      <c r="I950" s="5">
        <v>2</v>
      </c>
      <c r="J950" s="3" t="s">
        <v>29</v>
      </c>
      <c r="K950" s="9">
        <v>42483.62572916667</v>
      </c>
    </row>
    <row r="951" spans="3:11" x14ac:dyDescent="0.25">
      <c r="C951" t="str">
        <f>IF(COUNTBLANK(E951:K951) = 7,"",IF(AND(NOT(ISBLANK(E951)),COUNTBLANK(E951:K951) = 6),"3 Delete",IF(ISBLANK(E951),"2 Add",IF(SHA1Range(E951:K951) = "00883bcf9314fe2fe423b8fb6dec5050aee8bc7f","0 Original","1 Modify"))))</f>
        <v>0 Original</v>
      </c>
      <c r="D951" s="3" t="s">
        <v>1574</v>
      </c>
      <c r="E951" s="5">
        <v>953</v>
      </c>
      <c r="F951">
        <v>295</v>
      </c>
      <c r="G951" t="s">
        <v>44</v>
      </c>
      <c r="H951" s="7">
        <v>6.99</v>
      </c>
      <c r="I951" s="5">
        <v>2</v>
      </c>
      <c r="J951" s="3" t="s">
        <v>29</v>
      </c>
      <c r="K951" s="9">
        <v>42483.62572916667</v>
      </c>
    </row>
    <row r="952" spans="3:11" x14ac:dyDescent="0.25">
      <c r="C952" t="str">
        <f>IF(COUNTBLANK(E952:K952) = 7,"",IF(AND(NOT(ISBLANK(E952)),COUNTBLANK(E952:K952) = 6),"3 Delete",IF(ISBLANK(E952),"2 Add",IF(SHA1Range(E952:K952) = "361b8fafc7eac17866e0caa398cf6f2f28f44826","0 Original","1 Modify"))))</f>
        <v>0 Original</v>
      </c>
      <c r="D952" s="3" t="s">
        <v>1575</v>
      </c>
      <c r="E952" s="5">
        <v>954</v>
      </c>
      <c r="F952">
        <v>295</v>
      </c>
      <c r="G952" t="s">
        <v>407</v>
      </c>
      <c r="H952" s="7">
        <v>9.99</v>
      </c>
      <c r="I952" s="5">
        <v>2</v>
      </c>
      <c r="J952" s="3" t="s">
        <v>29</v>
      </c>
      <c r="K952" s="9">
        <v>42483.62572916667</v>
      </c>
    </row>
    <row r="953" spans="3:11" x14ac:dyDescent="0.25">
      <c r="C953" t="str">
        <f>IF(COUNTBLANK(E953:K953) = 7,"",IF(AND(NOT(ISBLANK(E953)),COUNTBLANK(E953:K953) = 6),"3 Delete",IF(ISBLANK(E953),"2 Add",IF(SHA1Range(E953:K953) = "3a19c6eb1336ae67c18969ca1e544166930c9397","0 Original","1 Modify"))))</f>
        <v>0 Original</v>
      </c>
      <c r="D953" s="3" t="s">
        <v>1576</v>
      </c>
      <c r="E953" s="5">
        <v>955</v>
      </c>
      <c r="F953">
        <v>296</v>
      </c>
      <c r="G953" t="s">
        <v>238</v>
      </c>
      <c r="H953" s="7">
        <v>5.99</v>
      </c>
      <c r="I953" s="5">
        <v>1</v>
      </c>
      <c r="J953" s="3" t="s">
        <v>29</v>
      </c>
      <c r="K953" s="9">
        <v>42483.62572916667</v>
      </c>
    </row>
    <row r="954" spans="3:11" x14ac:dyDescent="0.25">
      <c r="C954" t="str">
        <f>IF(COUNTBLANK(E954:K954) = 7,"",IF(AND(NOT(ISBLANK(E954)),COUNTBLANK(E954:K954) = 6),"3 Delete",IF(ISBLANK(E954),"2 Add",IF(SHA1Range(E954:K954) = "cace7ea8739b22d7d475f6841c46ca88fc5070c1","0 Original","1 Modify"))))</f>
        <v>0 Original</v>
      </c>
      <c r="D954" s="3" t="s">
        <v>1577</v>
      </c>
      <c r="E954" s="5">
        <v>956</v>
      </c>
      <c r="F954">
        <v>296</v>
      </c>
      <c r="G954" t="s">
        <v>295</v>
      </c>
      <c r="H954" s="7">
        <v>7.99</v>
      </c>
      <c r="I954" s="5">
        <v>1</v>
      </c>
      <c r="J954" s="3" t="s">
        <v>29</v>
      </c>
      <c r="K954" s="9">
        <v>42483.62572916667</v>
      </c>
    </row>
    <row r="955" spans="3:11" x14ac:dyDescent="0.25">
      <c r="C955" t="str">
        <f>IF(COUNTBLANK(E955:K955) = 7,"",IF(AND(NOT(ISBLANK(E955)),COUNTBLANK(E955:K955) = 6),"3 Delete",IF(ISBLANK(E955),"2 Add",IF(SHA1Range(E955:K955) = "04f10f7c9d93ec470532370d485acd30130b67c1","0 Original","1 Modify"))))</f>
        <v>0 Original</v>
      </c>
      <c r="D955" s="3" t="s">
        <v>1578</v>
      </c>
      <c r="E955" s="5">
        <v>957</v>
      </c>
      <c r="F955">
        <v>297</v>
      </c>
      <c r="G955" t="s">
        <v>254</v>
      </c>
      <c r="H955" s="7">
        <v>4.99</v>
      </c>
      <c r="I955" s="5">
        <v>2</v>
      </c>
      <c r="J955" s="3" t="s">
        <v>29</v>
      </c>
      <c r="K955" s="9">
        <v>42483.62572916667</v>
      </c>
    </row>
    <row r="956" spans="3:11" x14ac:dyDescent="0.25">
      <c r="C956" t="str">
        <f>IF(COUNTBLANK(E956:K956) = 7,"",IF(AND(NOT(ISBLANK(E956)),COUNTBLANK(E956:K956) = 6),"3 Delete",IF(ISBLANK(E956),"2 Add",IF(SHA1Range(E956:K956) = "21f2a2a75012cdef5285342e3722524a5bb9598f","0 Original","1 Modify"))))</f>
        <v>0 Original</v>
      </c>
      <c r="D956" s="3" t="s">
        <v>1579</v>
      </c>
      <c r="E956" s="5">
        <v>958</v>
      </c>
      <c r="F956">
        <v>297</v>
      </c>
      <c r="G956" t="s">
        <v>407</v>
      </c>
      <c r="H956" s="7">
        <v>9.99</v>
      </c>
      <c r="I956" s="5">
        <v>1</v>
      </c>
      <c r="J956" s="3" t="s">
        <v>29</v>
      </c>
      <c r="K956" s="9">
        <v>42483.62572916667</v>
      </c>
    </row>
    <row r="957" spans="3:11" x14ac:dyDescent="0.25">
      <c r="C957" t="str">
        <f>IF(COUNTBLANK(E957:K957) = 7,"",IF(AND(NOT(ISBLANK(E957)),COUNTBLANK(E957:K957) = 6),"3 Delete",IF(ISBLANK(E957),"2 Add",IF(SHA1Range(E957:K957) = "cb26e0529101de53e62644786516237905a2ac87","0 Original","1 Modify"))))</f>
        <v>0 Original</v>
      </c>
      <c r="D957" s="3" t="s">
        <v>1580</v>
      </c>
      <c r="E957" s="5">
        <v>959</v>
      </c>
      <c r="F957">
        <v>297</v>
      </c>
      <c r="G957" t="s">
        <v>30</v>
      </c>
      <c r="H957" s="7">
        <v>9.99</v>
      </c>
      <c r="I957" s="5">
        <v>1</v>
      </c>
      <c r="J957" s="3" t="s">
        <v>29</v>
      </c>
      <c r="K957" s="9">
        <v>42483.62572916667</v>
      </c>
    </row>
    <row r="958" spans="3:11" x14ac:dyDescent="0.25">
      <c r="C958" t="str">
        <f>IF(COUNTBLANK(E958:K958) = 7,"",IF(AND(NOT(ISBLANK(E958)),COUNTBLANK(E958:K958) = 6),"3 Delete",IF(ISBLANK(E958),"2 Add",IF(SHA1Range(E958:K958) = "af0b05af2be4096ee53b9d7e7e705504e5f9b042","0 Original","1 Modify"))))</f>
        <v>0 Original</v>
      </c>
      <c r="D958" s="3" t="s">
        <v>1581</v>
      </c>
      <c r="E958" s="5">
        <v>960</v>
      </c>
      <c r="F958">
        <v>298</v>
      </c>
      <c r="G958" t="s">
        <v>109</v>
      </c>
      <c r="H958" s="7">
        <v>8.99</v>
      </c>
      <c r="I958" s="5">
        <v>2</v>
      </c>
      <c r="J958" s="3" t="s">
        <v>29</v>
      </c>
      <c r="K958" s="9">
        <v>42483.62572916667</v>
      </c>
    </row>
    <row r="959" spans="3:11" x14ac:dyDescent="0.25">
      <c r="C959" t="str">
        <f>IF(COUNTBLANK(E959:K959) = 7,"",IF(AND(NOT(ISBLANK(E959)),COUNTBLANK(E959:K959) = 6),"3 Delete",IF(ISBLANK(E959),"2 Add",IF(SHA1Range(E959:K959) = "e380922d770bf5e5ab4521fc5bcf9b9cbac850d6","0 Original","1 Modify"))))</f>
        <v>0 Original</v>
      </c>
      <c r="D959" s="3" t="s">
        <v>1582</v>
      </c>
      <c r="E959" s="5">
        <v>961</v>
      </c>
      <c r="F959">
        <v>298</v>
      </c>
      <c r="G959" t="s">
        <v>304</v>
      </c>
      <c r="H959" s="7">
        <v>8.99</v>
      </c>
      <c r="I959" s="5">
        <v>1</v>
      </c>
      <c r="J959" s="3" t="s">
        <v>29</v>
      </c>
      <c r="K959" s="9">
        <v>42483.62572916667</v>
      </c>
    </row>
    <row r="960" spans="3:11" x14ac:dyDescent="0.25">
      <c r="C960" t="str">
        <f>IF(COUNTBLANK(E960:K960) = 7,"",IF(AND(NOT(ISBLANK(E960)),COUNTBLANK(E960:K960) = 6),"3 Delete",IF(ISBLANK(E960),"2 Add",IF(SHA1Range(E960:K960) = "33969f0fb34513394270164f807e05e95886d7e5","0 Original","1 Modify"))))</f>
        <v>0 Original</v>
      </c>
      <c r="D960" s="3" t="s">
        <v>1583</v>
      </c>
      <c r="E960" s="5">
        <v>962</v>
      </c>
      <c r="F960">
        <v>298</v>
      </c>
      <c r="G960" t="s">
        <v>250</v>
      </c>
      <c r="H960" s="7">
        <v>8.99</v>
      </c>
      <c r="I960" s="5">
        <v>2</v>
      </c>
      <c r="J960" s="3" t="s">
        <v>29</v>
      </c>
      <c r="K960" s="9">
        <v>42483.62572916667</v>
      </c>
    </row>
    <row r="961" spans="3:11" x14ac:dyDescent="0.25">
      <c r="C961" t="str">
        <f>IF(COUNTBLANK(E961:K961) = 7,"",IF(AND(NOT(ISBLANK(E961)),COUNTBLANK(E961:K961) = 6),"3 Delete",IF(ISBLANK(E961),"2 Add",IF(SHA1Range(E961:K961) = "0040db68e65b84eeed78c6907c2704924bbc7b6c","0 Original","1 Modify"))))</f>
        <v>0 Original</v>
      </c>
      <c r="D961" s="3" t="s">
        <v>1584</v>
      </c>
      <c r="E961" s="5">
        <v>963</v>
      </c>
      <c r="F961">
        <v>298</v>
      </c>
      <c r="G961" t="s">
        <v>364</v>
      </c>
      <c r="H961" s="7">
        <v>9.99</v>
      </c>
      <c r="I961" s="5">
        <v>1</v>
      </c>
      <c r="J961" s="3" t="s">
        <v>29</v>
      </c>
      <c r="K961" s="9">
        <v>42483.62572916667</v>
      </c>
    </row>
    <row r="962" spans="3:11" x14ac:dyDescent="0.25">
      <c r="C962" t="str">
        <f>IF(COUNTBLANK(E962:K962) = 7,"",IF(AND(NOT(ISBLANK(E962)),COUNTBLANK(E962:K962) = 6),"3 Delete",IF(ISBLANK(E962),"2 Add",IF(SHA1Range(E962:K962) = "7916f2e95725fcb402815b5c0c9df95d5605b92c","0 Original","1 Modify"))))</f>
        <v>0 Original</v>
      </c>
      <c r="D962" s="3" t="s">
        <v>1585</v>
      </c>
      <c r="E962" s="5">
        <v>964</v>
      </c>
      <c r="F962">
        <v>299</v>
      </c>
      <c r="G962" t="s">
        <v>257</v>
      </c>
      <c r="H962" s="7">
        <v>9.99</v>
      </c>
      <c r="I962" s="5">
        <v>1</v>
      </c>
      <c r="J962" s="3" t="s">
        <v>29</v>
      </c>
      <c r="K962" s="9">
        <v>42483.62572916667</v>
      </c>
    </row>
    <row r="963" spans="3:11" x14ac:dyDescent="0.25">
      <c r="C963" t="str">
        <f>IF(COUNTBLANK(E963:K963) = 7,"",IF(AND(NOT(ISBLANK(E963)),COUNTBLANK(E963:K963) = 6),"3 Delete",IF(ISBLANK(E963),"2 Add",IF(SHA1Range(E963:K963) = "16e579d33cbbdb63833eb1688aea12ebc474cfe5","0 Original","1 Modify"))))</f>
        <v>0 Original</v>
      </c>
      <c r="D963" s="3" t="s">
        <v>1586</v>
      </c>
      <c r="E963" s="5">
        <v>965</v>
      </c>
      <c r="F963">
        <v>299</v>
      </c>
      <c r="G963" t="s">
        <v>391</v>
      </c>
      <c r="H963" s="7">
        <v>7.99</v>
      </c>
      <c r="I963" s="5">
        <v>2</v>
      </c>
      <c r="J963" s="3" t="s">
        <v>29</v>
      </c>
      <c r="K963" s="9">
        <v>42483.62572916667</v>
      </c>
    </row>
    <row r="964" spans="3:11" x14ac:dyDescent="0.25">
      <c r="C964" t="str">
        <f>IF(COUNTBLANK(E964:K964) = 7,"",IF(AND(NOT(ISBLANK(E964)),COUNTBLANK(E964:K964) = 6),"3 Delete",IF(ISBLANK(E964),"2 Add",IF(SHA1Range(E964:K964) = "41b375e6a9baf0ce62c507265511c0676d55f9e3","0 Original","1 Modify"))))</f>
        <v>0 Original</v>
      </c>
      <c r="D964" s="3" t="s">
        <v>1587</v>
      </c>
      <c r="E964" s="5">
        <v>966</v>
      </c>
      <c r="F964">
        <v>299</v>
      </c>
      <c r="G964" t="s">
        <v>51</v>
      </c>
      <c r="H964" s="7">
        <v>9.99</v>
      </c>
      <c r="I964" s="5">
        <v>1</v>
      </c>
      <c r="J964" s="3" t="s">
        <v>29</v>
      </c>
      <c r="K964" s="9">
        <v>42483.62572916667</v>
      </c>
    </row>
    <row r="965" spans="3:11" x14ac:dyDescent="0.25">
      <c r="C965" t="str">
        <f>IF(COUNTBLANK(E965:K965) = 7,"",IF(AND(NOT(ISBLANK(E965)),COUNTBLANK(E965:K965) = 6),"3 Delete",IF(ISBLANK(E965),"2 Add",IF(SHA1Range(E965:K965) = "14660fbb9144d5be375b2a5653877c40cedbab9a","0 Original","1 Modify"))))</f>
        <v>0 Original</v>
      </c>
      <c r="D965" s="3" t="s">
        <v>1588</v>
      </c>
      <c r="E965" s="5">
        <v>967</v>
      </c>
      <c r="F965">
        <v>300</v>
      </c>
      <c r="G965" t="s">
        <v>407</v>
      </c>
      <c r="H965" s="7">
        <v>9.99</v>
      </c>
      <c r="I965" s="5">
        <v>1</v>
      </c>
      <c r="J965" s="3" t="s">
        <v>29</v>
      </c>
      <c r="K965" s="9">
        <v>42483.62572916667</v>
      </c>
    </row>
    <row r="966" spans="3:11" x14ac:dyDescent="0.25">
      <c r="C966" t="str">
        <f>IF(COUNTBLANK(E966:K966) = 7,"",IF(AND(NOT(ISBLANK(E966)),COUNTBLANK(E966:K966) = 6),"3 Delete",IF(ISBLANK(E966),"2 Add",IF(SHA1Range(E966:K966) = "6f6b2e1581ac6d3ab676ded9b24d910cb2b25603","0 Original","1 Modify"))))</f>
        <v>0 Original</v>
      </c>
      <c r="D966" s="3" t="s">
        <v>1589</v>
      </c>
      <c r="E966" s="5">
        <v>968</v>
      </c>
      <c r="F966">
        <v>300</v>
      </c>
      <c r="G966" t="s">
        <v>58</v>
      </c>
      <c r="H966" s="7">
        <v>8.99</v>
      </c>
      <c r="I966" s="5">
        <v>1</v>
      </c>
      <c r="J966" s="3" t="s">
        <v>29</v>
      </c>
      <c r="K966" s="9">
        <v>42483.62572916667</v>
      </c>
    </row>
    <row r="967" spans="3:11" x14ac:dyDescent="0.25">
      <c r="C967" t="str">
        <f>IF(COUNTBLANK(E967:K967) = 7,"",IF(AND(NOT(ISBLANK(E967)),COUNTBLANK(E967:K967) = 6),"3 Delete",IF(ISBLANK(E967),"2 Add",IF(SHA1Range(E967:K967) = "3a1ffefc54094ca81129d88db413060e94d502ec","0 Original","1 Modify"))))</f>
        <v>0 Original</v>
      </c>
      <c r="D967" s="3" t="s">
        <v>1590</v>
      </c>
      <c r="E967" s="5">
        <v>969</v>
      </c>
      <c r="F967">
        <v>301</v>
      </c>
      <c r="G967" t="s">
        <v>281</v>
      </c>
      <c r="H967" s="7">
        <v>7.99</v>
      </c>
      <c r="I967" s="5">
        <v>2</v>
      </c>
      <c r="J967" s="3" t="s">
        <v>29</v>
      </c>
      <c r="K967" s="9">
        <v>42483.62572916667</v>
      </c>
    </row>
    <row r="968" spans="3:11" x14ac:dyDescent="0.25">
      <c r="C968" t="str">
        <f>IF(COUNTBLANK(E968:K968) = 7,"",IF(AND(NOT(ISBLANK(E968)),COUNTBLANK(E968:K968) = 6),"3 Delete",IF(ISBLANK(E968),"2 Add",IF(SHA1Range(E968:K968) = "b84613cbb04b02e006a44be7ef9ecf4dce9c8212","0 Original","1 Modify"))))</f>
        <v>0 Original</v>
      </c>
      <c r="D968" s="3" t="s">
        <v>1591</v>
      </c>
      <c r="E968" s="5">
        <v>970</v>
      </c>
      <c r="F968">
        <v>301</v>
      </c>
      <c r="G968" t="s">
        <v>58</v>
      </c>
      <c r="H968" s="7">
        <v>8.99</v>
      </c>
      <c r="I968" s="5">
        <v>2</v>
      </c>
      <c r="J968" s="3" t="s">
        <v>29</v>
      </c>
      <c r="K968" s="9">
        <v>42483.62572916667</v>
      </c>
    </row>
    <row r="969" spans="3:11" x14ac:dyDescent="0.25">
      <c r="C969" t="str">
        <f>IF(COUNTBLANK(E969:K969) = 7,"",IF(AND(NOT(ISBLANK(E969)),COUNTBLANK(E969:K969) = 6),"3 Delete",IF(ISBLANK(E969),"2 Add",IF(SHA1Range(E969:K969) = "298a60a056328631a2e0ed6c706926bed97f6368","0 Original","1 Modify"))))</f>
        <v>0 Original</v>
      </c>
      <c r="D969" s="3" t="s">
        <v>1592</v>
      </c>
      <c r="E969" s="5">
        <v>971</v>
      </c>
      <c r="F969">
        <v>301</v>
      </c>
      <c r="G969" t="s">
        <v>109</v>
      </c>
      <c r="H969" s="7">
        <v>8.99</v>
      </c>
      <c r="I969" s="5">
        <v>1</v>
      </c>
      <c r="J969" s="3" t="s">
        <v>29</v>
      </c>
      <c r="K969" s="9">
        <v>42483.62572916667</v>
      </c>
    </row>
    <row r="970" spans="3:11" x14ac:dyDescent="0.25">
      <c r="C970" t="str">
        <f>IF(COUNTBLANK(E970:K970) = 7,"",IF(AND(NOT(ISBLANK(E970)),COUNTBLANK(E970:K970) = 6),"3 Delete",IF(ISBLANK(E970),"2 Add",IF(SHA1Range(E970:K970) = "411f53cf1a1759103e34a80c58790c51218c12c3","0 Original","1 Modify"))))</f>
        <v>0 Original</v>
      </c>
      <c r="D970" s="3" t="s">
        <v>1593</v>
      </c>
      <c r="E970" s="5">
        <v>972</v>
      </c>
      <c r="F970">
        <v>301</v>
      </c>
      <c r="G970" t="s">
        <v>221</v>
      </c>
      <c r="H970" s="7">
        <v>6.99</v>
      </c>
      <c r="I970" s="5">
        <v>1</v>
      </c>
      <c r="J970" s="3" t="s">
        <v>29</v>
      </c>
      <c r="K970" s="9">
        <v>42483.62572916667</v>
      </c>
    </row>
    <row r="971" spans="3:11" x14ac:dyDescent="0.25">
      <c r="C971" t="str">
        <f>IF(COUNTBLANK(E971:K971) = 7,"",IF(AND(NOT(ISBLANK(E971)),COUNTBLANK(E971:K971) = 6),"3 Delete",IF(ISBLANK(E971),"2 Add",IF(SHA1Range(E971:K971) = "7f0e12a6f23c74fb99d734a14674c1d4a4d295f6","0 Original","1 Modify"))))</f>
        <v>0 Original</v>
      </c>
      <c r="D971" s="3" t="s">
        <v>1594</v>
      </c>
      <c r="E971" s="5">
        <v>973</v>
      </c>
      <c r="F971">
        <v>301</v>
      </c>
      <c r="G971" t="s">
        <v>133</v>
      </c>
      <c r="H971" s="7">
        <v>7.99</v>
      </c>
      <c r="I971" s="5">
        <v>1</v>
      </c>
      <c r="J971" s="3" t="s">
        <v>29</v>
      </c>
      <c r="K971" s="9">
        <v>42483.62572916667</v>
      </c>
    </row>
    <row r="972" spans="3:11" x14ac:dyDescent="0.25">
      <c r="C972" t="str">
        <f>IF(COUNTBLANK(E972:K972) = 7,"",IF(AND(NOT(ISBLANK(E972)),COUNTBLANK(E972:K972) = 6),"3 Delete",IF(ISBLANK(E972),"2 Add",IF(SHA1Range(E972:K972) = "41d40ffa7824d665ba064b8892bcdd3a2e63a861","0 Original","1 Modify"))))</f>
        <v>0 Original</v>
      </c>
      <c r="D972" s="3" t="s">
        <v>1595</v>
      </c>
      <c r="E972" s="5">
        <v>974</v>
      </c>
      <c r="F972">
        <v>301</v>
      </c>
      <c r="G972" t="s">
        <v>37</v>
      </c>
      <c r="H972" s="7">
        <v>6.99</v>
      </c>
      <c r="I972" s="5">
        <v>2</v>
      </c>
      <c r="J972" s="3" t="s">
        <v>29</v>
      </c>
      <c r="K972" s="9">
        <v>42483.62572916667</v>
      </c>
    </row>
    <row r="973" spans="3:11" x14ac:dyDescent="0.25">
      <c r="C973" t="str">
        <f>IF(COUNTBLANK(E973:K973) = 7,"",IF(AND(NOT(ISBLANK(E973)),COUNTBLANK(E973:K973) = 6),"3 Delete",IF(ISBLANK(E973),"2 Add",IF(SHA1Range(E973:K973) = "724bdc9472ce1ff0fb69abb58cc9ded066eb4441","0 Original","1 Modify"))))</f>
        <v>0 Original</v>
      </c>
      <c r="D973" s="3" t="s">
        <v>1596</v>
      </c>
      <c r="E973" s="5">
        <v>975</v>
      </c>
      <c r="F973">
        <v>301</v>
      </c>
      <c r="G973" t="s">
        <v>281</v>
      </c>
      <c r="H973" s="7">
        <v>7.99</v>
      </c>
      <c r="I973" s="5">
        <v>1</v>
      </c>
      <c r="J973" s="3" t="s">
        <v>29</v>
      </c>
      <c r="K973" s="9">
        <v>42483.62572916667</v>
      </c>
    </row>
    <row r="974" spans="3:11" x14ac:dyDescent="0.25">
      <c r="C974" t="str">
        <f>IF(COUNTBLANK(E974:K974) = 7,"",IF(AND(NOT(ISBLANK(E974)),COUNTBLANK(E974:K974) = 6),"3 Delete",IF(ISBLANK(E974),"2 Add",IF(SHA1Range(E974:K974) = "ad8f4744bbcf9fa82e3bd01034fdbbd38d8e733d","0 Original","1 Modify"))))</f>
        <v>0 Original</v>
      </c>
      <c r="D974" s="3" t="s">
        <v>1597</v>
      </c>
      <c r="E974" s="5">
        <v>976</v>
      </c>
      <c r="F974">
        <v>301</v>
      </c>
      <c r="G974" t="s">
        <v>546</v>
      </c>
      <c r="H974" s="7">
        <v>9.99</v>
      </c>
      <c r="I974" s="5">
        <v>1</v>
      </c>
      <c r="J974" s="3" t="s">
        <v>29</v>
      </c>
      <c r="K974" s="9">
        <v>42483.62572916667</v>
      </c>
    </row>
    <row r="975" spans="3:11" x14ac:dyDescent="0.25">
      <c r="C975" t="str">
        <f>IF(COUNTBLANK(E975:K975) = 7,"",IF(AND(NOT(ISBLANK(E975)),COUNTBLANK(E975:K975) = 6),"3 Delete",IF(ISBLANK(E975),"2 Add",IF(SHA1Range(E975:K975) = "e186ee177766b40e103fd1a0ecbc4732215209cf","0 Original","1 Modify"))))</f>
        <v>0 Original</v>
      </c>
      <c r="D975" s="3" t="s">
        <v>1598</v>
      </c>
      <c r="E975" s="5">
        <v>977</v>
      </c>
      <c r="F975">
        <v>302</v>
      </c>
      <c r="G975" t="s">
        <v>44</v>
      </c>
      <c r="H975" s="7">
        <v>6.99</v>
      </c>
      <c r="I975" s="5">
        <v>2</v>
      </c>
      <c r="J975" s="3" t="s">
        <v>29</v>
      </c>
      <c r="K975" s="9">
        <v>42483.62572916667</v>
      </c>
    </row>
    <row r="976" spans="3:11" x14ac:dyDescent="0.25">
      <c r="C976" t="str">
        <f>IF(COUNTBLANK(E976:K976) = 7,"",IF(AND(NOT(ISBLANK(E976)),COUNTBLANK(E976:K976) = 6),"3 Delete",IF(ISBLANK(E976),"2 Add",IF(SHA1Range(E976:K976) = "33c2db4f84661874497c80c53228d4ed165ffc8a","0 Original","1 Modify"))))</f>
        <v>0 Original</v>
      </c>
      <c r="D976" s="3" t="s">
        <v>1599</v>
      </c>
      <c r="E976" s="5">
        <v>978</v>
      </c>
      <c r="F976">
        <v>302</v>
      </c>
      <c r="G976" t="s">
        <v>388</v>
      </c>
      <c r="H976" s="7">
        <v>5.99</v>
      </c>
      <c r="I976" s="5">
        <v>2</v>
      </c>
      <c r="J976" s="3" t="s">
        <v>29</v>
      </c>
      <c r="K976" s="9">
        <v>42483.62572916667</v>
      </c>
    </row>
    <row r="977" spans="3:11" x14ac:dyDescent="0.25">
      <c r="C977" t="str">
        <f>IF(COUNTBLANK(E977:K977) = 7,"",IF(AND(NOT(ISBLANK(E977)),COUNTBLANK(E977:K977) = 6),"3 Delete",IF(ISBLANK(E977),"2 Add",IF(SHA1Range(E977:K977) = "a3eea32fe6f709fe25ae3981efef416923fea949","0 Original","1 Modify"))))</f>
        <v>0 Original</v>
      </c>
      <c r="D977" s="3" t="s">
        <v>1600</v>
      </c>
      <c r="E977" s="5">
        <v>979</v>
      </c>
      <c r="F977">
        <v>302</v>
      </c>
      <c r="G977" t="s">
        <v>459</v>
      </c>
      <c r="H977" s="7">
        <v>5.99</v>
      </c>
      <c r="I977" s="5">
        <v>1</v>
      </c>
      <c r="J977" s="3" t="s">
        <v>29</v>
      </c>
      <c r="K977" s="9">
        <v>42483.62572916667</v>
      </c>
    </row>
    <row r="978" spans="3:11" x14ac:dyDescent="0.25">
      <c r="C978" t="str">
        <f>IF(COUNTBLANK(E978:K978) = 7,"",IF(AND(NOT(ISBLANK(E978)),COUNTBLANK(E978:K978) = 6),"3 Delete",IF(ISBLANK(E978),"2 Add",IF(SHA1Range(E978:K978) = "2a2f1e0dcb95a78914af16a5499f01fc1bb2190e","0 Original","1 Modify"))))</f>
        <v>0 Original</v>
      </c>
      <c r="D978" s="3" t="s">
        <v>1601</v>
      </c>
      <c r="E978" s="5">
        <v>980</v>
      </c>
      <c r="F978">
        <v>303</v>
      </c>
      <c r="G978" t="s">
        <v>152</v>
      </c>
      <c r="H978" s="7">
        <v>5.99</v>
      </c>
      <c r="I978" s="5">
        <v>2</v>
      </c>
      <c r="J978" s="3" t="s">
        <v>29</v>
      </c>
      <c r="K978" s="9">
        <v>42483.62572916667</v>
      </c>
    </row>
    <row r="979" spans="3:11" x14ac:dyDescent="0.25">
      <c r="C979" t="str">
        <f>IF(COUNTBLANK(E979:K979) = 7,"",IF(AND(NOT(ISBLANK(E979)),COUNTBLANK(E979:K979) = 6),"3 Delete",IF(ISBLANK(E979),"2 Add",IF(SHA1Range(E979:K979) = "10cf836826e6f13251ed32fe7272c255a2f99424","0 Original","1 Modify"))))</f>
        <v>0 Original</v>
      </c>
      <c r="D979" s="3" t="s">
        <v>1602</v>
      </c>
      <c r="E979" s="5">
        <v>981</v>
      </c>
      <c r="F979">
        <v>303</v>
      </c>
      <c r="G979" t="s">
        <v>58</v>
      </c>
      <c r="H979" s="7">
        <v>8.99</v>
      </c>
      <c r="I979" s="5">
        <v>1</v>
      </c>
      <c r="J979" s="3" t="s">
        <v>29</v>
      </c>
      <c r="K979" s="9">
        <v>42483.62572916667</v>
      </c>
    </row>
    <row r="980" spans="3:11" x14ac:dyDescent="0.25">
      <c r="C980" t="str">
        <f>IF(COUNTBLANK(E980:K980) = 7,"",IF(AND(NOT(ISBLANK(E980)),COUNTBLANK(E980:K980) = 6),"3 Delete",IF(ISBLANK(E980),"2 Add",IF(SHA1Range(E980:K980) = "834584f78ca3c3e328cb7dc348227c7eb95e318f","0 Original","1 Modify"))))</f>
        <v>0 Original</v>
      </c>
      <c r="D980" s="3" t="s">
        <v>1603</v>
      </c>
      <c r="E980" s="5">
        <v>982</v>
      </c>
      <c r="F980">
        <v>303</v>
      </c>
      <c r="G980" t="s">
        <v>54</v>
      </c>
      <c r="H980" s="7">
        <v>5.99</v>
      </c>
      <c r="I980" s="5">
        <v>1</v>
      </c>
      <c r="J980" s="3" t="s">
        <v>29</v>
      </c>
      <c r="K980" s="9">
        <v>42483.62572916667</v>
      </c>
    </row>
    <row r="981" spans="3:11" x14ac:dyDescent="0.25">
      <c r="C981" t="str">
        <f>IF(COUNTBLANK(E981:K981) = 7,"",IF(AND(NOT(ISBLANK(E981)),COUNTBLANK(E981:K981) = 6),"3 Delete",IF(ISBLANK(E981),"2 Add",IF(SHA1Range(E981:K981) = "c2be090409a0fed28f2bf196428db0ec9ef97dce","0 Original","1 Modify"))))</f>
        <v>0 Original</v>
      </c>
      <c r="D981" s="3" t="s">
        <v>1604</v>
      </c>
      <c r="E981" s="5">
        <v>983</v>
      </c>
      <c r="F981">
        <v>303</v>
      </c>
      <c r="G981" t="s">
        <v>109</v>
      </c>
      <c r="H981" s="7">
        <v>8.99</v>
      </c>
      <c r="I981" s="5">
        <v>1</v>
      </c>
      <c r="J981" s="3" t="s">
        <v>29</v>
      </c>
      <c r="K981" s="9">
        <v>42483.62572916667</v>
      </c>
    </row>
    <row r="982" spans="3:11" x14ac:dyDescent="0.25">
      <c r="C982" t="str">
        <f>IF(COUNTBLANK(E982:K982) = 7,"",IF(AND(NOT(ISBLANK(E982)),COUNTBLANK(E982:K982) = 6),"3 Delete",IF(ISBLANK(E982),"2 Add",IF(SHA1Range(E982:K982) = "173bf5008555bd5be3da6d5ddce5b367ba6bfc91","0 Original","1 Modify"))))</f>
        <v>0 Original</v>
      </c>
      <c r="D982" s="3" t="s">
        <v>1605</v>
      </c>
      <c r="E982" s="5">
        <v>984</v>
      </c>
      <c r="F982">
        <v>303</v>
      </c>
      <c r="G982" t="s">
        <v>281</v>
      </c>
      <c r="H982" s="7">
        <v>7.99</v>
      </c>
      <c r="I982" s="5">
        <v>2</v>
      </c>
      <c r="J982" s="3" t="s">
        <v>29</v>
      </c>
      <c r="K982" s="9">
        <v>42483.62572916667</v>
      </c>
    </row>
    <row r="983" spans="3:11" x14ac:dyDescent="0.25">
      <c r="C983" t="str">
        <f>IF(COUNTBLANK(E983:K983) = 7,"",IF(AND(NOT(ISBLANK(E983)),COUNTBLANK(E983:K983) = 6),"3 Delete",IF(ISBLANK(E983),"2 Add",IF(SHA1Range(E983:K983) = "94a9967d178d926a71ed6d893825dea4fb4d9e6d","0 Original","1 Modify"))))</f>
        <v>0 Original</v>
      </c>
      <c r="D983" s="3" t="s">
        <v>1606</v>
      </c>
      <c r="E983" s="5">
        <v>985</v>
      </c>
      <c r="F983">
        <v>303</v>
      </c>
      <c r="G983" t="s">
        <v>537</v>
      </c>
      <c r="H983" s="7">
        <v>7.99</v>
      </c>
      <c r="I983" s="5">
        <v>1</v>
      </c>
      <c r="J983" s="3" t="s">
        <v>29</v>
      </c>
      <c r="K983" s="9">
        <v>42483.62572916667</v>
      </c>
    </row>
    <row r="984" spans="3:11" x14ac:dyDescent="0.25">
      <c r="C984" t="str">
        <f>IF(COUNTBLANK(E984:K984) = 7,"",IF(AND(NOT(ISBLANK(E984)),COUNTBLANK(E984:K984) = 6),"3 Delete",IF(ISBLANK(E984),"2 Add",IF(SHA1Range(E984:K984) = "97f72744bf9e7a9bca095b90daceaf75fc13c920","0 Original","1 Modify"))))</f>
        <v>0 Original</v>
      </c>
      <c r="D984" s="3" t="s">
        <v>1607</v>
      </c>
      <c r="E984" s="5">
        <v>986</v>
      </c>
      <c r="F984">
        <v>303</v>
      </c>
      <c r="G984" t="s">
        <v>238</v>
      </c>
      <c r="H984" s="7">
        <v>5.99</v>
      </c>
      <c r="I984" s="5">
        <v>2</v>
      </c>
      <c r="J984" s="3" t="s">
        <v>29</v>
      </c>
      <c r="K984" s="9">
        <v>42483.625740740739</v>
      </c>
    </row>
    <row r="985" spans="3:11" x14ac:dyDescent="0.25">
      <c r="C985" t="str">
        <f>IF(COUNTBLANK(E985:K985) = 7,"",IF(AND(NOT(ISBLANK(E985)),COUNTBLANK(E985:K985) = 6),"3 Delete",IF(ISBLANK(E985),"2 Add",IF(SHA1Range(E985:K985) = "dca69cc76ab9f059e8dba003ba9d7798f3957156","0 Original","1 Modify"))))</f>
        <v>0 Original</v>
      </c>
      <c r="D985" s="3" t="s">
        <v>1608</v>
      </c>
      <c r="E985" s="5">
        <v>987</v>
      </c>
      <c r="F985">
        <v>304</v>
      </c>
      <c r="G985" t="s">
        <v>37</v>
      </c>
      <c r="H985" s="7">
        <v>6.99</v>
      </c>
      <c r="I985" s="5">
        <v>2</v>
      </c>
      <c r="J985" s="3" t="s">
        <v>29</v>
      </c>
      <c r="K985" s="9">
        <v>42483.625740740739</v>
      </c>
    </row>
    <row r="986" spans="3:11" x14ac:dyDescent="0.25">
      <c r="C986" t="str">
        <f>IF(COUNTBLANK(E986:K986) = 7,"",IF(AND(NOT(ISBLANK(E986)),COUNTBLANK(E986:K986) = 6),"3 Delete",IF(ISBLANK(E986),"2 Add",IF(SHA1Range(E986:K986) = "886e14cd1987c728968adc6c597b50a426bf8d7f","0 Original","1 Modify"))))</f>
        <v>0 Original</v>
      </c>
      <c r="D986" s="3" t="s">
        <v>1609</v>
      </c>
      <c r="E986" s="5">
        <v>988</v>
      </c>
      <c r="F986">
        <v>304</v>
      </c>
      <c r="G986" t="s">
        <v>503</v>
      </c>
      <c r="H986" s="7">
        <v>8.99</v>
      </c>
      <c r="I986" s="5">
        <v>2</v>
      </c>
      <c r="J986" s="3" t="s">
        <v>29</v>
      </c>
      <c r="K986" s="9">
        <v>42483.625740740739</v>
      </c>
    </row>
    <row r="987" spans="3:11" x14ac:dyDescent="0.25">
      <c r="C987" t="str">
        <f>IF(COUNTBLANK(E987:K987) = 7,"",IF(AND(NOT(ISBLANK(E987)),COUNTBLANK(E987:K987) = 6),"3 Delete",IF(ISBLANK(E987),"2 Add",IF(SHA1Range(E987:K987) = "96b6c502bf23cb9dc6e4e3ae999e5b0b4f033e0a","0 Original","1 Modify"))))</f>
        <v>0 Original</v>
      </c>
      <c r="D987" s="3" t="s">
        <v>1610</v>
      </c>
      <c r="E987" s="5">
        <v>989</v>
      </c>
      <c r="F987">
        <v>304</v>
      </c>
      <c r="G987" t="s">
        <v>418</v>
      </c>
      <c r="H987" s="7">
        <v>6.99</v>
      </c>
      <c r="I987" s="5">
        <v>1</v>
      </c>
      <c r="J987" s="3" t="s">
        <v>29</v>
      </c>
      <c r="K987" s="9">
        <v>42483.625740740739</v>
      </c>
    </row>
    <row r="988" spans="3:11" x14ac:dyDescent="0.25">
      <c r="C988" t="str">
        <f>IF(COUNTBLANK(E988:K988) = 7,"",IF(AND(NOT(ISBLANK(E988)),COUNTBLANK(E988:K988) = 6),"3 Delete",IF(ISBLANK(E988),"2 Add",IF(SHA1Range(E988:K988) = "649081487b530c283476270890f9d14f6a287fa1","0 Original","1 Modify"))))</f>
        <v>0 Original</v>
      </c>
      <c r="D988" s="3" t="s">
        <v>1611</v>
      </c>
      <c r="E988" s="5">
        <v>990</v>
      </c>
      <c r="F988">
        <v>304</v>
      </c>
      <c r="G988" t="s">
        <v>142</v>
      </c>
      <c r="H988" s="7">
        <v>4.99</v>
      </c>
      <c r="I988" s="5">
        <v>1</v>
      </c>
      <c r="J988" s="3" t="s">
        <v>29</v>
      </c>
      <c r="K988" s="9">
        <v>42483.625740740739</v>
      </c>
    </row>
    <row r="989" spans="3:11" x14ac:dyDescent="0.25">
      <c r="C989" t="str">
        <f>IF(COUNTBLANK(E989:K989) = 7,"",IF(AND(NOT(ISBLANK(E989)),COUNTBLANK(E989:K989) = 6),"3 Delete",IF(ISBLANK(E989),"2 Add",IF(SHA1Range(E989:K989) = "0a06fb9aab8ffb49e1ea13636060cef9935b791b","0 Original","1 Modify"))))</f>
        <v>0 Original</v>
      </c>
      <c r="D989" s="3" t="s">
        <v>1612</v>
      </c>
      <c r="E989" s="5">
        <v>991</v>
      </c>
      <c r="F989">
        <v>304</v>
      </c>
      <c r="G989" t="s">
        <v>246</v>
      </c>
      <c r="H989" s="7">
        <v>7.99</v>
      </c>
      <c r="I989" s="5">
        <v>2</v>
      </c>
      <c r="J989" s="3" t="s">
        <v>29</v>
      </c>
      <c r="K989" s="9">
        <v>42483.625740740739</v>
      </c>
    </row>
    <row r="990" spans="3:11" x14ac:dyDescent="0.25">
      <c r="C990" t="str">
        <f>IF(COUNTBLANK(E990:K990) = 7,"",IF(AND(NOT(ISBLANK(E990)),COUNTBLANK(E990:K990) = 6),"3 Delete",IF(ISBLANK(E990),"2 Add",IF(SHA1Range(E990:K990) = "9b5c4908ed15427b30cb6148f7435f20e75deb12","0 Original","1 Modify"))))</f>
        <v>0 Original</v>
      </c>
      <c r="D990" s="3" t="s">
        <v>1613</v>
      </c>
      <c r="E990" s="5">
        <v>992</v>
      </c>
      <c r="F990">
        <v>304</v>
      </c>
      <c r="G990" t="s">
        <v>418</v>
      </c>
      <c r="H990" s="7">
        <v>6.99</v>
      </c>
      <c r="I990" s="5">
        <v>1</v>
      </c>
      <c r="J990" s="3" t="s">
        <v>29</v>
      </c>
      <c r="K990" s="9">
        <v>42483.625740740739</v>
      </c>
    </row>
    <row r="991" spans="3:11" x14ac:dyDescent="0.25">
      <c r="C991" t="str">
        <f>IF(COUNTBLANK(E991:K991) = 7,"",IF(AND(NOT(ISBLANK(E991)),COUNTBLANK(E991:K991) = 6),"3 Delete",IF(ISBLANK(E991),"2 Add",IF(SHA1Range(E991:K991) = "4501f518500bf514ba20330409fbfc2e59c06aeb","0 Original","1 Modify"))))</f>
        <v>0 Original</v>
      </c>
      <c r="D991" s="3" t="s">
        <v>1614</v>
      </c>
      <c r="E991" s="5">
        <v>993</v>
      </c>
      <c r="F991">
        <v>304</v>
      </c>
      <c r="G991" t="s">
        <v>130</v>
      </c>
      <c r="H991" s="7">
        <v>8.99</v>
      </c>
      <c r="I991" s="5">
        <v>2</v>
      </c>
      <c r="J991" s="3" t="s">
        <v>29</v>
      </c>
      <c r="K991" s="9">
        <v>42483.625740740739</v>
      </c>
    </row>
    <row r="992" spans="3:11" x14ac:dyDescent="0.25">
      <c r="C992" t="str">
        <f>IF(COUNTBLANK(E992:K992) = 7,"",IF(AND(NOT(ISBLANK(E992)),COUNTBLANK(E992:K992) = 6),"3 Delete",IF(ISBLANK(E992),"2 Add",IF(SHA1Range(E992:K992) = "d466ed0db532c6008cbf29124143054373b53d5d","0 Original","1 Modify"))))</f>
        <v>0 Original</v>
      </c>
      <c r="D992" s="3" t="s">
        <v>1615</v>
      </c>
      <c r="E992" s="5">
        <v>994</v>
      </c>
      <c r="F992">
        <v>305</v>
      </c>
      <c r="G992" t="s">
        <v>459</v>
      </c>
      <c r="H992" s="7">
        <v>5.99</v>
      </c>
      <c r="I992" s="5">
        <v>1</v>
      </c>
      <c r="J992" s="3" t="s">
        <v>29</v>
      </c>
      <c r="K992" s="9">
        <v>42483.625740740739</v>
      </c>
    </row>
    <row r="993" spans="3:11" x14ac:dyDescent="0.25">
      <c r="C993" t="str">
        <f>IF(COUNTBLANK(E993:K993) = 7,"",IF(AND(NOT(ISBLANK(E993)),COUNTBLANK(E993:K993) = 6),"3 Delete",IF(ISBLANK(E993),"2 Add",IF(SHA1Range(E993:K993) = "34435e60fedb143341642beb2e6147c571eb7ca6","0 Original","1 Modify"))))</f>
        <v>0 Original</v>
      </c>
      <c r="D993" s="3" t="s">
        <v>1616</v>
      </c>
      <c r="E993" s="5">
        <v>995</v>
      </c>
      <c r="F993">
        <v>305</v>
      </c>
      <c r="G993" t="s">
        <v>525</v>
      </c>
      <c r="H993" s="7">
        <v>4.99</v>
      </c>
      <c r="I993" s="5">
        <v>2</v>
      </c>
      <c r="J993" s="3" t="s">
        <v>29</v>
      </c>
      <c r="K993" s="9">
        <v>42483.625740740739</v>
      </c>
    </row>
    <row r="994" spans="3:11" x14ac:dyDescent="0.25">
      <c r="C994" t="str">
        <f>IF(COUNTBLANK(E994:K994) = 7,"",IF(AND(NOT(ISBLANK(E994)),COUNTBLANK(E994:K994) = 6),"3 Delete",IF(ISBLANK(E994),"2 Add",IF(SHA1Range(E994:K994) = "04d7126add983159926fac2dae8f63b9ce75d3d9","0 Original","1 Modify"))))</f>
        <v>0 Original</v>
      </c>
      <c r="D994" s="3" t="s">
        <v>1617</v>
      </c>
      <c r="E994" s="5">
        <v>996</v>
      </c>
      <c r="F994">
        <v>306</v>
      </c>
      <c r="G994" t="s">
        <v>602</v>
      </c>
      <c r="H994" s="7">
        <v>7.99</v>
      </c>
      <c r="I994" s="5">
        <v>2</v>
      </c>
      <c r="J994" s="3" t="s">
        <v>29</v>
      </c>
      <c r="K994" s="9">
        <v>42483.625740740739</v>
      </c>
    </row>
    <row r="995" spans="3:11" x14ac:dyDescent="0.25">
      <c r="C995" t="str">
        <f>IF(COUNTBLANK(E995:K995) = 7,"",IF(AND(NOT(ISBLANK(E995)),COUNTBLANK(E995:K995) = 6),"3 Delete",IF(ISBLANK(E995),"2 Add",IF(SHA1Range(E995:K995) = "bc0c238474a17457c7f30d6ac4aedee4eb372221","0 Original","1 Modify"))))</f>
        <v>0 Original</v>
      </c>
      <c r="D995" s="3" t="s">
        <v>1618</v>
      </c>
      <c r="E995" s="5">
        <v>997</v>
      </c>
      <c r="F995">
        <v>306</v>
      </c>
      <c r="G995" t="s">
        <v>133</v>
      </c>
      <c r="H995" s="7">
        <v>7.99</v>
      </c>
      <c r="I995" s="5">
        <v>1</v>
      </c>
      <c r="J995" s="3" t="s">
        <v>29</v>
      </c>
      <c r="K995" s="9">
        <v>42483.625740740739</v>
      </c>
    </row>
    <row r="996" spans="3:11" x14ac:dyDescent="0.25">
      <c r="C996" t="str">
        <f>IF(COUNTBLANK(E996:K996) = 7,"",IF(AND(NOT(ISBLANK(E996)),COUNTBLANK(E996:K996) = 6),"3 Delete",IF(ISBLANK(E996),"2 Add",IF(SHA1Range(E996:K996) = "f7027c037db1427f874ffa44c0d31f6824eb5df3","0 Original","1 Modify"))))</f>
        <v>0 Original</v>
      </c>
      <c r="D996" s="3" t="s">
        <v>1619</v>
      </c>
      <c r="E996" s="5">
        <v>998</v>
      </c>
      <c r="F996">
        <v>306</v>
      </c>
      <c r="G996" t="s">
        <v>537</v>
      </c>
      <c r="H996" s="7">
        <v>7.99</v>
      </c>
      <c r="I996" s="5">
        <v>1</v>
      </c>
      <c r="J996" s="3" t="s">
        <v>29</v>
      </c>
      <c r="K996" s="9">
        <v>42483.625740740739</v>
      </c>
    </row>
    <row r="997" spans="3:11" x14ac:dyDescent="0.25">
      <c r="C997" t="str">
        <f>IF(COUNTBLANK(E997:K997) = 7,"",IF(AND(NOT(ISBLANK(E997)),COUNTBLANK(E997:K997) = 6),"3 Delete",IF(ISBLANK(E997),"2 Add",IF(SHA1Range(E997:K997) = "5d25a64a0487b312fb5eefe89e167bdcaae298df","0 Original","1 Modify"))))</f>
        <v>0 Original</v>
      </c>
      <c r="D997" s="3" t="s">
        <v>1620</v>
      </c>
      <c r="E997" s="5">
        <v>999</v>
      </c>
      <c r="F997">
        <v>306</v>
      </c>
      <c r="G997" t="s">
        <v>254</v>
      </c>
      <c r="H997" s="7">
        <v>4.99</v>
      </c>
      <c r="I997" s="5">
        <v>1</v>
      </c>
      <c r="J997" s="3" t="s">
        <v>29</v>
      </c>
      <c r="K997" s="9">
        <v>42483.625740740739</v>
      </c>
    </row>
    <row r="998" spans="3:11" x14ac:dyDescent="0.25">
      <c r="C998" t="str">
        <f>IF(COUNTBLANK(E998:K998) = 7,"",IF(AND(NOT(ISBLANK(E998)),COUNTBLANK(E998:K998) = 6),"3 Delete",IF(ISBLANK(E998),"2 Add",IF(SHA1Range(E998:K998) = "424372e8664923b78ff3390deb8ec9b03eee9d8a","0 Original","1 Modify"))))</f>
        <v>0 Original</v>
      </c>
      <c r="D998" s="3" t="s">
        <v>1621</v>
      </c>
      <c r="E998" s="5">
        <v>1000</v>
      </c>
      <c r="F998">
        <v>306</v>
      </c>
      <c r="G998" t="s">
        <v>407</v>
      </c>
      <c r="H998" s="7">
        <v>9.99</v>
      </c>
      <c r="I998" s="5">
        <v>1</v>
      </c>
      <c r="J998" s="3" t="s">
        <v>29</v>
      </c>
      <c r="K998" s="9">
        <v>42483.625740740739</v>
      </c>
    </row>
    <row r="999" spans="3:11" x14ac:dyDescent="0.25">
      <c r="C999" t="str">
        <f>IF(COUNTBLANK(E999:K999) = 7,"",IF(AND(NOT(ISBLANK(E999)),COUNTBLANK(E999:K999) = 6),"3 Delete",IF(ISBLANK(E999),"2 Add",IF(SHA1Range(E999:K999) = "3bffdc6e6be95d7e933bad96b90b0305cc058545","0 Original","1 Modify"))))</f>
        <v>0 Original</v>
      </c>
      <c r="D999" s="3" t="s">
        <v>1622</v>
      </c>
      <c r="E999" s="5">
        <v>1001</v>
      </c>
      <c r="F999">
        <v>306</v>
      </c>
      <c r="G999" t="s">
        <v>576</v>
      </c>
      <c r="H999" s="7">
        <v>5.99</v>
      </c>
      <c r="I999" s="5">
        <v>1</v>
      </c>
      <c r="J999" s="3" t="s">
        <v>29</v>
      </c>
      <c r="K999" s="9">
        <v>42483.625740740739</v>
      </c>
    </row>
    <row r="1000" spans="3:11" x14ac:dyDescent="0.25">
      <c r="C1000" t="str">
        <f>IF(COUNTBLANK(E1000:K1000) = 7,"",IF(AND(NOT(ISBLANK(E1000)),COUNTBLANK(E1000:K1000) = 6),"3 Delete",IF(ISBLANK(E1000),"2 Add",IF(SHA1Range(E1000:K1000) = "c3b713cacc85e6e62ea763b2e895d382ab08fc89","0 Original","1 Modify"))))</f>
        <v>0 Original</v>
      </c>
      <c r="D1000" s="3" t="s">
        <v>1623</v>
      </c>
      <c r="E1000" s="5">
        <v>1002</v>
      </c>
      <c r="F1000">
        <v>307</v>
      </c>
      <c r="G1000" t="s">
        <v>152</v>
      </c>
      <c r="H1000" s="7">
        <v>5.99</v>
      </c>
      <c r="I1000" s="5">
        <v>1</v>
      </c>
      <c r="J1000" s="3" t="s">
        <v>29</v>
      </c>
      <c r="K1000" s="9">
        <v>42483.625740740739</v>
      </c>
    </row>
    <row r="1001" spans="3:11" x14ac:dyDescent="0.25">
      <c r="C1001" t="str">
        <f>IF(COUNTBLANK(E1001:K1001) = 7,"",IF(AND(NOT(ISBLANK(E1001)),COUNTBLANK(E1001:K1001) = 6),"3 Delete",IF(ISBLANK(E1001),"2 Add",IF(SHA1Range(E1001:K1001) = "5fc6c62522586f63e1ad4ade80379c443ecabfc3","0 Original","1 Modify"))))</f>
        <v>0 Original</v>
      </c>
      <c r="D1001" s="3" t="s">
        <v>1624</v>
      </c>
      <c r="E1001" s="5">
        <v>1003</v>
      </c>
      <c r="F1001">
        <v>307</v>
      </c>
      <c r="G1001" t="s">
        <v>221</v>
      </c>
      <c r="H1001" s="7">
        <v>6.99</v>
      </c>
      <c r="I1001" s="5">
        <v>1</v>
      </c>
      <c r="J1001" s="3" t="s">
        <v>29</v>
      </c>
      <c r="K1001" s="9">
        <v>42483.625740740739</v>
      </c>
    </row>
    <row r="1002" spans="3:11" x14ac:dyDescent="0.25">
      <c r="C1002" t="str">
        <f>IF(COUNTBLANK(E1002:K1002) = 7,"",IF(AND(NOT(ISBLANK(E1002)),COUNTBLANK(E1002:K1002) = 6),"3 Delete",IF(ISBLANK(E1002),"2 Add",IF(SHA1Range(E1002:K1002) = "6bc0c6aac247653bb0b8626a71cd8e3c553321fb","0 Original","1 Modify"))))</f>
        <v>0 Original</v>
      </c>
      <c r="D1002" s="3" t="s">
        <v>1626</v>
      </c>
      <c r="E1002" s="5">
        <v>1004</v>
      </c>
      <c r="F1002">
        <v>307</v>
      </c>
      <c r="G1002" t="s">
        <v>335</v>
      </c>
      <c r="H1002" s="7">
        <v>5.99</v>
      </c>
      <c r="I1002" s="5">
        <v>1</v>
      </c>
      <c r="J1002" s="3" t="s">
        <v>29</v>
      </c>
      <c r="K1002" s="9">
        <v>42483.625740740739</v>
      </c>
    </row>
    <row r="1003" spans="3:11" x14ac:dyDescent="0.25">
      <c r="C1003" t="str">
        <f>IF(COUNTBLANK(E1003:K1003) = 7,"",IF(AND(NOT(ISBLANK(E1003)),COUNTBLANK(E1003:K1003) = 6),"3 Delete",IF(ISBLANK(E1003),"2 Add",IF(SHA1Range(E1003:K1003) = "d1f721b4c36f4075167ca714bb923b5d42e899d7","0 Original","1 Modify"))))</f>
        <v>0 Original</v>
      </c>
      <c r="D1003" s="3" t="s">
        <v>1627</v>
      </c>
      <c r="E1003" s="5">
        <v>1005</v>
      </c>
      <c r="F1003">
        <v>307</v>
      </c>
      <c r="G1003" t="s">
        <v>364</v>
      </c>
      <c r="H1003" s="7">
        <v>9.99</v>
      </c>
      <c r="I1003" s="5">
        <v>2</v>
      </c>
      <c r="J1003" s="3" t="s">
        <v>29</v>
      </c>
      <c r="K1003" s="9">
        <v>42483.625740740739</v>
      </c>
    </row>
    <row r="1004" spans="3:11" x14ac:dyDescent="0.25">
      <c r="C1004" t="str">
        <f>IF(COUNTBLANK(E1004:K1004) = 7,"",IF(AND(NOT(ISBLANK(E1004)),COUNTBLANK(E1004:K1004) = 6),"3 Delete",IF(ISBLANK(E1004),"2 Add",IF(SHA1Range(E1004:K1004) = "8fcf4c1f3787bf5ef03d885b2da4fa3f7cad3fca","0 Original","1 Modify"))))</f>
        <v>0 Original</v>
      </c>
      <c r="D1004" s="3" t="s">
        <v>1628</v>
      </c>
      <c r="E1004" s="5">
        <v>1006</v>
      </c>
      <c r="F1004">
        <v>308</v>
      </c>
      <c r="G1004" t="s">
        <v>152</v>
      </c>
      <c r="H1004" s="7">
        <v>5.99</v>
      </c>
      <c r="I1004" s="5">
        <v>1</v>
      </c>
      <c r="J1004" s="3" t="s">
        <v>29</v>
      </c>
      <c r="K1004" s="9">
        <v>42483.625740740739</v>
      </c>
    </row>
    <row r="1005" spans="3:11" x14ac:dyDescent="0.25">
      <c r="C1005" t="str">
        <f>IF(COUNTBLANK(E1005:K1005) = 7,"",IF(AND(NOT(ISBLANK(E1005)),COUNTBLANK(E1005:K1005) = 6),"3 Delete",IF(ISBLANK(E1005),"2 Add",IF(SHA1Range(E1005:K1005) = "665af696bda0a08fc4de52be72941d0d8e487ce9","0 Original","1 Modify"))))</f>
        <v>0 Original</v>
      </c>
      <c r="D1005" s="3" t="s">
        <v>1629</v>
      </c>
      <c r="E1005" s="5">
        <v>1007</v>
      </c>
      <c r="F1005">
        <v>308</v>
      </c>
      <c r="G1005" t="s">
        <v>304</v>
      </c>
      <c r="H1005" s="7">
        <v>8.99</v>
      </c>
      <c r="I1005" s="5">
        <v>2</v>
      </c>
      <c r="J1005" s="3" t="s">
        <v>29</v>
      </c>
      <c r="K1005" s="9">
        <v>42483.625740740739</v>
      </c>
    </row>
    <row r="1006" spans="3:11" x14ac:dyDescent="0.25">
      <c r="C1006" t="str">
        <f>IF(COUNTBLANK(E1006:K1006) = 7,"",IF(AND(NOT(ISBLANK(E1006)),COUNTBLANK(E1006:K1006) = 6),"3 Delete",IF(ISBLANK(E1006),"2 Add",IF(SHA1Range(E1006:K1006) = "13c281ade700c7e8102e1e856bd0cea1f333997e","0 Original","1 Modify"))))</f>
        <v>0 Original</v>
      </c>
      <c r="D1006" s="3" t="s">
        <v>1630</v>
      </c>
      <c r="E1006" s="5">
        <v>1008</v>
      </c>
      <c r="F1006">
        <v>309</v>
      </c>
      <c r="G1006" t="s">
        <v>230</v>
      </c>
      <c r="H1006" s="7">
        <v>5.99</v>
      </c>
      <c r="I1006" s="5">
        <v>1</v>
      </c>
      <c r="J1006" s="3" t="s">
        <v>29</v>
      </c>
      <c r="K1006" s="9">
        <v>42483.625740740739</v>
      </c>
    </row>
    <row r="1007" spans="3:11" x14ac:dyDescent="0.25">
      <c r="C1007" t="str">
        <f>IF(COUNTBLANK(E1007:K1007) = 7,"",IF(AND(NOT(ISBLANK(E1007)),COUNTBLANK(E1007:K1007) = 6),"3 Delete",IF(ISBLANK(E1007),"2 Add",IF(SHA1Range(E1007:K1007) = "9735b4142431872e26a45918032665fd58f78239","0 Original","1 Modify"))))</f>
        <v>0 Original</v>
      </c>
      <c r="D1007" s="3" t="s">
        <v>1631</v>
      </c>
      <c r="E1007" s="5">
        <v>1009</v>
      </c>
      <c r="F1007">
        <v>309</v>
      </c>
      <c r="G1007" t="s">
        <v>398</v>
      </c>
      <c r="H1007" s="7">
        <v>4.99</v>
      </c>
      <c r="I1007" s="5">
        <v>1</v>
      </c>
      <c r="J1007" s="3" t="s">
        <v>29</v>
      </c>
      <c r="K1007" s="9">
        <v>42483.625740740739</v>
      </c>
    </row>
    <row r="1008" spans="3:11" x14ac:dyDescent="0.25">
      <c r="C1008" t="str">
        <f>IF(COUNTBLANK(E1008:K1008) = 7,"",IF(AND(NOT(ISBLANK(E1008)),COUNTBLANK(E1008:K1008) = 6),"3 Delete",IF(ISBLANK(E1008),"2 Add",IF(SHA1Range(E1008:K1008) = "d194261c0c8eabc204df0f86168ded94133c68ce","0 Original","1 Modify"))))</f>
        <v>0 Original</v>
      </c>
      <c r="D1008" s="3" t="s">
        <v>1632</v>
      </c>
      <c r="E1008" s="5">
        <v>1010</v>
      </c>
      <c r="F1008">
        <v>309</v>
      </c>
      <c r="G1008" t="s">
        <v>425</v>
      </c>
      <c r="H1008" s="7">
        <v>6.99</v>
      </c>
      <c r="I1008" s="5">
        <v>2</v>
      </c>
      <c r="J1008" s="3" t="s">
        <v>29</v>
      </c>
      <c r="K1008" s="9">
        <v>42483.625740740739</v>
      </c>
    </row>
    <row r="1009" spans="3:11" x14ac:dyDescent="0.25">
      <c r="C1009" t="str">
        <f>IF(COUNTBLANK(E1009:K1009) = 7,"",IF(AND(NOT(ISBLANK(E1009)),COUNTBLANK(E1009:K1009) = 6),"3 Delete",IF(ISBLANK(E1009),"2 Add",IF(SHA1Range(E1009:K1009) = "760c6485e410b4dcfc8ca2a840be7749bac0faba","0 Original","1 Modify"))))</f>
        <v>0 Original</v>
      </c>
      <c r="D1009" s="3" t="s">
        <v>1633</v>
      </c>
      <c r="E1009" s="5">
        <v>1011</v>
      </c>
      <c r="F1009">
        <v>309</v>
      </c>
      <c r="G1009" t="s">
        <v>246</v>
      </c>
      <c r="H1009" s="7">
        <v>7.99</v>
      </c>
      <c r="I1009" s="5">
        <v>2</v>
      </c>
      <c r="J1009" s="3" t="s">
        <v>29</v>
      </c>
      <c r="K1009" s="9">
        <v>42483.625740740739</v>
      </c>
    </row>
    <row r="1010" spans="3:11" x14ac:dyDescent="0.25">
      <c r="C1010" t="str">
        <f>IF(COUNTBLANK(E1010:K1010) = 7,"",IF(AND(NOT(ISBLANK(E1010)),COUNTBLANK(E1010:K1010) = 6),"3 Delete",IF(ISBLANK(E1010),"2 Add",IF(SHA1Range(E1010:K1010) = "a237e85862004452efab3abe07c6871a8ca31b39","0 Original","1 Modify"))))</f>
        <v>0 Original</v>
      </c>
      <c r="D1010" s="3" t="s">
        <v>1634</v>
      </c>
      <c r="E1010" s="5">
        <v>1012</v>
      </c>
      <c r="F1010">
        <v>310</v>
      </c>
      <c r="G1010" t="s">
        <v>51</v>
      </c>
      <c r="H1010" s="7">
        <v>9.99</v>
      </c>
      <c r="I1010" s="5">
        <v>2</v>
      </c>
      <c r="J1010" s="3" t="s">
        <v>29</v>
      </c>
      <c r="K1010" s="9">
        <v>42483.625740740739</v>
      </c>
    </row>
    <row r="1011" spans="3:11" x14ac:dyDescent="0.25">
      <c r="C1011" t="str">
        <f>IF(COUNTBLANK(E1011:K1011) = 7,"",IF(AND(NOT(ISBLANK(E1011)),COUNTBLANK(E1011:K1011) = 6),"3 Delete",IF(ISBLANK(E1011),"2 Add",IF(SHA1Range(E1011:K1011) = "8be51dc76a673c9a9b4a5a7a415fcdcd418758cb","0 Original","1 Modify"))))</f>
        <v>0 Original</v>
      </c>
      <c r="D1011" s="3" t="s">
        <v>1635</v>
      </c>
      <c r="E1011" s="5">
        <v>1013</v>
      </c>
      <c r="F1011">
        <v>310</v>
      </c>
      <c r="G1011" t="s">
        <v>230</v>
      </c>
      <c r="H1011" s="7">
        <v>5.99</v>
      </c>
      <c r="I1011" s="5">
        <v>1</v>
      </c>
      <c r="J1011" s="3" t="s">
        <v>29</v>
      </c>
      <c r="K1011" s="9">
        <v>42483.625740740739</v>
      </c>
    </row>
    <row r="1012" spans="3:11" x14ac:dyDescent="0.25">
      <c r="C1012" t="str">
        <f>IF(COUNTBLANK(E1012:K1012) = 7,"",IF(AND(NOT(ISBLANK(E1012)),COUNTBLANK(E1012:K1012) = 6),"3 Delete",IF(ISBLANK(E1012),"2 Add",IF(SHA1Range(E1012:K1012) = "6e47a880b66d2690362634f4e478436edee8242b","0 Original","1 Modify"))))</f>
        <v>0 Original</v>
      </c>
      <c r="D1012" s="3" t="s">
        <v>1636</v>
      </c>
      <c r="E1012" s="5">
        <v>1014</v>
      </c>
      <c r="F1012">
        <v>310</v>
      </c>
      <c r="G1012" t="s">
        <v>109</v>
      </c>
      <c r="H1012" s="7">
        <v>8.99</v>
      </c>
      <c r="I1012" s="5">
        <v>2</v>
      </c>
      <c r="J1012" s="3" t="s">
        <v>29</v>
      </c>
      <c r="K1012" s="9">
        <v>42483.625740740739</v>
      </c>
    </row>
    <row r="1013" spans="3:11" x14ac:dyDescent="0.25">
      <c r="C1013" t="str">
        <f>IF(COUNTBLANK(E1013:K1013) = 7,"",IF(AND(NOT(ISBLANK(E1013)),COUNTBLANK(E1013:K1013) = 6),"3 Delete",IF(ISBLANK(E1013),"2 Add",IF(SHA1Range(E1013:K1013) = "9475daf2e84bef6b150be0e8d55a6b2336057df9","0 Original","1 Modify"))))</f>
        <v>0 Original</v>
      </c>
      <c r="D1013" s="3" t="s">
        <v>1637</v>
      </c>
      <c r="E1013" s="5">
        <v>1015</v>
      </c>
      <c r="F1013">
        <v>310</v>
      </c>
      <c r="G1013" t="s">
        <v>456</v>
      </c>
      <c r="H1013" s="7">
        <v>9.99</v>
      </c>
      <c r="I1013" s="5">
        <v>1</v>
      </c>
      <c r="J1013" s="3" t="s">
        <v>29</v>
      </c>
      <c r="K1013" s="9">
        <v>42483.625740740739</v>
      </c>
    </row>
    <row r="1014" spans="3:11" x14ac:dyDescent="0.25">
      <c r="C1014" t="str">
        <f>IF(COUNTBLANK(E1014:K1014) = 7,"",IF(AND(NOT(ISBLANK(E1014)),COUNTBLANK(E1014:K1014) = 6),"3 Delete",IF(ISBLANK(E1014),"2 Add",IF(SHA1Range(E1014:K1014) = "c67d0e1a7fa41298adeb973950a9a29d58692d49","0 Original","1 Modify"))))</f>
        <v>0 Original</v>
      </c>
      <c r="D1014" s="3" t="s">
        <v>1638</v>
      </c>
      <c r="E1014" s="5">
        <v>1016</v>
      </c>
      <c r="F1014">
        <v>310</v>
      </c>
      <c r="G1014" t="s">
        <v>573</v>
      </c>
      <c r="H1014" s="7">
        <v>9.99</v>
      </c>
      <c r="I1014" s="5">
        <v>1</v>
      </c>
      <c r="J1014" s="3" t="s">
        <v>29</v>
      </c>
      <c r="K1014" s="9">
        <v>42483.625740740739</v>
      </c>
    </row>
    <row r="1015" spans="3:11" x14ac:dyDescent="0.25">
      <c r="C1015" t="str">
        <f>IF(COUNTBLANK(E1015:K1015) = 7,"",IF(AND(NOT(ISBLANK(E1015)),COUNTBLANK(E1015:K1015) = 6),"3 Delete",IF(ISBLANK(E1015),"2 Add",IF(SHA1Range(E1015:K1015) = "0d2bd3b9c8925fc234ba9b2a708c0395d15d2994","0 Original","1 Modify"))))</f>
        <v>0 Original</v>
      </c>
      <c r="D1015" s="3" t="s">
        <v>1639</v>
      </c>
      <c r="E1015" s="5">
        <v>1017</v>
      </c>
      <c r="F1015">
        <v>311</v>
      </c>
      <c r="G1015" t="s">
        <v>398</v>
      </c>
      <c r="H1015" s="7">
        <v>4.99</v>
      </c>
      <c r="I1015" s="5">
        <v>1</v>
      </c>
      <c r="J1015" s="3" t="s">
        <v>29</v>
      </c>
      <c r="K1015" s="9">
        <v>42483.625740740739</v>
      </c>
    </row>
    <row r="1016" spans="3:11" x14ac:dyDescent="0.25">
      <c r="C1016" t="str">
        <f>IF(COUNTBLANK(E1016:K1016) = 7,"",IF(AND(NOT(ISBLANK(E1016)),COUNTBLANK(E1016:K1016) = 6),"3 Delete",IF(ISBLANK(E1016),"2 Add",IF(SHA1Range(E1016:K1016) = "5d40d959945e54ff8470248ffdf5cfd84603dc7e","0 Original","1 Modify"))))</f>
        <v>0 Original</v>
      </c>
      <c r="D1016" s="3" t="s">
        <v>1640</v>
      </c>
      <c r="E1016" s="5">
        <v>1018</v>
      </c>
      <c r="F1016">
        <v>311</v>
      </c>
      <c r="G1016" t="s">
        <v>238</v>
      </c>
      <c r="H1016" s="7">
        <v>5.99</v>
      </c>
      <c r="I1016" s="5">
        <v>1</v>
      </c>
      <c r="J1016" s="3" t="s">
        <v>29</v>
      </c>
      <c r="K1016" s="9">
        <v>42483.625740740739</v>
      </c>
    </row>
    <row r="1017" spans="3:11" x14ac:dyDescent="0.25">
      <c r="C1017" t="str">
        <f>IF(COUNTBLANK(E1017:K1017) = 7,"",IF(AND(NOT(ISBLANK(E1017)),COUNTBLANK(E1017:K1017) = 6),"3 Delete",IF(ISBLANK(E1017),"2 Add",IF(SHA1Range(E1017:K1017) = "70e2f722da78749bbeae0ed251fdacf58f57f8bb","0 Original","1 Modify"))))</f>
        <v>0 Original</v>
      </c>
      <c r="D1017" s="3" t="s">
        <v>1641</v>
      </c>
      <c r="E1017" s="5">
        <v>1019</v>
      </c>
      <c r="F1017">
        <v>311</v>
      </c>
      <c r="G1017" t="s">
        <v>130</v>
      </c>
      <c r="H1017" s="7">
        <v>8.99</v>
      </c>
      <c r="I1017" s="5">
        <v>2</v>
      </c>
      <c r="J1017" s="3" t="s">
        <v>29</v>
      </c>
      <c r="K1017" s="9">
        <v>42483.625740740739</v>
      </c>
    </row>
    <row r="1018" spans="3:11" x14ac:dyDescent="0.25">
      <c r="C1018" t="str">
        <f>IF(COUNTBLANK(E1018:K1018) = 7,"",IF(AND(NOT(ISBLANK(E1018)),COUNTBLANK(E1018:K1018) = 6),"3 Delete",IF(ISBLANK(E1018),"2 Add",IF(SHA1Range(E1018:K1018) = "d3cc651c0e240f9dc5ec8cfe7e039c34e66f81c1","0 Original","1 Modify"))))</f>
        <v>0 Original</v>
      </c>
      <c r="D1018" s="3" t="s">
        <v>1642</v>
      </c>
      <c r="E1018" s="5">
        <v>1020</v>
      </c>
      <c r="F1018">
        <v>311</v>
      </c>
      <c r="G1018" t="s">
        <v>456</v>
      </c>
      <c r="H1018" s="7">
        <v>9.99</v>
      </c>
      <c r="I1018" s="5">
        <v>1</v>
      </c>
      <c r="J1018" s="3" t="s">
        <v>29</v>
      </c>
      <c r="K1018" s="9">
        <v>42483.625740740739</v>
      </c>
    </row>
    <row r="1019" spans="3:11" x14ac:dyDescent="0.25">
      <c r="C1019" t="str">
        <f>IF(COUNTBLANK(E1019:K1019) = 7,"",IF(AND(NOT(ISBLANK(E1019)),COUNTBLANK(E1019:K1019) = 6),"3 Delete",IF(ISBLANK(E1019),"2 Add",IF(SHA1Range(E1019:K1019) = "ea15adbb58e6644367fcd9a5940fc4a836267118","0 Original","1 Modify"))))</f>
        <v>0 Original</v>
      </c>
      <c r="D1019" s="3" t="s">
        <v>1643</v>
      </c>
      <c r="E1019" s="5">
        <v>1021</v>
      </c>
      <c r="F1019">
        <v>312</v>
      </c>
      <c r="G1019" t="s">
        <v>304</v>
      </c>
      <c r="H1019" s="7">
        <v>8.99</v>
      </c>
      <c r="I1019" s="5">
        <v>2</v>
      </c>
      <c r="J1019" s="3" t="s">
        <v>29</v>
      </c>
      <c r="K1019" s="9">
        <v>42483.625740740739</v>
      </c>
    </row>
    <row r="1020" spans="3:11" x14ac:dyDescent="0.25">
      <c r="C1020" t="str">
        <f>IF(COUNTBLANK(E1020:K1020) = 7,"",IF(AND(NOT(ISBLANK(E1020)),COUNTBLANK(E1020:K1020) = 6),"3 Delete",IF(ISBLANK(E1020),"2 Add",IF(SHA1Range(E1020:K1020) = "53fca51784d8536f8cd23e77002e509b09c596bd","0 Original","1 Modify"))))</f>
        <v>0 Original</v>
      </c>
      <c r="D1020" s="3" t="s">
        <v>1644</v>
      </c>
      <c r="E1020" s="5">
        <v>1022</v>
      </c>
      <c r="F1020">
        <v>312</v>
      </c>
      <c r="G1020" t="s">
        <v>448</v>
      </c>
      <c r="H1020" s="7">
        <v>8.99</v>
      </c>
      <c r="I1020" s="5">
        <v>1</v>
      </c>
      <c r="J1020" s="3" t="s">
        <v>29</v>
      </c>
      <c r="K1020" s="9">
        <v>42483.625740740739</v>
      </c>
    </row>
    <row r="1021" spans="3:11" x14ac:dyDescent="0.25">
      <c r="C1021" t="str">
        <f>IF(COUNTBLANK(E1021:K1021) = 7,"",IF(AND(NOT(ISBLANK(E1021)),COUNTBLANK(E1021:K1021) = 6),"3 Delete",IF(ISBLANK(E1021),"2 Add",IF(SHA1Range(E1021:K1021) = "65d07b252947b7ce505c2061b125223fa2af99ad","0 Original","1 Modify"))))</f>
        <v>0 Original</v>
      </c>
      <c r="D1021" s="3" t="s">
        <v>1645</v>
      </c>
      <c r="E1021" s="5">
        <v>1023</v>
      </c>
      <c r="F1021">
        <v>312</v>
      </c>
      <c r="G1021" t="s">
        <v>395</v>
      </c>
      <c r="H1021" s="7">
        <v>8.99</v>
      </c>
      <c r="I1021" s="5">
        <v>1</v>
      </c>
      <c r="J1021" s="3" t="s">
        <v>29</v>
      </c>
      <c r="K1021" s="9">
        <v>42483.625740740739</v>
      </c>
    </row>
    <row r="1022" spans="3:11" x14ac:dyDescent="0.25">
      <c r="C1022" t="str">
        <f>IF(COUNTBLANK(E1022:K1022) = 7,"",IF(AND(NOT(ISBLANK(E1022)),COUNTBLANK(E1022:K1022) = 6),"3 Delete",IF(ISBLANK(E1022),"2 Add",IF(SHA1Range(E1022:K1022) = "eba54dfd271a2db40f06548eea636971743a59f2","0 Original","1 Modify"))))</f>
        <v>0 Original</v>
      </c>
      <c r="D1022" s="3" t="s">
        <v>1646</v>
      </c>
      <c r="E1022" s="5">
        <v>1024</v>
      </c>
      <c r="F1022">
        <v>312</v>
      </c>
      <c r="G1022" t="s">
        <v>546</v>
      </c>
      <c r="H1022" s="7">
        <v>9.99</v>
      </c>
      <c r="I1022" s="5">
        <v>1</v>
      </c>
      <c r="J1022" s="3" t="s">
        <v>29</v>
      </c>
      <c r="K1022" s="9">
        <v>42483.625740740739</v>
      </c>
    </row>
    <row r="1023" spans="3:11" x14ac:dyDescent="0.25">
      <c r="C1023" t="str">
        <f>IF(COUNTBLANK(E1023:K1023) = 7,"",IF(AND(NOT(ISBLANK(E1023)),COUNTBLANK(E1023:K1023) = 6),"3 Delete",IF(ISBLANK(E1023),"2 Add",IF(SHA1Range(E1023:K1023) = "e5d5bf8dc3e539d04711308e356ff4fadac84fbc","0 Original","1 Modify"))))</f>
        <v>0 Original</v>
      </c>
      <c r="D1023" s="3" t="s">
        <v>1647</v>
      </c>
      <c r="E1023" s="5">
        <v>1025</v>
      </c>
      <c r="F1023">
        <v>313</v>
      </c>
      <c r="G1023" t="s">
        <v>238</v>
      </c>
      <c r="H1023" s="7">
        <v>5.99</v>
      </c>
      <c r="I1023" s="5">
        <v>2</v>
      </c>
      <c r="J1023" s="3" t="s">
        <v>29</v>
      </c>
      <c r="K1023" s="9">
        <v>42483.625740740739</v>
      </c>
    </row>
    <row r="1024" spans="3:11" x14ac:dyDescent="0.25">
      <c r="C1024" t="str">
        <f>IF(COUNTBLANK(E1024:K1024) = 7,"",IF(AND(NOT(ISBLANK(E1024)),COUNTBLANK(E1024:K1024) = 6),"3 Delete",IF(ISBLANK(E1024),"2 Add",IF(SHA1Range(E1024:K1024) = "fe99b97846e3d8218ee9b8dc6c7bea85ea24dc03","0 Original","1 Modify"))))</f>
        <v>0 Original</v>
      </c>
      <c r="D1024" s="3" t="s">
        <v>1648</v>
      </c>
      <c r="E1024" s="5">
        <v>1026</v>
      </c>
      <c r="F1024">
        <v>313</v>
      </c>
      <c r="G1024" t="s">
        <v>503</v>
      </c>
      <c r="H1024" s="7">
        <v>8.99</v>
      </c>
      <c r="I1024" s="5">
        <v>1</v>
      </c>
      <c r="J1024" s="3" t="s">
        <v>29</v>
      </c>
      <c r="K1024" s="9">
        <v>42483.625740740739</v>
      </c>
    </row>
    <row r="1025" spans="3:11" x14ac:dyDescent="0.25">
      <c r="C1025" t="str">
        <f>IF(COUNTBLANK(E1025:K1025) = 7,"",IF(AND(NOT(ISBLANK(E1025)),COUNTBLANK(E1025:K1025) = 6),"3 Delete",IF(ISBLANK(E1025),"2 Add",IF(SHA1Range(E1025:K1025) = "e0359d2641164c8ebf240f37d8e1792e9c872dd8","0 Original","1 Modify"))))</f>
        <v>0 Original</v>
      </c>
      <c r="D1025" s="3" t="s">
        <v>1649</v>
      </c>
      <c r="E1025" s="5">
        <v>1027</v>
      </c>
      <c r="F1025">
        <v>313</v>
      </c>
      <c r="G1025" t="s">
        <v>599</v>
      </c>
      <c r="H1025" s="7">
        <v>5.99</v>
      </c>
      <c r="I1025" s="5">
        <v>1</v>
      </c>
      <c r="J1025" s="3" t="s">
        <v>29</v>
      </c>
      <c r="K1025" s="9">
        <v>42483.625740740739</v>
      </c>
    </row>
    <row r="1026" spans="3:11" x14ac:dyDescent="0.25">
      <c r="C1026" t="str">
        <f>IF(COUNTBLANK(E1026:K1026) = 7,"",IF(AND(NOT(ISBLANK(E1026)),COUNTBLANK(E1026:K1026) = 6),"3 Delete",IF(ISBLANK(E1026),"2 Add",IF(SHA1Range(E1026:K1026) = "43531800c3848563b7de395b4deaf158df975522","0 Original","1 Modify"))))</f>
        <v>0 Original</v>
      </c>
      <c r="D1026" s="3" t="s">
        <v>1650</v>
      </c>
      <c r="E1026" s="5">
        <v>1028</v>
      </c>
      <c r="F1026">
        <v>313</v>
      </c>
      <c r="G1026" t="s">
        <v>254</v>
      </c>
      <c r="H1026" s="7">
        <v>4.99</v>
      </c>
      <c r="I1026" s="5">
        <v>1</v>
      </c>
      <c r="J1026" s="3" t="s">
        <v>29</v>
      </c>
      <c r="K1026" s="9">
        <v>42483.625740740739</v>
      </c>
    </row>
    <row r="1027" spans="3:11" x14ac:dyDescent="0.25">
      <c r="C1027" t="str">
        <f>IF(COUNTBLANK(E1027:K1027) = 7,"",IF(AND(NOT(ISBLANK(E1027)),COUNTBLANK(E1027:K1027) = 6),"3 Delete",IF(ISBLANK(E1027),"2 Add",IF(SHA1Range(E1027:K1027) = "a88daab3f51b665eb6d14cae37991dd60078ad80","0 Original","1 Modify"))))</f>
        <v>0 Original</v>
      </c>
      <c r="D1027" s="3" t="s">
        <v>1651</v>
      </c>
      <c r="E1027" s="5">
        <v>1029</v>
      </c>
      <c r="F1027">
        <v>313</v>
      </c>
      <c r="G1027" t="s">
        <v>503</v>
      </c>
      <c r="H1027" s="7">
        <v>8.99</v>
      </c>
      <c r="I1027" s="5">
        <v>2</v>
      </c>
      <c r="J1027" s="3" t="s">
        <v>29</v>
      </c>
      <c r="K1027" s="9">
        <v>42483.625740740739</v>
      </c>
    </row>
    <row r="1028" spans="3:11" x14ac:dyDescent="0.25">
      <c r="C1028" t="str">
        <f>IF(COUNTBLANK(E1028:K1028) = 7,"",IF(AND(NOT(ISBLANK(E1028)),COUNTBLANK(E1028:K1028) = 6),"3 Delete",IF(ISBLANK(E1028),"2 Add",IF(SHA1Range(E1028:K1028) = "f33deefa1a45b56e289a934897628bac58066e6b","0 Original","1 Modify"))))</f>
        <v>0 Original</v>
      </c>
      <c r="D1028" s="3" t="s">
        <v>1652</v>
      </c>
      <c r="E1028" s="5">
        <v>1030</v>
      </c>
      <c r="F1028">
        <v>314</v>
      </c>
      <c r="G1028" t="s">
        <v>130</v>
      </c>
      <c r="H1028" s="7">
        <v>8.99</v>
      </c>
      <c r="I1028" s="5">
        <v>1</v>
      </c>
      <c r="J1028" s="3" t="s">
        <v>29</v>
      </c>
      <c r="K1028" s="9">
        <v>42483.625740740739</v>
      </c>
    </row>
    <row r="1029" spans="3:11" x14ac:dyDescent="0.25">
      <c r="C1029" t="str">
        <f>IF(COUNTBLANK(E1029:K1029) = 7,"",IF(AND(NOT(ISBLANK(E1029)),COUNTBLANK(E1029:K1029) = 6),"3 Delete",IF(ISBLANK(E1029),"2 Add",IF(SHA1Range(E1029:K1029) = "3507ad43d8d99a39685ceebaea1e862bdf8605be","0 Original","1 Modify"))))</f>
        <v>0 Original</v>
      </c>
      <c r="D1029" s="3" t="s">
        <v>1653</v>
      </c>
      <c r="E1029" s="5">
        <v>1031</v>
      </c>
      <c r="F1029">
        <v>315</v>
      </c>
      <c r="G1029" t="s">
        <v>448</v>
      </c>
      <c r="H1029" s="7">
        <v>8.99</v>
      </c>
      <c r="I1029" s="5">
        <v>1</v>
      </c>
      <c r="J1029" s="3" t="s">
        <v>29</v>
      </c>
      <c r="K1029" s="9">
        <v>42483.625740740739</v>
      </c>
    </row>
    <row r="1030" spans="3:11" x14ac:dyDescent="0.25">
      <c r="C1030" t="str">
        <f>IF(COUNTBLANK(E1030:K1030) = 7,"",IF(AND(NOT(ISBLANK(E1030)),COUNTBLANK(E1030:K1030) = 6),"3 Delete",IF(ISBLANK(E1030),"2 Add",IF(SHA1Range(E1030:K1030) = "49d71c60c85352c6c099c9dba5ad31e13c9fd8f9","0 Original","1 Modify"))))</f>
        <v>0 Original</v>
      </c>
      <c r="D1030" s="3" t="s">
        <v>1654</v>
      </c>
      <c r="E1030" s="5">
        <v>1032</v>
      </c>
      <c r="F1030">
        <v>315</v>
      </c>
      <c r="G1030" t="s">
        <v>250</v>
      </c>
      <c r="H1030" s="7">
        <v>8.99</v>
      </c>
      <c r="I1030" s="5">
        <v>1</v>
      </c>
      <c r="J1030" s="3" t="s">
        <v>29</v>
      </c>
      <c r="K1030" s="9">
        <v>42483.625740740739</v>
      </c>
    </row>
    <row r="1031" spans="3:11" x14ac:dyDescent="0.25">
      <c r="C1031" t="str">
        <f>IF(COUNTBLANK(E1031:K1031) = 7,"",IF(AND(NOT(ISBLANK(E1031)),COUNTBLANK(E1031:K1031) = 6),"3 Delete",IF(ISBLANK(E1031),"2 Add",IF(SHA1Range(E1031:K1031) = "59fab508b38d184195dceb09bfc21830cc4a67f8","0 Original","1 Modify"))))</f>
        <v>0 Original</v>
      </c>
      <c r="D1031" s="3" t="s">
        <v>1655</v>
      </c>
      <c r="E1031" s="5">
        <v>1033</v>
      </c>
      <c r="F1031">
        <v>315</v>
      </c>
      <c r="G1031" t="s">
        <v>503</v>
      </c>
      <c r="H1031" s="7">
        <v>8.99</v>
      </c>
      <c r="I1031" s="5">
        <v>1</v>
      </c>
      <c r="J1031" s="3" t="s">
        <v>29</v>
      </c>
      <c r="K1031" s="9">
        <v>42483.625740740739</v>
      </c>
    </row>
    <row r="1032" spans="3:11" x14ac:dyDescent="0.25">
      <c r="C1032" t="str">
        <f>IF(COUNTBLANK(E1032:K1032) = 7,"",IF(AND(NOT(ISBLANK(E1032)),COUNTBLANK(E1032:K1032) = 6),"3 Delete",IF(ISBLANK(E1032),"2 Add",IF(SHA1Range(E1032:K1032) = "fe3974e5bafc322db86746131ad3f143969d734a","0 Original","1 Modify"))))</f>
        <v>0 Original</v>
      </c>
      <c r="D1032" s="3" t="s">
        <v>1656</v>
      </c>
      <c r="E1032" s="5">
        <v>1034</v>
      </c>
      <c r="F1032">
        <v>315</v>
      </c>
      <c r="G1032" t="s">
        <v>230</v>
      </c>
      <c r="H1032" s="7">
        <v>5.99</v>
      </c>
      <c r="I1032" s="5">
        <v>2</v>
      </c>
      <c r="J1032" s="3" t="s">
        <v>29</v>
      </c>
      <c r="K1032" s="9">
        <v>42483.625740740739</v>
      </c>
    </row>
    <row r="1033" spans="3:11" x14ac:dyDescent="0.25">
      <c r="C1033" t="str">
        <f>IF(COUNTBLANK(E1033:K1033) = 7,"",IF(AND(NOT(ISBLANK(E1033)),COUNTBLANK(E1033:K1033) = 6),"3 Delete",IF(ISBLANK(E1033),"2 Add",IF(SHA1Range(E1033:K1033) = "d45fe60b81da4a96e7760dd4650c2456204da69e","0 Original","1 Modify"))))</f>
        <v>0 Original</v>
      </c>
      <c r="D1033" s="3" t="s">
        <v>1657</v>
      </c>
      <c r="E1033" s="5">
        <v>1035</v>
      </c>
      <c r="F1033">
        <v>316</v>
      </c>
      <c r="G1033" t="s">
        <v>217</v>
      </c>
      <c r="H1033" s="7">
        <v>9.99</v>
      </c>
      <c r="I1033" s="5">
        <v>1</v>
      </c>
      <c r="J1033" s="3" t="s">
        <v>29</v>
      </c>
      <c r="K1033" s="9">
        <v>42483.625740740739</v>
      </c>
    </row>
    <row r="1034" spans="3:11" x14ac:dyDescent="0.25">
      <c r="C1034" t="str">
        <f>IF(COUNTBLANK(E1034:K1034) = 7,"",IF(AND(NOT(ISBLANK(E1034)),COUNTBLANK(E1034:K1034) = 6),"3 Delete",IF(ISBLANK(E1034),"2 Add",IF(SHA1Range(E1034:K1034) = "445a9ed00f9d609bdcfb1cf4753be03ca6904234","0 Original","1 Modify"))))</f>
        <v>0 Original</v>
      </c>
      <c r="D1034" s="3" t="s">
        <v>1658</v>
      </c>
      <c r="E1034" s="5">
        <v>1036</v>
      </c>
      <c r="F1034">
        <v>316</v>
      </c>
      <c r="G1034" t="s">
        <v>58</v>
      </c>
      <c r="H1034" s="7">
        <v>8.99</v>
      </c>
      <c r="I1034" s="5">
        <v>1</v>
      </c>
      <c r="J1034" s="3" t="s">
        <v>29</v>
      </c>
      <c r="K1034" s="9">
        <v>42483.625740740739</v>
      </c>
    </row>
    <row r="1035" spans="3:11" x14ac:dyDescent="0.25">
      <c r="C1035" t="str">
        <f>IF(COUNTBLANK(E1035:K1035) = 7,"",IF(AND(NOT(ISBLANK(E1035)),COUNTBLANK(E1035:K1035) = 6),"3 Delete",IF(ISBLANK(E1035),"2 Add",IF(SHA1Range(E1035:K1035) = "79388219c75343db461a9e59c5482d1c2c2a3990","0 Original","1 Modify"))))</f>
        <v>0 Original</v>
      </c>
      <c r="D1035" s="3" t="s">
        <v>1659</v>
      </c>
      <c r="E1035" s="5">
        <v>1037</v>
      </c>
      <c r="F1035">
        <v>316</v>
      </c>
      <c r="G1035" t="s">
        <v>456</v>
      </c>
      <c r="H1035" s="7">
        <v>9.99</v>
      </c>
      <c r="I1035" s="5">
        <v>1</v>
      </c>
      <c r="J1035" s="3" t="s">
        <v>29</v>
      </c>
      <c r="K1035" s="9">
        <v>42483.625740740739</v>
      </c>
    </row>
    <row r="1036" spans="3:11" x14ac:dyDescent="0.25">
      <c r="C1036" t="str">
        <f>IF(COUNTBLANK(E1036:K1036) = 7,"",IF(AND(NOT(ISBLANK(E1036)),COUNTBLANK(E1036:K1036) = 6),"3 Delete",IF(ISBLANK(E1036),"2 Add",IF(SHA1Range(E1036:K1036) = "394e9f857bbe915f29ac1bca59629eb9ab074415","0 Original","1 Modify"))))</f>
        <v>0 Original</v>
      </c>
      <c r="D1036" s="3" t="s">
        <v>1660</v>
      </c>
      <c r="E1036" s="5">
        <v>1038</v>
      </c>
      <c r="F1036">
        <v>316</v>
      </c>
      <c r="G1036" t="s">
        <v>58</v>
      </c>
      <c r="H1036" s="7">
        <v>8.99</v>
      </c>
      <c r="I1036" s="5">
        <v>1</v>
      </c>
      <c r="J1036" s="3" t="s">
        <v>29</v>
      </c>
      <c r="K1036" s="9">
        <v>42483.625740740739</v>
      </c>
    </row>
    <row r="1037" spans="3:11" x14ac:dyDescent="0.25">
      <c r="C1037" t="str">
        <f>IF(COUNTBLANK(E1037:K1037) = 7,"",IF(AND(NOT(ISBLANK(E1037)),COUNTBLANK(E1037:K1037) = 6),"3 Delete",IF(ISBLANK(E1037),"2 Add",IF(SHA1Range(E1037:K1037) = "9e41ba75d6d90e1c3e9ff7c5d98036fe47191092","0 Original","1 Modify"))))</f>
        <v>0 Original</v>
      </c>
      <c r="D1037" s="3" t="s">
        <v>1661</v>
      </c>
      <c r="E1037" s="5">
        <v>1039</v>
      </c>
      <c r="F1037">
        <v>317</v>
      </c>
      <c r="G1037" t="s">
        <v>30</v>
      </c>
      <c r="H1037" s="7">
        <v>9.99</v>
      </c>
      <c r="I1037" s="5">
        <v>2</v>
      </c>
      <c r="J1037" s="3" t="s">
        <v>29</v>
      </c>
      <c r="K1037" s="9">
        <v>42483.625740740739</v>
      </c>
    </row>
    <row r="1038" spans="3:11" x14ac:dyDescent="0.25">
      <c r="C1038" t="str">
        <f>IF(COUNTBLANK(E1038:K1038) = 7,"",IF(AND(NOT(ISBLANK(E1038)),COUNTBLANK(E1038:K1038) = 6),"3 Delete",IF(ISBLANK(E1038),"2 Add",IF(SHA1Range(E1038:K1038) = "2b7a3717edec9d35ff82628892287e6becbf1b70","0 Original","1 Modify"))))</f>
        <v>0 Original</v>
      </c>
      <c r="D1038" s="3" t="s">
        <v>1662</v>
      </c>
      <c r="E1038" s="5">
        <v>1040</v>
      </c>
      <c r="F1038">
        <v>318</v>
      </c>
      <c r="G1038" t="s">
        <v>230</v>
      </c>
      <c r="H1038" s="7">
        <v>5.99</v>
      </c>
      <c r="I1038" s="5">
        <v>2</v>
      </c>
      <c r="J1038" s="3" t="s">
        <v>29</v>
      </c>
      <c r="K1038" s="9">
        <v>42483.625740740739</v>
      </c>
    </row>
    <row r="1039" spans="3:11" x14ac:dyDescent="0.25">
      <c r="C1039" t="str">
        <f>IF(COUNTBLANK(E1039:K1039) = 7,"",IF(AND(NOT(ISBLANK(E1039)),COUNTBLANK(E1039:K1039) = 6),"3 Delete",IF(ISBLANK(E1039),"2 Add",IF(SHA1Range(E1039:K1039) = "04880fb08320549d565236d944091b2de16ebef7","0 Original","1 Modify"))))</f>
        <v>0 Original</v>
      </c>
      <c r="D1039" s="3" t="s">
        <v>1663</v>
      </c>
      <c r="E1039" s="5">
        <v>1041</v>
      </c>
      <c r="F1039">
        <v>319</v>
      </c>
      <c r="G1039" t="s">
        <v>273</v>
      </c>
      <c r="H1039" s="7">
        <v>8.99</v>
      </c>
      <c r="I1039" s="5">
        <v>1</v>
      </c>
      <c r="J1039" s="3" t="s">
        <v>29</v>
      </c>
      <c r="K1039" s="9">
        <v>42483.625740740739</v>
      </c>
    </row>
    <row r="1040" spans="3:11" x14ac:dyDescent="0.25">
      <c r="C1040" t="str">
        <f>IF(COUNTBLANK(E1040:K1040) = 7,"",IF(AND(NOT(ISBLANK(E1040)),COUNTBLANK(E1040:K1040) = 6),"3 Delete",IF(ISBLANK(E1040),"2 Add",IF(SHA1Range(E1040:K1040) = "8f52275ac52a2033f6c3c3ea6dee67d4e7a8bb2b","0 Original","1 Modify"))))</f>
        <v>0 Original</v>
      </c>
      <c r="D1040" s="3" t="s">
        <v>1664</v>
      </c>
      <c r="E1040" s="5">
        <v>1042</v>
      </c>
      <c r="F1040">
        <v>319</v>
      </c>
      <c r="G1040" t="s">
        <v>246</v>
      </c>
      <c r="H1040" s="7">
        <v>7.99</v>
      </c>
      <c r="I1040" s="5">
        <v>1</v>
      </c>
      <c r="J1040" s="3" t="s">
        <v>29</v>
      </c>
      <c r="K1040" s="9">
        <v>42483.625740740739</v>
      </c>
    </row>
    <row r="1041" spans="3:11" x14ac:dyDescent="0.25">
      <c r="C1041" t="str">
        <f>IF(COUNTBLANK(E1041:K1041) = 7,"",IF(AND(NOT(ISBLANK(E1041)),COUNTBLANK(E1041:K1041) = 6),"3 Delete",IF(ISBLANK(E1041),"2 Add",IF(SHA1Range(E1041:K1041) = "5985c85fcecb512a2a504ac7db303ba1b03c2788","0 Original","1 Modify"))))</f>
        <v>0 Original</v>
      </c>
      <c r="D1041" s="3" t="s">
        <v>1665</v>
      </c>
      <c r="E1041" s="5">
        <v>1043</v>
      </c>
      <c r="F1041">
        <v>319</v>
      </c>
      <c r="G1041" t="s">
        <v>44</v>
      </c>
      <c r="H1041" s="7">
        <v>6.99</v>
      </c>
      <c r="I1041" s="5">
        <v>1</v>
      </c>
      <c r="J1041" s="3" t="s">
        <v>29</v>
      </c>
      <c r="K1041" s="9">
        <v>42483.625740740739</v>
      </c>
    </row>
    <row r="1042" spans="3:11" x14ac:dyDescent="0.25">
      <c r="C1042" t="str">
        <f>IF(COUNTBLANK(E1042:K1042) = 7,"",IF(AND(NOT(ISBLANK(E1042)),COUNTBLANK(E1042:K1042) = 6),"3 Delete",IF(ISBLANK(E1042),"2 Add",IF(SHA1Range(E1042:K1042) = "b19d27ced5f4394f198b825755963f6962a2a6bf","0 Original","1 Modify"))))</f>
        <v>0 Original</v>
      </c>
      <c r="D1042" s="3" t="s">
        <v>1666</v>
      </c>
      <c r="E1042" s="5">
        <v>1044</v>
      </c>
      <c r="F1042">
        <v>319</v>
      </c>
      <c r="G1042" t="s">
        <v>130</v>
      </c>
      <c r="H1042" s="7">
        <v>8.99</v>
      </c>
      <c r="I1042" s="5">
        <v>1</v>
      </c>
      <c r="J1042" s="3" t="s">
        <v>29</v>
      </c>
      <c r="K1042" s="9">
        <v>42483.625740740739</v>
      </c>
    </row>
    <row r="1043" spans="3:11" x14ac:dyDescent="0.25">
      <c r="C1043" t="str">
        <f>IF(COUNTBLANK(E1043:K1043) = 7,"",IF(AND(NOT(ISBLANK(E1043)),COUNTBLANK(E1043:K1043) = 6),"3 Delete",IF(ISBLANK(E1043),"2 Add",IF(SHA1Range(E1043:K1043) = "4757d2870c6bf40343cce5ec8e2aada136294f34","0 Original","1 Modify"))))</f>
        <v>0 Original</v>
      </c>
      <c r="D1043" s="3" t="s">
        <v>1667</v>
      </c>
      <c r="E1043" s="5">
        <v>1045</v>
      </c>
      <c r="F1043">
        <v>319</v>
      </c>
      <c r="G1043" t="s">
        <v>58</v>
      </c>
      <c r="H1043" s="7">
        <v>8.99</v>
      </c>
      <c r="I1043" s="5">
        <v>1</v>
      </c>
      <c r="J1043" s="3" t="s">
        <v>29</v>
      </c>
      <c r="K1043" s="9">
        <v>42483.625740740739</v>
      </c>
    </row>
    <row r="1044" spans="3:11" x14ac:dyDescent="0.25">
      <c r="C1044" t="str">
        <f>IF(COUNTBLANK(E1044:K1044) = 7,"",IF(AND(NOT(ISBLANK(E1044)),COUNTBLANK(E1044:K1044) = 6),"3 Delete",IF(ISBLANK(E1044),"2 Add",IF(SHA1Range(E1044:K1044) = "0e8412d359a53344301798c3fd71da1a702c2a19","0 Original","1 Modify"))))</f>
        <v>0 Original</v>
      </c>
      <c r="D1044" s="3" t="s">
        <v>1668</v>
      </c>
      <c r="E1044" s="5">
        <v>1046</v>
      </c>
      <c r="F1044">
        <v>320</v>
      </c>
      <c r="G1044" t="s">
        <v>133</v>
      </c>
      <c r="H1044" s="7">
        <v>7.99</v>
      </c>
      <c r="I1044" s="5">
        <v>1</v>
      </c>
      <c r="J1044" s="3" t="s">
        <v>29</v>
      </c>
      <c r="K1044" s="9">
        <v>42483.625740740739</v>
      </c>
    </row>
    <row r="1045" spans="3:11" x14ac:dyDescent="0.25">
      <c r="C1045" t="str">
        <f>IF(COUNTBLANK(E1045:K1045) = 7,"",IF(AND(NOT(ISBLANK(E1045)),COUNTBLANK(E1045:K1045) = 6),"3 Delete",IF(ISBLANK(E1045),"2 Add",IF(SHA1Range(E1045:K1045) = "3e6949f33ced8c3dacb3b6abdc88439ccf0e0e69","0 Original","1 Modify"))))</f>
        <v>0 Original</v>
      </c>
      <c r="D1045" s="3" t="s">
        <v>1669</v>
      </c>
      <c r="E1045" s="5">
        <v>1047</v>
      </c>
      <c r="F1045">
        <v>320</v>
      </c>
      <c r="G1045" t="s">
        <v>152</v>
      </c>
      <c r="H1045" s="7">
        <v>5.99</v>
      </c>
      <c r="I1045" s="5">
        <v>1</v>
      </c>
      <c r="J1045" s="3" t="s">
        <v>29</v>
      </c>
      <c r="K1045" s="9">
        <v>42483.625740740739</v>
      </c>
    </row>
    <row r="1046" spans="3:11" x14ac:dyDescent="0.25">
      <c r="C1046" t="str">
        <f>IF(COUNTBLANK(E1046:K1046) = 7,"",IF(AND(NOT(ISBLANK(E1046)),COUNTBLANK(E1046:K1046) = 6),"3 Delete",IF(ISBLANK(E1046),"2 Add",IF(SHA1Range(E1046:K1046) = "773d20a046fbe9c3787d89fc2b09c1a1af630c49","0 Original","1 Modify"))))</f>
        <v>0 Original</v>
      </c>
      <c r="D1046" s="3" t="s">
        <v>1670</v>
      </c>
      <c r="E1046" s="5">
        <v>1048</v>
      </c>
      <c r="F1046">
        <v>320</v>
      </c>
      <c r="G1046" t="s">
        <v>448</v>
      </c>
      <c r="H1046" s="7">
        <v>8.99</v>
      </c>
      <c r="I1046" s="5">
        <v>1</v>
      </c>
      <c r="J1046" s="3" t="s">
        <v>29</v>
      </c>
      <c r="K1046" s="9">
        <v>42483.625740740739</v>
      </c>
    </row>
    <row r="1047" spans="3:11" x14ac:dyDescent="0.25">
      <c r="C1047" t="str">
        <f>IF(COUNTBLANK(E1047:K1047) = 7,"",IF(AND(NOT(ISBLANK(E1047)),COUNTBLANK(E1047:K1047) = 6),"3 Delete",IF(ISBLANK(E1047),"2 Add",IF(SHA1Range(E1047:K1047) = "c05c43d9a57f7c0243128e6c76e45af01a4a3af7","0 Original","1 Modify"))))</f>
        <v>0 Original</v>
      </c>
      <c r="D1047" s="3" t="s">
        <v>1671</v>
      </c>
      <c r="E1047" s="5">
        <v>1049</v>
      </c>
      <c r="F1047">
        <v>321</v>
      </c>
      <c r="G1047" t="s">
        <v>546</v>
      </c>
      <c r="H1047" s="7">
        <v>9.99</v>
      </c>
      <c r="I1047" s="5">
        <v>1</v>
      </c>
      <c r="J1047" s="3" t="s">
        <v>29</v>
      </c>
      <c r="K1047" s="9">
        <v>42483.625740740739</v>
      </c>
    </row>
    <row r="1048" spans="3:11" x14ac:dyDescent="0.25">
      <c r="C1048" t="str">
        <f>IF(COUNTBLANK(E1048:K1048) = 7,"",IF(AND(NOT(ISBLANK(E1048)),COUNTBLANK(E1048:K1048) = 6),"3 Delete",IF(ISBLANK(E1048),"2 Add",IF(SHA1Range(E1048:K1048) = "8b502a3726014acf1a57de825075214a502219ca","0 Original","1 Modify"))))</f>
        <v>0 Original</v>
      </c>
      <c r="D1048" s="3" t="s">
        <v>1672</v>
      </c>
      <c r="E1048" s="5">
        <v>1050</v>
      </c>
      <c r="F1048">
        <v>321</v>
      </c>
      <c r="G1048" t="s">
        <v>152</v>
      </c>
      <c r="H1048" s="7">
        <v>5.99</v>
      </c>
      <c r="I1048" s="5">
        <v>1</v>
      </c>
      <c r="J1048" s="3" t="s">
        <v>29</v>
      </c>
      <c r="K1048" s="9">
        <v>42483.625740740739</v>
      </c>
    </row>
    <row r="1049" spans="3:11" x14ac:dyDescent="0.25">
      <c r="C1049" t="str">
        <f>IF(COUNTBLANK(E1049:K1049) = 7,"",IF(AND(NOT(ISBLANK(E1049)),COUNTBLANK(E1049:K1049) = 6),"3 Delete",IF(ISBLANK(E1049),"2 Add",IF(SHA1Range(E1049:K1049) = "231748513091cc0ef89c7362c6990374cbc28ca2","0 Original","1 Modify"))))</f>
        <v>0 Original</v>
      </c>
      <c r="D1049" s="3" t="s">
        <v>1673</v>
      </c>
      <c r="E1049" s="5">
        <v>1051</v>
      </c>
      <c r="F1049">
        <v>321</v>
      </c>
      <c r="G1049" t="s">
        <v>217</v>
      </c>
      <c r="H1049" s="7">
        <v>9.99</v>
      </c>
      <c r="I1049" s="5">
        <v>2</v>
      </c>
      <c r="J1049" s="3" t="s">
        <v>29</v>
      </c>
      <c r="K1049" s="9">
        <v>42483.625740740739</v>
      </c>
    </row>
    <row r="1050" spans="3:11" x14ac:dyDescent="0.25">
      <c r="C1050" t="str">
        <f>IF(COUNTBLANK(E1050:K1050) = 7,"",IF(AND(NOT(ISBLANK(E1050)),COUNTBLANK(E1050:K1050) = 6),"3 Delete",IF(ISBLANK(E1050),"2 Add",IF(SHA1Range(E1050:K1050) = "ab19ce773eacb2bff9ffa20b4b2c32df196262bd","0 Original","1 Modify"))))</f>
        <v>0 Original</v>
      </c>
      <c r="D1050" s="3" t="s">
        <v>1674</v>
      </c>
      <c r="E1050" s="5">
        <v>1052</v>
      </c>
      <c r="F1050">
        <v>322</v>
      </c>
      <c r="G1050" t="s">
        <v>142</v>
      </c>
      <c r="H1050" s="7">
        <v>4.99</v>
      </c>
      <c r="I1050" s="5">
        <v>1</v>
      </c>
      <c r="J1050" s="3" t="s">
        <v>29</v>
      </c>
      <c r="K1050" s="9">
        <v>42483.625740740739</v>
      </c>
    </row>
    <row r="1051" spans="3:11" x14ac:dyDescent="0.25">
      <c r="C1051" t="str">
        <f>IF(COUNTBLANK(E1051:K1051) = 7,"",IF(AND(NOT(ISBLANK(E1051)),COUNTBLANK(E1051:K1051) = 6),"3 Delete",IF(ISBLANK(E1051),"2 Add",IF(SHA1Range(E1051:K1051) = "3c249e95e3f88dd955bb2118e78fd5b237b7bf79","0 Original","1 Modify"))))</f>
        <v>0 Original</v>
      </c>
      <c r="D1051" s="3" t="s">
        <v>1675</v>
      </c>
      <c r="E1051" s="5">
        <v>1053</v>
      </c>
      <c r="F1051">
        <v>322</v>
      </c>
      <c r="G1051" t="s">
        <v>388</v>
      </c>
      <c r="H1051" s="7">
        <v>5.99</v>
      </c>
      <c r="I1051" s="5">
        <v>1</v>
      </c>
      <c r="J1051" s="3" t="s">
        <v>29</v>
      </c>
      <c r="K1051" s="9">
        <v>42483.625740740739</v>
      </c>
    </row>
    <row r="1052" spans="3:11" x14ac:dyDescent="0.25">
      <c r="C1052" t="str">
        <f>IF(COUNTBLANK(E1052:K1052) = 7,"",IF(AND(NOT(ISBLANK(E1052)),COUNTBLANK(E1052:K1052) = 6),"3 Delete",IF(ISBLANK(E1052),"2 Add",IF(SHA1Range(E1052:K1052) = "015ef336b0594e2e6193a04dd32c01a519b2e6af","0 Original","1 Modify"))))</f>
        <v>0 Original</v>
      </c>
      <c r="D1052" s="3" t="s">
        <v>1676</v>
      </c>
      <c r="E1052" s="5">
        <v>1054</v>
      </c>
      <c r="F1052">
        <v>322</v>
      </c>
      <c r="G1052" t="s">
        <v>217</v>
      </c>
      <c r="H1052" s="7">
        <v>9.99</v>
      </c>
      <c r="I1052" s="5">
        <v>2</v>
      </c>
      <c r="J1052" s="3" t="s">
        <v>29</v>
      </c>
      <c r="K1052" s="9">
        <v>42483.625740740739</v>
      </c>
    </row>
    <row r="1053" spans="3:11" x14ac:dyDescent="0.25">
      <c r="C1053" t="str">
        <f>IF(COUNTBLANK(E1053:K1053) = 7,"",IF(AND(NOT(ISBLANK(E1053)),COUNTBLANK(E1053:K1053) = 6),"3 Delete",IF(ISBLANK(E1053),"2 Add",IF(SHA1Range(E1053:K1053) = "fc9a0c5f1aa867d429551340309347065cc9ca79","0 Original","1 Modify"))))</f>
        <v>0 Original</v>
      </c>
      <c r="D1053" s="3" t="s">
        <v>1677</v>
      </c>
      <c r="E1053" s="5">
        <v>1055</v>
      </c>
      <c r="F1053">
        <v>322</v>
      </c>
      <c r="G1053" t="s">
        <v>295</v>
      </c>
      <c r="H1053" s="7">
        <v>7.99</v>
      </c>
      <c r="I1053" s="5">
        <v>1</v>
      </c>
      <c r="J1053" s="3" t="s">
        <v>29</v>
      </c>
      <c r="K1053" s="9">
        <v>42483.625740740739</v>
      </c>
    </row>
    <row r="1054" spans="3:11" x14ac:dyDescent="0.25">
      <c r="C1054" t="str">
        <f>IF(COUNTBLANK(E1054:K1054) = 7,"",IF(AND(NOT(ISBLANK(E1054)),COUNTBLANK(E1054:K1054) = 6),"3 Delete",IF(ISBLANK(E1054),"2 Add",IF(SHA1Range(E1054:K1054) = "f9db3ff63815c66cbcaf4b34b2d9e21cb59cca54","0 Original","1 Modify"))))</f>
        <v>0 Original</v>
      </c>
      <c r="D1054" s="3" t="s">
        <v>1678</v>
      </c>
      <c r="E1054" s="5">
        <v>1056</v>
      </c>
      <c r="F1054">
        <v>322</v>
      </c>
      <c r="G1054" t="s">
        <v>273</v>
      </c>
      <c r="H1054" s="7">
        <v>8.99</v>
      </c>
      <c r="I1054" s="5">
        <v>1</v>
      </c>
      <c r="J1054" s="3" t="s">
        <v>29</v>
      </c>
      <c r="K1054" s="9">
        <v>42483.625740740739</v>
      </c>
    </row>
    <row r="1055" spans="3:11" x14ac:dyDescent="0.25">
      <c r="C1055" t="str">
        <f>IF(COUNTBLANK(E1055:K1055) = 7,"",IF(AND(NOT(ISBLANK(E1055)),COUNTBLANK(E1055:K1055) = 6),"3 Delete",IF(ISBLANK(E1055),"2 Add",IF(SHA1Range(E1055:K1055) = "cb4d5797cab8f2b9392e4a6a14ed473867be29e5","0 Original","1 Modify"))))</f>
        <v>0 Original</v>
      </c>
      <c r="D1055" s="3" t="s">
        <v>1679</v>
      </c>
      <c r="E1055" s="5">
        <v>1057</v>
      </c>
      <c r="F1055">
        <v>323</v>
      </c>
      <c r="G1055" t="s">
        <v>391</v>
      </c>
      <c r="H1055" s="7">
        <v>7.99</v>
      </c>
      <c r="I1055" s="5">
        <v>1</v>
      </c>
      <c r="J1055" s="3" t="s">
        <v>29</v>
      </c>
      <c r="K1055" s="9">
        <v>42483.625740740739</v>
      </c>
    </row>
    <row r="1056" spans="3:11" x14ac:dyDescent="0.25">
      <c r="C1056" t="str">
        <f>IF(COUNTBLANK(E1056:K1056) = 7,"",IF(AND(NOT(ISBLANK(E1056)),COUNTBLANK(E1056:K1056) = 6),"3 Delete",IF(ISBLANK(E1056),"2 Add",IF(SHA1Range(E1056:K1056) = "94b6c98dc2275b8d763a3bc1dd0e03d0f9cced77","0 Original","1 Modify"))))</f>
        <v>0 Original</v>
      </c>
      <c r="D1056" s="3" t="s">
        <v>1680</v>
      </c>
      <c r="E1056" s="5">
        <v>1058</v>
      </c>
      <c r="F1056">
        <v>324</v>
      </c>
      <c r="G1056" t="s">
        <v>152</v>
      </c>
      <c r="H1056" s="7">
        <v>5.99</v>
      </c>
      <c r="I1056" s="5">
        <v>1</v>
      </c>
      <c r="J1056" s="3" t="s">
        <v>29</v>
      </c>
      <c r="K1056" s="9">
        <v>42483.625740740739</v>
      </c>
    </row>
    <row r="1057" spans="3:11" x14ac:dyDescent="0.25">
      <c r="C1057" t="str">
        <f>IF(COUNTBLANK(E1057:K1057) = 7,"",IF(AND(NOT(ISBLANK(E1057)),COUNTBLANK(E1057:K1057) = 6),"3 Delete",IF(ISBLANK(E1057),"2 Add",IF(SHA1Range(E1057:K1057) = "4238e79f3ee33fa48b940e01ec7e6daa49df8a7e","0 Original","1 Modify"))))</f>
        <v>0 Original</v>
      </c>
      <c r="D1057" s="3" t="s">
        <v>1681</v>
      </c>
      <c r="E1057" s="5">
        <v>1059</v>
      </c>
      <c r="F1057">
        <v>324</v>
      </c>
      <c r="G1057" t="s">
        <v>254</v>
      </c>
      <c r="H1057" s="7">
        <v>4.99</v>
      </c>
      <c r="I1057" s="5">
        <v>1</v>
      </c>
      <c r="J1057" s="3" t="s">
        <v>29</v>
      </c>
      <c r="K1057" s="9">
        <v>42483.625740740739</v>
      </c>
    </row>
    <row r="1058" spans="3:11" x14ac:dyDescent="0.25">
      <c r="C1058" t="str">
        <f>IF(COUNTBLANK(E1058:K1058) = 7,"",IF(AND(NOT(ISBLANK(E1058)),COUNTBLANK(E1058:K1058) = 6),"3 Delete",IF(ISBLANK(E1058),"2 Add",IF(SHA1Range(E1058:K1058) = "9d7fd04f6b51944f32be5c0157e2ccb3bc4bedd1","0 Original","1 Modify"))))</f>
        <v>0 Original</v>
      </c>
      <c r="D1058" s="3" t="s">
        <v>1682</v>
      </c>
      <c r="E1058" s="5">
        <v>1060</v>
      </c>
      <c r="F1058">
        <v>325</v>
      </c>
      <c r="G1058" t="s">
        <v>238</v>
      </c>
      <c r="H1058" s="7">
        <v>5.99</v>
      </c>
      <c r="I1058" s="5">
        <v>1</v>
      </c>
      <c r="J1058" s="3" t="s">
        <v>29</v>
      </c>
      <c r="K1058" s="9">
        <v>42483.625740740739</v>
      </c>
    </row>
    <row r="1059" spans="3:11" x14ac:dyDescent="0.25">
      <c r="C1059" t="str">
        <f>IF(COUNTBLANK(E1059:K1059) = 7,"",IF(AND(NOT(ISBLANK(E1059)),COUNTBLANK(E1059:K1059) = 6),"3 Delete",IF(ISBLANK(E1059),"2 Add",IF(SHA1Range(E1059:K1059) = "d378c07f651ba570b80b4be921b936266be433aa","0 Original","1 Modify"))))</f>
        <v>0 Original</v>
      </c>
      <c r="D1059" s="3" t="s">
        <v>1683</v>
      </c>
      <c r="E1059" s="5">
        <v>1061</v>
      </c>
      <c r="F1059">
        <v>325</v>
      </c>
      <c r="G1059" t="s">
        <v>295</v>
      </c>
      <c r="H1059" s="7">
        <v>7.99</v>
      </c>
      <c r="I1059" s="5">
        <v>2</v>
      </c>
      <c r="J1059" s="3" t="s">
        <v>29</v>
      </c>
      <c r="K1059" s="9">
        <v>42483.625740740739</v>
      </c>
    </row>
    <row r="1060" spans="3:11" x14ac:dyDescent="0.25">
      <c r="C1060" t="str">
        <f>IF(COUNTBLANK(E1060:K1060) = 7,"",IF(AND(NOT(ISBLANK(E1060)),COUNTBLANK(E1060:K1060) = 6),"3 Delete",IF(ISBLANK(E1060),"2 Add",IF(SHA1Range(E1060:K1060) = "0d1124b063396f123302472f37e10128b835bf7c","0 Original","1 Modify"))))</f>
        <v>0 Original</v>
      </c>
      <c r="D1060" s="3" t="s">
        <v>1684</v>
      </c>
      <c r="E1060" s="5">
        <v>1062</v>
      </c>
      <c r="F1060">
        <v>325</v>
      </c>
      <c r="G1060" t="s">
        <v>257</v>
      </c>
      <c r="H1060" s="7">
        <v>9.99</v>
      </c>
      <c r="I1060" s="5">
        <v>1</v>
      </c>
      <c r="J1060" s="3" t="s">
        <v>29</v>
      </c>
      <c r="K1060" s="9">
        <v>42483.625740740739</v>
      </c>
    </row>
    <row r="1061" spans="3:11" x14ac:dyDescent="0.25">
      <c r="C1061" t="str">
        <f>IF(COUNTBLANK(E1061:K1061) = 7,"",IF(AND(NOT(ISBLANK(E1061)),COUNTBLANK(E1061:K1061) = 6),"3 Delete",IF(ISBLANK(E1061),"2 Add",IF(SHA1Range(E1061:K1061) = "769882150cd6e5a0b899b7fc468f797291f7488c","0 Original","1 Modify"))))</f>
        <v>0 Original</v>
      </c>
      <c r="D1061" s="3" t="s">
        <v>1685</v>
      </c>
      <c r="E1061" s="5">
        <v>1063</v>
      </c>
      <c r="F1061">
        <v>325</v>
      </c>
      <c r="G1061" t="s">
        <v>230</v>
      </c>
      <c r="H1061" s="7">
        <v>5.99</v>
      </c>
      <c r="I1061" s="5">
        <v>1</v>
      </c>
      <c r="J1061" s="3" t="s">
        <v>29</v>
      </c>
      <c r="K1061" s="9">
        <v>42483.625740740739</v>
      </c>
    </row>
    <row r="1062" spans="3:11" x14ac:dyDescent="0.25">
      <c r="C1062" t="str">
        <f>IF(COUNTBLANK(E1062:K1062) = 7,"",IF(AND(NOT(ISBLANK(E1062)),COUNTBLANK(E1062:K1062) = 6),"3 Delete",IF(ISBLANK(E1062),"2 Add",IF(SHA1Range(E1062:K1062) = "8ef9e1c69a550793f13a17a562fd3c0fcfac21be","0 Original","1 Modify"))))</f>
        <v>0 Original</v>
      </c>
      <c r="D1062" s="3" t="s">
        <v>1686</v>
      </c>
      <c r="E1062" s="5">
        <v>1064</v>
      </c>
      <c r="F1062">
        <v>326</v>
      </c>
      <c r="G1062" t="s">
        <v>238</v>
      </c>
      <c r="H1062" s="7">
        <v>5.99</v>
      </c>
      <c r="I1062" s="5">
        <v>1</v>
      </c>
      <c r="J1062" s="3" t="s">
        <v>29</v>
      </c>
      <c r="K1062" s="9">
        <v>42483.625740740739</v>
      </c>
    </row>
    <row r="1063" spans="3:11" x14ac:dyDescent="0.25">
      <c r="C1063" t="str">
        <f>IF(COUNTBLANK(E1063:K1063) = 7,"",IF(AND(NOT(ISBLANK(E1063)),COUNTBLANK(E1063:K1063) = 6),"3 Delete",IF(ISBLANK(E1063),"2 Add",IF(SHA1Range(E1063:K1063) = "09a0a9daf9d0c66abbfb62006e2cd2dee4073854","0 Original","1 Modify"))))</f>
        <v>0 Original</v>
      </c>
      <c r="D1063" s="3" t="s">
        <v>1687</v>
      </c>
      <c r="E1063" s="5">
        <v>1065</v>
      </c>
      <c r="F1063">
        <v>326</v>
      </c>
      <c r="G1063" t="s">
        <v>459</v>
      </c>
      <c r="H1063" s="7">
        <v>5.99</v>
      </c>
      <c r="I1063" s="5">
        <v>2</v>
      </c>
      <c r="J1063" s="3" t="s">
        <v>29</v>
      </c>
      <c r="K1063" s="9">
        <v>42483.625740740739</v>
      </c>
    </row>
    <row r="1064" spans="3:11" x14ac:dyDescent="0.25">
      <c r="C1064" t="str">
        <f>IF(COUNTBLANK(E1064:K1064) = 7,"",IF(AND(NOT(ISBLANK(E1064)),COUNTBLANK(E1064:K1064) = 6),"3 Delete",IF(ISBLANK(E1064),"2 Add",IF(SHA1Range(E1064:K1064) = "04598dbce5b778e41f17aade6b93a52098f4c729","0 Original","1 Modify"))))</f>
        <v>0 Original</v>
      </c>
      <c r="D1064" s="3" t="s">
        <v>1688</v>
      </c>
      <c r="E1064" s="5">
        <v>1066</v>
      </c>
      <c r="F1064">
        <v>326</v>
      </c>
      <c r="G1064" t="s">
        <v>503</v>
      </c>
      <c r="H1064" s="7">
        <v>8.99</v>
      </c>
      <c r="I1064" s="5">
        <v>2</v>
      </c>
      <c r="J1064" s="3" t="s">
        <v>29</v>
      </c>
      <c r="K1064" s="9">
        <v>42483.625740740739</v>
      </c>
    </row>
    <row r="1065" spans="3:11" x14ac:dyDescent="0.25">
      <c r="C1065" t="str">
        <f>IF(COUNTBLANK(E1065:K1065) = 7,"",IF(AND(NOT(ISBLANK(E1065)),COUNTBLANK(E1065:K1065) = 6),"3 Delete",IF(ISBLANK(E1065),"2 Add",IF(SHA1Range(E1065:K1065) = "da5cefe7b926f901ff3af000f72b0668049da8c8","0 Original","1 Modify"))))</f>
        <v>0 Original</v>
      </c>
      <c r="D1065" s="3" t="s">
        <v>1689</v>
      </c>
      <c r="E1065" s="5">
        <v>1067</v>
      </c>
      <c r="F1065">
        <v>327</v>
      </c>
      <c r="G1065" t="s">
        <v>448</v>
      </c>
      <c r="H1065" s="7">
        <v>8.99</v>
      </c>
      <c r="I1065" s="5">
        <v>2</v>
      </c>
      <c r="J1065" s="3" t="s">
        <v>29</v>
      </c>
      <c r="K1065" s="9">
        <v>42483.625740740739</v>
      </c>
    </row>
    <row r="1066" spans="3:11" x14ac:dyDescent="0.25">
      <c r="C1066" t="str">
        <f>IF(COUNTBLANK(E1066:K1066) = 7,"",IF(AND(NOT(ISBLANK(E1066)),COUNTBLANK(E1066:K1066) = 6),"3 Delete",IF(ISBLANK(E1066),"2 Add",IF(SHA1Range(E1066:K1066) = "4e4fafcfa6e0a6d38a7e93e67a57c076b8557753","0 Original","1 Modify"))))</f>
        <v>0 Original</v>
      </c>
      <c r="D1066" s="3" t="s">
        <v>1690</v>
      </c>
      <c r="E1066" s="5">
        <v>1068</v>
      </c>
      <c r="F1066">
        <v>327</v>
      </c>
      <c r="G1066" t="s">
        <v>335</v>
      </c>
      <c r="H1066" s="7">
        <v>5.99</v>
      </c>
      <c r="I1066" s="5">
        <v>2</v>
      </c>
      <c r="J1066" s="3" t="s">
        <v>29</v>
      </c>
      <c r="K1066" s="9">
        <v>42483.625740740739</v>
      </c>
    </row>
    <row r="1067" spans="3:11" x14ac:dyDescent="0.25">
      <c r="C1067" t="str">
        <f>IF(COUNTBLANK(E1067:K1067) = 7,"",IF(AND(NOT(ISBLANK(E1067)),COUNTBLANK(E1067:K1067) = 6),"3 Delete",IF(ISBLANK(E1067),"2 Add",IF(SHA1Range(E1067:K1067) = "04232b57a06cf1f6fd6e5246fb6b8ea517642118","0 Original","1 Modify"))))</f>
        <v>0 Original</v>
      </c>
      <c r="D1067" s="3" t="s">
        <v>1691</v>
      </c>
      <c r="E1067" s="5">
        <v>1069</v>
      </c>
      <c r="F1067">
        <v>327</v>
      </c>
      <c r="G1067" t="s">
        <v>136</v>
      </c>
      <c r="H1067" s="7">
        <v>8.99</v>
      </c>
      <c r="I1067" s="5">
        <v>2</v>
      </c>
      <c r="J1067" s="3" t="s">
        <v>29</v>
      </c>
      <c r="K1067" s="9">
        <v>42483.625740740739</v>
      </c>
    </row>
    <row r="1068" spans="3:11" x14ac:dyDescent="0.25">
      <c r="C1068" t="str">
        <f>IF(COUNTBLANK(E1068:K1068) = 7,"",IF(AND(NOT(ISBLANK(E1068)),COUNTBLANK(E1068:K1068) = 6),"3 Delete",IF(ISBLANK(E1068),"2 Add",IF(SHA1Range(E1068:K1068) = "3b2785d110104e4213966341c44100d0d309dcd9","0 Original","1 Modify"))))</f>
        <v>0 Original</v>
      </c>
      <c r="D1068" s="3" t="s">
        <v>1692</v>
      </c>
      <c r="E1068" s="5">
        <v>1070</v>
      </c>
      <c r="F1068">
        <v>328</v>
      </c>
      <c r="G1068" t="s">
        <v>250</v>
      </c>
      <c r="H1068" s="7">
        <v>8.99</v>
      </c>
      <c r="I1068" s="5">
        <v>1</v>
      </c>
      <c r="J1068" s="3" t="s">
        <v>29</v>
      </c>
      <c r="K1068" s="9">
        <v>42483.625740740739</v>
      </c>
    </row>
    <row r="1069" spans="3:11" x14ac:dyDescent="0.25">
      <c r="C1069" t="str">
        <f>IF(COUNTBLANK(E1069:K1069) = 7,"",IF(AND(NOT(ISBLANK(E1069)),COUNTBLANK(E1069:K1069) = 6),"3 Delete",IF(ISBLANK(E1069),"2 Add",IF(SHA1Range(E1069:K1069) = "0e87505b04f9f860db7c87d2bae480298bc80b18","0 Original","1 Modify"))))</f>
        <v>0 Original</v>
      </c>
      <c r="D1069" s="3" t="s">
        <v>1693</v>
      </c>
      <c r="E1069" s="5">
        <v>1071</v>
      </c>
      <c r="F1069">
        <v>328</v>
      </c>
      <c r="G1069" t="s">
        <v>142</v>
      </c>
      <c r="H1069" s="7">
        <v>4.99</v>
      </c>
      <c r="I1069" s="5">
        <v>1</v>
      </c>
      <c r="J1069" s="3" t="s">
        <v>29</v>
      </c>
      <c r="K1069" s="9">
        <v>42483.625740740739</v>
      </c>
    </row>
    <row r="1070" spans="3:11" x14ac:dyDescent="0.25">
      <c r="C1070" t="str">
        <f>IF(COUNTBLANK(E1070:K1070) = 7,"",IF(AND(NOT(ISBLANK(E1070)),COUNTBLANK(E1070:K1070) = 6),"3 Delete",IF(ISBLANK(E1070),"2 Add",IF(SHA1Range(E1070:K1070) = "c69f71a5a4b82f76502833593066936d070d9940","0 Original","1 Modify"))))</f>
        <v>0 Original</v>
      </c>
      <c r="D1070" s="3" t="s">
        <v>1694</v>
      </c>
      <c r="E1070" s="5">
        <v>1072</v>
      </c>
      <c r="F1070">
        <v>328</v>
      </c>
      <c r="G1070" t="s">
        <v>250</v>
      </c>
      <c r="H1070" s="7">
        <v>8.99</v>
      </c>
      <c r="I1070" s="5">
        <v>2</v>
      </c>
      <c r="J1070" s="3" t="s">
        <v>29</v>
      </c>
      <c r="K1070" s="9">
        <v>42483.625740740739</v>
      </c>
    </row>
    <row r="1071" spans="3:11" x14ac:dyDescent="0.25">
      <c r="C1071" t="str">
        <f>IF(COUNTBLANK(E1071:K1071) = 7,"",IF(AND(NOT(ISBLANK(E1071)),COUNTBLANK(E1071:K1071) = 6),"3 Delete",IF(ISBLANK(E1071),"2 Add",IF(SHA1Range(E1071:K1071) = "65481ee40082e3a151a8a0fb9732067a18eca1b3","0 Original","1 Modify"))))</f>
        <v>0 Original</v>
      </c>
      <c r="D1071" s="3" t="s">
        <v>1695</v>
      </c>
      <c r="E1071" s="5">
        <v>1073</v>
      </c>
      <c r="F1071">
        <v>328</v>
      </c>
      <c r="G1071" t="s">
        <v>30</v>
      </c>
      <c r="H1071" s="7">
        <v>9.99</v>
      </c>
      <c r="I1071" s="5">
        <v>1</v>
      </c>
      <c r="J1071" s="3" t="s">
        <v>29</v>
      </c>
      <c r="K1071" s="9">
        <v>42483.625740740739</v>
      </c>
    </row>
    <row r="1072" spans="3:11" x14ac:dyDescent="0.25">
      <c r="C1072" t="str">
        <f>IF(COUNTBLANK(E1072:K1072) = 7,"",IF(AND(NOT(ISBLANK(E1072)),COUNTBLANK(E1072:K1072) = 6),"3 Delete",IF(ISBLANK(E1072),"2 Add",IF(SHA1Range(E1072:K1072) = "a0581ec5d3c331d5580cda24a1e404aeea113430","0 Original","1 Modify"))))</f>
        <v>0 Original</v>
      </c>
      <c r="D1072" s="3" t="s">
        <v>1696</v>
      </c>
      <c r="E1072" s="5">
        <v>1074</v>
      </c>
      <c r="F1072">
        <v>328</v>
      </c>
      <c r="G1072" t="s">
        <v>388</v>
      </c>
      <c r="H1072" s="7">
        <v>5.99</v>
      </c>
      <c r="I1072" s="5">
        <v>1</v>
      </c>
      <c r="J1072" s="3" t="s">
        <v>29</v>
      </c>
      <c r="K1072" s="9">
        <v>42483.625740740739</v>
      </c>
    </row>
    <row r="1073" spans="3:11" x14ac:dyDescent="0.25">
      <c r="C1073" t="str">
        <f>IF(COUNTBLANK(E1073:K1073) = 7,"",IF(AND(NOT(ISBLANK(E1073)),COUNTBLANK(E1073:K1073) = 6),"3 Delete",IF(ISBLANK(E1073),"2 Add",IF(SHA1Range(E1073:K1073) = "8f8f89a6b065d4b3aa2624cd48303f2b2947c34d","0 Original","1 Modify"))))</f>
        <v>0 Original</v>
      </c>
      <c r="D1073" s="3" t="s">
        <v>1697</v>
      </c>
      <c r="E1073" s="5">
        <v>1075</v>
      </c>
      <c r="F1073">
        <v>329</v>
      </c>
      <c r="G1073" t="s">
        <v>246</v>
      </c>
      <c r="H1073" s="7">
        <v>7.99</v>
      </c>
      <c r="I1073" s="5">
        <v>1</v>
      </c>
      <c r="J1073" s="3" t="s">
        <v>29</v>
      </c>
      <c r="K1073" s="9">
        <v>42483.625740740739</v>
      </c>
    </row>
    <row r="1074" spans="3:11" x14ac:dyDescent="0.25">
      <c r="C1074" t="str">
        <f>IF(COUNTBLANK(E1074:K1074) = 7,"",IF(AND(NOT(ISBLANK(E1074)),COUNTBLANK(E1074:K1074) = 6),"3 Delete",IF(ISBLANK(E1074),"2 Add",IF(SHA1Range(E1074:K1074) = "645489d5947111bdb9cfeecca76c783770f1471a","0 Original","1 Modify"))))</f>
        <v>0 Original</v>
      </c>
      <c r="D1074" s="3" t="s">
        <v>1698</v>
      </c>
      <c r="E1074" s="5">
        <v>1076</v>
      </c>
      <c r="F1074">
        <v>329</v>
      </c>
      <c r="G1074" t="s">
        <v>133</v>
      </c>
      <c r="H1074" s="7">
        <v>7.99</v>
      </c>
      <c r="I1074" s="5">
        <v>1</v>
      </c>
      <c r="J1074" s="3" t="s">
        <v>29</v>
      </c>
      <c r="K1074" s="9">
        <v>42483.625740740739</v>
      </c>
    </row>
    <row r="1075" spans="3:11" x14ac:dyDescent="0.25">
      <c r="C1075" t="str">
        <f>IF(COUNTBLANK(E1075:K1075) = 7,"",IF(AND(NOT(ISBLANK(E1075)),COUNTBLANK(E1075:K1075) = 6),"3 Delete",IF(ISBLANK(E1075),"2 Add",IF(SHA1Range(E1075:K1075) = "43186730d268cacd2e5177eb9fbb246dda1b08c4","0 Original","1 Modify"))))</f>
        <v>0 Original</v>
      </c>
      <c r="D1075" s="3" t="s">
        <v>1699</v>
      </c>
      <c r="E1075" s="5">
        <v>1077</v>
      </c>
      <c r="F1075">
        <v>329</v>
      </c>
      <c r="G1075" t="s">
        <v>407</v>
      </c>
      <c r="H1075" s="7">
        <v>9.99</v>
      </c>
      <c r="I1075" s="5">
        <v>1</v>
      </c>
      <c r="J1075" s="3" t="s">
        <v>29</v>
      </c>
      <c r="K1075" s="9">
        <v>42483.625740740739</v>
      </c>
    </row>
    <row r="1076" spans="3:11" x14ac:dyDescent="0.25">
      <c r="C1076" t="str">
        <f>IF(COUNTBLANK(E1076:K1076) = 7,"",IF(AND(NOT(ISBLANK(E1076)),COUNTBLANK(E1076:K1076) = 6),"3 Delete",IF(ISBLANK(E1076),"2 Add",IF(SHA1Range(E1076:K1076) = "789f64bbcc54b65fad648596c11dbeeb00f240c2","0 Original","1 Modify"))))</f>
        <v>0 Original</v>
      </c>
      <c r="D1076" s="3" t="s">
        <v>1700</v>
      </c>
      <c r="E1076" s="5">
        <v>1078</v>
      </c>
      <c r="F1076">
        <v>329</v>
      </c>
      <c r="G1076" t="s">
        <v>136</v>
      </c>
      <c r="H1076" s="7">
        <v>8.99</v>
      </c>
      <c r="I1076" s="5">
        <v>2</v>
      </c>
      <c r="J1076" s="3" t="s">
        <v>29</v>
      </c>
      <c r="K1076" s="9">
        <v>42483.625740740739</v>
      </c>
    </row>
    <row r="1077" spans="3:11" x14ac:dyDescent="0.25">
      <c r="C1077" t="str">
        <f>IF(COUNTBLANK(E1077:K1077) = 7,"",IF(AND(NOT(ISBLANK(E1077)),COUNTBLANK(E1077:K1077) = 6),"3 Delete",IF(ISBLANK(E1077),"2 Add",IF(SHA1Range(E1077:K1077) = "2140a161746d3bf6a6fc427f5e4ac2ef2723d47d","0 Original","1 Modify"))))</f>
        <v>0 Original</v>
      </c>
      <c r="D1077" s="3" t="s">
        <v>1701</v>
      </c>
      <c r="E1077" s="5">
        <v>1079</v>
      </c>
      <c r="F1077">
        <v>329</v>
      </c>
      <c r="G1077" t="s">
        <v>388</v>
      </c>
      <c r="H1077" s="7">
        <v>5.99</v>
      </c>
      <c r="I1077" s="5">
        <v>1</v>
      </c>
      <c r="J1077" s="3" t="s">
        <v>29</v>
      </c>
      <c r="K1077" s="9">
        <v>42483.625740740739</v>
      </c>
    </row>
    <row r="1078" spans="3:11" x14ac:dyDescent="0.25">
      <c r="C1078" t="str">
        <f>IF(COUNTBLANK(E1078:K1078) = 7,"",IF(AND(NOT(ISBLANK(E1078)),COUNTBLANK(E1078:K1078) = 6),"3 Delete",IF(ISBLANK(E1078),"2 Add",IF(SHA1Range(E1078:K1078) = "cfd4597ffa921c3a62241b5e87628d26f0c9af2b","0 Original","1 Modify"))))</f>
        <v>0 Original</v>
      </c>
      <c r="D1078" s="3" t="s">
        <v>1702</v>
      </c>
      <c r="E1078" s="5">
        <v>1080</v>
      </c>
      <c r="F1078">
        <v>330</v>
      </c>
      <c r="G1078" t="s">
        <v>246</v>
      </c>
      <c r="H1078" s="7">
        <v>7.99</v>
      </c>
      <c r="I1078" s="5">
        <v>1</v>
      </c>
      <c r="J1078" s="3" t="s">
        <v>29</v>
      </c>
      <c r="K1078" s="9">
        <v>42483.625740740739</v>
      </c>
    </row>
    <row r="1079" spans="3:11" x14ac:dyDescent="0.25">
      <c r="C1079" t="str">
        <f>IF(COUNTBLANK(E1079:K1079) = 7,"",IF(AND(NOT(ISBLANK(E1079)),COUNTBLANK(E1079:K1079) = 6),"3 Delete",IF(ISBLANK(E1079),"2 Add",IF(SHA1Range(E1079:K1079) = "7482925a73b54cc0460a9a6928a831867dd3e711","0 Original","1 Modify"))))</f>
        <v>0 Original</v>
      </c>
      <c r="D1079" s="3" t="s">
        <v>1703</v>
      </c>
      <c r="E1079" s="5">
        <v>1081</v>
      </c>
      <c r="F1079">
        <v>330</v>
      </c>
      <c r="G1079" t="s">
        <v>44</v>
      </c>
      <c r="H1079" s="7">
        <v>6.99</v>
      </c>
      <c r="I1079" s="5">
        <v>1</v>
      </c>
      <c r="J1079" s="3" t="s">
        <v>29</v>
      </c>
      <c r="K1079" s="9">
        <v>42483.625740740739</v>
      </c>
    </row>
    <row r="1080" spans="3:11" x14ac:dyDescent="0.25">
      <c r="C1080" t="str">
        <f>IF(COUNTBLANK(E1080:K1080) = 7,"",IF(AND(NOT(ISBLANK(E1080)),COUNTBLANK(E1080:K1080) = 6),"3 Delete",IF(ISBLANK(E1080),"2 Add",IF(SHA1Range(E1080:K1080) = "38de0e737fa30c8b59453445c52323e0e2411aff","0 Original","1 Modify"))))</f>
        <v>0 Original</v>
      </c>
      <c r="D1080" s="3" t="s">
        <v>1704</v>
      </c>
      <c r="E1080" s="5">
        <v>1082</v>
      </c>
      <c r="F1080">
        <v>331</v>
      </c>
      <c r="G1080" t="s">
        <v>238</v>
      </c>
      <c r="H1080" s="7">
        <v>5.99</v>
      </c>
      <c r="I1080" s="5">
        <v>1</v>
      </c>
      <c r="J1080" s="3" t="s">
        <v>29</v>
      </c>
      <c r="K1080" s="9">
        <v>42483.625740740739</v>
      </c>
    </row>
    <row r="1081" spans="3:11" x14ac:dyDescent="0.25">
      <c r="C1081" t="str">
        <f>IF(COUNTBLANK(E1081:K1081) = 7,"",IF(AND(NOT(ISBLANK(E1081)),COUNTBLANK(E1081:K1081) = 6),"3 Delete",IF(ISBLANK(E1081),"2 Add",IF(SHA1Range(E1081:K1081) = "8237eb1e80b5d2bec006006a956debd0dcb87b9f","0 Original","1 Modify"))))</f>
        <v>0 Original</v>
      </c>
      <c r="D1081" s="3" t="s">
        <v>1705</v>
      </c>
      <c r="E1081" s="5">
        <v>1083</v>
      </c>
      <c r="F1081">
        <v>331</v>
      </c>
      <c r="G1081" t="s">
        <v>246</v>
      </c>
      <c r="H1081" s="7">
        <v>7.99</v>
      </c>
      <c r="I1081" s="5">
        <v>2</v>
      </c>
      <c r="J1081" s="3" t="s">
        <v>29</v>
      </c>
      <c r="K1081" s="9">
        <v>42483.625740740739</v>
      </c>
    </row>
    <row r="1082" spans="3:11" x14ac:dyDescent="0.25">
      <c r="C1082" t="str">
        <f>IF(COUNTBLANK(E1082:K1082) = 7,"",IF(AND(NOT(ISBLANK(E1082)),COUNTBLANK(E1082:K1082) = 6),"3 Delete",IF(ISBLANK(E1082),"2 Add",IF(SHA1Range(E1082:K1082) = "4c9d0f666655eb6c2db9e8464c244308c7f44ac9","0 Original","1 Modify"))))</f>
        <v>0 Original</v>
      </c>
      <c r="D1082" s="3" t="s">
        <v>1706</v>
      </c>
      <c r="E1082" s="5">
        <v>1084</v>
      </c>
      <c r="F1082">
        <v>331</v>
      </c>
      <c r="G1082" t="s">
        <v>149</v>
      </c>
      <c r="H1082" s="7">
        <v>7.99</v>
      </c>
      <c r="I1082" s="5">
        <v>2</v>
      </c>
      <c r="J1082" s="3" t="s">
        <v>29</v>
      </c>
      <c r="K1082" s="9">
        <v>42483.625740740739</v>
      </c>
    </row>
    <row r="1083" spans="3:11" x14ac:dyDescent="0.25">
      <c r="C1083" t="str">
        <f>IF(COUNTBLANK(E1083:K1083) = 7,"",IF(AND(NOT(ISBLANK(E1083)),COUNTBLANK(E1083:K1083) = 6),"3 Delete",IF(ISBLANK(E1083),"2 Add",IF(SHA1Range(E1083:K1083) = "c4e6f1cce25dcff401a3f1e28fd08f1cdb81944e","0 Original","1 Modify"))))</f>
        <v>0 Original</v>
      </c>
      <c r="D1083" s="3" t="s">
        <v>1707</v>
      </c>
      <c r="E1083" s="5">
        <v>1085</v>
      </c>
      <c r="F1083">
        <v>331</v>
      </c>
      <c r="G1083" t="s">
        <v>51</v>
      </c>
      <c r="H1083" s="7">
        <v>9.99</v>
      </c>
      <c r="I1083" s="5">
        <v>1</v>
      </c>
      <c r="J1083" s="3" t="s">
        <v>29</v>
      </c>
      <c r="K1083" s="9">
        <v>42483.625740740739</v>
      </c>
    </row>
    <row r="1084" spans="3:11" x14ac:dyDescent="0.25">
      <c r="C1084" t="str">
        <f>IF(COUNTBLANK(E1084:K1084) = 7,"",IF(AND(NOT(ISBLANK(E1084)),COUNTBLANK(E1084:K1084) = 6),"3 Delete",IF(ISBLANK(E1084),"2 Add",IF(SHA1Range(E1084:K1084) = "a650915011fffb6a612f00a5e5f48f01693f478d","0 Original","1 Modify"))))</f>
        <v>0 Original</v>
      </c>
      <c r="D1084" s="3" t="s">
        <v>1708</v>
      </c>
      <c r="E1084" s="5">
        <v>1086</v>
      </c>
      <c r="F1084">
        <v>332</v>
      </c>
      <c r="G1084" t="s">
        <v>230</v>
      </c>
      <c r="H1084" s="7">
        <v>5.99</v>
      </c>
      <c r="I1084" s="5">
        <v>2</v>
      </c>
      <c r="J1084" s="3" t="s">
        <v>29</v>
      </c>
      <c r="K1084" s="9">
        <v>42483.625740740739</v>
      </c>
    </row>
    <row r="1085" spans="3:11" x14ac:dyDescent="0.25">
      <c r="C1085" t="str">
        <f>IF(COUNTBLANK(E1085:K1085) = 7,"",IF(AND(NOT(ISBLANK(E1085)),COUNTBLANK(E1085:K1085) = 6),"3 Delete",IF(ISBLANK(E1085),"2 Add",IF(SHA1Range(E1085:K1085) = "7fda0128fab288f7c664c10ef2a47badc50bfbca","0 Original","1 Modify"))))</f>
        <v>0 Original</v>
      </c>
      <c r="D1085" s="3" t="s">
        <v>1709</v>
      </c>
      <c r="E1085" s="5">
        <v>1087</v>
      </c>
      <c r="F1085">
        <v>332</v>
      </c>
      <c r="G1085" t="s">
        <v>418</v>
      </c>
      <c r="H1085" s="7">
        <v>6.99</v>
      </c>
      <c r="I1085" s="5">
        <v>1</v>
      </c>
      <c r="J1085" s="3" t="s">
        <v>29</v>
      </c>
      <c r="K1085" s="9">
        <v>42483.625740740739</v>
      </c>
    </row>
    <row r="1086" spans="3:11" x14ac:dyDescent="0.25">
      <c r="C1086" t="str">
        <f>IF(COUNTBLANK(E1086:K1086) = 7,"",IF(AND(NOT(ISBLANK(E1086)),COUNTBLANK(E1086:K1086) = 6),"3 Delete",IF(ISBLANK(E1086),"2 Add",IF(SHA1Range(E1086:K1086) = "1dc5f84394301a5d1d81e5fc5bd122cfb451a443","0 Original","1 Modify"))))</f>
        <v>0 Original</v>
      </c>
      <c r="D1086" s="3" t="s">
        <v>1710</v>
      </c>
      <c r="E1086" s="5">
        <v>1088</v>
      </c>
      <c r="F1086">
        <v>332</v>
      </c>
      <c r="G1086" t="s">
        <v>221</v>
      </c>
      <c r="H1086" s="7">
        <v>6.99</v>
      </c>
      <c r="I1086" s="5">
        <v>1</v>
      </c>
      <c r="J1086" s="3" t="s">
        <v>29</v>
      </c>
      <c r="K1086" s="9">
        <v>42483.625740740739</v>
      </c>
    </row>
    <row r="1087" spans="3:11" x14ac:dyDescent="0.25">
      <c r="C1087" t="str">
        <f>IF(COUNTBLANK(E1087:K1087) = 7,"",IF(AND(NOT(ISBLANK(E1087)),COUNTBLANK(E1087:K1087) = 6),"3 Delete",IF(ISBLANK(E1087),"2 Add",IF(SHA1Range(E1087:K1087) = "97029accbcbb01cb2ae063fd57a8f7958490e6df","0 Original","1 Modify"))))</f>
        <v>0 Original</v>
      </c>
      <c r="D1087" s="3" t="s">
        <v>1711</v>
      </c>
      <c r="E1087" s="5">
        <v>1089</v>
      </c>
      <c r="F1087">
        <v>333</v>
      </c>
      <c r="G1087" t="s">
        <v>599</v>
      </c>
      <c r="H1087" s="7">
        <v>5.99</v>
      </c>
      <c r="I1087" s="5">
        <v>1</v>
      </c>
      <c r="J1087" s="3" t="s">
        <v>29</v>
      </c>
      <c r="K1087" s="9">
        <v>42483.625740740739</v>
      </c>
    </row>
    <row r="1088" spans="3:11" x14ac:dyDescent="0.25">
      <c r="C1088" t="str">
        <f>IF(COUNTBLANK(E1088:K1088) = 7,"",IF(AND(NOT(ISBLANK(E1088)),COUNTBLANK(E1088:K1088) = 6),"3 Delete",IF(ISBLANK(E1088),"2 Add",IF(SHA1Range(E1088:K1088) = "3eaed1a62469cd24689a029e48a1151f51c36486","0 Original","1 Modify"))))</f>
        <v>0 Original</v>
      </c>
      <c r="D1088" s="3" t="s">
        <v>1712</v>
      </c>
      <c r="E1088" s="5">
        <v>1090</v>
      </c>
      <c r="F1088">
        <v>333</v>
      </c>
      <c r="G1088" t="s">
        <v>281</v>
      </c>
      <c r="H1088" s="7">
        <v>7.99</v>
      </c>
      <c r="I1088" s="5">
        <v>1</v>
      </c>
      <c r="J1088" s="3" t="s">
        <v>29</v>
      </c>
      <c r="K1088" s="9">
        <v>42483.625740740739</v>
      </c>
    </row>
    <row r="1089" spans="3:11" x14ac:dyDescent="0.25">
      <c r="C1089" t="str">
        <f>IF(COUNTBLANK(E1089:K1089) = 7,"",IF(AND(NOT(ISBLANK(E1089)),COUNTBLANK(E1089:K1089) = 6),"3 Delete",IF(ISBLANK(E1089),"2 Add",IF(SHA1Range(E1089:K1089) = "236e1b4f99e17464e33b103106cec6447f78ac99","0 Original","1 Modify"))))</f>
        <v>0 Original</v>
      </c>
      <c r="D1089" s="3" t="s">
        <v>1713</v>
      </c>
      <c r="E1089" s="5">
        <v>1091</v>
      </c>
      <c r="F1089">
        <v>333</v>
      </c>
      <c r="G1089" t="s">
        <v>573</v>
      </c>
      <c r="H1089" s="7">
        <v>9.99</v>
      </c>
      <c r="I1089" s="5">
        <v>2</v>
      </c>
      <c r="J1089" s="3" t="s">
        <v>29</v>
      </c>
      <c r="K1089" s="9">
        <v>42483.625740740739</v>
      </c>
    </row>
    <row r="1090" spans="3:11" x14ac:dyDescent="0.25">
      <c r="C1090" t="str">
        <f>IF(COUNTBLANK(E1090:K1090) = 7,"",IF(AND(NOT(ISBLANK(E1090)),COUNTBLANK(E1090:K1090) = 6),"3 Delete",IF(ISBLANK(E1090),"2 Add",IF(SHA1Range(E1090:K1090) = "1b593415d8619fdcae18df9c3ec667a8b4cf02a0","0 Original","1 Modify"))))</f>
        <v>0 Original</v>
      </c>
      <c r="D1090" s="3" t="s">
        <v>1714</v>
      </c>
      <c r="E1090" s="5">
        <v>1092</v>
      </c>
      <c r="F1090">
        <v>333</v>
      </c>
      <c r="G1090" t="s">
        <v>273</v>
      </c>
      <c r="H1090" s="7">
        <v>8.99</v>
      </c>
      <c r="I1090" s="5">
        <v>1</v>
      </c>
      <c r="J1090" s="3" t="s">
        <v>29</v>
      </c>
      <c r="K1090" s="9">
        <v>42483.625740740739</v>
      </c>
    </row>
    <row r="1091" spans="3:11" x14ac:dyDescent="0.25">
      <c r="C1091" t="str">
        <f>IF(COUNTBLANK(E1091:K1091) = 7,"",IF(AND(NOT(ISBLANK(E1091)),COUNTBLANK(E1091:K1091) = 6),"3 Delete",IF(ISBLANK(E1091),"2 Add",IF(SHA1Range(E1091:K1091) = "86e30c8999e4092daa567f022ad980c9424761af","0 Original","1 Modify"))))</f>
        <v>0 Original</v>
      </c>
      <c r="D1091" s="3" t="s">
        <v>1715</v>
      </c>
      <c r="E1091" s="5">
        <v>1093</v>
      </c>
      <c r="F1091">
        <v>334</v>
      </c>
      <c r="G1091" t="s">
        <v>448</v>
      </c>
      <c r="H1091" s="7">
        <v>8.99</v>
      </c>
      <c r="I1091" s="5">
        <v>2</v>
      </c>
      <c r="J1091" s="3" t="s">
        <v>29</v>
      </c>
      <c r="K1091" s="9">
        <v>42483.625740740739</v>
      </c>
    </row>
    <row r="1092" spans="3:11" x14ac:dyDescent="0.25">
      <c r="C1092" t="str">
        <f>IF(COUNTBLANK(E1092:K1092) = 7,"",IF(AND(NOT(ISBLANK(E1092)),COUNTBLANK(E1092:K1092) = 6),"3 Delete",IF(ISBLANK(E1092),"2 Add",IF(SHA1Range(E1092:K1092) = "ff214b23ed9636bc9b3f243d2a4d9e63834e453a","0 Original","1 Modify"))))</f>
        <v>0 Original</v>
      </c>
      <c r="D1092" s="3" t="s">
        <v>1716</v>
      </c>
      <c r="E1092" s="5">
        <v>1094</v>
      </c>
      <c r="F1092">
        <v>335</v>
      </c>
      <c r="G1092" t="s">
        <v>149</v>
      </c>
      <c r="H1092" s="7">
        <v>7.99</v>
      </c>
      <c r="I1092" s="5">
        <v>1</v>
      </c>
      <c r="J1092" s="3" t="s">
        <v>29</v>
      </c>
      <c r="K1092" s="9">
        <v>42483.625740740739</v>
      </c>
    </row>
    <row r="1093" spans="3:11" x14ac:dyDescent="0.25">
      <c r="C1093" t="str">
        <f>IF(COUNTBLANK(E1093:K1093) = 7,"",IF(AND(NOT(ISBLANK(E1093)),COUNTBLANK(E1093:K1093) = 6),"3 Delete",IF(ISBLANK(E1093),"2 Add",IF(SHA1Range(E1093:K1093) = "31fef59b1b3e4242de77db74c87a452e9776ea7a","0 Original","1 Modify"))))</f>
        <v>0 Original</v>
      </c>
      <c r="D1093" s="3" t="s">
        <v>1717</v>
      </c>
      <c r="E1093" s="5">
        <v>1095</v>
      </c>
      <c r="F1093">
        <v>335</v>
      </c>
      <c r="G1093" t="s">
        <v>281</v>
      </c>
      <c r="H1093" s="7">
        <v>7.99</v>
      </c>
      <c r="I1093" s="5">
        <v>2</v>
      </c>
      <c r="J1093" s="3" t="s">
        <v>29</v>
      </c>
      <c r="K1093" s="9">
        <v>42483.625740740739</v>
      </c>
    </row>
    <row r="1094" spans="3:11" x14ac:dyDescent="0.25">
      <c r="C1094" t="str">
        <f>IF(COUNTBLANK(E1094:K1094) = 7,"",IF(AND(NOT(ISBLANK(E1094)),COUNTBLANK(E1094:K1094) = 6),"3 Delete",IF(ISBLANK(E1094),"2 Add",IF(SHA1Range(E1094:K1094) = "63be54efc04576c16a8e4926ed0b007958f2ec81","0 Original","1 Modify"))))</f>
        <v>0 Original</v>
      </c>
      <c r="D1094" s="3" t="s">
        <v>1718</v>
      </c>
      <c r="E1094" s="5">
        <v>1096</v>
      </c>
      <c r="F1094">
        <v>335</v>
      </c>
      <c r="G1094" t="s">
        <v>149</v>
      </c>
      <c r="H1094" s="7">
        <v>7.99</v>
      </c>
      <c r="I1094" s="5">
        <v>1</v>
      </c>
      <c r="J1094" s="3" t="s">
        <v>29</v>
      </c>
      <c r="K1094" s="9">
        <v>42483.625740740739</v>
      </c>
    </row>
    <row r="1095" spans="3:11" x14ac:dyDescent="0.25">
      <c r="C1095" t="str">
        <f>IF(COUNTBLANK(E1095:K1095) = 7,"",IF(AND(NOT(ISBLANK(E1095)),COUNTBLANK(E1095:K1095) = 6),"3 Delete",IF(ISBLANK(E1095),"2 Add",IF(SHA1Range(E1095:K1095) = "ac73b0ba18e0e49541d7db32d84adb026158e8e4","0 Original","1 Modify"))))</f>
        <v>0 Original</v>
      </c>
      <c r="D1095" s="3" t="s">
        <v>1719</v>
      </c>
      <c r="E1095" s="5">
        <v>1097</v>
      </c>
      <c r="F1095">
        <v>335</v>
      </c>
      <c r="G1095" t="s">
        <v>149</v>
      </c>
      <c r="H1095" s="7">
        <v>7.99</v>
      </c>
      <c r="I1095" s="5">
        <v>2</v>
      </c>
      <c r="J1095" s="3" t="s">
        <v>29</v>
      </c>
      <c r="K1095" s="9">
        <v>42483.625740740739</v>
      </c>
    </row>
    <row r="1096" spans="3:11" x14ac:dyDescent="0.25">
      <c r="C1096" t="str">
        <f>IF(COUNTBLANK(E1096:K1096) = 7,"",IF(AND(NOT(ISBLANK(E1096)),COUNTBLANK(E1096:K1096) = 6),"3 Delete",IF(ISBLANK(E1096),"2 Add",IF(SHA1Range(E1096:K1096) = "396b963382f3f3ed61f8ba9c9762a3fa0989d8b3","0 Original","1 Modify"))))</f>
        <v>0 Original</v>
      </c>
      <c r="D1096" s="3" t="s">
        <v>1720</v>
      </c>
      <c r="E1096" s="5">
        <v>1098</v>
      </c>
      <c r="F1096">
        <v>335</v>
      </c>
      <c r="G1096" t="s">
        <v>221</v>
      </c>
      <c r="H1096" s="7">
        <v>6.99</v>
      </c>
      <c r="I1096" s="5">
        <v>1</v>
      </c>
      <c r="J1096" s="3" t="s">
        <v>29</v>
      </c>
      <c r="K1096" s="9">
        <v>42483.625740740739</v>
      </c>
    </row>
    <row r="1097" spans="3:11" x14ac:dyDescent="0.25">
      <c r="C1097" t="str">
        <f>IF(COUNTBLANK(E1097:K1097) = 7,"",IF(AND(NOT(ISBLANK(E1097)),COUNTBLANK(E1097:K1097) = 6),"3 Delete",IF(ISBLANK(E1097),"2 Add",IF(SHA1Range(E1097:K1097) = "7152922312eee74be23837e0b4684c764c05348c","0 Original","1 Modify"))))</f>
        <v>0 Original</v>
      </c>
      <c r="D1097" s="3" t="s">
        <v>1721</v>
      </c>
      <c r="E1097" s="5">
        <v>1099</v>
      </c>
      <c r="F1097">
        <v>335</v>
      </c>
      <c r="G1097" t="s">
        <v>425</v>
      </c>
      <c r="H1097" s="7">
        <v>6.99</v>
      </c>
      <c r="I1097" s="5">
        <v>1</v>
      </c>
      <c r="J1097" s="3" t="s">
        <v>29</v>
      </c>
      <c r="K1097" s="9">
        <v>42483.625740740739</v>
      </c>
    </row>
    <row r="1098" spans="3:11" x14ac:dyDescent="0.25">
      <c r="C1098" t="str">
        <f>IF(COUNTBLANK(E1098:K1098) = 7,"",IF(AND(NOT(ISBLANK(E1098)),COUNTBLANK(E1098:K1098) = 6),"3 Delete",IF(ISBLANK(E1098),"2 Add",IF(SHA1Range(E1098:K1098) = "b8eba42fdeba4d04f5bd499aadd3bd1374acbc4e","0 Original","1 Modify"))))</f>
        <v>0 Original</v>
      </c>
      <c r="D1098" s="3" t="s">
        <v>1722</v>
      </c>
      <c r="E1098" s="5">
        <v>1100</v>
      </c>
      <c r="F1098">
        <v>336</v>
      </c>
      <c r="G1098" t="s">
        <v>425</v>
      </c>
      <c r="H1098" s="7">
        <v>6.99</v>
      </c>
      <c r="I1098" s="5">
        <v>1</v>
      </c>
      <c r="J1098" s="3" t="s">
        <v>29</v>
      </c>
      <c r="K1098" s="9">
        <v>42483.625740740739</v>
      </c>
    </row>
    <row r="1099" spans="3:11" x14ac:dyDescent="0.25">
      <c r="C1099" t="str">
        <f>IF(COUNTBLANK(E1099:K1099) = 7,"",IF(AND(NOT(ISBLANK(E1099)),COUNTBLANK(E1099:K1099) = 6),"3 Delete",IF(ISBLANK(E1099),"2 Add",IF(SHA1Range(E1099:K1099) = "866d423e9c90c8292d73b21e784ada8e906b5eec","0 Original","1 Modify"))))</f>
        <v>0 Original</v>
      </c>
      <c r="D1099" s="3" t="s">
        <v>1723</v>
      </c>
      <c r="E1099" s="5">
        <v>1101</v>
      </c>
      <c r="F1099">
        <v>336</v>
      </c>
      <c r="G1099" t="s">
        <v>217</v>
      </c>
      <c r="H1099" s="7">
        <v>9.99</v>
      </c>
      <c r="I1099" s="5">
        <v>1</v>
      </c>
      <c r="J1099" s="3" t="s">
        <v>29</v>
      </c>
      <c r="K1099" s="9">
        <v>42483.625740740739</v>
      </c>
    </row>
    <row r="1100" spans="3:11" x14ac:dyDescent="0.25">
      <c r="C1100" t="str">
        <f>IF(COUNTBLANK(E1100:K1100) = 7,"",IF(AND(NOT(ISBLANK(E1100)),COUNTBLANK(E1100:K1100) = 6),"3 Delete",IF(ISBLANK(E1100),"2 Add",IF(SHA1Range(E1100:K1100) = "4b28bca8cbed96163b3fff6454cafe2d7fd88f9b","0 Original","1 Modify"))))</f>
        <v>0 Original</v>
      </c>
      <c r="D1100" s="3" t="s">
        <v>1724</v>
      </c>
      <c r="E1100" s="5">
        <v>1102</v>
      </c>
      <c r="F1100">
        <v>336</v>
      </c>
      <c r="G1100" t="s">
        <v>388</v>
      </c>
      <c r="H1100" s="7">
        <v>5.99</v>
      </c>
      <c r="I1100" s="5">
        <v>2</v>
      </c>
      <c r="J1100" s="3" t="s">
        <v>29</v>
      </c>
      <c r="K1100" s="9">
        <v>42483.625740740739</v>
      </c>
    </row>
    <row r="1101" spans="3:11" x14ac:dyDescent="0.25">
      <c r="C1101" t="str">
        <f>IF(COUNTBLANK(E1101:K1101) = 7,"",IF(AND(NOT(ISBLANK(E1101)),COUNTBLANK(E1101:K1101) = 6),"3 Delete",IF(ISBLANK(E1101),"2 Add",IF(SHA1Range(E1101:K1101) = "d4abbafd406ef429c74ef430f7088d65223c338a","0 Original","1 Modify"))))</f>
        <v>0 Original</v>
      </c>
      <c r="D1101" s="3" t="s">
        <v>1725</v>
      </c>
      <c r="E1101" s="5">
        <v>1103</v>
      </c>
      <c r="F1101">
        <v>336</v>
      </c>
      <c r="G1101" t="s">
        <v>398</v>
      </c>
      <c r="H1101" s="7">
        <v>4.99</v>
      </c>
      <c r="I1101" s="5">
        <v>1</v>
      </c>
      <c r="J1101" s="3" t="s">
        <v>29</v>
      </c>
      <c r="K1101" s="9">
        <v>42483.625740740739</v>
      </c>
    </row>
    <row r="1102" spans="3:11" x14ac:dyDescent="0.25">
      <c r="C1102" t="str">
        <f>IF(COUNTBLANK(E1102:K1102) = 7,"",IF(AND(NOT(ISBLANK(E1102)),COUNTBLANK(E1102:K1102) = 6),"3 Delete",IF(ISBLANK(E1102),"2 Add",IF(SHA1Range(E1102:K1102) = "017ba0e4069473ccfb798a07992439891ef6c2b4","0 Original","1 Modify"))))</f>
        <v>0 Original</v>
      </c>
      <c r="D1102" s="3" t="s">
        <v>1726</v>
      </c>
      <c r="E1102" s="5">
        <v>1104</v>
      </c>
      <c r="F1102">
        <v>336</v>
      </c>
      <c r="G1102" t="s">
        <v>425</v>
      </c>
      <c r="H1102" s="7">
        <v>6.99</v>
      </c>
      <c r="I1102" s="5">
        <v>2</v>
      </c>
      <c r="J1102" s="3" t="s">
        <v>29</v>
      </c>
      <c r="K1102" s="9">
        <v>42483.625740740739</v>
      </c>
    </row>
    <row r="1103" spans="3:11" x14ac:dyDescent="0.25">
      <c r="C1103" t="str">
        <f>IF(COUNTBLANK(E1103:K1103) = 7,"",IF(AND(NOT(ISBLANK(E1103)),COUNTBLANK(E1103:K1103) = 6),"3 Delete",IF(ISBLANK(E1103),"2 Add",IF(SHA1Range(E1103:K1103) = "e625e7608f5c58f306b238503bc34e7326d05cc7","0 Original","1 Modify"))))</f>
        <v>0 Original</v>
      </c>
      <c r="D1103" s="3" t="s">
        <v>1727</v>
      </c>
      <c r="E1103" s="5">
        <v>1105</v>
      </c>
      <c r="F1103">
        <v>337</v>
      </c>
      <c r="G1103" t="s">
        <v>602</v>
      </c>
      <c r="H1103" s="7">
        <v>7.99</v>
      </c>
      <c r="I1103" s="5">
        <v>2</v>
      </c>
      <c r="J1103" s="3" t="s">
        <v>29</v>
      </c>
      <c r="K1103" s="9">
        <v>42483.625740740739</v>
      </c>
    </row>
    <row r="1104" spans="3:11" x14ac:dyDescent="0.25">
      <c r="C1104" t="str">
        <f>IF(COUNTBLANK(E1104:K1104) = 7,"",IF(AND(NOT(ISBLANK(E1104)),COUNTBLANK(E1104:K1104) = 6),"3 Delete",IF(ISBLANK(E1104),"2 Add",IF(SHA1Range(E1104:K1104) = "f84865fefbe8d5be2655d4c3709fb5e6fd830f8b","0 Original","1 Modify"))))</f>
        <v>0 Original</v>
      </c>
      <c r="D1104" s="3" t="s">
        <v>1728</v>
      </c>
      <c r="E1104" s="5">
        <v>1106</v>
      </c>
      <c r="F1104">
        <v>337</v>
      </c>
      <c r="G1104" t="s">
        <v>234</v>
      </c>
      <c r="H1104" s="7">
        <v>4.99</v>
      </c>
      <c r="I1104" s="5">
        <v>1</v>
      </c>
      <c r="J1104" s="3" t="s">
        <v>29</v>
      </c>
      <c r="K1104" s="9">
        <v>42483.625740740739</v>
      </c>
    </row>
    <row r="1105" spans="3:11" x14ac:dyDescent="0.25">
      <c r="C1105" t="str">
        <f>IF(COUNTBLANK(E1105:K1105) = 7,"",IF(AND(NOT(ISBLANK(E1105)),COUNTBLANK(E1105:K1105) = 6),"3 Delete",IF(ISBLANK(E1105),"2 Add",IF(SHA1Range(E1105:K1105) = "a59cb9d48c52d561fec4c01b24687f9fa6743b5b","0 Original","1 Modify"))))</f>
        <v>0 Original</v>
      </c>
      <c r="D1105" s="3" t="s">
        <v>1729</v>
      </c>
      <c r="E1105" s="5">
        <v>1107</v>
      </c>
      <c r="F1105">
        <v>337</v>
      </c>
      <c r="G1105" t="s">
        <v>54</v>
      </c>
      <c r="H1105" s="7">
        <v>5.99</v>
      </c>
      <c r="I1105" s="5">
        <v>1</v>
      </c>
      <c r="J1105" s="3" t="s">
        <v>29</v>
      </c>
      <c r="K1105" s="9">
        <v>42483.625740740739</v>
      </c>
    </row>
    <row r="1106" spans="3:11" x14ac:dyDescent="0.25">
      <c r="C1106" t="str">
        <f>IF(COUNTBLANK(E1106:K1106) = 7,"",IF(AND(NOT(ISBLANK(E1106)),COUNTBLANK(E1106:K1106) = 6),"3 Delete",IF(ISBLANK(E1106),"2 Add",IF(SHA1Range(E1106:K1106) = "df3b8373aa0ce78bd2ade46f1b36854d1b46f13a","0 Original","1 Modify"))))</f>
        <v>0 Original</v>
      </c>
      <c r="D1106" s="3" t="s">
        <v>1730</v>
      </c>
      <c r="E1106" s="5">
        <v>1108</v>
      </c>
      <c r="F1106">
        <v>338</v>
      </c>
      <c r="G1106" t="s">
        <v>37</v>
      </c>
      <c r="H1106" s="7">
        <v>6.99</v>
      </c>
      <c r="I1106" s="5">
        <v>2</v>
      </c>
      <c r="J1106" s="3" t="s">
        <v>29</v>
      </c>
      <c r="K1106" s="9">
        <v>42483.625740740739</v>
      </c>
    </row>
    <row r="1107" spans="3:11" x14ac:dyDescent="0.25">
      <c r="C1107" t="str">
        <f>IF(COUNTBLANK(E1107:K1107) = 7,"",IF(AND(NOT(ISBLANK(E1107)),COUNTBLANK(E1107:K1107) = 6),"3 Delete",IF(ISBLANK(E1107),"2 Add",IF(SHA1Range(E1107:K1107) = "fe3a3154b03e1e0eab7f7eeccb2992c9f3d61f85","0 Original","1 Modify"))))</f>
        <v>0 Original</v>
      </c>
      <c r="D1107" s="3" t="s">
        <v>1731</v>
      </c>
      <c r="E1107" s="5">
        <v>1109</v>
      </c>
      <c r="F1107">
        <v>338</v>
      </c>
      <c r="G1107" t="s">
        <v>576</v>
      </c>
      <c r="H1107" s="7">
        <v>5.99</v>
      </c>
      <c r="I1107" s="5">
        <v>2</v>
      </c>
      <c r="J1107" s="3" t="s">
        <v>29</v>
      </c>
      <c r="K1107" s="9">
        <v>42483.625740740739</v>
      </c>
    </row>
    <row r="1108" spans="3:11" x14ac:dyDescent="0.25">
      <c r="C1108" t="str">
        <f>IF(COUNTBLANK(E1108:K1108) = 7,"",IF(AND(NOT(ISBLANK(E1108)),COUNTBLANK(E1108:K1108) = 6),"3 Delete",IF(ISBLANK(E1108),"2 Add",IF(SHA1Range(E1108:K1108) = "8e5b3cd03de58c89662db6becf26f5d15b806c61","0 Original","1 Modify"))))</f>
        <v>0 Original</v>
      </c>
      <c r="D1108" s="3" t="s">
        <v>1732</v>
      </c>
      <c r="E1108" s="5">
        <v>1110</v>
      </c>
      <c r="F1108">
        <v>338</v>
      </c>
      <c r="G1108" t="s">
        <v>425</v>
      </c>
      <c r="H1108" s="7">
        <v>6.99</v>
      </c>
      <c r="I1108" s="5">
        <v>1</v>
      </c>
      <c r="J1108" s="3" t="s">
        <v>29</v>
      </c>
      <c r="K1108" s="9">
        <v>42483.625740740739</v>
      </c>
    </row>
    <row r="1109" spans="3:11" x14ac:dyDescent="0.25">
      <c r="C1109" t="str">
        <f>IF(COUNTBLANK(E1109:K1109) = 7,"",IF(AND(NOT(ISBLANK(E1109)),COUNTBLANK(E1109:K1109) = 6),"3 Delete",IF(ISBLANK(E1109),"2 Add",IF(SHA1Range(E1109:K1109) = "093b43e173d5adf16676ee11c432949f1836b47c","0 Original","1 Modify"))))</f>
        <v>0 Original</v>
      </c>
      <c r="D1109" s="3" t="s">
        <v>1733</v>
      </c>
      <c r="E1109" s="5">
        <v>1111</v>
      </c>
      <c r="F1109">
        <v>338</v>
      </c>
      <c r="G1109" t="s">
        <v>602</v>
      </c>
      <c r="H1109" s="7">
        <v>7.99</v>
      </c>
      <c r="I1109" s="5">
        <v>1</v>
      </c>
      <c r="J1109" s="3" t="s">
        <v>29</v>
      </c>
      <c r="K1109" s="9">
        <v>42483.625740740739</v>
      </c>
    </row>
    <row r="1110" spans="3:11" x14ac:dyDescent="0.25">
      <c r="C1110" t="str">
        <f>IF(COUNTBLANK(E1110:K1110) = 7,"",IF(AND(NOT(ISBLANK(E1110)),COUNTBLANK(E1110:K1110) = 6),"3 Delete",IF(ISBLANK(E1110),"2 Add",IF(SHA1Range(E1110:K1110) = "b16f96e8b48e0646daae853491a4f34bb92fd32f","0 Original","1 Modify"))))</f>
        <v>0 Original</v>
      </c>
      <c r="D1110" s="3" t="s">
        <v>1734</v>
      </c>
      <c r="E1110" s="5">
        <v>1112</v>
      </c>
      <c r="F1110">
        <v>338</v>
      </c>
      <c r="G1110" t="s">
        <v>459</v>
      </c>
      <c r="H1110" s="7">
        <v>5.99</v>
      </c>
      <c r="I1110" s="5">
        <v>1</v>
      </c>
      <c r="J1110" s="3" t="s">
        <v>29</v>
      </c>
      <c r="K1110" s="9">
        <v>42483.625740740739</v>
      </c>
    </row>
    <row r="1111" spans="3:11" x14ac:dyDescent="0.25">
      <c r="C1111" t="str">
        <f>IF(COUNTBLANK(E1111:K1111) = 7,"",IF(AND(NOT(ISBLANK(E1111)),COUNTBLANK(E1111:K1111) = 6),"3 Delete",IF(ISBLANK(E1111),"2 Add",IF(SHA1Range(E1111:K1111) = "56189e9608d9f42f61b8823a805a9f78001d4902","0 Original","1 Modify"))))</f>
        <v>0 Original</v>
      </c>
      <c r="D1111" s="3" t="s">
        <v>1735</v>
      </c>
      <c r="E1111" s="5">
        <v>1113</v>
      </c>
      <c r="F1111">
        <v>338</v>
      </c>
      <c r="G1111" t="s">
        <v>304</v>
      </c>
      <c r="H1111" s="7">
        <v>8.99</v>
      </c>
      <c r="I1111" s="5">
        <v>2</v>
      </c>
      <c r="J1111" s="3" t="s">
        <v>29</v>
      </c>
      <c r="K1111" s="9">
        <v>42483.625740740739</v>
      </c>
    </row>
    <row r="1112" spans="3:11" x14ac:dyDescent="0.25">
      <c r="C1112" t="str">
        <f>IF(COUNTBLANK(E1112:K1112) = 7,"",IF(AND(NOT(ISBLANK(E1112)),COUNTBLANK(E1112:K1112) = 6),"3 Delete",IF(ISBLANK(E1112),"2 Add",IF(SHA1Range(E1112:K1112) = "35f660bca335baa8c6f664d45411143c7d47fd4f","0 Original","1 Modify"))))</f>
        <v>0 Original</v>
      </c>
      <c r="D1112" s="3" t="s">
        <v>1736</v>
      </c>
      <c r="E1112" s="5">
        <v>1114</v>
      </c>
      <c r="F1112">
        <v>339</v>
      </c>
      <c r="G1112" t="s">
        <v>472</v>
      </c>
      <c r="H1112" s="7">
        <v>6.99</v>
      </c>
      <c r="I1112" s="5">
        <v>2</v>
      </c>
      <c r="J1112" s="3" t="s">
        <v>29</v>
      </c>
      <c r="K1112" s="9">
        <v>42483.625740740739</v>
      </c>
    </row>
    <row r="1113" spans="3:11" x14ac:dyDescent="0.25">
      <c r="C1113" t="str">
        <f>IF(COUNTBLANK(E1113:K1113) = 7,"",IF(AND(NOT(ISBLANK(E1113)),COUNTBLANK(E1113:K1113) = 6),"3 Delete",IF(ISBLANK(E1113),"2 Add",IF(SHA1Range(E1113:K1113) = "8540a40c8d7eb16ca443a6c59497e3f1796fb752","0 Original","1 Modify"))))</f>
        <v>0 Original</v>
      </c>
      <c r="D1113" s="3" t="s">
        <v>1737</v>
      </c>
      <c r="E1113" s="5">
        <v>1115</v>
      </c>
      <c r="F1113">
        <v>339</v>
      </c>
      <c r="G1113" t="s">
        <v>425</v>
      </c>
      <c r="H1113" s="7">
        <v>6.99</v>
      </c>
      <c r="I1113" s="5">
        <v>2</v>
      </c>
      <c r="J1113" s="3" t="s">
        <v>29</v>
      </c>
      <c r="K1113" s="9">
        <v>42483.625740740739</v>
      </c>
    </row>
    <row r="1114" spans="3:11" x14ac:dyDescent="0.25">
      <c r="C1114" t="str">
        <f>IF(COUNTBLANK(E1114:K1114) = 7,"",IF(AND(NOT(ISBLANK(E1114)),COUNTBLANK(E1114:K1114) = 6),"3 Delete",IF(ISBLANK(E1114),"2 Add",IF(SHA1Range(E1114:K1114) = "1e31dc60d9e25bf35157f28376d1b3c38f659a5f","0 Original","1 Modify"))))</f>
        <v>0 Original</v>
      </c>
      <c r="D1114" s="3" t="s">
        <v>1738</v>
      </c>
      <c r="E1114" s="5">
        <v>1116</v>
      </c>
      <c r="F1114">
        <v>340</v>
      </c>
      <c r="G1114" t="s">
        <v>51</v>
      </c>
      <c r="H1114" s="7">
        <v>9.99</v>
      </c>
      <c r="I1114" s="5">
        <v>3</v>
      </c>
      <c r="J1114" s="3" t="s">
        <v>29</v>
      </c>
      <c r="K1114" s="9">
        <v>42483.625740740739</v>
      </c>
    </row>
    <row r="1115" spans="3:11" x14ac:dyDescent="0.25">
      <c r="C1115" t="str">
        <f>IF(COUNTBLANK(E1115:K1115) = 7,"",IF(AND(NOT(ISBLANK(E1115)),COUNTBLANK(E1115:K1115) = 6),"3 Delete",IF(ISBLANK(E1115),"2 Add",IF(SHA1Range(E1115:K1115) = "c2f032bf48f33747a285f152ae0ba1880d5050e6","0 Original","1 Modify"))))</f>
        <v>0 Original</v>
      </c>
      <c r="D1115" s="3" t="s">
        <v>1739</v>
      </c>
      <c r="E1115" s="5">
        <v>1117</v>
      </c>
      <c r="F1115">
        <v>340</v>
      </c>
      <c r="G1115" t="s">
        <v>130</v>
      </c>
      <c r="H1115" s="7">
        <v>8.99</v>
      </c>
      <c r="I1115" s="5">
        <v>1</v>
      </c>
      <c r="J1115" s="3" t="s">
        <v>29</v>
      </c>
      <c r="K1115" s="9">
        <v>42483.625740740739</v>
      </c>
    </row>
    <row r="1116" spans="3:11" x14ac:dyDescent="0.25">
      <c r="C1116" t="str">
        <f>IF(COUNTBLANK(E1116:K1116) = 7,"",IF(AND(NOT(ISBLANK(E1116)),COUNTBLANK(E1116:K1116) = 6),"3 Delete",IF(ISBLANK(E1116),"2 Add",IF(SHA1Range(E1116:K1116) = "2205bb30224200961c2fdbb498e9adfe506ca592","0 Original","1 Modify"))))</f>
        <v>0 Original</v>
      </c>
      <c r="D1116" s="3" t="s">
        <v>1740</v>
      </c>
      <c r="E1116" s="5">
        <v>1118</v>
      </c>
      <c r="F1116">
        <v>340</v>
      </c>
      <c r="G1116" t="s">
        <v>37</v>
      </c>
      <c r="H1116" s="7">
        <v>6.99</v>
      </c>
      <c r="I1116" s="5">
        <v>2</v>
      </c>
      <c r="J1116" s="3" t="s">
        <v>29</v>
      </c>
      <c r="K1116" s="9">
        <v>42483.625740740739</v>
      </c>
    </row>
    <row r="1117" spans="3:11" x14ac:dyDescent="0.25">
      <c r="C1117" t="str">
        <f>IF(COUNTBLANK(E1117:K1117) = 7,"",IF(AND(NOT(ISBLANK(E1117)),COUNTBLANK(E1117:K1117) = 6),"3 Delete",IF(ISBLANK(E1117),"2 Add",IF(SHA1Range(E1117:K1117) = "1671350fc232978c5e5840422b9d224e3bb9f4bc","0 Original","1 Modify"))))</f>
        <v>0 Original</v>
      </c>
      <c r="D1117" s="3" t="s">
        <v>1741</v>
      </c>
      <c r="E1117" s="5">
        <v>1119</v>
      </c>
      <c r="F1117">
        <v>340</v>
      </c>
      <c r="G1117" t="s">
        <v>257</v>
      </c>
      <c r="H1117" s="7">
        <v>9.99</v>
      </c>
      <c r="I1117" s="5">
        <v>1</v>
      </c>
      <c r="J1117" s="3" t="s">
        <v>29</v>
      </c>
      <c r="K1117" s="9">
        <v>42483.625740740739</v>
      </c>
    </row>
    <row r="1118" spans="3:11" x14ac:dyDescent="0.25">
      <c r="C1118" t="str">
        <f>IF(COUNTBLANK(E1118:K1118) = 7,"",IF(AND(NOT(ISBLANK(E1118)),COUNTBLANK(E1118:K1118) = 6),"3 Delete",IF(ISBLANK(E1118),"2 Add",IF(SHA1Range(E1118:K1118) = "80fbbaf1ced5f2097e21245de37a875430d00c3b","0 Original","1 Modify"))))</f>
        <v>0 Original</v>
      </c>
      <c r="D1118" s="3" t="s">
        <v>1742</v>
      </c>
      <c r="E1118" s="5">
        <v>1120</v>
      </c>
      <c r="F1118">
        <v>341</v>
      </c>
      <c r="G1118" t="s">
        <v>407</v>
      </c>
      <c r="H1118" s="7">
        <v>9.99</v>
      </c>
      <c r="I1118" s="5">
        <v>1</v>
      </c>
      <c r="J1118" s="3" t="s">
        <v>29</v>
      </c>
      <c r="K1118" s="9">
        <v>42483.625740740739</v>
      </c>
    </row>
    <row r="1119" spans="3:11" x14ac:dyDescent="0.25">
      <c r="C1119" t="str">
        <f>IF(COUNTBLANK(E1119:K1119) = 7,"",IF(AND(NOT(ISBLANK(E1119)),COUNTBLANK(E1119:K1119) = 6),"3 Delete",IF(ISBLANK(E1119),"2 Add",IF(SHA1Range(E1119:K1119) = "c8bc8d38a9502891c0fc4ee77c7a7b7ab7edbd2f","0 Original","1 Modify"))))</f>
        <v>0 Original</v>
      </c>
      <c r="D1119" s="3" t="s">
        <v>1743</v>
      </c>
      <c r="E1119" s="5">
        <v>1121</v>
      </c>
      <c r="F1119">
        <v>341</v>
      </c>
      <c r="G1119" t="s">
        <v>130</v>
      </c>
      <c r="H1119" s="7">
        <v>8.99</v>
      </c>
      <c r="I1119" s="5">
        <v>1</v>
      </c>
      <c r="J1119" s="3" t="s">
        <v>29</v>
      </c>
      <c r="K1119" s="9">
        <v>42483.625740740739</v>
      </c>
    </row>
    <row r="1120" spans="3:11" x14ac:dyDescent="0.25">
      <c r="C1120" t="str">
        <f>IF(COUNTBLANK(E1120:K1120) = 7,"",IF(AND(NOT(ISBLANK(E1120)),COUNTBLANK(E1120:K1120) = 6),"3 Delete",IF(ISBLANK(E1120),"2 Add",IF(SHA1Range(E1120:K1120) = "38a4acf2fc57683a1a3760907b27afe5a5f35b77","0 Original","1 Modify"))))</f>
        <v>0 Original</v>
      </c>
      <c r="D1120" s="3" t="s">
        <v>1744</v>
      </c>
      <c r="E1120" s="5">
        <v>1122</v>
      </c>
      <c r="F1120">
        <v>341</v>
      </c>
      <c r="G1120" t="s">
        <v>398</v>
      </c>
      <c r="H1120" s="7">
        <v>4.99</v>
      </c>
      <c r="I1120" s="5">
        <v>1</v>
      </c>
      <c r="J1120" s="3" t="s">
        <v>29</v>
      </c>
      <c r="K1120" s="9">
        <v>42483.625740740739</v>
      </c>
    </row>
    <row r="1121" spans="3:11" x14ac:dyDescent="0.25">
      <c r="C1121" t="str">
        <f>IF(COUNTBLANK(E1121:K1121) = 7,"",IF(AND(NOT(ISBLANK(E1121)),COUNTBLANK(E1121:K1121) = 6),"3 Delete",IF(ISBLANK(E1121),"2 Add",IF(SHA1Range(E1121:K1121) = "cd6bb3e158e4855dbe2deb484a20ec9462a18442","0 Original","1 Modify"))))</f>
        <v>0 Original</v>
      </c>
      <c r="D1121" s="3" t="s">
        <v>1745</v>
      </c>
      <c r="E1121" s="5">
        <v>1123</v>
      </c>
      <c r="F1121">
        <v>341</v>
      </c>
      <c r="G1121" t="s">
        <v>388</v>
      </c>
      <c r="H1121" s="7">
        <v>5.99</v>
      </c>
      <c r="I1121" s="5">
        <v>1</v>
      </c>
      <c r="J1121" s="3" t="s">
        <v>29</v>
      </c>
      <c r="K1121" s="9">
        <v>42483.625740740739</v>
      </c>
    </row>
    <row r="1122" spans="3:11" x14ac:dyDescent="0.25">
      <c r="C1122" t="str">
        <f>IF(COUNTBLANK(E1122:K1122) = 7,"",IF(AND(NOT(ISBLANK(E1122)),COUNTBLANK(E1122:K1122) = 6),"3 Delete",IF(ISBLANK(E1122),"2 Add",IF(SHA1Range(E1122:K1122) = "51459b6f17681c39e5158487a8ddde4037971b20","0 Original","1 Modify"))))</f>
        <v>0 Original</v>
      </c>
      <c r="D1122" s="3" t="s">
        <v>1746</v>
      </c>
      <c r="E1122" s="5">
        <v>1124</v>
      </c>
      <c r="F1122">
        <v>341</v>
      </c>
      <c r="G1122" t="s">
        <v>418</v>
      </c>
      <c r="H1122" s="7">
        <v>6.99</v>
      </c>
      <c r="I1122" s="5">
        <v>2</v>
      </c>
      <c r="J1122" s="3" t="s">
        <v>29</v>
      </c>
      <c r="K1122" s="9">
        <v>42483.625740740739</v>
      </c>
    </row>
    <row r="1123" spans="3:11" x14ac:dyDescent="0.25">
      <c r="C1123" t="str">
        <f>IF(COUNTBLANK(E1123:K1123) = 7,"",IF(AND(NOT(ISBLANK(E1123)),COUNTBLANK(E1123:K1123) = 6),"3 Delete",IF(ISBLANK(E1123),"2 Add",IF(SHA1Range(E1123:K1123) = "085d965106e6115e6651559a5607498f33c3a79a","0 Original","1 Modify"))))</f>
        <v>0 Original</v>
      </c>
      <c r="D1123" s="3" t="s">
        <v>1747</v>
      </c>
      <c r="E1123" s="5">
        <v>1125</v>
      </c>
      <c r="F1123">
        <v>341</v>
      </c>
      <c r="G1123" t="s">
        <v>133</v>
      </c>
      <c r="H1123" s="7">
        <v>7.99</v>
      </c>
      <c r="I1123" s="5">
        <v>2</v>
      </c>
      <c r="J1123" s="3" t="s">
        <v>29</v>
      </c>
      <c r="K1123" s="9">
        <v>42483.625740740739</v>
      </c>
    </row>
    <row r="1124" spans="3:11" x14ac:dyDescent="0.25">
      <c r="C1124" t="str">
        <f>IF(COUNTBLANK(E1124:K1124) = 7,"",IF(AND(NOT(ISBLANK(E1124)),COUNTBLANK(E1124:K1124) = 6),"3 Delete",IF(ISBLANK(E1124),"2 Add",IF(SHA1Range(E1124:K1124) = "68b542392f220f658c5c5651e1af9fb0c483fa24","0 Original","1 Modify"))))</f>
        <v>0 Original</v>
      </c>
      <c r="D1124" s="3" t="s">
        <v>1748</v>
      </c>
      <c r="E1124" s="5">
        <v>1126</v>
      </c>
      <c r="F1124">
        <v>342</v>
      </c>
      <c r="G1124" t="s">
        <v>459</v>
      </c>
      <c r="H1124" s="7">
        <v>5.99</v>
      </c>
      <c r="I1124" s="5">
        <v>1</v>
      </c>
      <c r="J1124" s="3" t="s">
        <v>29</v>
      </c>
      <c r="K1124" s="9">
        <v>42483.625740740739</v>
      </c>
    </row>
    <row r="1125" spans="3:11" x14ac:dyDescent="0.25">
      <c r="C1125" t="str">
        <f>IF(COUNTBLANK(E1125:K1125) = 7,"",IF(AND(NOT(ISBLANK(E1125)),COUNTBLANK(E1125:K1125) = 6),"3 Delete",IF(ISBLANK(E1125),"2 Add",IF(SHA1Range(E1125:K1125) = "85eb4c9b0c057336609800c1548b2e32ee151153","0 Original","1 Modify"))))</f>
        <v>0 Original</v>
      </c>
      <c r="D1125" s="3" t="s">
        <v>1749</v>
      </c>
      <c r="E1125" s="5">
        <v>1127</v>
      </c>
      <c r="F1125">
        <v>342</v>
      </c>
      <c r="G1125" t="s">
        <v>142</v>
      </c>
      <c r="H1125" s="7">
        <v>4.99</v>
      </c>
      <c r="I1125" s="5">
        <v>1</v>
      </c>
      <c r="J1125" s="3" t="s">
        <v>29</v>
      </c>
      <c r="K1125" s="9">
        <v>42483.625740740739</v>
      </c>
    </row>
    <row r="1126" spans="3:11" x14ac:dyDescent="0.25">
      <c r="C1126" t="str">
        <f>IF(COUNTBLANK(E1126:K1126) = 7,"",IF(AND(NOT(ISBLANK(E1126)),COUNTBLANK(E1126:K1126) = 6),"3 Delete",IF(ISBLANK(E1126),"2 Add",IF(SHA1Range(E1126:K1126) = "aa72be21edcb9b91af47127436eb349cd8296a97","0 Original","1 Modify"))))</f>
        <v>0 Original</v>
      </c>
      <c r="D1126" s="3" t="s">
        <v>1750</v>
      </c>
      <c r="E1126" s="5">
        <v>1128</v>
      </c>
      <c r="F1126">
        <v>342</v>
      </c>
      <c r="G1126" t="s">
        <v>217</v>
      </c>
      <c r="H1126" s="7">
        <v>9.99</v>
      </c>
      <c r="I1126" s="5">
        <v>1</v>
      </c>
      <c r="J1126" s="3" t="s">
        <v>29</v>
      </c>
      <c r="K1126" s="9">
        <v>42483.625740740739</v>
      </c>
    </row>
    <row r="1127" spans="3:11" x14ac:dyDescent="0.25">
      <c r="C1127" t="str">
        <f>IF(COUNTBLANK(E1127:K1127) = 7,"",IF(AND(NOT(ISBLANK(E1127)),COUNTBLANK(E1127:K1127) = 6),"3 Delete",IF(ISBLANK(E1127),"2 Add",IF(SHA1Range(E1127:K1127) = "856bcc5eb128809bcd229e83b967b055d7164999","0 Original","1 Modify"))))</f>
        <v>0 Original</v>
      </c>
      <c r="D1127" s="3" t="s">
        <v>1751</v>
      </c>
      <c r="E1127" s="5">
        <v>1129</v>
      </c>
      <c r="F1127">
        <v>343</v>
      </c>
      <c r="G1127" t="s">
        <v>418</v>
      </c>
      <c r="H1127" s="7">
        <v>6.99</v>
      </c>
      <c r="I1127" s="5">
        <v>1</v>
      </c>
      <c r="J1127" s="3" t="s">
        <v>29</v>
      </c>
      <c r="K1127" s="9">
        <v>42483.625740740739</v>
      </c>
    </row>
    <row r="1128" spans="3:11" x14ac:dyDescent="0.25">
      <c r="C1128" t="str">
        <f>IF(COUNTBLANK(E1128:K1128) = 7,"",IF(AND(NOT(ISBLANK(E1128)),COUNTBLANK(E1128:K1128) = 6),"3 Delete",IF(ISBLANK(E1128),"2 Add",IF(SHA1Range(E1128:K1128) = "c7c965422ecfee0b4d6e99a959c8fe258ace21a8","0 Original","1 Modify"))))</f>
        <v>0 Original</v>
      </c>
      <c r="D1128" s="3" t="s">
        <v>1752</v>
      </c>
      <c r="E1128" s="5">
        <v>1130</v>
      </c>
      <c r="F1128">
        <v>343</v>
      </c>
      <c r="G1128" t="s">
        <v>456</v>
      </c>
      <c r="H1128" s="7">
        <v>9.99</v>
      </c>
      <c r="I1128" s="5">
        <v>2</v>
      </c>
      <c r="J1128" s="3" t="s">
        <v>29</v>
      </c>
      <c r="K1128" s="9">
        <v>42483.625740740739</v>
      </c>
    </row>
    <row r="1129" spans="3:11" x14ac:dyDescent="0.25">
      <c r="C1129" t="str">
        <f>IF(COUNTBLANK(E1129:K1129) = 7,"",IF(AND(NOT(ISBLANK(E1129)),COUNTBLANK(E1129:K1129) = 6),"3 Delete",IF(ISBLANK(E1129),"2 Add",IF(SHA1Range(E1129:K1129) = "93ff1f27d9fa9a004aa317d5f4e1b0835c0d7bcf","0 Original","1 Modify"))))</f>
        <v>0 Original</v>
      </c>
      <c r="D1129" s="3" t="s">
        <v>1753</v>
      </c>
      <c r="E1129" s="5">
        <v>1131</v>
      </c>
      <c r="F1129">
        <v>344</v>
      </c>
      <c r="G1129" t="s">
        <v>238</v>
      </c>
      <c r="H1129" s="7">
        <v>5.99</v>
      </c>
      <c r="I1129" s="5">
        <v>1</v>
      </c>
      <c r="J1129" s="3" t="s">
        <v>29</v>
      </c>
      <c r="K1129" s="9">
        <v>42483.625740740739</v>
      </c>
    </row>
    <row r="1130" spans="3:11" x14ac:dyDescent="0.25">
      <c r="C1130" t="str">
        <f>IF(COUNTBLANK(E1130:K1130) = 7,"",IF(AND(NOT(ISBLANK(E1130)),COUNTBLANK(E1130:K1130) = 6),"3 Delete",IF(ISBLANK(E1130),"2 Add",IF(SHA1Range(E1130:K1130) = "4e59884415b3a394ea73cb9d74e1ed2ce3ebf114","0 Original","1 Modify"))))</f>
        <v>0 Original</v>
      </c>
      <c r="D1130" s="3" t="s">
        <v>1754</v>
      </c>
      <c r="E1130" s="5">
        <v>1132</v>
      </c>
      <c r="F1130">
        <v>344</v>
      </c>
      <c r="G1130" t="s">
        <v>448</v>
      </c>
      <c r="H1130" s="7">
        <v>8.99</v>
      </c>
      <c r="I1130" s="5">
        <v>1</v>
      </c>
      <c r="J1130" s="3" t="s">
        <v>29</v>
      </c>
      <c r="K1130" s="9">
        <v>42483.625740740739</v>
      </c>
    </row>
    <row r="1131" spans="3:11" x14ac:dyDescent="0.25">
      <c r="C1131" t="str">
        <f>IF(COUNTBLANK(E1131:K1131) = 7,"",IF(AND(NOT(ISBLANK(E1131)),COUNTBLANK(E1131:K1131) = 6),"3 Delete",IF(ISBLANK(E1131),"2 Add",IF(SHA1Range(E1131:K1131) = "a99da28dad00fba35684410f68a1aa49ae0b3aec","0 Original","1 Modify"))))</f>
        <v>0 Original</v>
      </c>
      <c r="D1131" s="3" t="s">
        <v>1755</v>
      </c>
      <c r="E1131" s="5">
        <v>1133</v>
      </c>
      <c r="F1131">
        <v>344</v>
      </c>
      <c r="G1131" t="s">
        <v>54</v>
      </c>
      <c r="H1131" s="7">
        <v>5.99</v>
      </c>
      <c r="I1131" s="5">
        <v>1</v>
      </c>
      <c r="J1131" s="3" t="s">
        <v>29</v>
      </c>
      <c r="K1131" s="9">
        <v>42483.625740740739</v>
      </c>
    </row>
    <row r="1132" spans="3:11" x14ac:dyDescent="0.25">
      <c r="C1132" t="str">
        <f>IF(COUNTBLANK(E1132:K1132) = 7,"",IF(AND(NOT(ISBLANK(E1132)),COUNTBLANK(E1132:K1132) = 6),"3 Delete",IF(ISBLANK(E1132),"2 Add",IF(SHA1Range(E1132:K1132) = "1bde4e3fe1946482beef2e71f3efdd97ff17da2c","0 Original","1 Modify"))))</f>
        <v>0 Original</v>
      </c>
      <c r="D1132" s="3" t="s">
        <v>1756</v>
      </c>
      <c r="E1132" s="5">
        <v>1134</v>
      </c>
      <c r="F1132">
        <v>344</v>
      </c>
      <c r="G1132" t="s">
        <v>537</v>
      </c>
      <c r="H1132" s="7">
        <v>7.99</v>
      </c>
      <c r="I1132" s="5">
        <v>1</v>
      </c>
      <c r="J1132" s="3" t="s">
        <v>29</v>
      </c>
      <c r="K1132" s="9">
        <v>42483.625740740739</v>
      </c>
    </row>
    <row r="1133" spans="3:11" x14ac:dyDescent="0.25">
      <c r="C1133" t="str">
        <f>IF(COUNTBLANK(E1133:K1133) = 7,"",IF(AND(NOT(ISBLANK(E1133)),COUNTBLANK(E1133:K1133) = 6),"3 Delete",IF(ISBLANK(E1133),"2 Add",IF(SHA1Range(E1133:K1133) = "953b2d23667d34725e8dd0bb755db990ece8519d","0 Original","1 Modify"))))</f>
        <v>0 Original</v>
      </c>
      <c r="D1133" s="3" t="s">
        <v>1757</v>
      </c>
      <c r="E1133" s="5">
        <v>1135</v>
      </c>
      <c r="F1133">
        <v>345</v>
      </c>
      <c r="G1133" t="s">
        <v>459</v>
      </c>
      <c r="H1133" s="7">
        <v>5.99</v>
      </c>
      <c r="I1133" s="5">
        <v>1</v>
      </c>
      <c r="J1133" s="3" t="s">
        <v>29</v>
      </c>
      <c r="K1133" s="9">
        <v>42483.625740740739</v>
      </c>
    </row>
    <row r="1134" spans="3:11" x14ac:dyDescent="0.25">
      <c r="C1134" t="str">
        <f>IF(COUNTBLANK(E1134:K1134) = 7,"",IF(AND(NOT(ISBLANK(E1134)),COUNTBLANK(E1134:K1134) = 6),"3 Delete",IF(ISBLANK(E1134),"2 Add",IF(SHA1Range(E1134:K1134) = "668de885837e68bc50e9d287e1ceb5e18992b2cd","0 Original","1 Modify"))))</f>
        <v>0 Original</v>
      </c>
      <c r="D1134" s="3" t="s">
        <v>1758</v>
      </c>
      <c r="E1134" s="5">
        <v>1136</v>
      </c>
      <c r="F1134">
        <v>345</v>
      </c>
      <c r="G1134" t="s">
        <v>418</v>
      </c>
      <c r="H1134" s="7">
        <v>6.99</v>
      </c>
      <c r="I1134" s="5">
        <v>2</v>
      </c>
      <c r="J1134" s="3" t="s">
        <v>29</v>
      </c>
      <c r="K1134" s="9">
        <v>42483.625740740739</v>
      </c>
    </row>
    <row r="1135" spans="3:11" x14ac:dyDescent="0.25">
      <c r="C1135" t="str">
        <f>IF(COUNTBLANK(E1135:K1135) = 7,"",IF(AND(NOT(ISBLANK(E1135)),COUNTBLANK(E1135:K1135) = 6),"3 Delete",IF(ISBLANK(E1135),"2 Add",IF(SHA1Range(E1135:K1135) = "a7f72d74b0f19c34cd0f178b34eb3ca6b1fc3290","0 Original","1 Modify"))))</f>
        <v>0 Original</v>
      </c>
      <c r="D1135" s="3" t="s">
        <v>1759</v>
      </c>
      <c r="E1135" s="5">
        <v>1137</v>
      </c>
      <c r="F1135">
        <v>346</v>
      </c>
      <c r="G1135" t="s">
        <v>44</v>
      </c>
      <c r="H1135" s="7">
        <v>6.99</v>
      </c>
      <c r="I1135" s="5">
        <v>2</v>
      </c>
      <c r="J1135" s="3" t="s">
        <v>29</v>
      </c>
      <c r="K1135" s="9">
        <v>42483.625740740739</v>
      </c>
    </row>
    <row r="1136" spans="3:11" x14ac:dyDescent="0.25">
      <c r="C1136" t="str">
        <f>IF(COUNTBLANK(E1136:K1136) = 7,"",IF(AND(NOT(ISBLANK(E1136)),COUNTBLANK(E1136:K1136) = 6),"3 Delete",IF(ISBLANK(E1136),"2 Add",IF(SHA1Range(E1136:K1136) = "12a0e96b2e9fa5672fb614197267183ba60ceff5","0 Original","1 Modify"))))</f>
        <v>0 Original</v>
      </c>
      <c r="D1136" s="3" t="s">
        <v>1760</v>
      </c>
      <c r="E1136" s="5">
        <v>1138</v>
      </c>
      <c r="F1136">
        <v>347</v>
      </c>
      <c r="G1136" t="s">
        <v>152</v>
      </c>
      <c r="H1136" s="7">
        <v>5.99</v>
      </c>
      <c r="I1136" s="5">
        <v>1</v>
      </c>
      <c r="J1136" s="3" t="s">
        <v>29</v>
      </c>
      <c r="K1136" s="9">
        <v>42483.625740740739</v>
      </c>
    </row>
    <row r="1137" spans="3:11" x14ac:dyDescent="0.25">
      <c r="C1137" t="str">
        <f>IF(COUNTBLANK(E1137:K1137) = 7,"",IF(AND(NOT(ISBLANK(E1137)),COUNTBLANK(E1137:K1137) = 6),"3 Delete",IF(ISBLANK(E1137),"2 Add",IF(SHA1Range(E1137:K1137) = "901fa118e7e9ac19a58da3aa7fe1f53bc8d3ebe9","0 Original","1 Modify"))))</f>
        <v>0 Original</v>
      </c>
      <c r="D1137" s="3" t="s">
        <v>1761</v>
      </c>
      <c r="E1137" s="5">
        <v>1139</v>
      </c>
      <c r="F1137">
        <v>347</v>
      </c>
      <c r="G1137" t="s">
        <v>281</v>
      </c>
      <c r="H1137" s="7">
        <v>7.99</v>
      </c>
      <c r="I1137" s="5">
        <v>1</v>
      </c>
      <c r="J1137" s="3" t="s">
        <v>29</v>
      </c>
      <c r="K1137" s="9">
        <v>42483.625740740739</v>
      </c>
    </row>
    <row r="1138" spans="3:11" x14ac:dyDescent="0.25">
      <c r="C1138" t="str">
        <f>IF(COUNTBLANK(E1138:K1138) = 7,"",IF(AND(NOT(ISBLANK(E1138)),COUNTBLANK(E1138:K1138) = 6),"3 Delete",IF(ISBLANK(E1138),"2 Add",IF(SHA1Range(E1138:K1138) = "2bb0b5045ef952a008acc2341cb0cad2c416917c","0 Original","1 Modify"))))</f>
        <v>0 Original</v>
      </c>
      <c r="D1138" s="3" t="s">
        <v>1762</v>
      </c>
      <c r="E1138" s="5">
        <v>1140</v>
      </c>
      <c r="F1138">
        <v>348</v>
      </c>
      <c r="G1138" t="s">
        <v>364</v>
      </c>
      <c r="H1138" s="7">
        <v>9.99</v>
      </c>
      <c r="I1138" s="5">
        <v>1</v>
      </c>
      <c r="J1138" s="3" t="s">
        <v>29</v>
      </c>
      <c r="K1138" s="9">
        <v>42483.625740740739</v>
      </c>
    </row>
    <row r="1139" spans="3:11" x14ac:dyDescent="0.25">
      <c r="C1139" t="str">
        <f>IF(COUNTBLANK(E1139:K1139) = 7,"",IF(AND(NOT(ISBLANK(E1139)),COUNTBLANK(E1139:K1139) = 6),"3 Delete",IF(ISBLANK(E1139),"2 Add",IF(SHA1Range(E1139:K1139) = "20fbea7d817c335c9b88682be26ae7978f8b285e","0 Original","1 Modify"))))</f>
        <v>0 Original</v>
      </c>
      <c r="D1139" s="3" t="s">
        <v>1763</v>
      </c>
      <c r="E1139" s="5">
        <v>1141</v>
      </c>
      <c r="F1139">
        <v>348</v>
      </c>
      <c r="G1139" t="s">
        <v>238</v>
      </c>
      <c r="H1139" s="7">
        <v>5.99</v>
      </c>
      <c r="I1139" s="5">
        <v>2</v>
      </c>
      <c r="J1139" s="3" t="s">
        <v>29</v>
      </c>
      <c r="K1139" s="9">
        <v>42483.625740740739</v>
      </c>
    </row>
    <row r="1140" spans="3:11" x14ac:dyDescent="0.25">
      <c r="C1140" t="str">
        <f>IF(COUNTBLANK(E1140:K1140) = 7,"",IF(AND(NOT(ISBLANK(E1140)),COUNTBLANK(E1140:K1140) = 6),"3 Delete",IF(ISBLANK(E1140),"2 Add",IF(SHA1Range(E1140:K1140) = "37c44760390f492405ebe9ec81d048becddd008c","0 Original","1 Modify"))))</f>
        <v>0 Original</v>
      </c>
      <c r="D1140" s="3" t="s">
        <v>1764</v>
      </c>
      <c r="E1140" s="5">
        <v>1142</v>
      </c>
      <c r="F1140">
        <v>348</v>
      </c>
      <c r="G1140" t="s">
        <v>425</v>
      </c>
      <c r="H1140" s="7">
        <v>6.99</v>
      </c>
      <c r="I1140" s="5">
        <v>1</v>
      </c>
      <c r="J1140" s="3" t="s">
        <v>29</v>
      </c>
      <c r="K1140" s="9">
        <v>42483.625740740739</v>
      </c>
    </row>
    <row r="1141" spans="3:11" x14ac:dyDescent="0.25">
      <c r="C1141" t="str">
        <f>IF(COUNTBLANK(E1141:K1141) = 7,"",IF(AND(NOT(ISBLANK(E1141)),COUNTBLANK(E1141:K1141) = 6),"3 Delete",IF(ISBLANK(E1141),"2 Add",IF(SHA1Range(E1141:K1141) = "a043b3a4e25ee84b11d86edfedb0a019fc2b90c0","0 Original","1 Modify"))))</f>
        <v>0 Original</v>
      </c>
      <c r="D1141" s="3" t="s">
        <v>1765</v>
      </c>
      <c r="E1141" s="5">
        <v>1143</v>
      </c>
      <c r="F1141">
        <v>348</v>
      </c>
      <c r="G1141" t="s">
        <v>459</v>
      </c>
      <c r="H1141" s="7">
        <v>5.99</v>
      </c>
      <c r="I1141" s="5">
        <v>1</v>
      </c>
      <c r="J1141" s="3" t="s">
        <v>29</v>
      </c>
      <c r="K1141" s="9">
        <v>42483.625740740739</v>
      </c>
    </row>
    <row r="1142" spans="3:11" x14ac:dyDescent="0.25">
      <c r="C1142" t="str">
        <f>IF(COUNTBLANK(E1142:K1142) = 7,"",IF(AND(NOT(ISBLANK(E1142)),COUNTBLANK(E1142:K1142) = 6),"3 Delete",IF(ISBLANK(E1142),"2 Add",IF(SHA1Range(E1142:K1142) = "a2e054bb0bbf09061d707b44c61673155badca61","0 Original","1 Modify"))))</f>
        <v>0 Original</v>
      </c>
      <c r="D1142" s="3" t="s">
        <v>1766</v>
      </c>
      <c r="E1142" s="5">
        <v>1144</v>
      </c>
      <c r="F1142">
        <v>348</v>
      </c>
      <c r="G1142" t="s">
        <v>246</v>
      </c>
      <c r="H1142" s="7">
        <v>7.99</v>
      </c>
      <c r="I1142" s="5">
        <v>1</v>
      </c>
      <c r="J1142" s="3" t="s">
        <v>29</v>
      </c>
      <c r="K1142" s="9">
        <v>42483.625740740739</v>
      </c>
    </row>
    <row r="1143" spans="3:11" x14ac:dyDescent="0.25">
      <c r="C1143" t="str">
        <f>IF(COUNTBLANK(E1143:K1143) = 7,"",IF(AND(NOT(ISBLANK(E1143)),COUNTBLANK(E1143:K1143) = 6),"3 Delete",IF(ISBLANK(E1143),"2 Add",IF(SHA1Range(E1143:K1143) = "f2d5a4b7f6f99c0d9706fbd66dee97c511fb5723","0 Original","1 Modify"))))</f>
        <v>0 Original</v>
      </c>
      <c r="D1143" s="3" t="s">
        <v>1767</v>
      </c>
      <c r="E1143" s="5">
        <v>1145</v>
      </c>
      <c r="F1143">
        <v>348</v>
      </c>
      <c r="G1143" t="s">
        <v>54</v>
      </c>
      <c r="H1143" s="7">
        <v>5.99</v>
      </c>
      <c r="I1143" s="5">
        <v>1</v>
      </c>
      <c r="J1143" s="3" t="s">
        <v>29</v>
      </c>
      <c r="K1143" s="9">
        <v>42483.625740740739</v>
      </c>
    </row>
    <row r="1144" spans="3:11" x14ac:dyDescent="0.25">
      <c r="C1144" t="str">
        <f>IF(COUNTBLANK(E1144:K1144) = 7,"",IF(AND(NOT(ISBLANK(E1144)),COUNTBLANK(E1144:K1144) = 6),"3 Delete",IF(ISBLANK(E1144),"2 Add",IF(SHA1Range(E1144:K1144) = "be492acf0d2b8aecb8c5aa747b211854e5de8aa0","0 Original","1 Modify"))))</f>
        <v>0 Original</v>
      </c>
      <c r="D1144" s="3" t="s">
        <v>1768</v>
      </c>
      <c r="E1144" s="5">
        <v>1146</v>
      </c>
      <c r="F1144">
        <v>348</v>
      </c>
      <c r="G1144" t="s">
        <v>573</v>
      </c>
      <c r="H1144" s="7">
        <v>9.99</v>
      </c>
      <c r="I1144" s="5">
        <v>1</v>
      </c>
      <c r="J1144" s="3" t="s">
        <v>29</v>
      </c>
      <c r="K1144" s="9">
        <v>42483.625740740739</v>
      </c>
    </row>
    <row r="1145" spans="3:11" x14ac:dyDescent="0.25">
      <c r="C1145" t="str">
        <f>IF(COUNTBLANK(E1145:K1145) = 7,"",IF(AND(NOT(ISBLANK(E1145)),COUNTBLANK(E1145:K1145) = 6),"3 Delete",IF(ISBLANK(E1145),"2 Add",IF(SHA1Range(E1145:K1145) = "d17db32538ad6ba27e1b722df3711da301b20064","0 Original","1 Modify"))))</f>
        <v>0 Original</v>
      </c>
      <c r="D1145" s="3" t="s">
        <v>1769</v>
      </c>
      <c r="E1145" s="5">
        <v>1147</v>
      </c>
      <c r="F1145">
        <v>349</v>
      </c>
      <c r="G1145" t="s">
        <v>54</v>
      </c>
      <c r="H1145" s="7">
        <v>5.99</v>
      </c>
      <c r="I1145" s="5">
        <v>1</v>
      </c>
      <c r="J1145" s="3" t="s">
        <v>29</v>
      </c>
      <c r="K1145" s="9">
        <v>42483.625740740739</v>
      </c>
    </row>
    <row r="1146" spans="3:11" x14ac:dyDescent="0.25">
      <c r="C1146" t="str">
        <f>IF(COUNTBLANK(E1146:K1146) = 7,"",IF(AND(NOT(ISBLANK(E1146)),COUNTBLANK(E1146:K1146) = 6),"3 Delete",IF(ISBLANK(E1146),"2 Add",IF(SHA1Range(E1146:K1146) = "34c5a3cd95a65a251d31bc6890e45de9f9812f8a","0 Original","1 Modify"))))</f>
        <v>0 Original</v>
      </c>
      <c r="D1146" s="3" t="s">
        <v>1770</v>
      </c>
      <c r="E1146" s="5">
        <v>1148</v>
      </c>
      <c r="F1146">
        <v>349</v>
      </c>
      <c r="G1146" t="s">
        <v>257</v>
      </c>
      <c r="H1146" s="7">
        <v>9.99</v>
      </c>
      <c r="I1146" s="5">
        <v>2</v>
      </c>
      <c r="J1146" s="3" t="s">
        <v>29</v>
      </c>
      <c r="K1146" s="9">
        <v>42483.625740740739</v>
      </c>
    </row>
    <row r="1147" spans="3:11" x14ac:dyDescent="0.25">
      <c r="C1147" t="str">
        <f>IF(COUNTBLANK(E1147:K1147) = 7,"",IF(AND(NOT(ISBLANK(E1147)),COUNTBLANK(E1147:K1147) = 6),"3 Delete",IF(ISBLANK(E1147),"2 Add",IF(SHA1Range(E1147:K1147) = "80f95d5f74a55ab0bf8845c57e944c3234b3c487","0 Original","1 Modify"))))</f>
        <v>0 Original</v>
      </c>
      <c r="D1147" s="3" t="s">
        <v>1771</v>
      </c>
      <c r="E1147" s="5">
        <v>1149</v>
      </c>
      <c r="F1147">
        <v>349</v>
      </c>
      <c r="G1147" t="s">
        <v>246</v>
      </c>
      <c r="H1147" s="7">
        <v>7.99</v>
      </c>
      <c r="I1147" s="5">
        <v>1</v>
      </c>
      <c r="J1147" s="3" t="s">
        <v>29</v>
      </c>
      <c r="K1147" s="9">
        <v>42483.625740740739</v>
      </c>
    </row>
    <row r="1148" spans="3:11" x14ac:dyDescent="0.25">
      <c r="C1148" t="str">
        <f>IF(COUNTBLANK(E1148:K1148) = 7,"",IF(AND(NOT(ISBLANK(E1148)),COUNTBLANK(E1148:K1148) = 6),"3 Delete",IF(ISBLANK(E1148),"2 Add",IF(SHA1Range(E1148:K1148) = "2981de21003221a92d2e9a2ffab2544949401f5b","0 Original","1 Modify"))))</f>
        <v>0 Original</v>
      </c>
      <c r="D1148" s="3" t="s">
        <v>1772</v>
      </c>
      <c r="E1148" s="5">
        <v>1150</v>
      </c>
      <c r="F1148">
        <v>350</v>
      </c>
      <c r="G1148" t="s">
        <v>142</v>
      </c>
      <c r="H1148" s="7">
        <v>4.99</v>
      </c>
      <c r="I1148" s="5">
        <v>2</v>
      </c>
      <c r="J1148" s="3" t="s">
        <v>29</v>
      </c>
      <c r="K1148" s="9">
        <v>42483.625740740739</v>
      </c>
    </row>
    <row r="1149" spans="3:11" x14ac:dyDescent="0.25">
      <c r="C1149" t="str">
        <f>IF(COUNTBLANK(E1149:K1149) = 7,"",IF(AND(NOT(ISBLANK(E1149)),COUNTBLANK(E1149:K1149) = 6),"3 Delete",IF(ISBLANK(E1149),"2 Add",IF(SHA1Range(E1149:K1149) = "d820cd69868ba112e6e956bbb911dc56b7ff40ea","0 Original","1 Modify"))))</f>
        <v>0 Original</v>
      </c>
      <c r="D1149" s="3" t="s">
        <v>1773</v>
      </c>
      <c r="E1149" s="5">
        <v>1151</v>
      </c>
      <c r="F1149">
        <v>350</v>
      </c>
      <c r="G1149" t="s">
        <v>257</v>
      </c>
      <c r="H1149" s="7">
        <v>9.99</v>
      </c>
      <c r="I1149" s="5">
        <v>1</v>
      </c>
      <c r="J1149" s="3" t="s">
        <v>29</v>
      </c>
      <c r="K1149" s="9">
        <v>42483.625740740739</v>
      </c>
    </row>
    <row r="1150" spans="3:11" x14ac:dyDescent="0.25">
      <c r="C1150" t="str">
        <f>IF(COUNTBLANK(E1150:K1150) = 7,"",IF(AND(NOT(ISBLANK(E1150)),COUNTBLANK(E1150:K1150) = 6),"3 Delete",IF(ISBLANK(E1150),"2 Add",IF(SHA1Range(E1150:K1150) = "017e72ceca072585d4c3d0c057a517fea7e374fe","0 Original","1 Modify"))))</f>
        <v>0 Original</v>
      </c>
      <c r="D1150" s="3" t="s">
        <v>1774</v>
      </c>
      <c r="E1150" s="5">
        <v>1152</v>
      </c>
      <c r="F1150">
        <v>350</v>
      </c>
      <c r="G1150" t="s">
        <v>250</v>
      </c>
      <c r="H1150" s="7">
        <v>8.99</v>
      </c>
      <c r="I1150" s="5">
        <v>2</v>
      </c>
      <c r="J1150" s="3" t="s">
        <v>29</v>
      </c>
      <c r="K1150" s="9">
        <v>42483.625740740739</v>
      </c>
    </row>
    <row r="1151" spans="3:11" x14ac:dyDescent="0.25">
      <c r="C1151" t="str">
        <f>IF(COUNTBLANK(E1151:K1151) = 7,"",IF(AND(NOT(ISBLANK(E1151)),COUNTBLANK(E1151:K1151) = 6),"3 Delete",IF(ISBLANK(E1151),"2 Add",IF(SHA1Range(E1151:K1151) = "a5c0a3277a711b2051dae18039fbbfe13f5b847d","0 Original","1 Modify"))))</f>
        <v>0 Original</v>
      </c>
      <c r="D1151" s="3" t="s">
        <v>1775</v>
      </c>
      <c r="E1151" s="5">
        <v>1153</v>
      </c>
      <c r="F1151">
        <v>351</v>
      </c>
      <c r="G1151" t="s">
        <v>58</v>
      </c>
      <c r="H1151" s="7">
        <v>8.99</v>
      </c>
      <c r="I1151" s="5">
        <v>2</v>
      </c>
      <c r="J1151" s="3" t="s">
        <v>29</v>
      </c>
      <c r="K1151" s="9">
        <v>42483.625740740739</v>
      </c>
    </row>
    <row r="1152" spans="3:11" x14ac:dyDescent="0.25">
      <c r="C1152" t="str">
        <f>IF(COUNTBLANK(E1152:K1152) = 7,"",IF(AND(NOT(ISBLANK(E1152)),COUNTBLANK(E1152:K1152) = 6),"3 Delete",IF(ISBLANK(E1152),"2 Add",IF(SHA1Range(E1152:K1152) = "5cb5981d7bac38f06eeb7394180aad9d79cd7992","0 Original","1 Modify"))))</f>
        <v>0 Original</v>
      </c>
      <c r="D1152" s="3" t="s">
        <v>1776</v>
      </c>
      <c r="E1152" s="5">
        <v>1154</v>
      </c>
      <c r="F1152">
        <v>351</v>
      </c>
      <c r="G1152" t="s">
        <v>407</v>
      </c>
      <c r="H1152" s="7">
        <v>9.99</v>
      </c>
      <c r="I1152" s="5">
        <v>1</v>
      </c>
      <c r="J1152" s="3" t="s">
        <v>29</v>
      </c>
      <c r="K1152" s="9">
        <v>42483.625740740739</v>
      </c>
    </row>
    <row r="1153" spans="3:11" x14ac:dyDescent="0.25">
      <c r="C1153" t="str">
        <f>IF(COUNTBLANK(E1153:K1153) = 7,"",IF(AND(NOT(ISBLANK(E1153)),COUNTBLANK(E1153:K1153) = 6),"3 Delete",IF(ISBLANK(E1153),"2 Add",IF(SHA1Range(E1153:K1153) = "0f1aeae0f410a72d0b4632430aad7415eced0f3e","0 Original","1 Modify"))))</f>
        <v>0 Original</v>
      </c>
      <c r="D1153" s="3" t="s">
        <v>1777</v>
      </c>
      <c r="E1153" s="5">
        <v>1155</v>
      </c>
      <c r="F1153">
        <v>351</v>
      </c>
      <c r="G1153" t="s">
        <v>448</v>
      </c>
      <c r="H1153" s="7">
        <v>8.99</v>
      </c>
      <c r="I1153" s="5">
        <v>1</v>
      </c>
      <c r="J1153" s="3" t="s">
        <v>29</v>
      </c>
      <c r="K1153" s="9">
        <v>42483.625740740739</v>
      </c>
    </row>
    <row r="1154" spans="3:11" x14ac:dyDescent="0.25">
      <c r="C1154" t="str">
        <f>IF(COUNTBLANK(E1154:K1154) = 7,"",IF(AND(NOT(ISBLANK(E1154)),COUNTBLANK(E1154:K1154) = 6),"3 Delete",IF(ISBLANK(E1154),"2 Add",IF(SHA1Range(E1154:K1154) = "b435e6a0eb7c30920d3c6e9a08768929acbf778f","0 Original","1 Modify"))))</f>
        <v>0 Original</v>
      </c>
      <c r="D1154" s="3" t="s">
        <v>1778</v>
      </c>
      <c r="E1154" s="5">
        <v>1156</v>
      </c>
      <c r="F1154">
        <v>351</v>
      </c>
      <c r="G1154" t="s">
        <v>602</v>
      </c>
      <c r="H1154" s="7">
        <v>7.99</v>
      </c>
      <c r="I1154" s="5">
        <v>1</v>
      </c>
      <c r="J1154" s="3" t="s">
        <v>29</v>
      </c>
      <c r="K1154" s="9">
        <v>42483.625740740739</v>
      </c>
    </row>
    <row r="1155" spans="3:11" x14ac:dyDescent="0.25">
      <c r="C1155" t="str">
        <f>IF(COUNTBLANK(E1155:K1155) = 7,"",IF(AND(NOT(ISBLANK(E1155)),COUNTBLANK(E1155:K1155) = 6),"3 Delete",IF(ISBLANK(E1155),"2 Add",IF(SHA1Range(E1155:K1155) = "2cad5d25f994749bcf23f515b53a73a9a7c0f23d","0 Original","1 Modify"))))</f>
        <v>0 Original</v>
      </c>
      <c r="D1155" s="3" t="s">
        <v>1779</v>
      </c>
      <c r="E1155" s="5">
        <v>1157</v>
      </c>
      <c r="F1155">
        <v>352</v>
      </c>
      <c r="G1155" t="s">
        <v>281</v>
      </c>
      <c r="H1155" s="7">
        <v>7.99</v>
      </c>
      <c r="I1155" s="5">
        <v>1</v>
      </c>
      <c r="J1155" s="3" t="s">
        <v>29</v>
      </c>
      <c r="K1155" s="9">
        <v>42483.625740740739</v>
      </c>
    </row>
    <row r="1156" spans="3:11" x14ac:dyDescent="0.25">
      <c r="C1156" t="str">
        <f>IF(COUNTBLANK(E1156:K1156) = 7,"",IF(AND(NOT(ISBLANK(E1156)),COUNTBLANK(E1156:K1156) = 6),"3 Delete",IF(ISBLANK(E1156),"2 Add",IF(SHA1Range(E1156:K1156) = "c37fd8cc83cdb6c2eab18f526ecd031b319bef5b","0 Original","1 Modify"))))</f>
        <v>0 Original</v>
      </c>
      <c r="D1156" s="3" t="s">
        <v>1780</v>
      </c>
      <c r="E1156" s="5">
        <v>1158</v>
      </c>
      <c r="F1156">
        <v>352</v>
      </c>
      <c r="G1156" t="s">
        <v>573</v>
      </c>
      <c r="H1156" s="7">
        <v>9.99</v>
      </c>
      <c r="I1156" s="5">
        <v>1</v>
      </c>
      <c r="J1156" s="3" t="s">
        <v>29</v>
      </c>
      <c r="K1156" s="9">
        <v>42483.625740740739</v>
      </c>
    </row>
    <row r="1157" spans="3:11" x14ac:dyDescent="0.25">
      <c r="C1157" t="str">
        <f>IF(COUNTBLANK(E1157:K1157) = 7,"",IF(AND(NOT(ISBLANK(E1157)),COUNTBLANK(E1157:K1157) = 6),"3 Delete",IF(ISBLANK(E1157),"2 Add",IF(SHA1Range(E1157:K1157) = "6e46b785d263bbfd667d3964b261d7464ae48333","0 Original","1 Modify"))))</f>
        <v>0 Original</v>
      </c>
      <c r="D1157" s="3" t="s">
        <v>1781</v>
      </c>
      <c r="E1157" s="5">
        <v>1159</v>
      </c>
      <c r="F1157">
        <v>352</v>
      </c>
      <c r="G1157" t="s">
        <v>44</v>
      </c>
      <c r="H1157" s="7">
        <v>6.99</v>
      </c>
      <c r="I1157" s="5">
        <v>2</v>
      </c>
      <c r="J1157" s="3" t="s">
        <v>29</v>
      </c>
      <c r="K1157" s="9">
        <v>42483.625740740739</v>
      </c>
    </row>
    <row r="1158" spans="3:11" x14ac:dyDescent="0.25">
      <c r="C1158" t="str">
        <f>IF(COUNTBLANK(E1158:K1158) = 7,"",IF(AND(NOT(ISBLANK(E1158)),COUNTBLANK(E1158:K1158) = 6),"3 Delete",IF(ISBLANK(E1158),"2 Add",IF(SHA1Range(E1158:K1158) = "026308923d12cd70577e88f03ed8ce7f6f222f4a","0 Original","1 Modify"))))</f>
        <v>0 Original</v>
      </c>
      <c r="D1158" s="3" t="s">
        <v>1782</v>
      </c>
      <c r="E1158" s="5">
        <v>1160</v>
      </c>
      <c r="F1158">
        <v>353</v>
      </c>
      <c r="G1158" t="s">
        <v>576</v>
      </c>
      <c r="H1158" s="7">
        <v>5.99</v>
      </c>
      <c r="I1158" s="5">
        <v>1</v>
      </c>
      <c r="J1158" s="3" t="s">
        <v>29</v>
      </c>
      <c r="K1158" s="9">
        <v>42483.625740740739</v>
      </c>
    </row>
    <row r="1159" spans="3:11" x14ac:dyDescent="0.25">
      <c r="C1159" t="str">
        <f>IF(COUNTBLANK(E1159:K1159) = 7,"",IF(AND(NOT(ISBLANK(E1159)),COUNTBLANK(E1159:K1159) = 6),"3 Delete",IF(ISBLANK(E1159),"2 Add",IF(SHA1Range(E1159:K1159) = "0de6ade6d7260dbc15810ba4a18b8ce2619c0932","0 Original","1 Modify"))))</f>
        <v>0 Original</v>
      </c>
      <c r="D1159" s="3" t="s">
        <v>1783</v>
      </c>
      <c r="E1159" s="5">
        <v>1161</v>
      </c>
      <c r="F1159">
        <v>353</v>
      </c>
      <c r="G1159" t="s">
        <v>599</v>
      </c>
      <c r="H1159" s="7">
        <v>5.99</v>
      </c>
      <c r="I1159" s="5">
        <v>1</v>
      </c>
      <c r="J1159" s="3" t="s">
        <v>29</v>
      </c>
      <c r="K1159" s="9">
        <v>42483.625740740739</v>
      </c>
    </row>
    <row r="1160" spans="3:11" x14ac:dyDescent="0.25">
      <c r="C1160" t="str">
        <f>IF(COUNTBLANK(E1160:K1160) = 7,"",IF(AND(NOT(ISBLANK(E1160)),COUNTBLANK(E1160:K1160) = 6),"3 Delete",IF(ISBLANK(E1160),"2 Add",IF(SHA1Range(E1160:K1160) = "765310055e27e7babfb4c60d015eb3db0f3fd4e3","0 Original","1 Modify"))))</f>
        <v>0 Original</v>
      </c>
      <c r="D1160" s="3" t="s">
        <v>1784</v>
      </c>
      <c r="E1160" s="5">
        <v>1162</v>
      </c>
      <c r="F1160">
        <v>354</v>
      </c>
      <c r="G1160" t="s">
        <v>152</v>
      </c>
      <c r="H1160" s="7">
        <v>5.99</v>
      </c>
      <c r="I1160" s="5">
        <v>2</v>
      </c>
      <c r="J1160" s="3" t="s">
        <v>29</v>
      </c>
      <c r="K1160" s="9">
        <v>42483.625740740739</v>
      </c>
    </row>
    <row r="1161" spans="3:11" x14ac:dyDescent="0.25">
      <c r="C1161" t="str">
        <f>IF(COUNTBLANK(E1161:K1161) = 7,"",IF(AND(NOT(ISBLANK(E1161)),COUNTBLANK(E1161:K1161) = 6),"3 Delete",IF(ISBLANK(E1161),"2 Add",IF(SHA1Range(E1161:K1161) = "1d9a9e504610dc95cabf9c7dd8fc433d532e678c","0 Original","1 Modify"))))</f>
        <v>0 Original</v>
      </c>
      <c r="D1161" s="3" t="s">
        <v>1785</v>
      </c>
      <c r="E1161" s="5">
        <v>1163</v>
      </c>
      <c r="F1161">
        <v>354</v>
      </c>
      <c r="G1161" t="s">
        <v>126</v>
      </c>
      <c r="H1161" s="7">
        <v>6.99</v>
      </c>
      <c r="I1161" s="5">
        <v>2</v>
      </c>
      <c r="J1161" s="3" t="s">
        <v>29</v>
      </c>
      <c r="K1161" s="9">
        <v>42483.625740740739</v>
      </c>
    </row>
    <row r="1162" spans="3:11" x14ac:dyDescent="0.25">
      <c r="C1162" t="str">
        <f>IF(COUNTBLANK(E1162:K1162) = 7,"",IF(AND(NOT(ISBLANK(E1162)),COUNTBLANK(E1162:K1162) = 6),"3 Delete",IF(ISBLANK(E1162),"2 Add",IF(SHA1Range(E1162:K1162) = "12726765e5d96866c3389f68defacbdcacd22ec4","0 Original","1 Modify"))))</f>
        <v>0 Original</v>
      </c>
      <c r="D1162" s="3" t="s">
        <v>1786</v>
      </c>
      <c r="E1162" s="5">
        <v>1164</v>
      </c>
      <c r="F1162">
        <v>354</v>
      </c>
      <c r="G1162" t="s">
        <v>37</v>
      </c>
      <c r="H1162" s="7">
        <v>6.99</v>
      </c>
      <c r="I1162" s="5">
        <v>1</v>
      </c>
      <c r="J1162" s="3" t="s">
        <v>29</v>
      </c>
      <c r="K1162" s="9">
        <v>42483.625740740739</v>
      </c>
    </row>
    <row r="1163" spans="3:11" x14ac:dyDescent="0.25">
      <c r="C1163" t="str">
        <f>IF(COUNTBLANK(E1163:K1163) = 7,"",IF(AND(NOT(ISBLANK(E1163)),COUNTBLANK(E1163:K1163) = 6),"3 Delete",IF(ISBLANK(E1163),"2 Add",IF(SHA1Range(E1163:K1163) = "13a4749e07ed681c5d637be6c3f4b2c3f23205f5","0 Original","1 Modify"))))</f>
        <v>0 Original</v>
      </c>
      <c r="D1163" s="3" t="s">
        <v>1787</v>
      </c>
      <c r="E1163" s="5">
        <v>1165</v>
      </c>
      <c r="F1163">
        <v>354</v>
      </c>
      <c r="G1163" t="s">
        <v>407</v>
      </c>
      <c r="H1163" s="7">
        <v>9.99</v>
      </c>
      <c r="I1163" s="5">
        <v>2</v>
      </c>
      <c r="J1163" s="3" t="s">
        <v>29</v>
      </c>
      <c r="K1163" s="9">
        <v>42483.625740740739</v>
      </c>
    </row>
    <row r="1164" spans="3:11" x14ac:dyDescent="0.25">
      <c r="C1164" t="str">
        <f>IF(COUNTBLANK(E1164:K1164) = 7,"",IF(AND(NOT(ISBLANK(E1164)),COUNTBLANK(E1164:K1164) = 6),"3 Delete",IF(ISBLANK(E1164),"2 Add",IF(SHA1Range(E1164:K1164) = "f4ef3bb573e7c9ca0d6aa71c3d18221cc344a12d","0 Original","1 Modify"))))</f>
        <v>0 Original</v>
      </c>
      <c r="D1164" s="3" t="s">
        <v>1788</v>
      </c>
      <c r="E1164" s="5">
        <v>1166</v>
      </c>
      <c r="F1164">
        <v>354</v>
      </c>
      <c r="G1164" t="s">
        <v>573</v>
      </c>
      <c r="H1164" s="7">
        <v>9.99</v>
      </c>
      <c r="I1164" s="5">
        <v>1</v>
      </c>
      <c r="J1164" s="3" t="s">
        <v>29</v>
      </c>
      <c r="K1164" s="9">
        <v>42483.625740740739</v>
      </c>
    </row>
    <row r="1165" spans="3:11" x14ac:dyDescent="0.25">
      <c r="C1165" t="str">
        <f>IF(COUNTBLANK(E1165:K1165) = 7,"",IF(AND(NOT(ISBLANK(E1165)),COUNTBLANK(E1165:K1165) = 6),"3 Delete",IF(ISBLANK(E1165),"2 Add",IF(SHA1Range(E1165:K1165) = "ad7afdf06417498126cc4cb19bc2b8cb5057dc80","0 Original","1 Modify"))))</f>
        <v>0 Original</v>
      </c>
      <c r="D1165" s="3" t="s">
        <v>1789</v>
      </c>
      <c r="E1165" s="5">
        <v>1167</v>
      </c>
      <c r="F1165">
        <v>354</v>
      </c>
      <c r="G1165" t="s">
        <v>130</v>
      </c>
      <c r="H1165" s="7">
        <v>8.99</v>
      </c>
      <c r="I1165" s="5">
        <v>1</v>
      </c>
      <c r="J1165" s="3" t="s">
        <v>29</v>
      </c>
      <c r="K1165" s="9">
        <v>42483.625740740739</v>
      </c>
    </row>
    <row r="1166" spans="3:11" x14ac:dyDescent="0.25">
      <c r="C1166" t="str">
        <f>IF(COUNTBLANK(E1166:K1166) = 7,"",IF(AND(NOT(ISBLANK(E1166)),COUNTBLANK(E1166:K1166) = 6),"3 Delete",IF(ISBLANK(E1166),"2 Add",IF(SHA1Range(E1166:K1166) = "dad6e686e9745f994e576092d253da91b9ea2041","0 Original","1 Modify"))))</f>
        <v>0 Original</v>
      </c>
      <c r="D1166" s="3" t="s">
        <v>1790</v>
      </c>
      <c r="E1166" s="5">
        <v>1168</v>
      </c>
      <c r="F1166">
        <v>354</v>
      </c>
      <c r="G1166" t="s">
        <v>254</v>
      </c>
      <c r="H1166" s="7">
        <v>4.99</v>
      </c>
      <c r="I1166" s="5">
        <v>2</v>
      </c>
      <c r="J1166" s="3" t="s">
        <v>29</v>
      </c>
      <c r="K1166" s="9">
        <v>42483.625740740739</v>
      </c>
    </row>
    <row r="1167" spans="3:11" x14ac:dyDescent="0.25">
      <c r="C1167" t="str">
        <f>IF(COUNTBLANK(E1167:K1167) = 7,"",IF(AND(NOT(ISBLANK(E1167)),COUNTBLANK(E1167:K1167) = 6),"3 Delete",IF(ISBLANK(E1167),"2 Add",IF(SHA1Range(E1167:K1167) = "e06761a068722e8bbc014821c374afcdefff1fa0","0 Original","1 Modify"))))</f>
        <v>0 Original</v>
      </c>
      <c r="D1167" s="3" t="s">
        <v>1791</v>
      </c>
      <c r="E1167" s="5">
        <v>1169</v>
      </c>
      <c r="F1167">
        <v>355</v>
      </c>
      <c r="G1167" t="s">
        <v>149</v>
      </c>
      <c r="H1167" s="7">
        <v>7.99</v>
      </c>
      <c r="I1167" s="5">
        <v>1</v>
      </c>
      <c r="J1167" s="3" t="s">
        <v>29</v>
      </c>
      <c r="K1167" s="9">
        <v>42483.625740740739</v>
      </c>
    </row>
    <row r="1168" spans="3:11" x14ac:dyDescent="0.25">
      <c r="C1168" t="str">
        <f>IF(COUNTBLANK(E1168:K1168) = 7,"",IF(AND(NOT(ISBLANK(E1168)),COUNTBLANK(E1168:K1168) = 6),"3 Delete",IF(ISBLANK(E1168),"2 Add",IF(SHA1Range(E1168:K1168) = "493ead45710b6537302fa3ccc8868009f61c4036","0 Original","1 Modify"))))</f>
        <v>0 Original</v>
      </c>
      <c r="D1168" s="3" t="s">
        <v>1792</v>
      </c>
      <c r="E1168" s="5">
        <v>1170</v>
      </c>
      <c r="F1168">
        <v>355</v>
      </c>
      <c r="G1168" t="s">
        <v>281</v>
      </c>
      <c r="H1168" s="7">
        <v>7.99</v>
      </c>
      <c r="I1168" s="5">
        <v>2</v>
      </c>
      <c r="J1168" s="3" t="s">
        <v>29</v>
      </c>
      <c r="K1168" s="9">
        <v>42483.625740740739</v>
      </c>
    </row>
    <row r="1169" spans="3:11" x14ac:dyDescent="0.25">
      <c r="C1169" t="str">
        <f>IF(COUNTBLANK(E1169:K1169) = 7,"",IF(AND(NOT(ISBLANK(E1169)),COUNTBLANK(E1169:K1169) = 6),"3 Delete",IF(ISBLANK(E1169),"2 Add",IF(SHA1Range(E1169:K1169) = "f79d08644ce875800ac06ea0138d253c0be3158a","0 Original","1 Modify"))))</f>
        <v>0 Original</v>
      </c>
      <c r="D1169" s="3" t="s">
        <v>1793</v>
      </c>
      <c r="E1169" s="5">
        <v>1171</v>
      </c>
      <c r="F1169">
        <v>356</v>
      </c>
      <c r="G1169" t="s">
        <v>230</v>
      </c>
      <c r="H1169" s="7">
        <v>5.99</v>
      </c>
      <c r="I1169" s="5">
        <v>1</v>
      </c>
      <c r="J1169" s="3" t="s">
        <v>29</v>
      </c>
      <c r="K1169" s="9">
        <v>42483.625740740739</v>
      </c>
    </row>
    <row r="1170" spans="3:11" x14ac:dyDescent="0.25">
      <c r="C1170" t="str">
        <f>IF(COUNTBLANK(E1170:K1170) = 7,"",IF(AND(NOT(ISBLANK(E1170)),COUNTBLANK(E1170:K1170) = 6),"3 Delete",IF(ISBLANK(E1170),"2 Add",IF(SHA1Range(E1170:K1170) = "7d572751353b103747633fc83c6d0185ec8d2854","0 Original","1 Modify"))))</f>
        <v>0 Original</v>
      </c>
      <c r="D1170" s="3" t="s">
        <v>1794</v>
      </c>
      <c r="E1170" s="5">
        <v>1172</v>
      </c>
      <c r="F1170">
        <v>356</v>
      </c>
      <c r="G1170" t="s">
        <v>250</v>
      </c>
      <c r="H1170" s="7">
        <v>8.99</v>
      </c>
      <c r="I1170" s="5">
        <v>2</v>
      </c>
      <c r="J1170" s="3" t="s">
        <v>29</v>
      </c>
      <c r="K1170" s="9">
        <v>42483.625740740739</v>
      </c>
    </row>
    <row r="1171" spans="3:11" x14ac:dyDescent="0.25">
      <c r="C1171" t="str">
        <f>IF(COUNTBLANK(E1171:K1171) = 7,"",IF(AND(NOT(ISBLANK(E1171)),COUNTBLANK(E1171:K1171) = 6),"3 Delete",IF(ISBLANK(E1171),"2 Add",IF(SHA1Range(E1171:K1171) = "81c5fb117f5835279b5a5febc59106be4f6f4508","0 Original","1 Modify"))))</f>
        <v>0 Original</v>
      </c>
      <c r="D1171" s="3" t="s">
        <v>1795</v>
      </c>
      <c r="E1171" s="5">
        <v>1173</v>
      </c>
      <c r="F1171">
        <v>356</v>
      </c>
      <c r="G1171" t="s">
        <v>576</v>
      </c>
      <c r="H1171" s="7">
        <v>5.99</v>
      </c>
      <c r="I1171" s="5">
        <v>1</v>
      </c>
      <c r="J1171" s="3" t="s">
        <v>29</v>
      </c>
      <c r="K1171" s="9">
        <v>42483.625740740739</v>
      </c>
    </row>
    <row r="1172" spans="3:11" x14ac:dyDescent="0.25">
      <c r="C1172" t="str">
        <f>IF(COUNTBLANK(E1172:K1172) = 7,"",IF(AND(NOT(ISBLANK(E1172)),COUNTBLANK(E1172:K1172) = 6),"3 Delete",IF(ISBLANK(E1172),"2 Add",IF(SHA1Range(E1172:K1172) = "76bff97798b939c2c0b486e6d0cb5906ef729ff5","0 Original","1 Modify"))))</f>
        <v>0 Original</v>
      </c>
      <c r="D1172" s="3" t="s">
        <v>1796</v>
      </c>
      <c r="E1172" s="5">
        <v>1174</v>
      </c>
      <c r="F1172">
        <v>356</v>
      </c>
      <c r="G1172" t="s">
        <v>573</v>
      </c>
      <c r="H1172" s="7">
        <v>9.99</v>
      </c>
      <c r="I1172" s="5">
        <v>2</v>
      </c>
      <c r="J1172" s="3" t="s">
        <v>29</v>
      </c>
      <c r="K1172" s="9">
        <v>42483.625740740739</v>
      </c>
    </row>
    <row r="1173" spans="3:11" x14ac:dyDescent="0.25">
      <c r="C1173" t="str">
        <f>IF(COUNTBLANK(E1173:K1173) = 7,"",IF(AND(NOT(ISBLANK(E1173)),COUNTBLANK(E1173:K1173) = 6),"3 Delete",IF(ISBLANK(E1173),"2 Add",IF(SHA1Range(E1173:K1173) = "331dcb20b1c4ab863e1bb7be358f1d0b3c1446b4","0 Original","1 Modify"))))</f>
        <v>0 Original</v>
      </c>
      <c r="D1173" s="3" t="s">
        <v>1797</v>
      </c>
      <c r="E1173" s="5">
        <v>1175</v>
      </c>
      <c r="F1173">
        <v>357</v>
      </c>
      <c r="G1173" t="s">
        <v>304</v>
      </c>
      <c r="H1173" s="7">
        <v>8.99</v>
      </c>
      <c r="I1173" s="5">
        <v>1</v>
      </c>
      <c r="J1173" s="3" t="s">
        <v>29</v>
      </c>
      <c r="K1173" s="9">
        <v>42483.625740740739</v>
      </c>
    </row>
    <row r="1174" spans="3:11" x14ac:dyDescent="0.25">
      <c r="C1174" t="str">
        <f>IF(COUNTBLANK(E1174:K1174) = 7,"",IF(AND(NOT(ISBLANK(E1174)),COUNTBLANK(E1174:K1174) = 6),"3 Delete",IF(ISBLANK(E1174),"2 Add",IF(SHA1Range(E1174:K1174) = "717161b198fb90d9f9bdf20dcb466e4999d54d30","0 Original","1 Modify"))))</f>
        <v>0 Original</v>
      </c>
      <c r="D1174" s="3" t="s">
        <v>1798</v>
      </c>
      <c r="E1174" s="5">
        <v>1176</v>
      </c>
      <c r="F1174">
        <v>357</v>
      </c>
      <c r="G1174" t="s">
        <v>398</v>
      </c>
      <c r="H1174" s="7">
        <v>4.99</v>
      </c>
      <c r="I1174" s="5">
        <v>1</v>
      </c>
      <c r="J1174" s="3" t="s">
        <v>29</v>
      </c>
      <c r="K1174" s="9">
        <v>42483.625740740739</v>
      </c>
    </row>
    <row r="1175" spans="3:11" x14ac:dyDescent="0.25">
      <c r="C1175" t="str">
        <f>IF(COUNTBLANK(E1175:K1175) = 7,"",IF(AND(NOT(ISBLANK(E1175)),COUNTBLANK(E1175:K1175) = 6),"3 Delete",IF(ISBLANK(E1175),"2 Add",IF(SHA1Range(E1175:K1175) = "87cbd9089bfe36b6cbf311401abede4c46589b8f","0 Original","1 Modify"))))</f>
        <v>0 Original</v>
      </c>
      <c r="D1175" s="3" t="s">
        <v>1799</v>
      </c>
      <c r="E1175" s="5">
        <v>1177</v>
      </c>
      <c r="F1175">
        <v>358</v>
      </c>
      <c r="G1175" t="s">
        <v>238</v>
      </c>
      <c r="H1175" s="7">
        <v>5.99</v>
      </c>
      <c r="I1175" s="5">
        <v>2</v>
      </c>
      <c r="J1175" s="3" t="s">
        <v>29</v>
      </c>
      <c r="K1175" s="9">
        <v>42483.625740740739</v>
      </c>
    </row>
    <row r="1176" spans="3:11" x14ac:dyDescent="0.25">
      <c r="C1176" t="str">
        <f>IF(COUNTBLANK(E1176:K1176) = 7,"",IF(AND(NOT(ISBLANK(E1176)),COUNTBLANK(E1176:K1176) = 6),"3 Delete",IF(ISBLANK(E1176),"2 Add",IF(SHA1Range(E1176:K1176) = "3f00d7511bb86c597f57e7e416c0a7c59f421d53","0 Original","1 Modify"))))</f>
        <v>0 Original</v>
      </c>
      <c r="D1176" s="3" t="s">
        <v>1800</v>
      </c>
      <c r="E1176" s="5">
        <v>1178</v>
      </c>
      <c r="F1176">
        <v>358</v>
      </c>
      <c r="G1176" t="s">
        <v>407</v>
      </c>
      <c r="H1176" s="7">
        <v>9.99</v>
      </c>
      <c r="I1176" s="5">
        <v>1</v>
      </c>
      <c r="J1176" s="3" t="s">
        <v>29</v>
      </c>
      <c r="K1176" s="9">
        <v>42483.625740740739</v>
      </c>
    </row>
    <row r="1177" spans="3:11" x14ac:dyDescent="0.25">
      <c r="C1177" t="str">
        <f>IF(COUNTBLANK(E1177:K1177) = 7,"",IF(AND(NOT(ISBLANK(E1177)),COUNTBLANK(E1177:K1177) = 6),"3 Delete",IF(ISBLANK(E1177),"2 Add",IF(SHA1Range(E1177:K1177) = "97bb75652bf0e39ebfffaac6c30fdbd25ae516a4","0 Original","1 Modify"))))</f>
        <v>0 Original</v>
      </c>
      <c r="D1177" s="3" t="s">
        <v>1801</v>
      </c>
      <c r="E1177" s="5">
        <v>1179</v>
      </c>
      <c r="F1177">
        <v>358</v>
      </c>
      <c r="G1177" t="s">
        <v>152</v>
      </c>
      <c r="H1177" s="7">
        <v>5.99</v>
      </c>
      <c r="I1177" s="5">
        <v>1</v>
      </c>
      <c r="J1177" s="3" t="s">
        <v>29</v>
      </c>
      <c r="K1177" s="9">
        <v>42483.625740740739</v>
      </c>
    </row>
    <row r="1178" spans="3:11" x14ac:dyDescent="0.25">
      <c r="C1178" t="str">
        <f>IF(COUNTBLANK(E1178:K1178) = 7,"",IF(AND(NOT(ISBLANK(E1178)),COUNTBLANK(E1178:K1178) = 6),"3 Delete",IF(ISBLANK(E1178),"2 Add",IF(SHA1Range(E1178:K1178) = "def95721fc561a9a76bb62c7191cd7296e347bc2","0 Original","1 Modify"))))</f>
        <v>0 Original</v>
      </c>
      <c r="D1178" s="3" t="s">
        <v>1802</v>
      </c>
      <c r="E1178" s="5">
        <v>1180</v>
      </c>
      <c r="F1178">
        <v>358</v>
      </c>
      <c r="G1178" t="s">
        <v>246</v>
      </c>
      <c r="H1178" s="7">
        <v>7.99</v>
      </c>
      <c r="I1178" s="5">
        <v>2</v>
      </c>
      <c r="J1178" s="3" t="s">
        <v>29</v>
      </c>
      <c r="K1178" s="9">
        <v>42483.625740740739</v>
      </c>
    </row>
    <row r="1179" spans="3:11" x14ac:dyDescent="0.25">
      <c r="C1179" t="str">
        <f>IF(COUNTBLANK(E1179:K1179) = 7,"",IF(AND(NOT(ISBLANK(E1179)),COUNTBLANK(E1179:K1179) = 6),"3 Delete",IF(ISBLANK(E1179),"2 Add",IF(SHA1Range(E1179:K1179) = "910eb68984d99b3aeb5f131663c2f948633ce3b9","0 Original","1 Modify"))))</f>
        <v>0 Original</v>
      </c>
      <c r="D1179" s="3" t="s">
        <v>1803</v>
      </c>
      <c r="E1179" s="5">
        <v>1181</v>
      </c>
      <c r="F1179">
        <v>359</v>
      </c>
      <c r="G1179" t="s">
        <v>51</v>
      </c>
      <c r="H1179" s="7">
        <v>9.99</v>
      </c>
      <c r="I1179" s="5">
        <v>2</v>
      </c>
      <c r="J1179" s="3" t="s">
        <v>29</v>
      </c>
      <c r="K1179" s="9">
        <v>42483.625740740739</v>
      </c>
    </row>
    <row r="1180" spans="3:11" x14ac:dyDescent="0.25">
      <c r="C1180" t="str">
        <f>IF(COUNTBLANK(E1180:K1180) = 7,"",IF(AND(NOT(ISBLANK(E1180)),COUNTBLANK(E1180:K1180) = 6),"3 Delete",IF(ISBLANK(E1180),"2 Add",IF(SHA1Range(E1180:K1180) = "8b609522cde929126be3f99090396dadf8016633","0 Original","1 Modify"))))</f>
        <v>0 Original</v>
      </c>
      <c r="D1180" s="3" t="s">
        <v>1804</v>
      </c>
      <c r="E1180" s="5">
        <v>1182</v>
      </c>
      <c r="F1180">
        <v>359</v>
      </c>
      <c r="G1180" t="s">
        <v>335</v>
      </c>
      <c r="H1180" s="7">
        <v>5.99</v>
      </c>
      <c r="I1180" s="5">
        <v>1</v>
      </c>
      <c r="J1180" s="3" t="s">
        <v>29</v>
      </c>
      <c r="K1180" s="9">
        <v>42483.625740740739</v>
      </c>
    </row>
    <row r="1181" spans="3:11" x14ac:dyDescent="0.25">
      <c r="C1181" t="str">
        <f>IF(COUNTBLANK(E1181:K1181) = 7,"",IF(AND(NOT(ISBLANK(E1181)),COUNTBLANK(E1181:K1181) = 6),"3 Delete",IF(ISBLANK(E1181),"2 Add",IF(SHA1Range(E1181:K1181) = "f7c68923e48565940f0b888684a215a30be14699","0 Original","1 Modify"))))</f>
        <v>0 Original</v>
      </c>
      <c r="D1181" s="3" t="s">
        <v>1805</v>
      </c>
      <c r="E1181" s="5">
        <v>1183</v>
      </c>
      <c r="F1181">
        <v>359</v>
      </c>
      <c r="G1181" t="s">
        <v>254</v>
      </c>
      <c r="H1181" s="7">
        <v>4.99</v>
      </c>
      <c r="I1181" s="5">
        <v>1</v>
      </c>
      <c r="J1181" s="3" t="s">
        <v>29</v>
      </c>
      <c r="K1181" s="9">
        <v>42483.625740740739</v>
      </c>
    </row>
    <row r="1182" spans="3:11" x14ac:dyDescent="0.25">
      <c r="C1182" t="str">
        <f>IF(COUNTBLANK(E1182:K1182) = 7,"",IF(AND(NOT(ISBLANK(E1182)),COUNTBLANK(E1182:K1182) = 6),"3 Delete",IF(ISBLANK(E1182),"2 Add",IF(SHA1Range(E1182:K1182) = "7dacb69e83e007fc18b7ae07126d509705327050","0 Original","1 Modify"))))</f>
        <v>0 Original</v>
      </c>
      <c r="D1182" s="3" t="s">
        <v>1806</v>
      </c>
      <c r="E1182" s="5">
        <v>1184</v>
      </c>
      <c r="F1182">
        <v>359</v>
      </c>
      <c r="G1182" t="s">
        <v>142</v>
      </c>
      <c r="H1182" s="7">
        <v>4.99</v>
      </c>
      <c r="I1182" s="5">
        <v>1</v>
      </c>
      <c r="J1182" s="3" t="s">
        <v>29</v>
      </c>
      <c r="K1182" s="9">
        <v>42483.625740740739</v>
      </c>
    </row>
    <row r="1183" spans="3:11" x14ac:dyDescent="0.25">
      <c r="C1183" t="str">
        <f>IF(COUNTBLANK(E1183:K1183) = 7,"",IF(AND(NOT(ISBLANK(E1183)),COUNTBLANK(E1183:K1183) = 6),"3 Delete",IF(ISBLANK(E1183),"2 Add",IF(SHA1Range(E1183:K1183) = "f273b872ea55a6080708df36a7eee495f1e082c5","0 Original","1 Modify"))))</f>
        <v>0 Original</v>
      </c>
      <c r="D1183" s="3" t="s">
        <v>1807</v>
      </c>
      <c r="E1183" s="5">
        <v>1185</v>
      </c>
      <c r="F1183">
        <v>360</v>
      </c>
      <c r="G1183" t="s">
        <v>418</v>
      </c>
      <c r="H1183" s="7">
        <v>6.99</v>
      </c>
      <c r="I1183" s="5">
        <v>1</v>
      </c>
      <c r="J1183" s="3" t="s">
        <v>29</v>
      </c>
      <c r="K1183" s="9">
        <v>42483.625740740739</v>
      </c>
    </row>
    <row r="1184" spans="3:11" x14ac:dyDescent="0.25">
      <c r="C1184" t="str">
        <f>IF(COUNTBLANK(E1184:K1184) = 7,"",IF(AND(NOT(ISBLANK(E1184)),COUNTBLANK(E1184:K1184) = 6),"3 Delete",IF(ISBLANK(E1184),"2 Add",IF(SHA1Range(E1184:K1184) = "54c9dfe852af39a6ab7260ab14b42e431c6b5a77","0 Original","1 Modify"))))</f>
        <v>0 Original</v>
      </c>
      <c r="D1184" s="3" t="s">
        <v>1808</v>
      </c>
      <c r="E1184" s="5">
        <v>1186</v>
      </c>
      <c r="F1184">
        <v>360</v>
      </c>
      <c r="G1184" t="s">
        <v>58</v>
      </c>
      <c r="H1184" s="7">
        <v>8.99</v>
      </c>
      <c r="I1184" s="5">
        <v>2</v>
      </c>
      <c r="J1184" s="3" t="s">
        <v>29</v>
      </c>
      <c r="K1184" s="9">
        <v>42483.625740740739</v>
      </c>
    </row>
    <row r="1185" spans="3:11" x14ac:dyDescent="0.25">
      <c r="C1185" t="str">
        <f>IF(COUNTBLANK(E1185:K1185) = 7,"",IF(AND(NOT(ISBLANK(E1185)),COUNTBLANK(E1185:K1185) = 6),"3 Delete",IF(ISBLANK(E1185),"2 Add",IF(SHA1Range(E1185:K1185) = "eed8fdb9df32ee17b8733c7c36647c6fd4dd4e6e","0 Original","1 Modify"))))</f>
        <v>0 Original</v>
      </c>
      <c r="D1185" s="3" t="s">
        <v>1809</v>
      </c>
      <c r="E1185" s="5">
        <v>1187</v>
      </c>
      <c r="F1185">
        <v>361</v>
      </c>
      <c r="G1185" t="s">
        <v>407</v>
      </c>
      <c r="H1185" s="7">
        <v>9.99</v>
      </c>
      <c r="I1185" s="5">
        <v>1</v>
      </c>
      <c r="J1185" s="3" t="s">
        <v>29</v>
      </c>
      <c r="K1185" s="9">
        <v>42483.625740740739</v>
      </c>
    </row>
    <row r="1186" spans="3:11" x14ac:dyDescent="0.25">
      <c r="C1186" t="str">
        <f>IF(COUNTBLANK(E1186:K1186) = 7,"",IF(AND(NOT(ISBLANK(E1186)),COUNTBLANK(E1186:K1186) = 6),"3 Delete",IF(ISBLANK(E1186),"2 Add",IF(SHA1Range(E1186:K1186) = "57722c96af1469c4b0d34f382c06298fd7ff84a3","0 Original","1 Modify"))))</f>
        <v>0 Original</v>
      </c>
      <c r="D1186" s="3" t="s">
        <v>1810</v>
      </c>
      <c r="E1186" s="5">
        <v>1188</v>
      </c>
      <c r="F1186">
        <v>361</v>
      </c>
      <c r="G1186" t="s">
        <v>51</v>
      </c>
      <c r="H1186" s="7">
        <v>9.99</v>
      </c>
      <c r="I1186" s="5">
        <v>1</v>
      </c>
      <c r="J1186" s="3" t="s">
        <v>29</v>
      </c>
      <c r="K1186" s="9">
        <v>42483.625740740739</v>
      </c>
    </row>
    <row r="1187" spans="3:11" x14ac:dyDescent="0.25">
      <c r="C1187" t="str">
        <f>IF(COUNTBLANK(E1187:K1187) = 7,"",IF(AND(NOT(ISBLANK(E1187)),COUNTBLANK(E1187:K1187) = 6),"3 Delete",IF(ISBLANK(E1187),"2 Add",IF(SHA1Range(E1187:K1187) = "6ae1fa09f402d02b6f5ca43d4d8b99402b987a75","0 Original","1 Modify"))))</f>
        <v>0 Original</v>
      </c>
      <c r="D1187" s="3" t="s">
        <v>1811</v>
      </c>
      <c r="E1187" s="5">
        <v>1189</v>
      </c>
      <c r="F1187">
        <v>361</v>
      </c>
      <c r="G1187" t="s">
        <v>126</v>
      </c>
      <c r="H1187" s="7">
        <v>6.99</v>
      </c>
      <c r="I1187" s="5">
        <v>2</v>
      </c>
      <c r="J1187" s="3" t="s">
        <v>29</v>
      </c>
      <c r="K1187" s="9">
        <v>42483.625740740739</v>
      </c>
    </row>
    <row r="1188" spans="3:11" x14ac:dyDescent="0.25">
      <c r="C1188" t="str">
        <f>IF(COUNTBLANK(E1188:K1188) = 7,"",IF(AND(NOT(ISBLANK(E1188)),COUNTBLANK(E1188:K1188) = 6),"3 Delete",IF(ISBLANK(E1188),"2 Add",IF(SHA1Range(E1188:K1188) = "6b70defc94004e028b55a8dde5c4e40fdd7396aa","0 Original","1 Modify"))))</f>
        <v>0 Original</v>
      </c>
      <c r="D1188" s="3" t="s">
        <v>1812</v>
      </c>
      <c r="E1188" s="5">
        <v>1190</v>
      </c>
      <c r="F1188">
        <v>362</v>
      </c>
      <c r="G1188" t="s">
        <v>459</v>
      </c>
      <c r="H1188" s="7">
        <v>5.99</v>
      </c>
      <c r="I1188" s="5">
        <v>1</v>
      </c>
      <c r="J1188" s="3" t="s">
        <v>29</v>
      </c>
      <c r="K1188" s="9">
        <v>42483.625740740739</v>
      </c>
    </row>
    <row r="1189" spans="3:11" x14ac:dyDescent="0.25">
      <c r="C1189" t="str">
        <f>IF(COUNTBLANK(E1189:K1189) = 7,"",IF(AND(NOT(ISBLANK(E1189)),COUNTBLANK(E1189:K1189) = 6),"3 Delete",IF(ISBLANK(E1189),"2 Add",IF(SHA1Range(E1189:K1189) = "2f7794d6863e85b876d484abc71eff8b6805c2f0","0 Original","1 Modify"))))</f>
        <v>0 Original</v>
      </c>
      <c r="D1189" s="3" t="s">
        <v>1813</v>
      </c>
      <c r="E1189" s="5">
        <v>1191</v>
      </c>
      <c r="F1189">
        <v>362</v>
      </c>
      <c r="G1189" t="s">
        <v>421</v>
      </c>
      <c r="H1189" s="7">
        <v>6.99</v>
      </c>
      <c r="I1189" s="5">
        <v>2</v>
      </c>
      <c r="J1189" s="3" t="s">
        <v>29</v>
      </c>
      <c r="K1189" s="9">
        <v>42483.625740740739</v>
      </c>
    </row>
    <row r="1190" spans="3:11" x14ac:dyDescent="0.25">
      <c r="C1190" t="str">
        <f>IF(COUNTBLANK(E1190:K1190) = 7,"",IF(AND(NOT(ISBLANK(E1190)),COUNTBLANK(E1190:K1190) = 6),"3 Delete",IF(ISBLANK(E1190),"2 Add",IF(SHA1Range(E1190:K1190) = "b977092bae51cfcb5e592dc12df474f8df60bd25","0 Original","1 Modify"))))</f>
        <v>0 Original</v>
      </c>
      <c r="D1190" s="3" t="s">
        <v>1814</v>
      </c>
      <c r="E1190" s="5">
        <v>1192</v>
      </c>
      <c r="F1190">
        <v>362</v>
      </c>
      <c r="G1190" t="s">
        <v>250</v>
      </c>
      <c r="H1190" s="7">
        <v>8.99</v>
      </c>
      <c r="I1190" s="5">
        <v>1</v>
      </c>
      <c r="J1190" s="3" t="s">
        <v>29</v>
      </c>
      <c r="K1190" s="9">
        <v>42483.625740740739</v>
      </c>
    </row>
    <row r="1191" spans="3:11" x14ac:dyDescent="0.25">
      <c r="C1191" t="str">
        <f>IF(COUNTBLANK(E1191:K1191) = 7,"",IF(AND(NOT(ISBLANK(E1191)),COUNTBLANK(E1191:K1191) = 6),"3 Delete",IF(ISBLANK(E1191),"2 Add",IF(SHA1Range(E1191:K1191) = "a1f189bf83c84890ef0f2be7caccb1c5f93f01ad","0 Original","1 Modify"))))</f>
        <v>0 Original</v>
      </c>
      <c r="D1191" s="3" t="s">
        <v>1815</v>
      </c>
      <c r="E1191" s="5">
        <v>1193</v>
      </c>
      <c r="F1191">
        <v>362</v>
      </c>
      <c r="G1191" t="s">
        <v>503</v>
      </c>
      <c r="H1191" s="7">
        <v>8.99</v>
      </c>
      <c r="I1191" s="5">
        <v>1</v>
      </c>
      <c r="J1191" s="3" t="s">
        <v>29</v>
      </c>
      <c r="K1191" s="9">
        <v>42483.625740740739</v>
      </c>
    </row>
    <row r="1192" spans="3:11" x14ac:dyDescent="0.25">
      <c r="C1192" t="str">
        <f>IF(COUNTBLANK(E1192:K1192) = 7,"",IF(AND(NOT(ISBLANK(E1192)),COUNTBLANK(E1192:K1192) = 6),"3 Delete",IF(ISBLANK(E1192),"2 Add",IF(SHA1Range(E1192:K1192) = "949b44cce6142e4329cad3b6d7fa27c9a69ead34","0 Original","1 Modify"))))</f>
        <v>0 Original</v>
      </c>
      <c r="D1192" s="3" t="s">
        <v>1816</v>
      </c>
      <c r="E1192" s="5">
        <v>1194</v>
      </c>
      <c r="F1192">
        <v>363</v>
      </c>
      <c r="G1192" t="s">
        <v>456</v>
      </c>
      <c r="H1192" s="7">
        <v>9.99</v>
      </c>
      <c r="I1192" s="5">
        <v>1</v>
      </c>
      <c r="J1192" s="3" t="s">
        <v>29</v>
      </c>
      <c r="K1192" s="9">
        <v>42483.625740740739</v>
      </c>
    </row>
    <row r="1193" spans="3:11" x14ac:dyDescent="0.25">
      <c r="C1193" t="str">
        <f>IF(COUNTBLANK(E1193:K1193) = 7,"",IF(AND(NOT(ISBLANK(E1193)),COUNTBLANK(E1193:K1193) = 6),"3 Delete",IF(ISBLANK(E1193),"2 Add",IF(SHA1Range(E1193:K1193) = "3e749b9ed1e1d9976f66d3da9c01d3c945ddc945","0 Original","1 Modify"))))</f>
        <v>0 Original</v>
      </c>
      <c r="D1193" s="3" t="s">
        <v>1817</v>
      </c>
      <c r="E1193" s="5">
        <v>1195</v>
      </c>
      <c r="F1193">
        <v>363</v>
      </c>
      <c r="G1193" t="s">
        <v>599</v>
      </c>
      <c r="H1193" s="7">
        <v>5.99</v>
      </c>
      <c r="I1193" s="5">
        <v>2</v>
      </c>
      <c r="J1193" s="3" t="s">
        <v>29</v>
      </c>
      <c r="K1193" s="9">
        <v>42483.625740740739</v>
      </c>
    </row>
    <row r="1194" spans="3:11" x14ac:dyDescent="0.25">
      <c r="C1194" t="str">
        <f>IF(COUNTBLANK(E1194:K1194) = 7,"",IF(AND(NOT(ISBLANK(E1194)),COUNTBLANK(E1194:K1194) = 6),"3 Delete",IF(ISBLANK(E1194),"2 Add",IF(SHA1Range(E1194:K1194) = "5746dc5698c8e7456cc3f29ba0a9a6e9c70c14be","0 Original","1 Modify"))))</f>
        <v>0 Original</v>
      </c>
      <c r="D1194" s="3" t="s">
        <v>1818</v>
      </c>
      <c r="E1194" s="5">
        <v>1196</v>
      </c>
      <c r="F1194">
        <v>363</v>
      </c>
      <c r="G1194" t="s">
        <v>599</v>
      </c>
      <c r="H1194" s="7">
        <v>5.99</v>
      </c>
      <c r="I1194" s="5">
        <v>1</v>
      </c>
      <c r="J1194" s="3" t="s">
        <v>29</v>
      </c>
      <c r="K1194" s="9">
        <v>42483.625740740739</v>
      </c>
    </row>
    <row r="1195" spans="3:11" x14ac:dyDescent="0.25">
      <c r="C1195" t="str">
        <f>IF(COUNTBLANK(E1195:K1195) = 7,"",IF(AND(NOT(ISBLANK(E1195)),COUNTBLANK(E1195:K1195) = 6),"3 Delete",IF(ISBLANK(E1195),"2 Add",IF(SHA1Range(E1195:K1195) = "87301818c6b1aa73f93a6c51f96cd73e57bac758","0 Original","1 Modify"))))</f>
        <v>0 Original</v>
      </c>
      <c r="D1195" s="3" t="s">
        <v>1819</v>
      </c>
      <c r="E1195" s="5">
        <v>1197</v>
      </c>
      <c r="F1195">
        <v>363</v>
      </c>
      <c r="G1195" t="s">
        <v>133</v>
      </c>
      <c r="H1195" s="7">
        <v>7.99</v>
      </c>
      <c r="I1195" s="5">
        <v>2</v>
      </c>
      <c r="J1195" s="3" t="s">
        <v>29</v>
      </c>
      <c r="K1195" s="9">
        <v>42483.625740740739</v>
      </c>
    </row>
    <row r="1196" spans="3:11" x14ac:dyDescent="0.25">
      <c r="C1196" t="str">
        <f>IF(COUNTBLANK(E1196:K1196) = 7,"",IF(AND(NOT(ISBLANK(E1196)),COUNTBLANK(E1196:K1196) = 6),"3 Delete",IF(ISBLANK(E1196),"2 Add",IF(SHA1Range(E1196:K1196) = "a5890e34d05ed7a5aaaff92a4e1f82e6a5afcc3c","0 Original","1 Modify"))))</f>
        <v>0 Original</v>
      </c>
      <c r="D1196" s="3" t="s">
        <v>1820</v>
      </c>
      <c r="E1196" s="5">
        <v>1198</v>
      </c>
      <c r="F1196">
        <v>364</v>
      </c>
      <c r="G1196" t="s">
        <v>459</v>
      </c>
      <c r="H1196" s="7">
        <v>5.99</v>
      </c>
      <c r="I1196" s="5">
        <v>1</v>
      </c>
      <c r="J1196" s="3" t="s">
        <v>29</v>
      </c>
      <c r="K1196" s="9">
        <v>42483.625740740739</v>
      </c>
    </row>
    <row r="1197" spans="3:11" x14ac:dyDescent="0.25">
      <c r="C1197" t="str">
        <f>IF(COUNTBLANK(E1197:K1197) = 7,"",IF(AND(NOT(ISBLANK(E1197)),COUNTBLANK(E1197:K1197) = 6),"3 Delete",IF(ISBLANK(E1197),"2 Add",IF(SHA1Range(E1197:K1197) = "8287e428b8cef7b3e39860c5cc25ccb34896abd8","0 Original","1 Modify"))))</f>
        <v>0 Original</v>
      </c>
      <c r="D1197" s="3" t="s">
        <v>1821</v>
      </c>
      <c r="E1197" s="5">
        <v>1199</v>
      </c>
      <c r="F1197">
        <v>364</v>
      </c>
      <c r="G1197" t="s">
        <v>421</v>
      </c>
      <c r="H1197" s="7">
        <v>6.99</v>
      </c>
      <c r="I1197" s="5">
        <v>1</v>
      </c>
      <c r="J1197" s="3" t="s">
        <v>29</v>
      </c>
      <c r="K1197" s="9">
        <v>42483.625740740739</v>
      </c>
    </row>
    <row r="1198" spans="3:11" x14ac:dyDescent="0.25">
      <c r="C1198" t="str">
        <f>IF(COUNTBLANK(E1198:K1198) = 7,"",IF(AND(NOT(ISBLANK(E1198)),COUNTBLANK(E1198:K1198) = 6),"3 Delete",IF(ISBLANK(E1198),"2 Add",IF(SHA1Range(E1198:K1198) = "d626967e94886c475f9fbd16ddf4a695e4eb9893","0 Original","1 Modify"))))</f>
        <v>0 Original</v>
      </c>
      <c r="D1198" s="3" t="s">
        <v>1822</v>
      </c>
      <c r="E1198" s="5">
        <v>1200</v>
      </c>
      <c r="F1198">
        <v>364</v>
      </c>
      <c r="G1198" t="s">
        <v>250</v>
      </c>
      <c r="H1198" s="7">
        <v>8.99</v>
      </c>
      <c r="I1198" s="5">
        <v>1</v>
      </c>
      <c r="J1198" s="3" t="s">
        <v>29</v>
      </c>
      <c r="K1198" s="9">
        <v>42483.625740740739</v>
      </c>
    </row>
    <row r="1199" spans="3:11" x14ac:dyDescent="0.25">
      <c r="C1199" t="str">
        <f>IF(COUNTBLANK(E1199:K1199) = 7,"",IF(AND(NOT(ISBLANK(E1199)),COUNTBLANK(E1199:K1199) = 6),"3 Delete",IF(ISBLANK(E1199),"2 Add",IF(SHA1Range(E1199:K1199) = "d4f610814dbbdca9f527034f2383f21fc2c3486d","0 Original","1 Modify"))))</f>
        <v>0 Original</v>
      </c>
      <c r="D1199" s="3" t="s">
        <v>1823</v>
      </c>
      <c r="E1199" s="5">
        <v>1201</v>
      </c>
      <c r="F1199">
        <v>364</v>
      </c>
      <c r="G1199" t="s">
        <v>537</v>
      </c>
      <c r="H1199" s="7">
        <v>7.99</v>
      </c>
      <c r="I1199" s="5">
        <v>1</v>
      </c>
      <c r="J1199" s="3" t="s">
        <v>29</v>
      </c>
      <c r="K1199" s="9">
        <v>42483.625740740739</v>
      </c>
    </row>
    <row r="1200" spans="3:11" x14ac:dyDescent="0.25">
      <c r="C1200" t="str">
        <f>IF(COUNTBLANK(E1200:K1200) = 7,"",IF(AND(NOT(ISBLANK(E1200)),COUNTBLANK(E1200:K1200) = 6),"3 Delete",IF(ISBLANK(E1200),"2 Add",IF(SHA1Range(E1200:K1200) = "62ddd83d7b5d6749c9e49e61fd76a1e5902a8d53","0 Original","1 Modify"))))</f>
        <v>0 Original</v>
      </c>
      <c r="D1200" s="3" t="s">
        <v>1824</v>
      </c>
      <c r="E1200" s="5">
        <v>1202</v>
      </c>
      <c r="F1200">
        <v>364</v>
      </c>
      <c r="G1200" t="s">
        <v>395</v>
      </c>
      <c r="H1200" s="7">
        <v>8.99</v>
      </c>
      <c r="I1200" s="5">
        <v>1</v>
      </c>
      <c r="J1200" s="3" t="s">
        <v>29</v>
      </c>
      <c r="K1200" s="9">
        <v>42483.625740740739</v>
      </c>
    </row>
    <row r="1201" spans="3:11" x14ac:dyDescent="0.25">
      <c r="C1201" t="str">
        <f>IF(COUNTBLANK(E1201:K1201) = 7,"",IF(AND(NOT(ISBLANK(E1201)),COUNTBLANK(E1201:K1201) = 6),"3 Delete",IF(ISBLANK(E1201),"2 Add",IF(SHA1Range(E1201:K1201) = "c9d7d3b57d3b785021755bedf08b77ae8c075cc8","0 Original","1 Modify"))))</f>
        <v>0 Original</v>
      </c>
      <c r="D1201" s="3" t="s">
        <v>1825</v>
      </c>
      <c r="E1201" s="5">
        <v>1203</v>
      </c>
      <c r="F1201">
        <v>365</v>
      </c>
      <c r="G1201" t="s">
        <v>109</v>
      </c>
      <c r="H1201" s="7">
        <v>8.99</v>
      </c>
      <c r="I1201" s="5">
        <v>2</v>
      </c>
      <c r="J1201" s="3" t="s">
        <v>29</v>
      </c>
      <c r="K1201" s="9">
        <v>42483.625740740739</v>
      </c>
    </row>
    <row r="1202" spans="3:11" x14ac:dyDescent="0.25">
      <c r="C1202" t="str">
        <f>IF(COUNTBLANK(E1202:K1202) = 7,"",IF(AND(NOT(ISBLANK(E1202)),COUNTBLANK(E1202:K1202) = 6),"3 Delete",IF(ISBLANK(E1202),"2 Add",IF(SHA1Range(E1202:K1202) = "4046e084ddde3efa7cd181d0d89ae2eb0a9f8aa5","0 Original","1 Modify"))))</f>
        <v>0 Original</v>
      </c>
      <c r="D1202" s="3" t="s">
        <v>1826</v>
      </c>
      <c r="E1202" s="5">
        <v>1204</v>
      </c>
      <c r="F1202">
        <v>365</v>
      </c>
      <c r="G1202" t="s">
        <v>418</v>
      </c>
      <c r="H1202" s="7">
        <v>6.99</v>
      </c>
      <c r="I1202" s="5">
        <v>1</v>
      </c>
      <c r="J1202" s="3" t="s">
        <v>29</v>
      </c>
      <c r="K1202" s="9">
        <v>42483.625740740739</v>
      </c>
    </row>
    <row r="1203" spans="3:11" x14ac:dyDescent="0.25">
      <c r="C1203" t="str">
        <f>IF(COUNTBLANK(E1203:K1203) = 7,"",IF(AND(NOT(ISBLANK(E1203)),COUNTBLANK(E1203:K1203) = 6),"3 Delete",IF(ISBLANK(E1203),"2 Add",IF(SHA1Range(E1203:K1203) = "bec21b6e8856a569e41b5631ffcd0756f3180057","0 Original","1 Modify"))))</f>
        <v>0 Original</v>
      </c>
      <c r="D1203" s="3" t="s">
        <v>1827</v>
      </c>
      <c r="E1203" s="5">
        <v>1205</v>
      </c>
      <c r="F1203">
        <v>365</v>
      </c>
      <c r="G1203" t="s">
        <v>391</v>
      </c>
      <c r="H1203" s="7">
        <v>7.99</v>
      </c>
      <c r="I1203" s="5">
        <v>1</v>
      </c>
      <c r="J1203" s="3" t="s">
        <v>29</v>
      </c>
      <c r="K1203" s="9">
        <v>42483.625740740739</v>
      </c>
    </row>
    <row r="1204" spans="3:11" x14ac:dyDescent="0.25">
      <c r="C1204" t="str">
        <f>IF(COUNTBLANK(E1204:K1204) = 7,"",IF(AND(NOT(ISBLANK(E1204)),COUNTBLANK(E1204:K1204) = 6),"3 Delete",IF(ISBLANK(E1204),"2 Add",IF(SHA1Range(E1204:K1204) = "865d793ec841219851981a019b22faa3e7ed0ce2","0 Original","1 Modify"))))</f>
        <v>0 Original</v>
      </c>
      <c r="D1204" s="3" t="s">
        <v>1828</v>
      </c>
      <c r="E1204" s="5">
        <v>1206</v>
      </c>
      <c r="F1204">
        <v>366</v>
      </c>
      <c r="G1204" t="s">
        <v>230</v>
      </c>
      <c r="H1204" s="7">
        <v>5.99</v>
      </c>
      <c r="I1204" s="5">
        <v>2</v>
      </c>
      <c r="J1204" s="3" t="s">
        <v>29</v>
      </c>
      <c r="K1204" s="9">
        <v>42483.625740740739</v>
      </c>
    </row>
    <row r="1205" spans="3:11" x14ac:dyDescent="0.25">
      <c r="C1205" t="str">
        <f>IF(COUNTBLANK(E1205:K1205) = 7,"",IF(AND(NOT(ISBLANK(E1205)),COUNTBLANK(E1205:K1205) = 6),"3 Delete",IF(ISBLANK(E1205),"2 Add",IF(SHA1Range(E1205:K1205) = "88f8a282f9625d6c978821c2a04e9c87229f5464","0 Original","1 Modify"))))</f>
        <v>0 Original</v>
      </c>
      <c r="D1205" s="3" t="s">
        <v>1829</v>
      </c>
      <c r="E1205" s="5">
        <v>1207</v>
      </c>
      <c r="F1205">
        <v>366</v>
      </c>
      <c r="G1205" t="s">
        <v>246</v>
      </c>
      <c r="H1205" s="7">
        <v>7.99</v>
      </c>
      <c r="I1205" s="5">
        <v>1</v>
      </c>
      <c r="J1205" s="3" t="s">
        <v>29</v>
      </c>
      <c r="K1205" s="9">
        <v>42483.625740740739</v>
      </c>
    </row>
    <row r="1206" spans="3:11" x14ac:dyDescent="0.25">
      <c r="C1206" t="str">
        <f>IF(COUNTBLANK(E1206:K1206) = 7,"",IF(AND(NOT(ISBLANK(E1206)),COUNTBLANK(E1206:K1206) = 6),"3 Delete",IF(ISBLANK(E1206),"2 Add",IF(SHA1Range(E1206:K1206) = "8513d2c0b8af7c85f64a00932e9c164f54ea3aff","0 Original","1 Modify"))))</f>
        <v>0 Original</v>
      </c>
      <c r="D1206" s="3" t="s">
        <v>1830</v>
      </c>
      <c r="E1206" s="5">
        <v>1208</v>
      </c>
      <c r="F1206">
        <v>366</v>
      </c>
      <c r="G1206" t="s">
        <v>335</v>
      </c>
      <c r="H1206" s="7">
        <v>5.99</v>
      </c>
      <c r="I1206" s="5">
        <v>2</v>
      </c>
      <c r="J1206" s="3" t="s">
        <v>29</v>
      </c>
      <c r="K1206" s="9">
        <v>42483.625740740739</v>
      </c>
    </row>
    <row r="1207" spans="3:11" x14ac:dyDescent="0.25">
      <c r="C1207" t="str">
        <f>IF(COUNTBLANK(E1207:K1207) = 7,"",IF(AND(NOT(ISBLANK(E1207)),COUNTBLANK(E1207:K1207) = 6),"3 Delete",IF(ISBLANK(E1207),"2 Add",IF(SHA1Range(E1207:K1207) = "b715bda7c6a505be799545cf330190c36dcc82d2","0 Original","1 Modify"))))</f>
        <v>0 Original</v>
      </c>
      <c r="D1207" s="3" t="s">
        <v>1831</v>
      </c>
      <c r="E1207" s="5">
        <v>1209</v>
      </c>
      <c r="F1207">
        <v>366</v>
      </c>
      <c r="G1207" t="s">
        <v>51</v>
      </c>
      <c r="H1207" s="7">
        <v>9.99</v>
      </c>
      <c r="I1207" s="5">
        <v>2</v>
      </c>
      <c r="J1207" s="3" t="s">
        <v>29</v>
      </c>
      <c r="K1207" s="9">
        <v>42483.625740740739</v>
      </c>
    </row>
    <row r="1208" spans="3:11" x14ac:dyDescent="0.25">
      <c r="C1208" t="str">
        <f>IF(COUNTBLANK(E1208:K1208) = 7,"",IF(AND(NOT(ISBLANK(E1208)),COUNTBLANK(E1208:K1208) = 6),"3 Delete",IF(ISBLANK(E1208),"2 Add",IF(SHA1Range(E1208:K1208) = "781a52f3bea63980030d681079dd081eb01d75e4","0 Original","1 Modify"))))</f>
        <v>0 Original</v>
      </c>
      <c r="D1208" s="3" t="s">
        <v>1832</v>
      </c>
      <c r="E1208" s="5">
        <v>1210</v>
      </c>
      <c r="F1208">
        <v>366</v>
      </c>
      <c r="G1208" t="s">
        <v>503</v>
      </c>
      <c r="H1208" s="7">
        <v>8.99</v>
      </c>
      <c r="I1208" s="5">
        <v>1</v>
      </c>
      <c r="J1208" s="3" t="s">
        <v>29</v>
      </c>
      <c r="K1208" s="9">
        <v>42483.625740740739</v>
      </c>
    </row>
    <row r="1209" spans="3:11" x14ac:dyDescent="0.25">
      <c r="C1209" t="str">
        <f>IF(COUNTBLANK(E1209:K1209) = 7,"",IF(AND(NOT(ISBLANK(E1209)),COUNTBLANK(E1209:K1209) = 6),"3 Delete",IF(ISBLANK(E1209),"2 Add",IF(SHA1Range(E1209:K1209) = "58b60dbbac15717fd1e95d894f658858a5b35332","0 Original","1 Modify"))))</f>
        <v>0 Original</v>
      </c>
      <c r="D1209" s="3" t="s">
        <v>1833</v>
      </c>
      <c r="E1209" s="5">
        <v>1211</v>
      </c>
      <c r="F1209">
        <v>367</v>
      </c>
      <c r="G1209" t="s">
        <v>456</v>
      </c>
      <c r="H1209" s="7">
        <v>9.99</v>
      </c>
      <c r="I1209" s="5">
        <v>1</v>
      </c>
      <c r="J1209" s="3" t="s">
        <v>29</v>
      </c>
      <c r="K1209" s="9">
        <v>42483.625740740739</v>
      </c>
    </row>
    <row r="1210" spans="3:11" x14ac:dyDescent="0.25">
      <c r="C1210" t="str">
        <f>IF(COUNTBLANK(E1210:K1210) = 7,"",IF(AND(NOT(ISBLANK(E1210)),COUNTBLANK(E1210:K1210) = 6),"3 Delete",IF(ISBLANK(E1210),"2 Add",IF(SHA1Range(E1210:K1210) = "25c3b46b22498af11aa1d240bffc30fa67c5e4b5","0 Original","1 Modify"))))</f>
        <v>0 Original</v>
      </c>
      <c r="D1210" s="3" t="s">
        <v>1834</v>
      </c>
      <c r="E1210" s="5">
        <v>1212</v>
      </c>
      <c r="F1210">
        <v>367</v>
      </c>
      <c r="G1210" t="s">
        <v>238</v>
      </c>
      <c r="H1210" s="7">
        <v>5.99</v>
      </c>
      <c r="I1210" s="5">
        <v>1</v>
      </c>
      <c r="J1210" s="3" t="s">
        <v>29</v>
      </c>
      <c r="K1210" s="9">
        <v>42483.625740740739</v>
      </c>
    </row>
    <row r="1211" spans="3:11" x14ac:dyDescent="0.25">
      <c r="C1211" t="str">
        <f>IF(COUNTBLANK(E1211:K1211) = 7,"",IF(AND(NOT(ISBLANK(E1211)),COUNTBLANK(E1211:K1211) = 6),"3 Delete",IF(ISBLANK(E1211),"2 Add",IF(SHA1Range(E1211:K1211) = "70a58c0d787dd794aea185b9667133d3eb831b9b","0 Original","1 Modify"))))</f>
        <v>0 Original</v>
      </c>
      <c r="D1211" s="3" t="s">
        <v>1835</v>
      </c>
      <c r="E1211" s="5">
        <v>1213</v>
      </c>
      <c r="F1211">
        <v>368</v>
      </c>
      <c r="G1211" t="s">
        <v>184</v>
      </c>
      <c r="H1211" s="7">
        <v>8.99</v>
      </c>
      <c r="I1211" s="5">
        <v>2</v>
      </c>
      <c r="J1211" s="3" t="s">
        <v>29</v>
      </c>
      <c r="K1211" s="9">
        <v>42483.625740740739</v>
      </c>
    </row>
    <row r="1212" spans="3:11" x14ac:dyDescent="0.25">
      <c r="C1212" t="str">
        <f>IF(COUNTBLANK(E1212:K1212) = 7,"",IF(AND(NOT(ISBLANK(E1212)),COUNTBLANK(E1212:K1212) = 6),"3 Delete",IF(ISBLANK(E1212),"2 Add",IF(SHA1Range(E1212:K1212) = "0cbb0e6b447ef8f10395c85f250369fdf80c8d81","0 Original","1 Modify"))))</f>
        <v>0 Original</v>
      </c>
      <c r="D1212" s="3" t="s">
        <v>1836</v>
      </c>
      <c r="E1212" s="5">
        <v>1214</v>
      </c>
      <c r="F1212">
        <v>368</v>
      </c>
      <c r="G1212" t="s">
        <v>364</v>
      </c>
      <c r="H1212" s="7">
        <v>9.99</v>
      </c>
      <c r="I1212" s="5">
        <v>1</v>
      </c>
      <c r="J1212" s="3" t="s">
        <v>29</v>
      </c>
      <c r="K1212" s="9">
        <v>42483.625740740739</v>
      </c>
    </row>
    <row r="1213" spans="3:11" x14ac:dyDescent="0.25">
      <c r="C1213" t="str">
        <f>IF(COUNTBLANK(E1213:K1213) = 7,"",IF(AND(NOT(ISBLANK(E1213)),COUNTBLANK(E1213:K1213) = 6),"3 Delete",IF(ISBLANK(E1213),"2 Add",IF(SHA1Range(E1213:K1213) = "c56952555b458b28afd9b0009133273ff21f0715","0 Original","1 Modify"))))</f>
        <v>0 Original</v>
      </c>
      <c r="D1213" s="3" t="s">
        <v>1837</v>
      </c>
      <c r="E1213" s="5">
        <v>1215</v>
      </c>
      <c r="F1213">
        <v>368</v>
      </c>
      <c r="G1213" t="s">
        <v>152</v>
      </c>
      <c r="H1213" s="7">
        <v>5.99</v>
      </c>
      <c r="I1213" s="5">
        <v>2</v>
      </c>
      <c r="J1213" s="3" t="s">
        <v>29</v>
      </c>
      <c r="K1213" s="9">
        <v>42483.625740740739</v>
      </c>
    </row>
    <row r="1214" spans="3:11" x14ac:dyDescent="0.25">
      <c r="C1214" t="str">
        <f>IF(COUNTBLANK(E1214:K1214) = 7,"",IF(AND(NOT(ISBLANK(E1214)),COUNTBLANK(E1214:K1214) = 6),"3 Delete",IF(ISBLANK(E1214),"2 Add",IF(SHA1Range(E1214:K1214) = "38e4de2672a9058c7035ebfc86327e96c3e167bb","0 Original","1 Modify"))))</f>
        <v>0 Original</v>
      </c>
      <c r="D1214" s="3" t="s">
        <v>1838</v>
      </c>
      <c r="E1214" s="5">
        <v>1216</v>
      </c>
      <c r="F1214">
        <v>368</v>
      </c>
      <c r="G1214" t="s">
        <v>407</v>
      </c>
      <c r="H1214" s="7">
        <v>9.99</v>
      </c>
      <c r="I1214" s="5">
        <v>1</v>
      </c>
      <c r="J1214" s="3" t="s">
        <v>29</v>
      </c>
      <c r="K1214" s="9">
        <v>42483.625740740739</v>
      </c>
    </row>
    <row r="1215" spans="3:11" x14ac:dyDescent="0.25">
      <c r="C1215" t="str">
        <f>IF(COUNTBLANK(E1215:K1215) = 7,"",IF(AND(NOT(ISBLANK(E1215)),COUNTBLANK(E1215:K1215) = 6),"3 Delete",IF(ISBLANK(E1215),"2 Add",IF(SHA1Range(E1215:K1215) = "ae6df6379b2a374f3975bf5fbbe6cf91401f864c","0 Original","1 Modify"))))</f>
        <v>0 Original</v>
      </c>
      <c r="D1215" s="3" t="s">
        <v>1839</v>
      </c>
      <c r="E1215" s="5">
        <v>1217</v>
      </c>
      <c r="F1215">
        <v>368</v>
      </c>
      <c r="G1215" t="s">
        <v>254</v>
      </c>
      <c r="H1215" s="7">
        <v>4.99</v>
      </c>
      <c r="I1215" s="5">
        <v>1</v>
      </c>
      <c r="J1215" s="3" t="s">
        <v>29</v>
      </c>
      <c r="K1215" s="9">
        <v>42483.625740740739</v>
      </c>
    </row>
    <row r="1216" spans="3:11" x14ac:dyDescent="0.25">
      <c r="C1216" t="str">
        <f>IF(COUNTBLANK(E1216:K1216) = 7,"",IF(AND(NOT(ISBLANK(E1216)),COUNTBLANK(E1216:K1216) = 6),"3 Delete",IF(ISBLANK(E1216),"2 Add",IF(SHA1Range(E1216:K1216) = "3d9b09b4e29aa011ccb5b97f4cfff787b5d26a0a","0 Original","1 Modify"))))</f>
        <v>0 Original</v>
      </c>
      <c r="D1216" s="3" t="s">
        <v>1840</v>
      </c>
      <c r="E1216" s="5">
        <v>1218</v>
      </c>
      <c r="F1216">
        <v>368</v>
      </c>
      <c r="G1216" t="s">
        <v>418</v>
      </c>
      <c r="H1216" s="7">
        <v>6.99</v>
      </c>
      <c r="I1216" s="5">
        <v>2</v>
      </c>
      <c r="J1216" s="3" t="s">
        <v>29</v>
      </c>
      <c r="K1216" s="9">
        <v>42483.625740740739</v>
      </c>
    </row>
    <row r="1217" spans="3:11" x14ac:dyDescent="0.25">
      <c r="C1217" t="str">
        <f>IF(COUNTBLANK(E1217:K1217) = 7,"",IF(AND(NOT(ISBLANK(E1217)),COUNTBLANK(E1217:K1217) = 6),"3 Delete",IF(ISBLANK(E1217),"2 Add",IF(SHA1Range(E1217:K1217) = "fd58946d5dab96503ee4668316d64cfd99a641b2","0 Original","1 Modify"))))</f>
        <v>0 Original</v>
      </c>
      <c r="D1217" s="3" t="s">
        <v>1841</v>
      </c>
      <c r="E1217" s="5">
        <v>1219</v>
      </c>
      <c r="F1217">
        <v>369</v>
      </c>
      <c r="G1217" t="s">
        <v>546</v>
      </c>
      <c r="H1217" s="7">
        <v>9.99</v>
      </c>
      <c r="I1217" s="5">
        <v>2</v>
      </c>
      <c r="J1217" s="3" t="s">
        <v>29</v>
      </c>
      <c r="K1217" s="9">
        <v>42483.625740740739</v>
      </c>
    </row>
    <row r="1218" spans="3:11" x14ac:dyDescent="0.25">
      <c r="C1218" t="str">
        <f>IF(COUNTBLANK(E1218:K1218) = 7,"",IF(AND(NOT(ISBLANK(E1218)),COUNTBLANK(E1218:K1218) = 6),"3 Delete",IF(ISBLANK(E1218),"2 Add",IF(SHA1Range(E1218:K1218) = "4c885a3d57ba578d0af0af31d5d8a8b4036d0b10","0 Original","1 Modify"))))</f>
        <v>0 Original</v>
      </c>
      <c r="D1218" s="3" t="s">
        <v>1842</v>
      </c>
      <c r="E1218" s="5">
        <v>1220</v>
      </c>
      <c r="F1218">
        <v>369</v>
      </c>
      <c r="G1218" t="s">
        <v>109</v>
      </c>
      <c r="H1218" s="7">
        <v>8.99</v>
      </c>
      <c r="I1218" s="5">
        <v>1</v>
      </c>
      <c r="J1218" s="3" t="s">
        <v>29</v>
      </c>
      <c r="K1218" s="9">
        <v>42483.625740740739</v>
      </c>
    </row>
    <row r="1219" spans="3:11" x14ac:dyDescent="0.25">
      <c r="C1219" t="str">
        <f>IF(COUNTBLANK(E1219:K1219) = 7,"",IF(AND(NOT(ISBLANK(E1219)),COUNTBLANK(E1219:K1219) = 6),"3 Delete",IF(ISBLANK(E1219),"2 Add",IF(SHA1Range(E1219:K1219) = "f9d654a88f7bad16045a78288b4fffcd6515e2b8","0 Original","1 Modify"))))</f>
        <v>0 Original</v>
      </c>
      <c r="D1219" s="3" t="s">
        <v>1843</v>
      </c>
      <c r="E1219" s="5">
        <v>1221</v>
      </c>
      <c r="F1219">
        <v>369</v>
      </c>
      <c r="G1219" t="s">
        <v>407</v>
      </c>
      <c r="H1219" s="7">
        <v>9.99</v>
      </c>
      <c r="I1219" s="5">
        <v>1</v>
      </c>
      <c r="J1219" s="3" t="s">
        <v>29</v>
      </c>
      <c r="K1219" s="9">
        <v>42483.625740740739</v>
      </c>
    </row>
    <row r="1220" spans="3:11" x14ac:dyDescent="0.25">
      <c r="C1220" t="str">
        <f>IF(COUNTBLANK(E1220:K1220) = 7,"",IF(AND(NOT(ISBLANK(E1220)),COUNTBLANK(E1220:K1220) = 6),"3 Delete",IF(ISBLANK(E1220),"2 Add",IF(SHA1Range(E1220:K1220) = "b1ac9dad9a398d98cf964475e0bc471217133c19","0 Original","1 Modify"))))</f>
        <v>0 Original</v>
      </c>
      <c r="D1220" s="3" t="s">
        <v>1844</v>
      </c>
      <c r="E1220" s="5">
        <v>1222</v>
      </c>
      <c r="F1220">
        <v>370</v>
      </c>
      <c r="G1220" t="s">
        <v>238</v>
      </c>
      <c r="H1220" s="7">
        <v>5.99</v>
      </c>
      <c r="I1220" s="5">
        <v>1</v>
      </c>
      <c r="J1220" s="3" t="s">
        <v>29</v>
      </c>
      <c r="K1220" s="9">
        <v>42483.625740740739</v>
      </c>
    </row>
    <row r="1221" spans="3:11" x14ac:dyDescent="0.25">
      <c r="C1221" t="str">
        <f>IF(COUNTBLANK(E1221:K1221) = 7,"",IF(AND(NOT(ISBLANK(E1221)),COUNTBLANK(E1221:K1221) = 6),"3 Delete",IF(ISBLANK(E1221),"2 Add",IF(SHA1Range(E1221:K1221) = "3f401996b6ae853fe23b8fb8aa654be732c828c7","0 Original","1 Modify"))))</f>
        <v>0 Original</v>
      </c>
      <c r="D1221" s="3" t="s">
        <v>1845</v>
      </c>
      <c r="E1221" s="5">
        <v>1223</v>
      </c>
      <c r="F1221">
        <v>370</v>
      </c>
      <c r="G1221" t="s">
        <v>58</v>
      </c>
      <c r="H1221" s="7">
        <v>8.99</v>
      </c>
      <c r="I1221" s="5">
        <v>1</v>
      </c>
      <c r="J1221" s="3" t="s">
        <v>29</v>
      </c>
      <c r="K1221" s="9">
        <v>42483.625740740739</v>
      </c>
    </row>
    <row r="1222" spans="3:11" x14ac:dyDescent="0.25">
      <c r="C1222" t="str">
        <f>IF(COUNTBLANK(E1222:K1222) = 7,"",IF(AND(NOT(ISBLANK(E1222)),COUNTBLANK(E1222:K1222) = 6),"3 Delete",IF(ISBLANK(E1222),"2 Add",IF(SHA1Range(E1222:K1222) = "feffdf30894ffeb7f59e06b5cd732836abc70547","0 Original","1 Modify"))))</f>
        <v>0 Original</v>
      </c>
      <c r="D1222" s="3" t="s">
        <v>1846</v>
      </c>
      <c r="E1222" s="5">
        <v>1224</v>
      </c>
      <c r="F1222">
        <v>370</v>
      </c>
      <c r="G1222" t="s">
        <v>602</v>
      </c>
      <c r="H1222" s="7">
        <v>7.99</v>
      </c>
      <c r="I1222" s="5">
        <v>1</v>
      </c>
      <c r="J1222" s="3" t="s">
        <v>29</v>
      </c>
      <c r="K1222" s="9">
        <v>42483.625740740739</v>
      </c>
    </row>
    <row r="1223" spans="3:11" x14ac:dyDescent="0.25">
      <c r="C1223" t="str">
        <f>IF(COUNTBLANK(E1223:K1223) = 7,"",IF(AND(NOT(ISBLANK(E1223)),COUNTBLANK(E1223:K1223) = 6),"3 Delete",IF(ISBLANK(E1223),"2 Add",IF(SHA1Range(E1223:K1223) = "a0136382af237d6ea4a5c6870622db9ab12b956b","0 Original","1 Modify"))))</f>
        <v>0 Original</v>
      </c>
      <c r="D1223" s="3" t="s">
        <v>1847</v>
      </c>
      <c r="E1223" s="5">
        <v>1225</v>
      </c>
      <c r="F1223">
        <v>371</v>
      </c>
      <c r="G1223" t="s">
        <v>456</v>
      </c>
      <c r="H1223" s="7">
        <v>9.99</v>
      </c>
      <c r="I1223" s="5">
        <v>2</v>
      </c>
      <c r="J1223" s="3" t="s">
        <v>29</v>
      </c>
      <c r="K1223" s="9">
        <v>42483.625740740739</v>
      </c>
    </row>
    <row r="1224" spans="3:11" x14ac:dyDescent="0.25">
      <c r="C1224" t="str">
        <f>IF(COUNTBLANK(E1224:K1224) = 7,"",IF(AND(NOT(ISBLANK(E1224)),COUNTBLANK(E1224:K1224) = 6),"3 Delete",IF(ISBLANK(E1224),"2 Add",IF(SHA1Range(E1224:K1224) = "487be4cf58a2edfaed4ba8d5354cf0219fdb81ef","0 Original","1 Modify"))))</f>
        <v>0 Original</v>
      </c>
      <c r="D1224" s="3" t="s">
        <v>1848</v>
      </c>
      <c r="E1224" s="5">
        <v>1226</v>
      </c>
      <c r="F1224">
        <v>371</v>
      </c>
      <c r="G1224" t="s">
        <v>421</v>
      </c>
      <c r="H1224" s="7">
        <v>6.99</v>
      </c>
      <c r="I1224" s="5">
        <v>1</v>
      </c>
      <c r="J1224" s="3" t="s">
        <v>29</v>
      </c>
      <c r="K1224" s="9">
        <v>42483.625740740739</v>
      </c>
    </row>
    <row r="1225" spans="3:11" x14ac:dyDescent="0.25">
      <c r="C1225" t="str">
        <f>IF(COUNTBLANK(E1225:K1225) = 7,"",IF(AND(NOT(ISBLANK(E1225)),COUNTBLANK(E1225:K1225) = 6),"3 Delete",IF(ISBLANK(E1225),"2 Add",IF(SHA1Range(E1225:K1225) = "d9af4ddbbd7ca6041fe73ef9af790d2f51474733","0 Original","1 Modify"))))</f>
        <v>0 Original</v>
      </c>
      <c r="D1225" s="3" t="s">
        <v>1849</v>
      </c>
      <c r="E1225" s="5">
        <v>1227</v>
      </c>
      <c r="F1225">
        <v>371</v>
      </c>
      <c r="G1225" t="s">
        <v>281</v>
      </c>
      <c r="H1225" s="7">
        <v>7.99</v>
      </c>
      <c r="I1225" s="5">
        <v>1</v>
      </c>
      <c r="J1225" s="3" t="s">
        <v>29</v>
      </c>
      <c r="K1225" s="9">
        <v>42483.625740740739</v>
      </c>
    </row>
    <row r="1226" spans="3:11" x14ac:dyDescent="0.25">
      <c r="C1226" t="str">
        <f>IF(COUNTBLANK(E1226:K1226) = 7,"",IF(AND(NOT(ISBLANK(E1226)),COUNTBLANK(E1226:K1226) = 6),"3 Delete",IF(ISBLANK(E1226),"2 Add",IF(SHA1Range(E1226:K1226) = "a362164de7b1cff245bc6d3ee68b0eb37e786341","0 Original","1 Modify"))))</f>
        <v>0 Original</v>
      </c>
      <c r="D1226" s="3" t="s">
        <v>1850</v>
      </c>
      <c r="E1226" s="5">
        <v>1228</v>
      </c>
      <c r="F1226">
        <v>371</v>
      </c>
      <c r="G1226" t="s">
        <v>142</v>
      </c>
      <c r="H1226" s="7">
        <v>4.99</v>
      </c>
      <c r="I1226" s="5">
        <v>2</v>
      </c>
      <c r="J1226" s="3" t="s">
        <v>29</v>
      </c>
      <c r="K1226" s="9">
        <v>42483.625740740739</v>
      </c>
    </row>
    <row r="1227" spans="3:11" x14ac:dyDescent="0.25">
      <c r="C1227" t="str">
        <f>IF(COUNTBLANK(E1227:K1227) = 7,"",IF(AND(NOT(ISBLANK(E1227)),COUNTBLANK(E1227:K1227) = 6),"3 Delete",IF(ISBLANK(E1227),"2 Add",IF(SHA1Range(E1227:K1227) = "13a1bbd91e03589f0bb77a2469be827ebd1e666f","0 Original","1 Modify"))))</f>
        <v>0 Original</v>
      </c>
      <c r="D1227" s="3" t="s">
        <v>1851</v>
      </c>
      <c r="E1227" s="5">
        <v>1229</v>
      </c>
      <c r="F1227">
        <v>371</v>
      </c>
      <c r="G1227" t="s">
        <v>44</v>
      </c>
      <c r="H1227" s="7">
        <v>6.99</v>
      </c>
      <c r="I1227" s="5">
        <v>1</v>
      </c>
      <c r="J1227" s="3" t="s">
        <v>29</v>
      </c>
      <c r="K1227" s="9">
        <v>42483.625740740739</v>
      </c>
    </row>
    <row r="1228" spans="3:11" x14ac:dyDescent="0.25">
      <c r="C1228" t="str">
        <f>IF(COUNTBLANK(E1228:K1228) = 7,"",IF(AND(NOT(ISBLANK(E1228)),COUNTBLANK(E1228:K1228) = 6),"3 Delete",IF(ISBLANK(E1228),"2 Add",IF(SHA1Range(E1228:K1228) = "ed6477f95afce73b65d5310bdf3ed172ec16ed5d","0 Original","1 Modify"))))</f>
        <v>0 Original</v>
      </c>
      <c r="D1228" s="3" t="s">
        <v>1852</v>
      </c>
      <c r="E1228" s="5">
        <v>1230</v>
      </c>
      <c r="F1228">
        <v>371</v>
      </c>
      <c r="G1228" t="s">
        <v>448</v>
      </c>
      <c r="H1228" s="7">
        <v>8.99</v>
      </c>
      <c r="I1228" s="5">
        <v>1</v>
      </c>
      <c r="J1228" s="3" t="s">
        <v>29</v>
      </c>
      <c r="K1228" s="9">
        <v>42483.625740740739</v>
      </c>
    </row>
    <row r="1229" spans="3:11" x14ac:dyDescent="0.25">
      <c r="C1229" t="str">
        <f>IF(COUNTBLANK(E1229:K1229) = 7,"",IF(AND(NOT(ISBLANK(E1229)),COUNTBLANK(E1229:K1229) = 6),"3 Delete",IF(ISBLANK(E1229),"2 Add",IF(SHA1Range(E1229:K1229) = "275585d624a50b6a6c57da684071e1c364a67570","0 Original","1 Modify"))))</f>
        <v>0 Original</v>
      </c>
      <c r="D1229" s="3" t="s">
        <v>1853</v>
      </c>
      <c r="E1229" s="5">
        <v>1231</v>
      </c>
      <c r="F1229">
        <v>371</v>
      </c>
      <c r="G1229" t="s">
        <v>599</v>
      </c>
      <c r="H1229" s="7">
        <v>5.99</v>
      </c>
      <c r="I1229" s="5">
        <v>2</v>
      </c>
      <c r="J1229" s="3" t="s">
        <v>29</v>
      </c>
      <c r="K1229" s="9">
        <v>42483.625740740739</v>
      </c>
    </row>
    <row r="1230" spans="3:11" x14ac:dyDescent="0.25">
      <c r="C1230" t="str">
        <f>IF(COUNTBLANK(E1230:K1230) = 7,"",IF(AND(NOT(ISBLANK(E1230)),COUNTBLANK(E1230:K1230) = 6),"3 Delete",IF(ISBLANK(E1230),"2 Add",IF(SHA1Range(E1230:K1230) = "fb1a31215c82bd4fdf1ee45f6320fdbee5f04589","0 Original","1 Modify"))))</f>
        <v>0 Original</v>
      </c>
      <c r="D1230" s="3" t="s">
        <v>1854</v>
      </c>
      <c r="E1230" s="5">
        <v>1232</v>
      </c>
      <c r="F1230">
        <v>372</v>
      </c>
      <c r="G1230" t="s">
        <v>250</v>
      </c>
      <c r="H1230" s="7">
        <v>8.99</v>
      </c>
      <c r="I1230" s="5">
        <v>2</v>
      </c>
      <c r="J1230" s="3" t="s">
        <v>29</v>
      </c>
      <c r="K1230" s="9">
        <v>42483.625740740739</v>
      </c>
    </row>
    <row r="1231" spans="3:11" x14ac:dyDescent="0.25">
      <c r="C1231" t="str">
        <f>IF(COUNTBLANK(E1231:K1231) = 7,"",IF(AND(NOT(ISBLANK(E1231)),COUNTBLANK(E1231:K1231) = 6),"3 Delete",IF(ISBLANK(E1231),"2 Add",IF(SHA1Range(E1231:K1231) = "6248842469300551f38507deaee74a6f6d5efade","0 Original","1 Modify"))))</f>
        <v>0 Original</v>
      </c>
      <c r="D1231" s="3" t="s">
        <v>1855</v>
      </c>
      <c r="E1231" s="5">
        <v>1233</v>
      </c>
      <c r="F1231">
        <v>373</v>
      </c>
      <c r="G1231" t="s">
        <v>525</v>
      </c>
      <c r="H1231" s="7">
        <v>4.99</v>
      </c>
      <c r="I1231" s="5">
        <v>1</v>
      </c>
      <c r="J1231" s="3" t="s">
        <v>29</v>
      </c>
      <c r="K1231" s="9">
        <v>42483.625740740739</v>
      </c>
    </row>
    <row r="1232" spans="3:11" x14ac:dyDescent="0.25">
      <c r="C1232" t="str">
        <f>IF(COUNTBLANK(E1232:K1232) = 7,"",IF(AND(NOT(ISBLANK(E1232)),COUNTBLANK(E1232:K1232) = 6),"3 Delete",IF(ISBLANK(E1232),"2 Add",IF(SHA1Range(E1232:K1232) = "ae319f1def3d50cce72b7fc33a3a38a1e021cc74","0 Original","1 Modify"))))</f>
        <v>0 Original</v>
      </c>
      <c r="D1232" s="3" t="s">
        <v>1856</v>
      </c>
      <c r="E1232" s="5">
        <v>1234</v>
      </c>
      <c r="F1232">
        <v>373</v>
      </c>
      <c r="G1232" t="s">
        <v>51</v>
      </c>
      <c r="H1232" s="7">
        <v>9.99</v>
      </c>
      <c r="I1232" s="5">
        <v>1</v>
      </c>
      <c r="J1232" s="3" t="s">
        <v>29</v>
      </c>
      <c r="K1232" s="9">
        <v>42483.625740740739</v>
      </c>
    </row>
    <row r="1233" spans="3:11" x14ac:dyDescent="0.25">
      <c r="C1233" t="str">
        <f>IF(COUNTBLANK(E1233:K1233) = 7,"",IF(AND(NOT(ISBLANK(E1233)),COUNTBLANK(E1233:K1233) = 6),"3 Delete",IF(ISBLANK(E1233),"2 Add",IF(SHA1Range(E1233:K1233) = "ff03cbf50359ddaa27d2a0cf6414ed0117640f86","0 Original","1 Modify"))))</f>
        <v>0 Original</v>
      </c>
      <c r="D1233" s="3" t="s">
        <v>1857</v>
      </c>
      <c r="E1233" s="5">
        <v>1235</v>
      </c>
      <c r="F1233">
        <v>374</v>
      </c>
      <c r="G1233" t="s">
        <v>525</v>
      </c>
      <c r="H1233" s="7">
        <v>4.99</v>
      </c>
      <c r="I1233" s="5">
        <v>2</v>
      </c>
      <c r="J1233" s="3" t="s">
        <v>29</v>
      </c>
      <c r="K1233" s="9">
        <v>42483.625740740739</v>
      </c>
    </row>
    <row r="1234" spans="3:11" x14ac:dyDescent="0.25">
      <c r="C1234" t="str">
        <f>IF(COUNTBLANK(E1234:K1234) = 7,"",IF(AND(NOT(ISBLANK(E1234)),COUNTBLANK(E1234:K1234) = 6),"3 Delete",IF(ISBLANK(E1234),"2 Add",IF(SHA1Range(E1234:K1234) = "7b722093dc95cdb0e93aec4cabf3671042b27a4e","0 Original","1 Modify"))))</f>
        <v>0 Original</v>
      </c>
      <c r="D1234" s="3" t="s">
        <v>1858</v>
      </c>
      <c r="E1234" s="5">
        <v>1236</v>
      </c>
      <c r="F1234">
        <v>374</v>
      </c>
      <c r="G1234" t="s">
        <v>573</v>
      </c>
      <c r="H1234" s="7">
        <v>9.99</v>
      </c>
      <c r="I1234" s="5">
        <v>1</v>
      </c>
      <c r="J1234" s="3" t="s">
        <v>29</v>
      </c>
      <c r="K1234" s="9">
        <v>42483.625740740739</v>
      </c>
    </row>
    <row r="1235" spans="3:11" x14ac:dyDescent="0.25">
      <c r="C1235" t="str">
        <f>IF(COUNTBLANK(E1235:K1235) = 7,"",IF(AND(NOT(ISBLANK(E1235)),COUNTBLANK(E1235:K1235) = 6),"3 Delete",IF(ISBLANK(E1235),"2 Add",IF(SHA1Range(E1235:K1235) = "a623bdc895f7ceba6902b257508e08f111d75ba9","0 Original","1 Modify"))))</f>
        <v>0 Original</v>
      </c>
      <c r="D1235" s="3" t="s">
        <v>1859</v>
      </c>
      <c r="E1235" s="5">
        <v>1237</v>
      </c>
      <c r="F1235">
        <v>375</v>
      </c>
      <c r="G1235" t="s">
        <v>537</v>
      </c>
      <c r="H1235" s="7">
        <v>7.99</v>
      </c>
      <c r="I1235" s="5">
        <v>2</v>
      </c>
      <c r="J1235" s="3" t="s">
        <v>29</v>
      </c>
      <c r="K1235" s="9">
        <v>42483.625740740739</v>
      </c>
    </row>
    <row r="1236" spans="3:11" x14ac:dyDescent="0.25">
      <c r="C1236" t="str">
        <f>IF(COUNTBLANK(E1236:K1236) = 7,"",IF(AND(NOT(ISBLANK(E1236)),COUNTBLANK(E1236:K1236) = 6),"3 Delete",IF(ISBLANK(E1236),"2 Add",IF(SHA1Range(E1236:K1236) = "a77b2f06c4a670d529d8100887e6875c61cb16d9","0 Original","1 Modify"))))</f>
        <v>0 Original</v>
      </c>
      <c r="D1236" s="3" t="s">
        <v>1860</v>
      </c>
      <c r="E1236" s="5">
        <v>1238</v>
      </c>
      <c r="F1236">
        <v>375</v>
      </c>
      <c r="G1236" t="s">
        <v>130</v>
      </c>
      <c r="H1236" s="7">
        <v>8.99</v>
      </c>
      <c r="I1236" s="5">
        <v>1</v>
      </c>
      <c r="J1236" s="3" t="s">
        <v>29</v>
      </c>
      <c r="K1236" s="9">
        <v>42483.625740740739</v>
      </c>
    </row>
    <row r="1237" spans="3:11" x14ac:dyDescent="0.25">
      <c r="C1237" t="str">
        <f>IF(COUNTBLANK(E1237:K1237) = 7,"",IF(AND(NOT(ISBLANK(E1237)),COUNTBLANK(E1237:K1237) = 6),"3 Delete",IF(ISBLANK(E1237),"2 Add",IF(SHA1Range(E1237:K1237) = "43712ce972a636621f58d5e1c613df3faebe9684","0 Original","1 Modify"))))</f>
        <v>0 Original</v>
      </c>
      <c r="D1237" s="3" t="s">
        <v>1861</v>
      </c>
      <c r="E1237" s="5">
        <v>1239</v>
      </c>
      <c r="F1237">
        <v>375</v>
      </c>
      <c r="G1237" t="s">
        <v>525</v>
      </c>
      <c r="H1237" s="7">
        <v>4.99</v>
      </c>
      <c r="I1237" s="5">
        <v>3</v>
      </c>
      <c r="J1237" s="3" t="s">
        <v>29</v>
      </c>
      <c r="K1237" s="9">
        <v>42483.625740740739</v>
      </c>
    </row>
    <row r="1238" spans="3:11" x14ac:dyDescent="0.25">
      <c r="C1238" t="str">
        <f>IF(COUNTBLANK(E1238:K1238) = 7,"",IF(AND(NOT(ISBLANK(E1238)),COUNTBLANK(E1238:K1238) = 6),"3 Delete",IF(ISBLANK(E1238),"2 Add",IF(SHA1Range(E1238:K1238) = "ae86a129c577939e6191f8685cd55f9941d28fd4","0 Original","1 Modify"))))</f>
        <v>0 Original</v>
      </c>
      <c r="D1238" s="3" t="s">
        <v>1862</v>
      </c>
      <c r="E1238" s="5">
        <v>1240</v>
      </c>
      <c r="F1238">
        <v>375</v>
      </c>
      <c r="G1238" t="s">
        <v>576</v>
      </c>
      <c r="H1238" s="7">
        <v>5.99</v>
      </c>
      <c r="I1238" s="5">
        <v>2</v>
      </c>
      <c r="J1238" s="3" t="s">
        <v>29</v>
      </c>
      <c r="K1238" s="9">
        <v>42483.625740740739</v>
      </c>
    </row>
    <row r="1239" spans="3:11" x14ac:dyDescent="0.25">
      <c r="C1239" t="str">
        <f>IF(COUNTBLANK(E1239:K1239) = 7,"",IF(AND(NOT(ISBLANK(E1239)),COUNTBLANK(E1239:K1239) = 6),"3 Delete",IF(ISBLANK(E1239),"2 Add",IF(SHA1Range(E1239:K1239) = "d8190d819b714f77637a15e9944532d4d17568c9","0 Original","1 Modify"))))</f>
        <v>0 Original</v>
      </c>
      <c r="D1239" s="3" t="s">
        <v>1863</v>
      </c>
      <c r="E1239" s="5">
        <v>1241</v>
      </c>
      <c r="F1239">
        <v>375</v>
      </c>
      <c r="G1239" t="s">
        <v>525</v>
      </c>
      <c r="H1239" s="7">
        <v>4.99</v>
      </c>
      <c r="I1239" s="5">
        <v>1</v>
      </c>
      <c r="J1239" s="3" t="s">
        <v>29</v>
      </c>
      <c r="K1239" s="9">
        <v>42483.625740740739</v>
      </c>
    </row>
    <row r="1240" spans="3:11" x14ac:dyDescent="0.25">
      <c r="C1240" t="str">
        <f>IF(COUNTBLANK(E1240:K1240) = 7,"",IF(AND(NOT(ISBLANK(E1240)),COUNTBLANK(E1240:K1240) = 6),"3 Delete",IF(ISBLANK(E1240),"2 Add",IF(SHA1Range(E1240:K1240) = "a378563a530feb1de6e7bf9e69b7c458ea832a96","0 Original","1 Modify"))))</f>
        <v>0 Original</v>
      </c>
      <c r="D1240" s="3" t="s">
        <v>1864</v>
      </c>
      <c r="E1240" s="5">
        <v>1242</v>
      </c>
      <c r="F1240">
        <v>375</v>
      </c>
      <c r="G1240" t="s">
        <v>30</v>
      </c>
      <c r="H1240" s="7">
        <v>9.99</v>
      </c>
      <c r="I1240" s="5">
        <v>1</v>
      </c>
      <c r="J1240" s="3" t="s">
        <v>29</v>
      </c>
      <c r="K1240" s="9">
        <v>42483.625740740739</v>
      </c>
    </row>
    <row r="1241" spans="3:11" x14ac:dyDescent="0.25">
      <c r="C1241" t="str">
        <f>IF(COUNTBLANK(E1241:K1241) = 7,"",IF(AND(NOT(ISBLANK(E1241)),COUNTBLANK(E1241:K1241) = 6),"3 Delete",IF(ISBLANK(E1241),"2 Add",IF(SHA1Range(E1241:K1241) = "f29f2cebee3ec6e48c34f4212f23b12306618acd","0 Original","1 Modify"))))</f>
        <v>0 Original</v>
      </c>
      <c r="D1241" s="3" t="s">
        <v>1865</v>
      </c>
      <c r="E1241" s="5">
        <v>1243</v>
      </c>
      <c r="F1241">
        <v>376</v>
      </c>
      <c r="G1241" t="s">
        <v>599</v>
      </c>
      <c r="H1241" s="7">
        <v>5.99</v>
      </c>
      <c r="I1241" s="5">
        <v>1</v>
      </c>
      <c r="J1241" s="3" t="s">
        <v>29</v>
      </c>
      <c r="K1241" s="9">
        <v>42483.625740740739</v>
      </c>
    </row>
    <row r="1242" spans="3:11" x14ac:dyDescent="0.25">
      <c r="C1242" t="str">
        <f>IF(COUNTBLANK(E1242:K1242) = 7,"",IF(AND(NOT(ISBLANK(E1242)),COUNTBLANK(E1242:K1242) = 6),"3 Delete",IF(ISBLANK(E1242),"2 Add",IF(SHA1Range(E1242:K1242) = "e132c094835d94c38bfc6b9ba205d5ff6b0233f4","0 Original","1 Modify"))))</f>
        <v>0 Original</v>
      </c>
      <c r="D1242" s="3" t="s">
        <v>1866</v>
      </c>
      <c r="E1242" s="5">
        <v>1244</v>
      </c>
      <c r="F1242">
        <v>376</v>
      </c>
      <c r="G1242" t="s">
        <v>126</v>
      </c>
      <c r="H1242" s="7">
        <v>6.99</v>
      </c>
      <c r="I1242" s="5">
        <v>1</v>
      </c>
      <c r="J1242" s="3" t="s">
        <v>29</v>
      </c>
      <c r="K1242" s="9">
        <v>42483.625740740739</v>
      </c>
    </row>
    <row r="1243" spans="3:11" x14ac:dyDescent="0.25">
      <c r="C1243" t="str">
        <f>IF(COUNTBLANK(E1243:K1243) = 7,"",IF(AND(NOT(ISBLANK(E1243)),COUNTBLANK(E1243:K1243) = 6),"3 Delete",IF(ISBLANK(E1243),"2 Add",IF(SHA1Range(E1243:K1243) = "cff0281bc60325bd8292a5707b6ffc9d314e77c1","0 Original","1 Modify"))))</f>
        <v>0 Original</v>
      </c>
      <c r="D1243" s="3" t="s">
        <v>1867</v>
      </c>
      <c r="E1243" s="5">
        <v>1245</v>
      </c>
      <c r="F1243">
        <v>377</v>
      </c>
      <c r="G1243" t="s">
        <v>456</v>
      </c>
      <c r="H1243" s="7">
        <v>9.99</v>
      </c>
      <c r="I1243" s="5">
        <v>1</v>
      </c>
      <c r="J1243" s="3" t="s">
        <v>29</v>
      </c>
      <c r="K1243" s="9">
        <v>42483.625740740739</v>
      </c>
    </row>
    <row r="1244" spans="3:11" x14ac:dyDescent="0.25">
      <c r="C1244" t="str">
        <f>IF(COUNTBLANK(E1244:K1244) = 7,"",IF(AND(NOT(ISBLANK(E1244)),COUNTBLANK(E1244:K1244) = 6),"3 Delete",IF(ISBLANK(E1244),"2 Add",IF(SHA1Range(E1244:K1244) = "d77b39f6c89f1fa1f62f292d1ea3ec972b52f93a","0 Original","1 Modify"))))</f>
        <v>0 Original</v>
      </c>
      <c r="D1244" s="3" t="s">
        <v>1868</v>
      </c>
      <c r="E1244" s="5">
        <v>1246</v>
      </c>
      <c r="F1244">
        <v>377</v>
      </c>
      <c r="G1244" t="s">
        <v>250</v>
      </c>
      <c r="H1244" s="7">
        <v>8.99</v>
      </c>
      <c r="I1244" s="5">
        <v>2</v>
      </c>
      <c r="J1244" s="3" t="s">
        <v>29</v>
      </c>
      <c r="K1244" s="9">
        <v>42483.625740740739</v>
      </c>
    </row>
    <row r="1245" spans="3:11" x14ac:dyDescent="0.25">
      <c r="C1245" t="str">
        <f>IF(COUNTBLANK(E1245:K1245) = 7,"",IF(AND(NOT(ISBLANK(E1245)),COUNTBLANK(E1245:K1245) = 6),"3 Delete",IF(ISBLANK(E1245),"2 Add",IF(SHA1Range(E1245:K1245) = "e20e5d3b09802716d7a3f197c88dcf47fca6386a","0 Original","1 Modify"))))</f>
        <v>0 Original</v>
      </c>
      <c r="D1245" s="3" t="s">
        <v>1869</v>
      </c>
      <c r="E1245" s="5">
        <v>1247</v>
      </c>
      <c r="F1245">
        <v>377</v>
      </c>
      <c r="G1245" t="s">
        <v>576</v>
      </c>
      <c r="H1245" s="7">
        <v>5.99</v>
      </c>
      <c r="I1245" s="5">
        <v>2</v>
      </c>
      <c r="J1245" s="3" t="s">
        <v>29</v>
      </c>
      <c r="K1245" s="9">
        <v>42483.625740740739</v>
      </c>
    </row>
    <row r="1246" spans="3:11" x14ac:dyDescent="0.25">
      <c r="C1246" t="str">
        <f>IF(COUNTBLANK(E1246:K1246) = 7,"",IF(AND(NOT(ISBLANK(E1246)),COUNTBLANK(E1246:K1246) = 6),"3 Delete",IF(ISBLANK(E1246),"2 Add",IF(SHA1Range(E1246:K1246) = "bb3498b3a3390160bb6e67b020fc275856440e51","0 Original","1 Modify"))))</f>
        <v>0 Original</v>
      </c>
      <c r="D1246" s="3" t="s">
        <v>1870</v>
      </c>
      <c r="E1246" s="5">
        <v>1248</v>
      </c>
      <c r="F1246">
        <v>378</v>
      </c>
      <c r="G1246" t="s">
        <v>503</v>
      </c>
      <c r="H1246" s="7">
        <v>8.99</v>
      </c>
      <c r="I1246" s="5">
        <v>2</v>
      </c>
      <c r="J1246" s="3" t="s">
        <v>29</v>
      </c>
      <c r="K1246" s="9">
        <v>42483.625740740739</v>
      </c>
    </row>
    <row r="1247" spans="3:11" x14ac:dyDescent="0.25">
      <c r="C1247" t="str">
        <f>IF(COUNTBLANK(E1247:K1247) = 7,"",IF(AND(NOT(ISBLANK(E1247)),COUNTBLANK(E1247:K1247) = 6),"3 Delete",IF(ISBLANK(E1247),"2 Add",IF(SHA1Range(E1247:K1247) = "49476f7f88203a66790037b6f6e407c5f42cf192","0 Original","1 Modify"))))</f>
        <v>0 Original</v>
      </c>
      <c r="D1247" s="3" t="s">
        <v>1871</v>
      </c>
      <c r="E1247" s="5">
        <v>1249</v>
      </c>
      <c r="F1247">
        <v>378</v>
      </c>
      <c r="G1247" t="s">
        <v>459</v>
      </c>
      <c r="H1247" s="7">
        <v>5.99</v>
      </c>
      <c r="I1247" s="5">
        <v>1</v>
      </c>
      <c r="J1247" s="3" t="s">
        <v>29</v>
      </c>
      <c r="K1247" s="9">
        <v>42483.625740740739</v>
      </c>
    </row>
    <row r="1248" spans="3:11" x14ac:dyDescent="0.25">
      <c r="C1248" t="str">
        <f>IF(COUNTBLANK(E1248:K1248) = 7,"",IF(AND(NOT(ISBLANK(E1248)),COUNTBLANK(E1248:K1248) = 6),"3 Delete",IF(ISBLANK(E1248),"2 Add",IF(SHA1Range(E1248:K1248) = "49979b46f93147bc7b05de5d1c94e76ba29a5e5a","0 Original","1 Modify"))))</f>
        <v>0 Original</v>
      </c>
      <c r="D1248" s="3" t="s">
        <v>1872</v>
      </c>
      <c r="E1248" s="5">
        <v>1250</v>
      </c>
      <c r="F1248">
        <v>378</v>
      </c>
      <c r="G1248" t="s">
        <v>448</v>
      </c>
      <c r="H1248" s="7">
        <v>8.99</v>
      </c>
      <c r="I1248" s="5">
        <v>2</v>
      </c>
      <c r="J1248" s="3" t="s">
        <v>29</v>
      </c>
      <c r="K1248" s="9">
        <v>42483.625740740739</v>
      </c>
    </row>
    <row r="1249" spans="3:11" x14ac:dyDescent="0.25">
      <c r="C1249" t="str">
        <f>IF(COUNTBLANK(E1249:K1249) = 7,"",IF(AND(NOT(ISBLANK(E1249)),COUNTBLANK(E1249:K1249) = 6),"3 Delete",IF(ISBLANK(E1249),"2 Add",IF(SHA1Range(E1249:K1249) = "1aa88806009a1a69c85b007c7adc91d10ecc8e16","0 Original","1 Modify"))))</f>
        <v>0 Original</v>
      </c>
      <c r="D1249" s="3" t="s">
        <v>1873</v>
      </c>
      <c r="E1249" s="5">
        <v>1251</v>
      </c>
      <c r="F1249">
        <v>378</v>
      </c>
      <c r="G1249" t="s">
        <v>281</v>
      </c>
      <c r="H1249" s="7">
        <v>7.99</v>
      </c>
      <c r="I1249" s="5">
        <v>1</v>
      </c>
      <c r="J1249" s="3" t="s">
        <v>29</v>
      </c>
      <c r="K1249" s="9">
        <v>42483.625740740739</v>
      </c>
    </row>
    <row r="1250" spans="3:11" x14ac:dyDescent="0.25">
      <c r="C1250" t="str">
        <f>IF(COUNTBLANK(E1250:K1250) = 7,"",IF(AND(NOT(ISBLANK(E1250)),COUNTBLANK(E1250:K1250) = 6),"3 Delete",IF(ISBLANK(E1250),"2 Add",IF(SHA1Range(E1250:K1250) = "9ad848edf840517bc6eb778cc06f7863632dd999","0 Original","1 Modify"))))</f>
        <v>0 Original</v>
      </c>
      <c r="D1250" s="3" t="s">
        <v>1874</v>
      </c>
      <c r="E1250" s="5">
        <v>1252</v>
      </c>
      <c r="F1250">
        <v>378</v>
      </c>
      <c r="G1250" t="s">
        <v>456</v>
      </c>
      <c r="H1250" s="7">
        <v>9.99</v>
      </c>
      <c r="I1250" s="5">
        <v>1</v>
      </c>
      <c r="J1250" s="3" t="s">
        <v>29</v>
      </c>
      <c r="K1250" s="9">
        <v>42483.625740740739</v>
      </c>
    </row>
    <row r="1251" spans="3:11" x14ac:dyDescent="0.25">
      <c r="C1251" t="str">
        <f>IF(COUNTBLANK(E1251:K1251) = 7,"",IF(AND(NOT(ISBLANK(E1251)),COUNTBLANK(E1251:K1251) = 6),"3 Delete",IF(ISBLANK(E1251),"2 Add",IF(SHA1Range(E1251:K1251) = "f1b997867add31975094bafff4fc79e4904859ce","0 Original","1 Modify"))))</f>
        <v>0 Original</v>
      </c>
      <c r="D1251" s="3" t="s">
        <v>1875</v>
      </c>
      <c r="E1251" s="5">
        <v>1253</v>
      </c>
      <c r="F1251">
        <v>378</v>
      </c>
      <c r="G1251" t="s">
        <v>133</v>
      </c>
      <c r="H1251" s="7">
        <v>7.99</v>
      </c>
      <c r="I1251" s="5">
        <v>2</v>
      </c>
      <c r="J1251" s="3" t="s">
        <v>29</v>
      </c>
      <c r="K1251" s="9">
        <v>42483.625740740739</v>
      </c>
    </row>
    <row r="1252" spans="3:11" x14ac:dyDescent="0.25">
      <c r="C1252" t="str">
        <f>IF(COUNTBLANK(E1252:K1252) = 7,"",IF(AND(NOT(ISBLANK(E1252)),COUNTBLANK(E1252:K1252) = 6),"3 Delete",IF(ISBLANK(E1252),"2 Add",IF(SHA1Range(E1252:K1252) = "0789d65e26b6ceb78f9b707d2c9141284c55ca38","0 Original","1 Modify"))))</f>
        <v>0 Original</v>
      </c>
      <c r="D1252" s="3" t="s">
        <v>1876</v>
      </c>
      <c r="E1252" s="5">
        <v>1254</v>
      </c>
      <c r="F1252">
        <v>378</v>
      </c>
      <c r="G1252" t="s">
        <v>44</v>
      </c>
      <c r="H1252" s="7">
        <v>6.99</v>
      </c>
      <c r="I1252" s="5">
        <v>1</v>
      </c>
      <c r="J1252" s="3" t="s">
        <v>29</v>
      </c>
      <c r="K1252" s="9">
        <v>42483.625740740739</v>
      </c>
    </row>
    <row r="1253" spans="3:11" x14ac:dyDescent="0.25">
      <c r="C1253" t="str">
        <f>IF(COUNTBLANK(E1253:K1253) = 7,"",IF(AND(NOT(ISBLANK(E1253)),COUNTBLANK(E1253:K1253) = 6),"3 Delete",IF(ISBLANK(E1253),"2 Add",IF(SHA1Range(E1253:K1253) = "050fdc5d32d537e9ff28a4e302ac039bf3ac1d0b","0 Original","1 Modify"))))</f>
        <v>0 Original</v>
      </c>
      <c r="D1253" s="3" t="s">
        <v>1877</v>
      </c>
      <c r="E1253" s="5">
        <v>1255</v>
      </c>
      <c r="F1253">
        <v>378</v>
      </c>
      <c r="G1253" t="s">
        <v>51</v>
      </c>
      <c r="H1253" s="7">
        <v>9.99</v>
      </c>
      <c r="I1253" s="5">
        <v>1</v>
      </c>
      <c r="J1253" s="3" t="s">
        <v>29</v>
      </c>
      <c r="K1253" s="9">
        <v>42483.625740740739</v>
      </c>
    </row>
    <row r="1254" spans="3:11" x14ac:dyDescent="0.25">
      <c r="C1254" t="str">
        <f>IF(COUNTBLANK(E1254:K1254) = 7,"",IF(AND(NOT(ISBLANK(E1254)),COUNTBLANK(E1254:K1254) = 6),"3 Delete",IF(ISBLANK(E1254),"2 Add",IF(SHA1Range(E1254:K1254) = "db1ec0c375ece9ffab7f37e442df9ca9a78f3975","0 Original","1 Modify"))))</f>
        <v>0 Original</v>
      </c>
      <c r="D1254" s="3" t="s">
        <v>1878</v>
      </c>
      <c r="E1254" s="5">
        <v>1256</v>
      </c>
      <c r="F1254">
        <v>379</v>
      </c>
      <c r="G1254" t="s">
        <v>273</v>
      </c>
      <c r="H1254" s="7">
        <v>8.99</v>
      </c>
      <c r="I1254" s="5">
        <v>2</v>
      </c>
      <c r="J1254" s="3" t="s">
        <v>29</v>
      </c>
      <c r="K1254" s="9">
        <v>42483.625740740739</v>
      </c>
    </row>
    <row r="1255" spans="3:11" x14ac:dyDescent="0.25">
      <c r="C1255" t="str">
        <f>IF(COUNTBLANK(E1255:K1255) = 7,"",IF(AND(NOT(ISBLANK(E1255)),COUNTBLANK(E1255:K1255) = 6),"3 Delete",IF(ISBLANK(E1255),"2 Add",IF(SHA1Range(E1255:K1255) = "533665b4d3cb5c91cdfe7aa6bbeafcfa7772c961","0 Original","1 Modify"))))</f>
        <v>0 Original</v>
      </c>
      <c r="D1255" s="3" t="s">
        <v>1879</v>
      </c>
      <c r="E1255" s="5">
        <v>1257</v>
      </c>
      <c r="F1255">
        <v>379</v>
      </c>
      <c r="G1255" t="s">
        <v>238</v>
      </c>
      <c r="H1255" s="7">
        <v>5.99</v>
      </c>
      <c r="I1255" s="5">
        <v>1</v>
      </c>
      <c r="J1255" s="3" t="s">
        <v>29</v>
      </c>
      <c r="K1255" s="9">
        <v>42483.625740740739</v>
      </c>
    </row>
    <row r="1256" spans="3:11" x14ac:dyDescent="0.25">
      <c r="C1256" t="str">
        <f>IF(COUNTBLANK(E1256:K1256) = 7,"",IF(AND(NOT(ISBLANK(E1256)),COUNTBLANK(E1256:K1256) = 6),"3 Delete",IF(ISBLANK(E1256),"2 Add",IF(SHA1Range(E1256:K1256) = "273277677c840ddd04036a72b674b035d4b4d9c5","0 Original","1 Modify"))))</f>
        <v>0 Original</v>
      </c>
      <c r="D1256" s="3" t="s">
        <v>1880</v>
      </c>
      <c r="E1256" s="5">
        <v>1258</v>
      </c>
      <c r="F1256">
        <v>380</v>
      </c>
      <c r="G1256" t="s">
        <v>126</v>
      </c>
      <c r="H1256" s="7">
        <v>6.99</v>
      </c>
      <c r="I1256" s="5">
        <v>1</v>
      </c>
      <c r="J1256" s="3" t="s">
        <v>29</v>
      </c>
      <c r="K1256" s="9">
        <v>42483.625740740739</v>
      </c>
    </row>
    <row r="1257" spans="3:11" x14ac:dyDescent="0.25">
      <c r="C1257" t="str">
        <f>IF(COUNTBLANK(E1257:K1257) = 7,"",IF(AND(NOT(ISBLANK(E1257)),COUNTBLANK(E1257:K1257) = 6),"3 Delete",IF(ISBLANK(E1257),"2 Add",IF(SHA1Range(E1257:K1257) = "be8d96c60e6034db62900e8adb6b9e5d76220266","0 Original","1 Modify"))))</f>
        <v>0 Original</v>
      </c>
      <c r="D1257" s="3" t="s">
        <v>1881</v>
      </c>
      <c r="E1257" s="5">
        <v>1259</v>
      </c>
      <c r="F1257">
        <v>380</v>
      </c>
      <c r="G1257" t="s">
        <v>472</v>
      </c>
      <c r="H1257" s="7">
        <v>6.99</v>
      </c>
      <c r="I1257" s="5">
        <v>1</v>
      </c>
      <c r="J1257" s="3" t="s">
        <v>29</v>
      </c>
      <c r="K1257" s="9">
        <v>42483.625740740739</v>
      </c>
    </row>
    <row r="1258" spans="3:11" x14ac:dyDescent="0.25">
      <c r="C1258" t="str">
        <f>IF(COUNTBLANK(E1258:K1258) = 7,"",IF(AND(NOT(ISBLANK(E1258)),COUNTBLANK(E1258:K1258) = 6),"3 Delete",IF(ISBLANK(E1258),"2 Add",IF(SHA1Range(E1258:K1258) = "5adbd1a911701c10750e64261a8fd5a1aa5b477b","0 Original","1 Modify"))))</f>
        <v>0 Original</v>
      </c>
      <c r="D1258" s="3" t="s">
        <v>1882</v>
      </c>
      <c r="E1258" s="5">
        <v>1260</v>
      </c>
      <c r="F1258">
        <v>380</v>
      </c>
      <c r="G1258" t="s">
        <v>254</v>
      </c>
      <c r="H1258" s="7">
        <v>4.99</v>
      </c>
      <c r="I1258" s="5">
        <v>1</v>
      </c>
      <c r="J1258" s="3" t="s">
        <v>29</v>
      </c>
      <c r="K1258" s="9">
        <v>42483.625740740739</v>
      </c>
    </row>
    <row r="1259" spans="3:11" x14ac:dyDescent="0.25">
      <c r="C1259" t="str">
        <f>IF(COUNTBLANK(E1259:K1259) = 7,"",IF(AND(NOT(ISBLANK(E1259)),COUNTBLANK(E1259:K1259) = 6),"3 Delete",IF(ISBLANK(E1259),"2 Add",IF(SHA1Range(E1259:K1259) = "115d125ebd202f87d271b6155e95c92d56990974","0 Original","1 Modify"))))</f>
        <v>0 Original</v>
      </c>
      <c r="D1259" s="3" t="s">
        <v>1883</v>
      </c>
      <c r="E1259" s="5">
        <v>1261</v>
      </c>
      <c r="F1259">
        <v>381</v>
      </c>
      <c r="G1259" t="s">
        <v>254</v>
      </c>
      <c r="H1259" s="7">
        <v>4.99</v>
      </c>
      <c r="I1259" s="5">
        <v>2</v>
      </c>
      <c r="J1259" s="3" t="s">
        <v>29</v>
      </c>
      <c r="K1259" s="9">
        <v>42483.625740740739</v>
      </c>
    </row>
    <row r="1260" spans="3:11" x14ac:dyDescent="0.25">
      <c r="C1260" t="str">
        <f>IF(COUNTBLANK(E1260:K1260) = 7,"",IF(AND(NOT(ISBLANK(E1260)),COUNTBLANK(E1260:K1260) = 6),"3 Delete",IF(ISBLANK(E1260),"2 Add",IF(SHA1Range(E1260:K1260) = "610dc0379f775d2045698c433a4b2fcf61660da4","0 Original","1 Modify"))))</f>
        <v>0 Original</v>
      </c>
      <c r="D1260" s="3" t="s">
        <v>1884</v>
      </c>
      <c r="E1260" s="5">
        <v>1262</v>
      </c>
      <c r="F1260">
        <v>381</v>
      </c>
      <c r="G1260" t="s">
        <v>58</v>
      </c>
      <c r="H1260" s="7">
        <v>8.99</v>
      </c>
      <c r="I1260" s="5">
        <v>1</v>
      </c>
      <c r="J1260" s="3" t="s">
        <v>29</v>
      </c>
      <c r="K1260" s="9">
        <v>42483.625740740739</v>
      </c>
    </row>
    <row r="1261" spans="3:11" x14ac:dyDescent="0.25">
      <c r="C1261" t="str">
        <f>IF(COUNTBLANK(E1261:K1261) = 7,"",IF(AND(NOT(ISBLANK(E1261)),COUNTBLANK(E1261:K1261) = 6),"3 Delete",IF(ISBLANK(E1261),"2 Add",IF(SHA1Range(E1261:K1261) = "e9600ecfee5981d56aedc8d055aba749c1cbf8bc","0 Original","1 Modify"))))</f>
        <v>0 Original</v>
      </c>
      <c r="D1261" s="3" t="s">
        <v>1885</v>
      </c>
      <c r="E1261" s="5">
        <v>1263</v>
      </c>
      <c r="F1261">
        <v>381</v>
      </c>
      <c r="G1261" t="s">
        <v>391</v>
      </c>
      <c r="H1261" s="7">
        <v>7.99</v>
      </c>
      <c r="I1261" s="5">
        <v>1</v>
      </c>
      <c r="J1261" s="3" t="s">
        <v>29</v>
      </c>
      <c r="K1261" s="9">
        <v>42483.625740740739</v>
      </c>
    </row>
    <row r="1262" spans="3:11" x14ac:dyDescent="0.25">
      <c r="C1262" t="str">
        <f>IF(COUNTBLANK(E1262:K1262) = 7,"",IF(AND(NOT(ISBLANK(E1262)),COUNTBLANK(E1262:K1262) = 6),"3 Delete",IF(ISBLANK(E1262),"2 Add",IF(SHA1Range(E1262:K1262) = "17299d20ac529f1a4d7cf504549520dceb33c80e","0 Original","1 Modify"))))</f>
        <v>0 Original</v>
      </c>
      <c r="D1262" s="3" t="s">
        <v>1886</v>
      </c>
      <c r="E1262" s="5">
        <v>1264</v>
      </c>
      <c r="F1262">
        <v>382</v>
      </c>
      <c r="G1262" t="s">
        <v>37</v>
      </c>
      <c r="H1262" s="7">
        <v>6.99</v>
      </c>
      <c r="I1262" s="5">
        <v>1</v>
      </c>
      <c r="J1262" s="3" t="s">
        <v>29</v>
      </c>
      <c r="K1262" s="9">
        <v>42483.625740740739</v>
      </c>
    </row>
    <row r="1263" spans="3:11" x14ac:dyDescent="0.25">
      <c r="C1263" t="str">
        <f>IF(COUNTBLANK(E1263:K1263) = 7,"",IF(AND(NOT(ISBLANK(E1263)),COUNTBLANK(E1263:K1263) = 6),"3 Delete",IF(ISBLANK(E1263),"2 Add",IF(SHA1Range(E1263:K1263) = "8cc13e82048bdee700481b13906a97977345b962","0 Original","1 Modify"))))</f>
        <v>0 Original</v>
      </c>
      <c r="D1263" s="3" t="s">
        <v>1887</v>
      </c>
      <c r="E1263" s="5">
        <v>1265</v>
      </c>
      <c r="F1263">
        <v>382</v>
      </c>
      <c r="G1263" t="s">
        <v>109</v>
      </c>
      <c r="H1263" s="7">
        <v>8.99</v>
      </c>
      <c r="I1263" s="5">
        <v>1</v>
      </c>
      <c r="J1263" s="3" t="s">
        <v>29</v>
      </c>
      <c r="K1263" s="9">
        <v>42483.625740740739</v>
      </c>
    </row>
    <row r="1264" spans="3:11" x14ac:dyDescent="0.25">
      <c r="C1264" t="str">
        <f>IF(COUNTBLANK(E1264:K1264) = 7,"",IF(AND(NOT(ISBLANK(E1264)),COUNTBLANK(E1264:K1264) = 6),"3 Delete",IF(ISBLANK(E1264),"2 Add",IF(SHA1Range(E1264:K1264) = "e03142415e0fb1b7dfdeab347099bac7f84b9687","0 Original","1 Modify"))))</f>
        <v>0 Original</v>
      </c>
      <c r="D1264" s="3" t="s">
        <v>1888</v>
      </c>
      <c r="E1264" s="5">
        <v>1266</v>
      </c>
      <c r="F1264">
        <v>383</v>
      </c>
      <c r="G1264" t="s">
        <v>30</v>
      </c>
      <c r="H1264" s="7">
        <v>9.99</v>
      </c>
      <c r="I1264" s="5">
        <v>1</v>
      </c>
      <c r="J1264" s="3" t="s">
        <v>29</v>
      </c>
      <c r="K1264" s="9">
        <v>42483.625740740739</v>
      </c>
    </row>
    <row r="1265" spans="3:11" x14ac:dyDescent="0.25">
      <c r="C1265" t="str">
        <f>IF(COUNTBLANK(E1265:K1265) = 7,"",IF(AND(NOT(ISBLANK(E1265)),COUNTBLANK(E1265:K1265) = 6),"3 Delete",IF(ISBLANK(E1265),"2 Add",IF(SHA1Range(E1265:K1265) = "a0e43247d611febaf392f76e370a33158d62e5f5","0 Original","1 Modify"))))</f>
        <v>0 Original</v>
      </c>
      <c r="D1265" s="3" t="s">
        <v>1889</v>
      </c>
      <c r="E1265" s="5">
        <v>1267</v>
      </c>
      <c r="F1265">
        <v>383</v>
      </c>
      <c r="G1265" t="s">
        <v>546</v>
      </c>
      <c r="H1265" s="7">
        <v>9.99</v>
      </c>
      <c r="I1265" s="5">
        <v>1</v>
      </c>
      <c r="J1265" s="3" t="s">
        <v>29</v>
      </c>
      <c r="K1265" s="9">
        <v>42483.625740740739</v>
      </c>
    </row>
    <row r="1266" spans="3:11" x14ac:dyDescent="0.25">
      <c r="C1266" t="str">
        <f>IF(COUNTBLANK(E1266:K1266) = 7,"",IF(AND(NOT(ISBLANK(E1266)),COUNTBLANK(E1266:K1266) = 6),"3 Delete",IF(ISBLANK(E1266),"2 Add",IF(SHA1Range(E1266:K1266) = "9ff03524223084014479cadfe894d0d80bbff6e1","0 Original","1 Modify"))))</f>
        <v>0 Original</v>
      </c>
      <c r="D1266" s="3" t="s">
        <v>1890</v>
      </c>
      <c r="E1266" s="5">
        <v>1268</v>
      </c>
      <c r="F1266">
        <v>384</v>
      </c>
      <c r="G1266" t="s">
        <v>149</v>
      </c>
      <c r="H1266" s="7">
        <v>7.99</v>
      </c>
      <c r="I1266" s="5">
        <v>1</v>
      </c>
      <c r="J1266" s="3" t="s">
        <v>29</v>
      </c>
      <c r="K1266" s="9">
        <v>42483.625740740739</v>
      </c>
    </row>
    <row r="1267" spans="3:11" x14ac:dyDescent="0.25">
      <c r="C1267" t="str">
        <f>IF(COUNTBLANK(E1267:K1267) = 7,"",IF(AND(NOT(ISBLANK(E1267)),COUNTBLANK(E1267:K1267) = 6),"3 Delete",IF(ISBLANK(E1267),"2 Add",IF(SHA1Range(E1267:K1267) = "095559eb3b73ef11f380fbf994e97e0a4d4fceaa","0 Original","1 Modify"))))</f>
        <v>0 Original</v>
      </c>
      <c r="D1267" s="3" t="s">
        <v>1891</v>
      </c>
      <c r="E1267" s="5">
        <v>1269</v>
      </c>
      <c r="F1267">
        <v>384</v>
      </c>
      <c r="G1267" t="s">
        <v>546</v>
      </c>
      <c r="H1267" s="7">
        <v>9.99</v>
      </c>
      <c r="I1267" s="5">
        <v>2</v>
      </c>
      <c r="J1267" s="3" t="s">
        <v>29</v>
      </c>
      <c r="K1267" s="9">
        <v>42483.625740740739</v>
      </c>
    </row>
    <row r="1268" spans="3:11" x14ac:dyDescent="0.25">
      <c r="C1268" t="str">
        <f>IF(COUNTBLANK(E1268:K1268) = 7,"",IF(AND(NOT(ISBLANK(E1268)),COUNTBLANK(E1268:K1268) = 6),"3 Delete",IF(ISBLANK(E1268),"2 Add",IF(SHA1Range(E1268:K1268) = "efa2ccc625bd68aa3d14b7b1e0b0c5d5ac29e926","0 Original","1 Modify"))))</f>
        <v>0 Original</v>
      </c>
      <c r="D1268" s="3" t="s">
        <v>1892</v>
      </c>
      <c r="E1268" s="5">
        <v>1270</v>
      </c>
      <c r="F1268">
        <v>384</v>
      </c>
      <c r="G1268" t="s">
        <v>58</v>
      </c>
      <c r="H1268" s="7">
        <v>8.99</v>
      </c>
      <c r="I1268" s="5">
        <v>1</v>
      </c>
      <c r="J1268" s="3" t="s">
        <v>29</v>
      </c>
      <c r="K1268" s="9">
        <v>42483.625740740739</v>
      </c>
    </row>
    <row r="1269" spans="3:11" x14ac:dyDescent="0.25">
      <c r="C1269" t="str">
        <f>IF(COUNTBLANK(E1269:K1269) = 7,"",IF(AND(NOT(ISBLANK(E1269)),COUNTBLANK(E1269:K1269) = 6),"3 Delete",IF(ISBLANK(E1269),"2 Add",IF(SHA1Range(E1269:K1269) = "86050ecc8acbb73732f101eba17b404bd797ce9f","0 Original","1 Modify"))))</f>
        <v>0 Original</v>
      </c>
      <c r="D1269" s="3" t="s">
        <v>1893</v>
      </c>
      <c r="E1269" s="5">
        <v>1271</v>
      </c>
      <c r="F1269">
        <v>384</v>
      </c>
      <c r="G1269" t="s">
        <v>217</v>
      </c>
      <c r="H1269" s="7">
        <v>9.99</v>
      </c>
      <c r="I1269" s="5">
        <v>1</v>
      </c>
      <c r="J1269" s="3" t="s">
        <v>29</v>
      </c>
      <c r="K1269" s="9">
        <v>42483.625740740739</v>
      </c>
    </row>
    <row r="1270" spans="3:11" x14ac:dyDescent="0.25">
      <c r="C1270" t="str">
        <f>IF(COUNTBLANK(E1270:K1270) = 7,"",IF(AND(NOT(ISBLANK(E1270)),COUNTBLANK(E1270:K1270) = 6),"3 Delete",IF(ISBLANK(E1270),"2 Add",IF(SHA1Range(E1270:K1270) = "c30e6cca4e0be7b34784c61c26fff98c84c7b5b7","0 Original","1 Modify"))))</f>
        <v>0 Original</v>
      </c>
      <c r="D1270" s="3" t="s">
        <v>1894</v>
      </c>
      <c r="E1270" s="5">
        <v>1272</v>
      </c>
      <c r="F1270">
        <v>384</v>
      </c>
      <c r="G1270" t="s">
        <v>133</v>
      </c>
      <c r="H1270" s="7">
        <v>7.99</v>
      </c>
      <c r="I1270" s="5">
        <v>1</v>
      </c>
      <c r="J1270" s="3" t="s">
        <v>29</v>
      </c>
      <c r="K1270" s="9">
        <v>42483.625740740739</v>
      </c>
    </row>
    <row r="1271" spans="3:11" x14ac:dyDescent="0.25">
      <c r="C1271" t="str">
        <f>IF(COUNTBLANK(E1271:K1271) = 7,"",IF(AND(NOT(ISBLANK(E1271)),COUNTBLANK(E1271:K1271) = 6),"3 Delete",IF(ISBLANK(E1271),"2 Add",IF(SHA1Range(E1271:K1271) = "ac181367172b961db8f5eec4dc2e41c2bef51285","0 Original","1 Modify"))))</f>
        <v>0 Original</v>
      </c>
      <c r="D1271" s="3" t="s">
        <v>1895</v>
      </c>
      <c r="E1271" s="5">
        <v>1273</v>
      </c>
      <c r="F1271">
        <v>384</v>
      </c>
      <c r="G1271" t="s">
        <v>281</v>
      </c>
      <c r="H1271" s="7">
        <v>7.99</v>
      </c>
      <c r="I1271" s="5">
        <v>1</v>
      </c>
      <c r="J1271" s="3" t="s">
        <v>29</v>
      </c>
      <c r="K1271" s="9">
        <v>42483.625740740739</v>
      </c>
    </row>
    <row r="1272" spans="3:11" x14ac:dyDescent="0.25">
      <c r="C1272" t="str">
        <f>IF(COUNTBLANK(E1272:K1272) = 7,"",IF(AND(NOT(ISBLANK(E1272)),COUNTBLANK(E1272:K1272) = 6),"3 Delete",IF(ISBLANK(E1272),"2 Add",IF(SHA1Range(E1272:K1272) = "247ba184e0abf9d988bae08baf2da3b3c55ce6eb","0 Original","1 Modify"))))</f>
        <v>0 Original</v>
      </c>
      <c r="D1272" s="3" t="s">
        <v>1896</v>
      </c>
      <c r="E1272" s="5">
        <v>1274</v>
      </c>
      <c r="F1272">
        <v>385</v>
      </c>
      <c r="G1272" t="s">
        <v>418</v>
      </c>
      <c r="H1272" s="7">
        <v>6.99</v>
      </c>
      <c r="I1272" s="5">
        <v>1</v>
      </c>
      <c r="J1272" s="3" t="s">
        <v>29</v>
      </c>
      <c r="K1272" s="9">
        <v>42483.625740740739</v>
      </c>
    </row>
    <row r="1273" spans="3:11" x14ac:dyDescent="0.25">
      <c r="C1273" t="str">
        <f>IF(COUNTBLANK(E1273:K1273) = 7,"",IF(AND(NOT(ISBLANK(E1273)),COUNTBLANK(E1273:K1273) = 6),"3 Delete",IF(ISBLANK(E1273),"2 Add",IF(SHA1Range(E1273:K1273) = "1b6a3306e895c82dd0e51020ae9173266f3341fc","0 Original","1 Modify"))))</f>
        <v>0 Original</v>
      </c>
      <c r="D1273" s="3" t="s">
        <v>1897</v>
      </c>
      <c r="E1273" s="5">
        <v>1275</v>
      </c>
      <c r="F1273">
        <v>385</v>
      </c>
      <c r="G1273" t="s">
        <v>388</v>
      </c>
      <c r="H1273" s="7">
        <v>5.99</v>
      </c>
      <c r="I1273" s="5">
        <v>1</v>
      </c>
      <c r="J1273" s="3" t="s">
        <v>29</v>
      </c>
      <c r="K1273" s="9">
        <v>42483.625740740739</v>
      </c>
    </row>
    <row r="1274" spans="3:11" x14ac:dyDescent="0.25">
      <c r="C1274" t="str">
        <f>IF(COUNTBLANK(E1274:K1274) = 7,"",IF(AND(NOT(ISBLANK(E1274)),COUNTBLANK(E1274:K1274) = 6),"3 Delete",IF(ISBLANK(E1274),"2 Add",IF(SHA1Range(E1274:K1274) = "f1ee365f41422869da2bafbe0a5552ac3d51ce1e","0 Original","1 Modify"))))</f>
        <v>0 Original</v>
      </c>
      <c r="D1274" s="3" t="s">
        <v>1898</v>
      </c>
      <c r="E1274" s="5">
        <v>1276</v>
      </c>
      <c r="F1274">
        <v>385</v>
      </c>
      <c r="G1274" t="s">
        <v>281</v>
      </c>
      <c r="H1274" s="7">
        <v>7.99</v>
      </c>
      <c r="I1274" s="5">
        <v>1</v>
      </c>
      <c r="J1274" s="3" t="s">
        <v>29</v>
      </c>
      <c r="K1274" s="9">
        <v>42483.625740740739</v>
      </c>
    </row>
    <row r="1275" spans="3:11" x14ac:dyDescent="0.25">
      <c r="C1275" t="str">
        <f>IF(COUNTBLANK(E1275:K1275) = 7,"",IF(AND(NOT(ISBLANK(E1275)),COUNTBLANK(E1275:K1275) = 6),"3 Delete",IF(ISBLANK(E1275),"2 Add",IF(SHA1Range(E1275:K1275) = "2234936112d788b8d2959ce59380eca84d08c348","0 Original","1 Modify"))))</f>
        <v>0 Original</v>
      </c>
      <c r="D1275" s="3" t="s">
        <v>1899</v>
      </c>
      <c r="E1275" s="5">
        <v>1277</v>
      </c>
      <c r="F1275">
        <v>385</v>
      </c>
      <c r="G1275" t="s">
        <v>364</v>
      </c>
      <c r="H1275" s="7">
        <v>9.99</v>
      </c>
      <c r="I1275" s="5">
        <v>1</v>
      </c>
      <c r="J1275" s="3" t="s">
        <v>29</v>
      </c>
      <c r="K1275" s="9">
        <v>42483.625740740739</v>
      </c>
    </row>
    <row r="1276" spans="3:11" x14ac:dyDescent="0.25">
      <c r="C1276" t="str">
        <f>IF(COUNTBLANK(E1276:K1276) = 7,"",IF(AND(NOT(ISBLANK(E1276)),COUNTBLANK(E1276:K1276) = 6),"3 Delete",IF(ISBLANK(E1276),"2 Add",IF(SHA1Range(E1276:K1276) = "7c1c20a5dd9c19a6da384bde33094beb1d3f967d","0 Original","1 Modify"))))</f>
        <v>0 Original</v>
      </c>
      <c r="D1276" s="3" t="s">
        <v>1900</v>
      </c>
      <c r="E1276" s="5">
        <v>1278</v>
      </c>
      <c r="F1276">
        <v>385</v>
      </c>
      <c r="G1276" t="s">
        <v>407</v>
      </c>
      <c r="H1276" s="7">
        <v>9.99</v>
      </c>
      <c r="I1276" s="5">
        <v>2</v>
      </c>
      <c r="J1276" s="3" t="s">
        <v>29</v>
      </c>
      <c r="K1276" s="9">
        <v>42483.625740740739</v>
      </c>
    </row>
    <row r="1277" spans="3:11" x14ac:dyDescent="0.25">
      <c r="C1277" t="str">
        <f>IF(COUNTBLANK(E1277:K1277) = 7,"",IF(AND(NOT(ISBLANK(E1277)),COUNTBLANK(E1277:K1277) = 6),"3 Delete",IF(ISBLANK(E1277),"2 Add",IF(SHA1Range(E1277:K1277) = "8d33cb5cb2de2a3722f67825b466ce070ba84b37","0 Original","1 Modify"))))</f>
        <v>0 Original</v>
      </c>
      <c r="D1277" s="3" t="s">
        <v>1901</v>
      </c>
      <c r="E1277" s="5">
        <v>1279</v>
      </c>
      <c r="F1277">
        <v>386</v>
      </c>
      <c r="G1277" t="s">
        <v>425</v>
      </c>
      <c r="H1277" s="7">
        <v>6.99</v>
      </c>
      <c r="I1277" s="5">
        <v>1</v>
      </c>
      <c r="J1277" s="3" t="s">
        <v>29</v>
      </c>
      <c r="K1277" s="9">
        <v>42483.625740740739</v>
      </c>
    </row>
    <row r="1278" spans="3:11" x14ac:dyDescent="0.25">
      <c r="C1278" t="str">
        <f>IF(COUNTBLANK(E1278:K1278) = 7,"",IF(AND(NOT(ISBLANK(E1278)),COUNTBLANK(E1278:K1278) = 6),"3 Delete",IF(ISBLANK(E1278),"2 Add",IF(SHA1Range(E1278:K1278) = "01ef76404b4e5059ab0a1cca36681c5126d07e9b","0 Original","1 Modify"))))</f>
        <v>0 Original</v>
      </c>
      <c r="D1278" s="3" t="s">
        <v>1902</v>
      </c>
      <c r="E1278" s="5">
        <v>1280</v>
      </c>
      <c r="F1278">
        <v>386</v>
      </c>
      <c r="G1278" t="s">
        <v>421</v>
      </c>
      <c r="H1278" s="7">
        <v>6.99</v>
      </c>
      <c r="I1278" s="5">
        <v>1</v>
      </c>
      <c r="J1278" s="3" t="s">
        <v>29</v>
      </c>
      <c r="K1278" s="9">
        <v>42483.625740740739</v>
      </c>
    </row>
    <row r="1279" spans="3:11" x14ac:dyDescent="0.25">
      <c r="C1279" t="str">
        <f>IF(COUNTBLANK(E1279:K1279) = 7,"",IF(AND(NOT(ISBLANK(E1279)),COUNTBLANK(E1279:K1279) = 6),"3 Delete",IF(ISBLANK(E1279),"2 Add",IF(SHA1Range(E1279:K1279) = "1fc66bd4c491d430dbeb594e904f2adae939f8c8","0 Original","1 Modify"))))</f>
        <v>0 Original</v>
      </c>
      <c r="D1279" s="3" t="s">
        <v>1903</v>
      </c>
      <c r="E1279" s="5">
        <v>1281</v>
      </c>
      <c r="F1279">
        <v>386</v>
      </c>
      <c r="G1279" t="s">
        <v>257</v>
      </c>
      <c r="H1279" s="7">
        <v>9.99</v>
      </c>
      <c r="I1279" s="5">
        <v>2</v>
      </c>
      <c r="J1279" s="3" t="s">
        <v>29</v>
      </c>
      <c r="K1279" s="9">
        <v>42483.625740740739</v>
      </c>
    </row>
    <row r="1280" spans="3:11" x14ac:dyDescent="0.25">
      <c r="C1280" t="str">
        <f>IF(COUNTBLANK(E1280:K1280) = 7,"",IF(AND(NOT(ISBLANK(E1280)),COUNTBLANK(E1280:K1280) = 6),"3 Delete",IF(ISBLANK(E1280),"2 Add",IF(SHA1Range(E1280:K1280) = "fa955f346e1fbf64862fef1a7edb53354d3a25c3","0 Original","1 Modify"))))</f>
        <v>0 Original</v>
      </c>
      <c r="D1280" s="3" t="s">
        <v>1904</v>
      </c>
      <c r="E1280" s="5">
        <v>1282</v>
      </c>
      <c r="F1280">
        <v>386</v>
      </c>
      <c r="G1280" t="s">
        <v>54</v>
      </c>
      <c r="H1280" s="7">
        <v>5.99</v>
      </c>
      <c r="I1280" s="5">
        <v>2</v>
      </c>
      <c r="J1280" s="3" t="s">
        <v>29</v>
      </c>
      <c r="K1280" s="9">
        <v>42483.625740740739</v>
      </c>
    </row>
    <row r="1281" spans="3:11" x14ac:dyDescent="0.25">
      <c r="C1281" t="str">
        <f>IF(COUNTBLANK(E1281:K1281) = 7,"",IF(AND(NOT(ISBLANK(E1281)),COUNTBLANK(E1281:K1281) = 6),"3 Delete",IF(ISBLANK(E1281),"2 Add",IF(SHA1Range(E1281:K1281) = "6f5495e33ccf677369551cb39ec70febbe6f7cb1","0 Original","1 Modify"))))</f>
        <v>0 Original</v>
      </c>
      <c r="D1281" s="3" t="s">
        <v>1905</v>
      </c>
      <c r="E1281" s="5">
        <v>1283</v>
      </c>
      <c r="F1281">
        <v>386</v>
      </c>
      <c r="G1281" t="s">
        <v>142</v>
      </c>
      <c r="H1281" s="7">
        <v>4.99</v>
      </c>
      <c r="I1281" s="5">
        <v>2</v>
      </c>
      <c r="J1281" s="3" t="s">
        <v>29</v>
      </c>
      <c r="K1281" s="9">
        <v>42483.625740740739</v>
      </c>
    </row>
    <row r="1282" spans="3:11" x14ac:dyDescent="0.25">
      <c r="C1282" t="str">
        <f>IF(COUNTBLANK(E1282:K1282) = 7,"",IF(AND(NOT(ISBLANK(E1282)),COUNTBLANK(E1282:K1282) = 6),"3 Delete",IF(ISBLANK(E1282),"2 Add",IF(SHA1Range(E1282:K1282) = "fe024ca471d7af9ea692856609f80786c5d08ab1","0 Original","1 Modify"))))</f>
        <v>0 Original</v>
      </c>
      <c r="D1282" s="3" t="s">
        <v>1906</v>
      </c>
      <c r="E1282" s="5">
        <v>1284</v>
      </c>
      <c r="F1282">
        <v>387</v>
      </c>
      <c r="G1282" t="s">
        <v>30</v>
      </c>
      <c r="H1282" s="7">
        <v>9.99</v>
      </c>
      <c r="I1282" s="5">
        <v>1</v>
      </c>
      <c r="J1282" s="3" t="s">
        <v>29</v>
      </c>
      <c r="K1282" s="9">
        <v>42483.625740740739</v>
      </c>
    </row>
    <row r="1283" spans="3:11" x14ac:dyDescent="0.25">
      <c r="C1283" t="str">
        <f>IF(COUNTBLANK(E1283:K1283) = 7,"",IF(AND(NOT(ISBLANK(E1283)),COUNTBLANK(E1283:K1283) = 6),"3 Delete",IF(ISBLANK(E1283),"2 Add",IF(SHA1Range(E1283:K1283) = "3d5d885f6f74399cf81c2240c14e37e4a8988c53","0 Original","1 Modify"))))</f>
        <v>0 Original</v>
      </c>
      <c r="D1283" s="3" t="s">
        <v>1907</v>
      </c>
      <c r="E1283" s="5">
        <v>1285</v>
      </c>
      <c r="F1283">
        <v>387</v>
      </c>
      <c r="G1283" t="s">
        <v>136</v>
      </c>
      <c r="H1283" s="7">
        <v>8.99</v>
      </c>
      <c r="I1283" s="5">
        <v>2</v>
      </c>
      <c r="J1283" s="3" t="s">
        <v>29</v>
      </c>
      <c r="K1283" s="9">
        <v>42483.625740740739</v>
      </c>
    </row>
    <row r="1284" spans="3:11" x14ac:dyDescent="0.25">
      <c r="C1284" t="str">
        <f>IF(COUNTBLANK(E1284:K1284) = 7,"",IF(AND(NOT(ISBLANK(E1284)),COUNTBLANK(E1284:K1284) = 6),"3 Delete",IF(ISBLANK(E1284),"2 Add",IF(SHA1Range(E1284:K1284) = "67d4fb342b46723fbd59e2b04b5cbcc24e950911","0 Original","1 Modify"))))</f>
        <v>0 Original</v>
      </c>
      <c r="D1284" s="3" t="s">
        <v>1908</v>
      </c>
      <c r="E1284" s="5">
        <v>1286</v>
      </c>
      <c r="F1284">
        <v>387</v>
      </c>
      <c r="G1284" t="s">
        <v>281</v>
      </c>
      <c r="H1284" s="7">
        <v>7.99</v>
      </c>
      <c r="I1284" s="5">
        <v>1</v>
      </c>
      <c r="J1284" s="3" t="s">
        <v>29</v>
      </c>
      <c r="K1284" s="9">
        <v>42483.625740740739</v>
      </c>
    </row>
    <row r="1285" spans="3:11" x14ac:dyDescent="0.25">
      <c r="C1285" t="str">
        <f>IF(COUNTBLANK(E1285:K1285) = 7,"",IF(AND(NOT(ISBLANK(E1285)),COUNTBLANK(E1285:K1285) = 6),"3 Delete",IF(ISBLANK(E1285),"2 Add",IF(SHA1Range(E1285:K1285) = "3c49e04647a35c5b443c64abd4fda88f1697b6d1","0 Original","1 Modify"))))</f>
        <v>0 Original</v>
      </c>
      <c r="D1285" s="3" t="s">
        <v>1909</v>
      </c>
      <c r="E1285" s="5">
        <v>1287</v>
      </c>
      <c r="F1285">
        <v>388</v>
      </c>
      <c r="G1285" t="s">
        <v>184</v>
      </c>
      <c r="H1285" s="7">
        <v>8.99</v>
      </c>
      <c r="I1285" s="5">
        <v>2</v>
      </c>
      <c r="J1285" s="3" t="s">
        <v>29</v>
      </c>
      <c r="K1285" s="9">
        <v>42483.625740740739</v>
      </c>
    </row>
    <row r="1286" spans="3:11" x14ac:dyDescent="0.25">
      <c r="C1286" t="str">
        <f>IF(COUNTBLANK(E1286:K1286) = 7,"",IF(AND(NOT(ISBLANK(E1286)),COUNTBLANK(E1286:K1286) = 6),"3 Delete",IF(ISBLANK(E1286),"2 Add",IF(SHA1Range(E1286:K1286) = "571ab99864c8507ab34358a3d541a341539668e7","0 Original","1 Modify"))))</f>
        <v>0 Original</v>
      </c>
      <c r="D1286" s="3" t="s">
        <v>1910</v>
      </c>
      <c r="E1286" s="5">
        <v>1288</v>
      </c>
      <c r="F1286">
        <v>389</v>
      </c>
      <c r="G1286" t="s">
        <v>459</v>
      </c>
      <c r="H1286" s="7">
        <v>5.99</v>
      </c>
      <c r="I1286" s="5">
        <v>2</v>
      </c>
      <c r="J1286" s="3" t="s">
        <v>29</v>
      </c>
      <c r="K1286" s="9">
        <v>42483.625740740739</v>
      </c>
    </row>
    <row r="1287" spans="3:11" x14ac:dyDescent="0.25">
      <c r="C1287" t="str">
        <f>IF(COUNTBLANK(E1287:K1287) = 7,"",IF(AND(NOT(ISBLANK(E1287)),COUNTBLANK(E1287:K1287) = 6),"3 Delete",IF(ISBLANK(E1287),"2 Add",IF(SHA1Range(E1287:K1287) = "2bf0fdaf07f52db6d71537a2c5ad8930898fbff5","0 Original","1 Modify"))))</f>
        <v>0 Original</v>
      </c>
      <c r="D1287" s="3" t="s">
        <v>1911</v>
      </c>
      <c r="E1287" s="5">
        <v>1289</v>
      </c>
      <c r="F1287">
        <v>389</v>
      </c>
      <c r="G1287" t="s">
        <v>448</v>
      </c>
      <c r="H1287" s="7">
        <v>8.99</v>
      </c>
      <c r="I1287" s="5">
        <v>1</v>
      </c>
      <c r="J1287" s="3" t="s">
        <v>29</v>
      </c>
      <c r="K1287" s="9">
        <v>42483.625740740739</v>
      </c>
    </row>
    <row r="1288" spans="3:11" x14ac:dyDescent="0.25">
      <c r="C1288" t="str">
        <f>IF(COUNTBLANK(E1288:K1288) = 7,"",IF(AND(NOT(ISBLANK(E1288)),COUNTBLANK(E1288:K1288) = 6),"3 Delete",IF(ISBLANK(E1288),"2 Add",IF(SHA1Range(E1288:K1288) = "cc46c99b08d3ddecef59c90a52b95f8064cf7ee0","0 Original","1 Modify"))))</f>
        <v>0 Original</v>
      </c>
      <c r="D1288" s="3" t="s">
        <v>1912</v>
      </c>
      <c r="E1288" s="5">
        <v>1290</v>
      </c>
      <c r="F1288">
        <v>390</v>
      </c>
      <c r="G1288" t="s">
        <v>395</v>
      </c>
      <c r="H1288" s="7">
        <v>8.99</v>
      </c>
      <c r="I1288" s="5">
        <v>1</v>
      </c>
      <c r="J1288" s="3" t="s">
        <v>29</v>
      </c>
      <c r="K1288" s="9">
        <v>42483.625740740739</v>
      </c>
    </row>
    <row r="1289" spans="3:11" x14ac:dyDescent="0.25">
      <c r="C1289" t="str">
        <f>IF(COUNTBLANK(E1289:K1289) = 7,"",IF(AND(NOT(ISBLANK(E1289)),COUNTBLANK(E1289:K1289) = 6),"3 Delete",IF(ISBLANK(E1289),"2 Add",IF(SHA1Range(E1289:K1289) = "3e5980c6dad30eea8cc5f934700f97e6314a962a","0 Original","1 Modify"))))</f>
        <v>0 Original</v>
      </c>
      <c r="D1289" s="3" t="s">
        <v>1913</v>
      </c>
      <c r="E1289" s="5">
        <v>1291</v>
      </c>
      <c r="F1289">
        <v>390</v>
      </c>
      <c r="G1289" t="s">
        <v>602</v>
      </c>
      <c r="H1289" s="7">
        <v>7.99</v>
      </c>
      <c r="I1289" s="5">
        <v>1</v>
      </c>
      <c r="J1289" s="3" t="s">
        <v>29</v>
      </c>
      <c r="K1289" s="9">
        <v>42483.625740740739</v>
      </c>
    </row>
    <row r="1290" spans="3:11" x14ac:dyDescent="0.25">
      <c r="C1290" t="str">
        <f>IF(COUNTBLANK(E1290:K1290) = 7,"",IF(AND(NOT(ISBLANK(E1290)),COUNTBLANK(E1290:K1290) = 6),"3 Delete",IF(ISBLANK(E1290),"2 Add",IF(SHA1Range(E1290:K1290) = "a4dd10bc5b15520891c1f91a7713bead6a40f052","0 Original","1 Modify"))))</f>
        <v>0 Original</v>
      </c>
      <c r="D1290" s="3" t="s">
        <v>1914</v>
      </c>
      <c r="E1290" s="5">
        <v>1292</v>
      </c>
      <c r="F1290">
        <v>391</v>
      </c>
      <c r="G1290" t="s">
        <v>448</v>
      </c>
      <c r="H1290" s="7">
        <v>8.99</v>
      </c>
      <c r="I1290" s="5">
        <v>1</v>
      </c>
      <c r="J1290" s="3" t="s">
        <v>29</v>
      </c>
      <c r="K1290" s="9">
        <v>42483.625740740739</v>
      </c>
    </row>
    <row r="1291" spans="3:11" x14ac:dyDescent="0.25">
      <c r="C1291" t="str">
        <f>IF(COUNTBLANK(E1291:K1291) = 7,"",IF(AND(NOT(ISBLANK(E1291)),COUNTBLANK(E1291:K1291) = 6),"3 Delete",IF(ISBLANK(E1291),"2 Add",IF(SHA1Range(E1291:K1291) = "6fea6b72c45a7662965005c830f2cedd2d38aff7","0 Original","1 Modify"))))</f>
        <v>0 Original</v>
      </c>
      <c r="D1291" s="3" t="s">
        <v>1915</v>
      </c>
      <c r="E1291" s="5">
        <v>1293</v>
      </c>
      <c r="F1291">
        <v>391</v>
      </c>
      <c r="G1291" t="s">
        <v>425</v>
      </c>
      <c r="H1291" s="7">
        <v>6.99</v>
      </c>
      <c r="I1291" s="5">
        <v>1</v>
      </c>
      <c r="J1291" s="3" t="s">
        <v>29</v>
      </c>
      <c r="K1291" s="9">
        <v>42483.625740740739</v>
      </c>
    </row>
    <row r="1292" spans="3:11" x14ac:dyDescent="0.25">
      <c r="C1292" t="str">
        <f>IF(COUNTBLANK(E1292:K1292) = 7,"",IF(AND(NOT(ISBLANK(E1292)),COUNTBLANK(E1292:K1292) = 6),"3 Delete",IF(ISBLANK(E1292),"2 Add",IF(SHA1Range(E1292:K1292) = "2c16e74825cd04221294f42b519cd762386b89ee","0 Original","1 Modify"))))</f>
        <v>0 Original</v>
      </c>
      <c r="D1292" s="3" t="s">
        <v>1916</v>
      </c>
      <c r="E1292" s="5">
        <v>1294</v>
      </c>
      <c r="F1292">
        <v>391</v>
      </c>
      <c r="G1292" t="s">
        <v>126</v>
      </c>
      <c r="H1292" s="7">
        <v>6.99</v>
      </c>
      <c r="I1292" s="5">
        <v>1</v>
      </c>
      <c r="J1292" s="3" t="s">
        <v>29</v>
      </c>
      <c r="K1292" s="9">
        <v>42483.625740740739</v>
      </c>
    </row>
    <row r="1293" spans="3:11" x14ac:dyDescent="0.25">
      <c r="C1293" t="str">
        <f>IF(COUNTBLANK(E1293:K1293) = 7,"",IF(AND(NOT(ISBLANK(E1293)),COUNTBLANK(E1293:K1293) = 6),"3 Delete",IF(ISBLANK(E1293),"2 Add",IF(SHA1Range(E1293:K1293) = "beebdd3427784dfcf074a9cfa403ae1d886a8912","0 Original","1 Modify"))))</f>
        <v>0 Original</v>
      </c>
      <c r="D1293" s="3" t="s">
        <v>1917</v>
      </c>
      <c r="E1293" s="5">
        <v>1295</v>
      </c>
      <c r="F1293">
        <v>392</v>
      </c>
      <c r="G1293" t="s">
        <v>273</v>
      </c>
      <c r="H1293" s="7">
        <v>8.99</v>
      </c>
      <c r="I1293" s="5">
        <v>1</v>
      </c>
      <c r="J1293" s="3" t="s">
        <v>29</v>
      </c>
      <c r="K1293" s="9">
        <v>42483.625740740739</v>
      </c>
    </row>
    <row r="1294" spans="3:11" x14ac:dyDescent="0.25">
      <c r="C1294" t="str">
        <f>IF(COUNTBLANK(E1294:K1294) = 7,"",IF(AND(NOT(ISBLANK(E1294)),COUNTBLANK(E1294:K1294) = 6),"3 Delete",IF(ISBLANK(E1294),"2 Add",IF(SHA1Range(E1294:K1294) = "acfa54e91b2089d8694c5361b94b4954aa17a309","0 Original","1 Modify"))))</f>
        <v>0 Original</v>
      </c>
      <c r="D1294" s="3" t="s">
        <v>1918</v>
      </c>
      <c r="E1294" s="5">
        <v>1296</v>
      </c>
      <c r="F1294">
        <v>392</v>
      </c>
      <c r="G1294" t="s">
        <v>130</v>
      </c>
      <c r="H1294" s="7">
        <v>8.99</v>
      </c>
      <c r="I1294" s="5">
        <v>1</v>
      </c>
      <c r="J1294" s="3" t="s">
        <v>29</v>
      </c>
      <c r="K1294" s="9">
        <v>42483.625740740739</v>
      </c>
    </row>
    <row r="1295" spans="3:11" x14ac:dyDescent="0.25">
      <c r="C1295" t="str">
        <f>IF(COUNTBLANK(E1295:K1295) = 7,"",IF(AND(NOT(ISBLANK(E1295)),COUNTBLANK(E1295:K1295) = 6),"3 Delete",IF(ISBLANK(E1295),"2 Add",IF(SHA1Range(E1295:K1295) = "79c9d8d5fd6ad30070b2edbdedae87e4b43c698c","0 Original","1 Modify"))))</f>
        <v>0 Original</v>
      </c>
      <c r="D1295" s="3" t="s">
        <v>1919</v>
      </c>
      <c r="E1295" s="5">
        <v>1297</v>
      </c>
      <c r="F1295">
        <v>393</v>
      </c>
      <c r="G1295" t="s">
        <v>54</v>
      </c>
      <c r="H1295" s="7">
        <v>5.99</v>
      </c>
      <c r="I1295" s="5">
        <v>1</v>
      </c>
      <c r="J1295" s="3" t="s">
        <v>29</v>
      </c>
      <c r="K1295" s="9">
        <v>42483.625740740739</v>
      </c>
    </row>
    <row r="1296" spans="3:11" x14ac:dyDescent="0.25">
      <c r="C1296" t="str">
        <f>IF(COUNTBLANK(E1296:K1296) = 7,"",IF(AND(NOT(ISBLANK(E1296)),COUNTBLANK(E1296:K1296) = 6),"3 Delete",IF(ISBLANK(E1296),"2 Add",IF(SHA1Range(E1296:K1296) = "84d153df87d6f68d6cc513f6aac08fa478617ba0","0 Original","1 Modify"))))</f>
        <v>0 Original</v>
      </c>
      <c r="D1296" s="3" t="s">
        <v>1920</v>
      </c>
      <c r="E1296" s="5">
        <v>1298</v>
      </c>
      <c r="F1296">
        <v>393</v>
      </c>
      <c r="G1296" t="s">
        <v>136</v>
      </c>
      <c r="H1296" s="7">
        <v>8.99</v>
      </c>
      <c r="I1296" s="5">
        <v>2</v>
      </c>
      <c r="J1296" s="3" t="s">
        <v>29</v>
      </c>
      <c r="K1296" s="9">
        <v>42483.625740740739</v>
      </c>
    </row>
    <row r="1297" spans="3:11" x14ac:dyDescent="0.25">
      <c r="C1297" t="str">
        <f>IF(COUNTBLANK(E1297:K1297) = 7,"",IF(AND(NOT(ISBLANK(E1297)),COUNTBLANK(E1297:K1297) = 6),"3 Delete",IF(ISBLANK(E1297),"2 Add",IF(SHA1Range(E1297:K1297) = "36bf5928667269cd2480dab70024c9ea25739005","0 Original","1 Modify"))))</f>
        <v>0 Original</v>
      </c>
      <c r="D1297" s="3" t="s">
        <v>1921</v>
      </c>
      <c r="E1297" s="5">
        <v>1299</v>
      </c>
      <c r="F1297">
        <v>393</v>
      </c>
      <c r="G1297" t="s">
        <v>418</v>
      </c>
      <c r="H1297" s="7">
        <v>6.99</v>
      </c>
      <c r="I1297" s="5">
        <v>1</v>
      </c>
      <c r="J1297" s="3" t="s">
        <v>29</v>
      </c>
      <c r="K1297" s="9">
        <v>42483.625740740739</v>
      </c>
    </row>
    <row r="1298" spans="3:11" x14ac:dyDescent="0.25">
      <c r="C1298" t="str">
        <f>IF(COUNTBLANK(E1298:K1298) = 7,"",IF(AND(NOT(ISBLANK(E1298)),COUNTBLANK(E1298:K1298) = 6),"3 Delete",IF(ISBLANK(E1298),"2 Add",IF(SHA1Range(E1298:K1298) = "f4e4c6402ebab3fc0a4a83a4b214fb9e64e99af2","0 Original","1 Modify"))))</f>
        <v>0 Original</v>
      </c>
      <c r="D1298" s="3" t="s">
        <v>1922</v>
      </c>
      <c r="E1298" s="5">
        <v>1300</v>
      </c>
      <c r="F1298">
        <v>393</v>
      </c>
      <c r="G1298" t="s">
        <v>30</v>
      </c>
      <c r="H1298" s="7">
        <v>9.99</v>
      </c>
      <c r="I1298" s="5">
        <v>1</v>
      </c>
      <c r="J1298" s="3" t="s">
        <v>29</v>
      </c>
      <c r="K1298" s="9">
        <v>42483.625740740739</v>
      </c>
    </row>
    <row r="1299" spans="3:11" x14ac:dyDescent="0.25">
      <c r="C1299" t="str">
        <f>IF(COUNTBLANK(E1299:K1299) = 7,"",IF(AND(NOT(ISBLANK(E1299)),COUNTBLANK(E1299:K1299) = 6),"3 Delete",IF(ISBLANK(E1299),"2 Add",IF(SHA1Range(E1299:K1299) = "18cfb43007846605e9d18614de9d57bbfa776e9e","0 Original","1 Modify"))))</f>
        <v>0 Original</v>
      </c>
      <c r="D1299" s="3" t="s">
        <v>1923</v>
      </c>
      <c r="E1299" s="5">
        <v>1301</v>
      </c>
      <c r="F1299">
        <v>393</v>
      </c>
      <c r="G1299" t="s">
        <v>421</v>
      </c>
      <c r="H1299" s="7">
        <v>6.99</v>
      </c>
      <c r="I1299" s="5">
        <v>2</v>
      </c>
      <c r="J1299" s="3" t="s">
        <v>29</v>
      </c>
      <c r="K1299" s="9">
        <v>42483.625740740739</v>
      </c>
    </row>
    <row r="1300" spans="3:11" x14ac:dyDescent="0.25">
      <c r="C1300" t="str">
        <f>IF(COUNTBLANK(E1300:K1300) = 7,"",IF(AND(NOT(ISBLANK(E1300)),COUNTBLANK(E1300:K1300) = 6),"3 Delete",IF(ISBLANK(E1300),"2 Add",IF(SHA1Range(E1300:K1300) = "c8fd4fd8d4e3e455c1c89448bb137119241c1315","0 Original","1 Modify"))))</f>
        <v>0 Original</v>
      </c>
      <c r="D1300" s="3" t="s">
        <v>1924</v>
      </c>
      <c r="E1300" s="5">
        <v>1302</v>
      </c>
      <c r="F1300">
        <v>393</v>
      </c>
      <c r="G1300" t="s">
        <v>537</v>
      </c>
      <c r="H1300" s="7">
        <v>7.99</v>
      </c>
      <c r="I1300" s="5">
        <v>1</v>
      </c>
      <c r="J1300" s="3" t="s">
        <v>29</v>
      </c>
      <c r="K1300" s="9">
        <v>42483.625740740739</v>
      </c>
    </row>
    <row r="1301" spans="3:11" x14ac:dyDescent="0.25">
      <c r="C1301" t="str">
        <f>IF(COUNTBLANK(E1301:K1301) = 7,"",IF(AND(NOT(ISBLANK(E1301)),COUNTBLANK(E1301:K1301) = 6),"3 Delete",IF(ISBLANK(E1301),"2 Add",IF(SHA1Range(E1301:K1301) = "a7a1592aa0adf42f164093a1cb04c9d38d502988","0 Original","1 Modify"))))</f>
        <v>0 Original</v>
      </c>
      <c r="D1301" s="3" t="s">
        <v>1925</v>
      </c>
      <c r="E1301" s="5">
        <v>1303</v>
      </c>
      <c r="F1301">
        <v>393</v>
      </c>
      <c r="G1301" t="s">
        <v>472</v>
      </c>
      <c r="H1301" s="7">
        <v>6.99</v>
      </c>
      <c r="I1301" s="5">
        <v>1</v>
      </c>
      <c r="J1301" s="3" t="s">
        <v>29</v>
      </c>
      <c r="K1301" s="9">
        <v>42483.625740740739</v>
      </c>
    </row>
    <row r="1302" spans="3:11" x14ac:dyDescent="0.25">
      <c r="C1302" t="str">
        <f>IF(COUNTBLANK(E1302:K1302) = 7,"",IF(AND(NOT(ISBLANK(E1302)),COUNTBLANK(E1302:K1302) = 6),"3 Delete",IF(ISBLANK(E1302),"2 Add",IF(SHA1Range(E1302:K1302) = "a8352ca37b54b52ab258fe52f226769c06fccb8d","0 Original","1 Modify"))))</f>
        <v>0 Original</v>
      </c>
      <c r="D1302" s="3" t="s">
        <v>1926</v>
      </c>
      <c r="E1302" s="5">
        <v>1304</v>
      </c>
      <c r="F1302">
        <v>394</v>
      </c>
      <c r="G1302" t="s">
        <v>456</v>
      </c>
      <c r="H1302" s="7">
        <v>9.99</v>
      </c>
      <c r="I1302" s="5">
        <v>2</v>
      </c>
      <c r="J1302" s="3" t="s">
        <v>29</v>
      </c>
      <c r="K1302" s="9">
        <v>42483.625740740739</v>
      </c>
    </row>
    <row r="1303" spans="3:11" x14ac:dyDescent="0.25">
      <c r="C1303" t="str">
        <f>IF(COUNTBLANK(E1303:K1303) = 7,"",IF(AND(NOT(ISBLANK(E1303)),COUNTBLANK(E1303:K1303) = 6),"3 Delete",IF(ISBLANK(E1303),"2 Add",IF(SHA1Range(E1303:K1303) = "a53f80f64379a953596cb92a0dd0641dccea8d30","0 Original","1 Modify"))))</f>
        <v>0 Original</v>
      </c>
      <c r="D1303" s="3" t="s">
        <v>1927</v>
      </c>
      <c r="E1303" s="5">
        <v>1305</v>
      </c>
      <c r="F1303">
        <v>394</v>
      </c>
      <c r="G1303" t="s">
        <v>295</v>
      </c>
      <c r="H1303" s="7">
        <v>7.99</v>
      </c>
      <c r="I1303" s="5">
        <v>1</v>
      </c>
      <c r="J1303" s="3" t="s">
        <v>29</v>
      </c>
      <c r="K1303" s="9">
        <v>42483.625740740739</v>
      </c>
    </row>
    <row r="1304" spans="3:11" x14ac:dyDescent="0.25">
      <c r="C1304" t="str">
        <f>IF(COUNTBLANK(E1304:K1304) = 7,"",IF(AND(NOT(ISBLANK(E1304)),COUNTBLANK(E1304:K1304) = 6),"3 Delete",IF(ISBLANK(E1304),"2 Add",IF(SHA1Range(E1304:K1304) = "8c44321d05310fde437a41b07b3b05534f9ef176","0 Original","1 Modify"))))</f>
        <v>0 Original</v>
      </c>
      <c r="D1304" s="3" t="s">
        <v>1928</v>
      </c>
      <c r="E1304" s="5">
        <v>1306</v>
      </c>
      <c r="F1304">
        <v>394</v>
      </c>
      <c r="G1304" t="s">
        <v>234</v>
      </c>
      <c r="H1304" s="7">
        <v>4.99</v>
      </c>
      <c r="I1304" s="5">
        <v>2</v>
      </c>
      <c r="J1304" s="3" t="s">
        <v>29</v>
      </c>
      <c r="K1304" s="9">
        <v>42483.625740740739</v>
      </c>
    </row>
    <row r="1305" spans="3:11" x14ac:dyDescent="0.25">
      <c r="C1305" t="str">
        <f>IF(COUNTBLANK(E1305:K1305) = 7,"",IF(AND(NOT(ISBLANK(E1305)),COUNTBLANK(E1305:K1305) = 6),"3 Delete",IF(ISBLANK(E1305),"2 Add",IF(SHA1Range(E1305:K1305) = "38b6af2af06b414870386204d6f35d1c51471211","0 Original","1 Modify"))))</f>
        <v>0 Original</v>
      </c>
      <c r="D1305" s="3" t="s">
        <v>1929</v>
      </c>
      <c r="E1305" s="5">
        <v>1307</v>
      </c>
      <c r="F1305">
        <v>394</v>
      </c>
      <c r="G1305" t="s">
        <v>395</v>
      </c>
      <c r="H1305" s="7">
        <v>8.99</v>
      </c>
      <c r="I1305" s="5">
        <v>2</v>
      </c>
      <c r="J1305" s="3" t="s">
        <v>29</v>
      </c>
      <c r="K1305" s="9">
        <v>42483.625740740739</v>
      </c>
    </row>
    <row r="1306" spans="3:11" x14ac:dyDescent="0.25">
      <c r="C1306" t="str">
        <f>IF(COUNTBLANK(E1306:K1306) = 7,"",IF(AND(NOT(ISBLANK(E1306)),COUNTBLANK(E1306:K1306) = 6),"3 Delete",IF(ISBLANK(E1306),"2 Add",IF(SHA1Range(E1306:K1306) = "c5c78a50f47c01ed6bdf5ebbfc16a9183759db9c","0 Original","1 Modify"))))</f>
        <v>0 Original</v>
      </c>
      <c r="D1306" s="3" t="s">
        <v>1930</v>
      </c>
      <c r="E1306" s="5">
        <v>1308</v>
      </c>
      <c r="F1306">
        <v>395</v>
      </c>
      <c r="G1306" t="s">
        <v>58</v>
      </c>
      <c r="H1306" s="7">
        <v>8.99</v>
      </c>
      <c r="I1306" s="5">
        <v>1</v>
      </c>
      <c r="J1306" s="3" t="s">
        <v>29</v>
      </c>
      <c r="K1306" s="9">
        <v>42483.625740740739</v>
      </c>
    </row>
    <row r="1307" spans="3:11" x14ac:dyDescent="0.25">
      <c r="C1307" t="str">
        <f>IF(COUNTBLANK(E1307:K1307) = 7,"",IF(AND(NOT(ISBLANK(E1307)),COUNTBLANK(E1307:K1307) = 6),"3 Delete",IF(ISBLANK(E1307),"2 Add",IF(SHA1Range(E1307:K1307) = "c9a0e155e107957a757d6e0a957bf239af903323","0 Original","1 Modify"))))</f>
        <v>0 Original</v>
      </c>
      <c r="D1307" s="3" t="s">
        <v>1931</v>
      </c>
      <c r="E1307" s="5">
        <v>1309</v>
      </c>
      <c r="F1307">
        <v>395</v>
      </c>
      <c r="G1307" t="s">
        <v>184</v>
      </c>
      <c r="H1307" s="7">
        <v>8.99</v>
      </c>
      <c r="I1307" s="5">
        <v>3</v>
      </c>
      <c r="J1307" s="3" t="s">
        <v>29</v>
      </c>
      <c r="K1307" s="9">
        <v>42483.625740740739</v>
      </c>
    </row>
    <row r="1308" spans="3:11" x14ac:dyDescent="0.25">
      <c r="C1308" t="str">
        <f>IF(COUNTBLANK(E1308:K1308) = 7,"",IF(AND(NOT(ISBLANK(E1308)),COUNTBLANK(E1308:K1308) = 6),"3 Delete",IF(ISBLANK(E1308),"2 Add",IF(SHA1Range(E1308:K1308) = "e716494673b0629cc931fd36aa335d3a452dd269","0 Original","1 Modify"))))</f>
        <v>0 Original</v>
      </c>
      <c r="D1308" s="3" t="s">
        <v>1932</v>
      </c>
      <c r="E1308" s="5">
        <v>1310</v>
      </c>
      <c r="F1308">
        <v>396</v>
      </c>
      <c r="G1308" t="s">
        <v>304</v>
      </c>
      <c r="H1308" s="7">
        <v>8.99</v>
      </c>
      <c r="I1308" s="5">
        <v>2</v>
      </c>
      <c r="J1308" s="3" t="s">
        <v>29</v>
      </c>
      <c r="K1308" s="9">
        <v>42483.625740740739</v>
      </c>
    </row>
    <row r="1309" spans="3:11" x14ac:dyDescent="0.25">
      <c r="C1309" t="str">
        <f>IF(COUNTBLANK(E1309:K1309) = 7,"",IF(AND(NOT(ISBLANK(E1309)),COUNTBLANK(E1309:K1309) = 6),"3 Delete",IF(ISBLANK(E1309),"2 Add",IF(SHA1Range(E1309:K1309) = "1a3d25f5aed7d75b2642da11232c3246234f9a81","0 Original","1 Modify"))))</f>
        <v>0 Original</v>
      </c>
      <c r="D1309" s="3" t="s">
        <v>1933</v>
      </c>
      <c r="E1309" s="5">
        <v>1311</v>
      </c>
      <c r="F1309">
        <v>396</v>
      </c>
      <c r="G1309" t="s">
        <v>37</v>
      </c>
      <c r="H1309" s="7">
        <v>6.99</v>
      </c>
      <c r="I1309" s="5">
        <v>1</v>
      </c>
      <c r="J1309" s="3" t="s">
        <v>29</v>
      </c>
      <c r="K1309" s="9">
        <v>42483.625740740739</v>
      </c>
    </row>
    <row r="1310" spans="3:11" x14ac:dyDescent="0.25">
      <c r="C1310" t="str">
        <f>IF(COUNTBLANK(E1310:K1310) = 7,"",IF(AND(NOT(ISBLANK(E1310)),COUNTBLANK(E1310:K1310) = 6),"3 Delete",IF(ISBLANK(E1310),"2 Add",IF(SHA1Range(E1310:K1310) = "c5deef1b6bfc0a2895c31d0d90de90f3ec3de6c8","0 Original","1 Modify"))))</f>
        <v>0 Original</v>
      </c>
      <c r="D1310" s="3" t="s">
        <v>1934</v>
      </c>
      <c r="E1310" s="5">
        <v>1312</v>
      </c>
      <c r="F1310">
        <v>396</v>
      </c>
      <c r="G1310" t="s">
        <v>537</v>
      </c>
      <c r="H1310" s="7">
        <v>7.99</v>
      </c>
      <c r="I1310" s="5">
        <v>1</v>
      </c>
      <c r="J1310" s="3" t="s">
        <v>29</v>
      </c>
      <c r="K1310" s="9">
        <v>42483.625740740739</v>
      </c>
    </row>
    <row r="1311" spans="3:11" x14ac:dyDescent="0.25">
      <c r="C1311" t="str">
        <f>IF(COUNTBLANK(E1311:K1311) = 7,"",IF(AND(NOT(ISBLANK(E1311)),COUNTBLANK(E1311:K1311) = 6),"3 Delete",IF(ISBLANK(E1311),"2 Add",IF(SHA1Range(E1311:K1311) = "fd28b608e47983751204e5e4da22276ddc5cbb44","0 Original","1 Modify"))))</f>
        <v>0 Original</v>
      </c>
      <c r="D1311" s="3" t="s">
        <v>1935</v>
      </c>
      <c r="E1311" s="5">
        <v>1313</v>
      </c>
      <c r="F1311">
        <v>396</v>
      </c>
      <c r="G1311" t="s">
        <v>136</v>
      </c>
      <c r="H1311" s="7">
        <v>8.99</v>
      </c>
      <c r="I1311" s="5">
        <v>1</v>
      </c>
      <c r="J1311" s="3" t="s">
        <v>29</v>
      </c>
      <c r="K1311" s="9">
        <v>42483.625740740739</v>
      </c>
    </row>
    <row r="1312" spans="3:11" x14ac:dyDescent="0.25">
      <c r="C1312" t="str">
        <f>IF(COUNTBLANK(E1312:K1312) = 7,"",IF(AND(NOT(ISBLANK(E1312)),COUNTBLANK(E1312:K1312) = 6),"3 Delete",IF(ISBLANK(E1312),"2 Add",IF(SHA1Range(E1312:K1312) = "dd254cdd2528ea57cc5fb8344ce62a98c7a2c6f6","0 Original","1 Modify"))))</f>
        <v>0 Original</v>
      </c>
      <c r="D1312" s="3" t="s">
        <v>1936</v>
      </c>
      <c r="E1312" s="5">
        <v>1314</v>
      </c>
      <c r="F1312">
        <v>397</v>
      </c>
      <c r="G1312" t="s">
        <v>126</v>
      </c>
      <c r="H1312" s="7">
        <v>6.99</v>
      </c>
      <c r="I1312" s="5">
        <v>1</v>
      </c>
      <c r="J1312" s="3" t="s">
        <v>29</v>
      </c>
      <c r="K1312" s="9">
        <v>42483.625740740739</v>
      </c>
    </row>
    <row r="1313" spans="3:11" x14ac:dyDescent="0.25">
      <c r="C1313" t="str">
        <f>IF(COUNTBLANK(E1313:K1313) = 7,"",IF(AND(NOT(ISBLANK(E1313)),COUNTBLANK(E1313:K1313) = 6),"3 Delete",IF(ISBLANK(E1313),"2 Add",IF(SHA1Range(E1313:K1313) = "c3e73db5118f0778107b46af65b6c6f3e7ce61e6","0 Original","1 Modify"))))</f>
        <v>0 Original</v>
      </c>
      <c r="D1313" s="3" t="s">
        <v>1937</v>
      </c>
      <c r="E1313" s="5">
        <v>1315</v>
      </c>
      <c r="F1313">
        <v>397</v>
      </c>
      <c r="G1313" t="s">
        <v>388</v>
      </c>
      <c r="H1313" s="7">
        <v>5.99</v>
      </c>
      <c r="I1313" s="5">
        <v>1</v>
      </c>
      <c r="J1313" s="3" t="s">
        <v>29</v>
      </c>
      <c r="K1313" s="9">
        <v>42483.625740740739</v>
      </c>
    </row>
    <row r="1314" spans="3:11" x14ac:dyDescent="0.25">
      <c r="C1314" t="str">
        <f>IF(COUNTBLANK(E1314:K1314) = 7,"",IF(AND(NOT(ISBLANK(E1314)),COUNTBLANK(E1314:K1314) = 6),"3 Delete",IF(ISBLANK(E1314),"2 Add",IF(SHA1Range(E1314:K1314) = "5261fb433b1035f92213227f3259b8433908c3aa","0 Original","1 Modify"))))</f>
        <v>0 Original</v>
      </c>
      <c r="D1314" s="3" t="s">
        <v>1938</v>
      </c>
      <c r="E1314" s="5">
        <v>1316</v>
      </c>
      <c r="F1314">
        <v>397</v>
      </c>
      <c r="G1314" t="s">
        <v>576</v>
      </c>
      <c r="H1314" s="7">
        <v>5.99</v>
      </c>
      <c r="I1314" s="5">
        <v>1</v>
      </c>
      <c r="J1314" s="3" t="s">
        <v>29</v>
      </c>
      <c r="K1314" s="9">
        <v>42483.625740740739</v>
      </c>
    </row>
    <row r="1315" spans="3:11" x14ac:dyDescent="0.25">
      <c r="C1315" t="str">
        <f>IF(COUNTBLANK(E1315:K1315) = 7,"",IF(AND(NOT(ISBLANK(E1315)),COUNTBLANK(E1315:K1315) = 6),"3 Delete",IF(ISBLANK(E1315),"2 Add",IF(SHA1Range(E1315:K1315) = "9f18f775e9b0d736c2cb5ca431640ad79125e3a1","0 Original","1 Modify"))))</f>
        <v>0 Original</v>
      </c>
      <c r="D1315" s="3" t="s">
        <v>1939</v>
      </c>
      <c r="E1315" s="5">
        <v>1317</v>
      </c>
      <c r="F1315">
        <v>397</v>
      </c>
      <c r="G1315" t="s">
        <v>364</v>
      </c>
      <c r="H1315" s="7">
        <v>9.99</v>
      </c>
      <c r="I1315" s="5">
        <v>1</v>
      </c>
      <c r="J1315" s="3" t="s">
        <v>29</v>
      </c>
      <c r="K1315" s="9">
        <v>42483.625740740739</v>
      </c>
    </row>
    <row r="1316" spans="3:11" x14ac:dyDescent="0.25">
      <c r="C1316" t="str">
        <f>IF(COUNTBLANK(E1316:K1316) = 7,"",IF(AND(NOT(ISBLANK(E1316)),COUNTBLANK(E1316:K1316) = 6),"3 Delete",IF(ISBLANK(E1316),"2 Add",IF(SHA1Range(E1316:K1316) = "9caf83d4f24b9ef0ce119d42d4248bec00ebbd81","0 Original","1 Modify"))))</f>
        <v>0 Original</v>
      </c>
      <c r="D1316" s="3" t="s">
        <v>1940</v>
      </c>
      <c r="E1316" s="5">
        <v>1318</v>
      </c>
      <c r="F1316">
        <v>397</v>
      </c>
      <c r="G1316" t="s">
        <v>257</v>
      </c>
      <c r="H1316" s="7">
        <v>9.99</v>
      </c>
      <c r="I1316" s="5">
        <v>1</v>
      </c>
      <c r="J1316" s="3" t="s">
        <v>29</v>
      </c>
      <c r="K1316" s="9">
        <v>42483.625740740739</v>
      </c>
    </row>
    <row r="1317" spans="3:11" x14ac:dyDescent="0.25">
      <c r="C1317" t="str">
        <f>IF(COUNTBLANK(E1317:K1317) = 7,"",IF(AND(NOT(ISBLANK(E1317)),COUNTBLANK(E1317:K1317) = 6),"3 Delete",IF(ISBLANK(E1317),"2 Add",IF(SHA1Range(E1317:K1317) = "19755b8a7064de49936c4c5d9b758a670c203156","0 Original","1 Modify"))))</f>
        <v>0 Original</v>
      </c>
      <c r="D1317" s="3" t="s">
        <v>1941</v>
      </c>
      <c r="E1317" s="5">
        <v>1319</v>
      </c>
      <c r="F1317">
        <v>398</v>
      </c>
      <c r="G1317" t="s">
        <v>58</v>
      </c>
      <c r="H1317" s="7">
        <v>8.99</v>
      </c>
      <c r="I1317" s="5">
        <v>1</v>
      </c>
      <c r="J1317" s="3" t="s">
        <v>29</v>
      </c>
      <c r="K1317" s="9">
        <v>42483.625740740739</v>
      </c>
    </row>
    <row r="1318" spans="3:11" x14ac:dyDescent="0.25">
      <c r="C1318" t="str">
        <f>IF(COUNTBLANK(E1318:K1318) = 7,"",IF(AND(NOT(ISBLANK(E1318)),COUNTBLANK(E1318:K1318) = 6),"3 Delete",IF(ISBLANK(E1318),"2 Add",IF(SHA1Range(E1318:K1318) = "8b6304e6aabfbbbb068b666a89f5aaf7f1fa6f04","0 Original","1 Modify"))))</f>
        <v>0 Original</v>
      </c>
      <c r="D1318" s="3" t="s">
        <v>1942</v>
      </c>
      <c r="E1318" s="5">
        <v>1320</v>
      </c>
      <c r="F1318">
        <v>399</v>
      </c>
      <c r="G1318" t="s">
        <v>537</v>
      </c>
      <c r="H1318" s="7">
        <v>7.99</v>
      </c>
      <c r="I1318" s="5">
        <v>1</v>
      </c>
      <c r="J1318" s="3" t="s">
        <v>29</v>
      </c>
      <c r="K1318" s="9">
        <v>42483.625740740739</v>
      </c>
    </row>
    <row r="1319" spans="3:11" x14ac:dyDescent="0.25">
      <c r="C1319" t="str">
        <f>IF(COUNTBLANK(E1319:K1319) = 7,"",IF(AND(NOT(ISBLANK(E1319)),COUNTBLANK(E1319:K1319) = 6),"3 Delete",IF(ISBLANK(E1319),"2 Add",IF(SHA1Range(E1319:K1319) = "983defa31c6409cbdaf6ba9e324a6f5538cd1bb0","0 Original","1 Modify"))))</f>
        <v>0 Original</v>
      </c>
      <c r="D1319" s="3" t="s">
        <v>1943</v>
      </c>
      <c r="E1319" s="5">
        <v>1321</v>
      </c>
      <c r="F1319">
        <v>399</v>
      </c>
      <c r="G1319" t="s">
        <v>133</v>
      </c>
      <c r="H1319" s="7">
        <v>7.99</v>
      </c>
      <c r="I1319" s="5">
        <v>2</v>
      </c>
      <c r="J1319" s="3" t="s">
        <v>29</v>
      </c>
      <c r="K1319" s="9">
        <v>42483.625740740739</v>
      </c>
    </row>
    <row r="1320" spans="3:11" x14ac:dyDescent="0.25">
      <c r="C1320" t="str">
        <f>IF(COUNTBLANK(E1320:K1320) = 7,"",IF(AND(NOT(ISBLANK(E1320)),COUNTBLANK(E1320:K1320) = 6),"3 Delete",IF(ISBLANK(E1320),"2 Add",IF(SHA1Range(E1320:K1320) = "7f20f5ec682ee86665609606e44c11e952da02cf","0 Original","1 Modify"))))</f>
        <v>0 Original</v>
      </c>
      <c r="D1320" s="3" t="s">
        <v>1944</v>
      </c>
      <c r="E1320" s="5">
        <v>1322</v>
      </c>
      <c r="F1320">
        <v>399</v>
      </c>
      <c r="G1320" t="s">
        <v>238</v>
      </c>
      <c r="H1320" s="7">
        <v>5.99</v>
      </c>
      <c r="I1320" s="5">
        <v>2</v>
      </c>
      <c r="J1320" s="3" t="s">
        <v>29</v>
      </c>
      <c r="K1320" s="9">
        <v>42483.625740740739</v>
      </c>
    </row>
    <row r="1321" spans="3:11" x14ac:dyDescent="0.25">
      <c r="C1321" t="str">
        <f>IF(COUNTBLANK(E1321:K1321) = 7,"",IF(AND(NOT(ISBLANK(E1321)),COUNTBLANK(E1321:K1321) = 6),"3 Delete",IF(ISBLANK(E1321),"2 Add",IF(SHA1Range(E1321:K1321) = "5278cb710ca03ffdf9667faa737e41c7639920ac","0 Original","1 Modify"))))</f>
        <v>0 Original</v>
      </c>
      <c r="D1321" s="3" t="s">
        <v>1945</v>
      </c>
      <c r="E1321" s="5">
        <v>1323</v>
      </c>
      <c r="F1321">
        <v>400</v>
      </c>
      <c r="G1321" t="s">
        <v>37</v>
      </c>
      <c r="H1321" s="7">
        <v>6.99</v>
      </c>
      <c r="I1321" s="5">
        <v>1</v>
      </c>
      <c r="J1321" s="3" t="s">
        <v>29</v>
      </c>
      <c r="K1321" s="9">
        <v>42483.625740740739</v>
      </c>
    </row>
    <row r="1322" spans="3:11" x14ac:dyDescent="0.25">
      <c r="C1322" t="str">
        <f>IF(COUNTBLANK(E1322:K1322) = 7,"",IF(AND(NOT(ISBLANK(E1322)),COUNTBLANK(E1322:K1322) = 6),"3 Delete",IF(ISBLANK(E1322),"2 Add",IF(SHA1Range(E1322:K1322) = "82617757fe5096203011d0ce52e82066ec849bb4","0 Original","1 Modify"))))</f>
        <v>0 Original</v>
      </c>
      <c r="D1322" s="3" t="s">
        <v>1946</v>
      </c>
      <c r="E1322" s="5">
        <v>1324</v>
      </c>
      <c r="F1322">
        <v>400</v>
      </c>
      <c r="G1322" t="s">
        <v>304</v>
      </c>
      <c r="H1322" s="7">
        <v>8.99</v>
      </c>
      <c r="I1322" s="5">
        <v>2</v>
      </c>
      <c r="J1322" s="3" t="s">
        <v>29</v>
      </c>
      <c r="K1322" s="9">
        <v>42483.625740740739</v>
      </c>
    </row>
    <row r="1323" spans="3:11" x14ac:dyDescent="0.25">
      <c r="C1323" t="str">
        <f>IF(COUNTBLANK(E1323:K1323) = 7,"",IF(AND(NOT(ISBLANK(E1323)),COUNTBLANK(E1323:K1323) = 6),"3 Delete",IF(ISBLANK(E1323),"2 Add",IF(SHA1Range(E1323:K1323) = "b952c91951d2721d103c7859ad6a986317271fbe","0 Original","1 Modify"))))</f>
        <v>0 Original</v>
      </c>
      <c r="D1323" s="3" t="s">
        <v>1947</v>
      </c>
      <c r="E1323" s="5">
        <v>1325</v>
      </c>
      <c r="F1323">
        <v>400</v>
      </c>
      <c r="G1323" t="s">
        <v>273</v>
      </c>
      <c r="H1323" s="7">
        <v>8.99</v>
      </c>
      <c r="I1323" s="5">
        <v>1</v>
      </c>
      <c r="J1323" s="3" t="s">
        <v>29</v>
      </c>
      <c r="K1323" s="9">
        <v>42483.625740740739</v>
      </c>
    </row>
    <row r="1324" spans="3:11" x14ac:dyDescent="0.25">
      <c r="C1324" t="str">
        <f>IF(COUNTBLANK(E1324:K1324) = 7,"",IF(AND(NOT(ISBLANK(E1324)),COUNTBLANK(E1324:K1324) = 6),"3 Delete",IF(ISBLANK(E1324),"2 Add",IF(SHA1Range(E1324:K1324) = "0a7fde1d0f30ddfe3107d32b036ff51889e0cea3","0 Original","1 Modify"))))</f>
        <v>0 Original</v>
      </c>
      <c r="D1324" s="3" t="s">
        <v>1948</v>
      </c>
      <c r="E1324" s="5">
        <v>1326</v>
      </c>
      <c r="F1324">
        <v>401</v>
      </c>
      <c r="G1324" t="s">
        <v>448</v>
      </c>
      <c r="H1324" s="7">
        <v>8.99</v>
      </c>
      <c r="I1324" s="5">
        <v>1</v>
      </c>
      <c r="J1324" s="3" t="s">
        <v>29</v>
      </c>
      <c r="K1324" s="9">
        <v>42483.625740740739</v>
      </c>
    </row>
    <row r="1325" spans="3:11" x14ac:dyDescent="0.25">
      <c r="C1325" t="str">
        <f>IF(COUNTBLANK(E1325:K1325) = 7,"",IF(AND(NOT(ISBLANK(E1325)),COUNTBLANK(E1325:K1325) = 6),"3 Delete",IF(ISBLANK(E1325),"2 Add",IF(SHA1Range(E1325:K1325) = "e7982e04234b4b2039591fba56cae55097091bfa","0 Original","1 Modify"))))</f>
        <v>0 Original</v>
      </c>
      <c r="D1325" s="3" t="s">
        <v>1949</v>
      </c>
      <c r="E1325" s="5">
        <v>1327</v>
      </c>
      <c r="F1325">
        <v>401</v>
      </c>
      <c r="G1325" t="s">
        <v>472</v>
      </c>
      <c r="H1325" s="7">
        <v>6.99</v>
      </c>
      <c r="I1325" s="5">
        <v>1</v>
      </c>
      <c r="J1325" s="3" t="s">
        <v>29</v>
      </c>
      <c r="K1325" s="9">
        <v>42483.625740740739</v>
      </c>
    </row>
    <row r="1326" spans="3:11" x14ac:dyDescent="0.25">
      <c r="C1326" t="str">
        <f>IF(COUNTBLANK(E1326:K1326) = 7,"",IF(AND(NOT(ISBLANK(E1326)),COUNTBLANK(E1326:K1326) = 6),"3 Delete",IF(ISBLANK(E1326),"2 Add",IF(SHA1Range(E1326:K1326) = "b840d27adad77936d1f2ef282eb23bee18cf730a","0 Original","1 Modify"))))</f>
        <v>0 Original</v>
      </c>
      <c r="D1326" s="3" t="s">
        <v>1950</v>
      </c>
      <c r="E1326" s="5">
        <v>1328</v>
      </c>
      <c r="F1326">
        <v>401</v>
      </c>
      <c r="G1326" t="s">
        <v>398</v>
      </c>
      <c r="H1326" s="7">
        <v>4.99</v>
      </c>
      <c r="I1326" s="5">
        <v>1</v>
      </c>
      <c r="J1326" s="3" t="s">
        <v>29</v>
      </c>
      <c r="K1326" s="9">
        <v>42483.625740740739</v>
      </c>
    </row>
    <row r="1327" spans="3:11" x14ac:dyDescent="0.25">
      <c r="C1327" t="str">
        <f>IF(COUNTBLANK(E1327:K1327) = 7,"",IF(AND(NOT(ISBLANK(E1327)),COUNTBLANK(E1327:K1327) = 6),"3 Delete",IF(ISBLANK(E1327),"2 Add",IF(SHA1Range(E1327:K1327) = "ad1f9622bc7d7ecce8002e546d24ec8a21fa33b2","0 Original","1 Modify"))))</f>
        <v>0 Original</v>
      </c>
      <c r="D1327" s="3" t="s">
        <v>1951</v>
      </c>
      <c r="E1327" s="5">
        <v>1329</v>
      </c>
      <c r="F1327">
        <v>401</v>
      </c>
      <c r="G1327" t="s">
        <v>250</v>
      </c>
      <c r="H1327" s="7">
        <v>8.99</v>
      </c>
      <c r="I1327" s="5">
        <v>2</v>
      </c>
      <c r="J1327" s="3" t="s">
        <v>29</v>
      </c>
      <c r="K1327" s="9">
        <v>42483.625740740739</v>
      </c>
    </row>
    <row r="1328" spans="3:11" x14ac:dyDescent="0.25">
      <c r="C1328" t="str">
        <f>IF(COUNTBLANK(E1328:K1328) = 7,"",IF(AND(NOT(ISBLANK(E1328)),COUNTBLANK(E1328:K1328) = 6),"3 Delete",IF(ISBLANK(E1328),"2 Add",IF(SHA1Range(E1328:K1328) = "d01a16d6642ee1aac92880b83d8b086dcafd9b12","0 Original","1 Modify"))))</f>
        <v>0 Original</v>
      </c>
      <c r="D1328" s="3" t="s">
        <v>1952</v>
      </c>
      <c r="E1328" s="5">
        <v>1330</v>
      </c>
      <c r="F1328">
        <v>401</v>
      </c>
      <c r="G1328" t="s">
        <v>418</v>
      </c>
      <c r="H1328" s="7">
        <v>6.99</v>
      </c>
      <c r="I1328" s="5">
        <v>2</v>
      </c>
      <c r="J1328" s="3" t="s">
        <v>29</v>
      </c>
      <c r="K1328" s="9">
        <v>42483.625740740739</v>
      </c>
    </row>
    <row r="1329" spans="3:11" x14ac:dyDescent="0.25">
      <c r="C1329" t="str">
        <f>IF(COUNTBLANK(E1329:K1329) = 7,"",IF(AND(NOT(ISBLANK(E1329)),COUNTBLANK(E1329:K1329) = 6),"3 Delete",IF(ISBLANK(E1329),"2 Add",IF(SHA1Range(E1329:K1329) = "2d1bf620de23ad352a16eb3c1eccb5ecc4031115","0 Original","1 Modify"))))</f>
        <v>0 Original</v>
      </c>
      <c r="D1329" s="3" t="s">
        <v>1953</v>
      </c>
      <c r="E1329" s="5">
        <v>1331</v>
      </c>
      <c r="F1329">
        <v>401</v>
      </c>
      <c r="G1329" t="s">
        <v>525</v>
      </c>
      <c r="H1329" s="7">
        <v>4.99</v>
      </c>
      <c r="I1329" s="5">
        <v>2</v>
      </c>
      <c r="J1329" s="3" t="s">
        <v>29</v>
      </c>
      <c r="K1329" s="9">
        <v>42483.625740740739</v>
      </c>
    </row>
    <row r="1330" spans="3:11" x14ac:dyDescent="0.25">
      <c r="C1330" t="str">
        <f>IF(COUNTBLANK(E1330:K1330) = 7,"",IF(AND(NOT(ISBLANK(E1330)),COUNTBLANK(E1330:K1330) = 6),"3 Delete",IF(ISBLANK(E1330),"2 Add",IF(SHA1Range(E1330:K1330) = "4b8253245c290510c585c69adc243c210643eb8e","0 Original","1 Modify"))))</f>
        <v>0 Original</v>
      </c>
      <c r="D1330" s="3" t="s">
        <v>1954</v>
      </c>
      <c r="E1330" s="5">
        <v>1332</v>
      </c>
      <c r="F1330">
        <v>401</v>
      </c>
      <c r="G1330" t="s">
        <v>525</v>
      </c>
      <c r="H1330" s="7">
        <v>4.99</v>
      </c>
      <c r="I1330" s="5">
        <v>1</v>
      </c>
      <c r="J1330" s="3" t="s">
        <v>29</v>
      </c>
      <c r="K1330" s="9">
        <v>42483.625740740739</v>
      </c>
    </row>
    <row r="1331" spans="3:11" x14ac:dyDescent="0.25">
      <c r="C1331" t="str">
        <f>IF(COUNTBLANK(E1331:K1331) = 7,"",IF(AND(NOT(ISBLANK(E1331)),COUNTBLANK(E1331:K1331) = 6),"3 Delete",IF(ISBLANK(E1331),"2 Add",IF(SHA1Range(E1331:K1331) = "f4e57edfcd477373cab02784479ac39968d76eae","0 Original","1 Modify"))))</f>
        <v>0 Original</v>
      </c>
      <c r="D1331" s="3" t="s">
        <v>1955</v>
      </c>
      <c r="E1331" s="5">
        <v>1333</v>
      </c>
      <c r="F1331">
        <v>402</v>
      </c>
      <c r="G1331" t="s">
        <v>573</v>
      </c>
      <c r="H1331" s="7">
        <v>9.99</v>
      </c>
      <c r="I1331" s="5">
        <v>1</v>
      </c>
      <c r="J1331" s="3" t="s">
        <v>29</v>
      </c>
      <c r="K1331" s="9">
        <v>42483.625740740739</v>
      </c>
    </row>
    <row r="1332" spans="3:11" x14ac:dyDescent="0.25">
      <c r="C1332" t="str">
        <f>IF(COUNTBLANK(E1332:K1332) = 7,"",IF(AND(NOT(ISBLANK(E1332)),COUNTBLANK(E1332:K1332) = 6),"3 Delete",IF(ISBLANK(E1332),"2 Add",IF(SHA1Range(E1332:K1332) = "c08305366d0d70345d402d7e82394fa4dd81fd1f","0 Original","1 Modify"))))</f>
        <v>0 Original</v>
      </c>
      <c r="D1332" s="3" t="s">
        <v>1956</v>
      </c>
      <c r="E1332" s="5">
        <v>1334</v>
      </c>
      <c r="F1332">
        <v>402</v>
      </c>
      <c r="G1332" t="s">
        <v>133</v>
      </c>
      <c r="H1332" s="7">
        <v>7.99</v>
      </c>
      <c r="I1332" s="5">
        <v>1</v>
      </c>
      <c r="J1332" s="3" t="s">
        <v>29</v>
      </c>
      <c r="K1332" s="9">
        <v>42483.625740740739</v>
      </c>
    </row>
    <row r="1333" spans="3:11" x14ac:dyDescent="0.25">
      <c r="C1333" t="str">
        <f>IF(COUNTBLANK(E1333:K1333) = 7,"",IF(AND(NOT(ISBLANK(E1333)),COUNTBLANK(E1333:K1333) = 6),"3 Delete",IF(ISBLANK(E1333),"2 Add",IF(SHA1Range(E1333:K1333) = "e202f802e3471d70b100aaffe0bfc6d22bc455c4","0 Original","1 Modify"))))</f>
        <v>0 Original</v>
      </c>
      <c r="D1333" s="3" t="s">
        <v>1957</v>
      </c>
      <c r="E1333" s="5">
        <v>1335</v>
      </c>
      <c r="F1333">
        <v>403</v>
      </c>
      <c r="G1333" t="s">
        <v>472</v>
      </c>
      <c r="H1333" s="7">
        <v>6.99</v>
      </c>
      <c r="I1333" s="5">
        <v>1</v>
      </c>
      <c r="J1333" s="3" t="s">
        <v>29</v>
      </c>
      <c r="K1333" s="9">
        <v>42483.625740740739</v>
      </c>
    </row>
    <row r="1334" spans="3:11" x14ac:dyDescent="0.25">
      <c r="C1334" t="str">
        <f>IF(COUNTBLANK(E1334:K1334) = 7,"",IF(AND(NOT(ISBLANK(E1334)),COUNTBLANK(E1334:K1334) = 6),"3 Delete",IF(ISBLANK(E1334),"2 Add",IF(SHA1Range(E1334:K1334) = "7aa1e1e2121c52928e81c88e92b22cdbd613031a","0 Original","1 Modify"))))</f>
        <v>0 Original</v>
      </c>
      <c r="D1334" s="3" t="s">
        <v>1958</v>
      </c>
      <c r="E1334" s="5">
        <v>1336</v>
      </c>
      <c r="F1334">
        <v>403</v>
      </c>
      <c r="G1334" t="s">
        <v>44</v>
      </c>
      <c r="H1334" s="7">
        <v>6.99</v>
      </c>
      <c r="I1334" s="5">
        <v>1</v>
      </c>
      <c r="J1334" s="3" t="s">
        <v>29</v>
      </c>
      <c r="K1334" s="9">
        <v>42483.625740740739</v>
      </c>
    </row>
    <row r="1335" spans="3:11" x14ac:dyDescent="0.25">
      <c r="C1335" t="str">
        <f>IF(COUNTBLANK(E1335:K1335) = 7,"",IF(AND(NOT(ISBLANK(E1335)),COUNTBLANK(E1335:K1335) = 6),"3 Delete",IF(ISBLANK(E1335),"2 Add",IF(SHA1Range(E1335:K1335) = "7a2c1ca700933007e8f70fe0f7aa0b77eb18cb20","0 Original","1 Modify"))))</f>
        <v>0 Original</v>
      </c>
      <c r="D1335" s="3" t="s">
        <v>1959</v>
      </c>
      <c r="E1335" s="5">
        <v>1337</v>
      </c>
      <c r="F1335">
        <v>403</v>
      </c>
      <c r="G1335" t="s">
        <v>58</v>
      </c>
      <c r="H1335" s="7">
        <v>8.99</v>
      </c>
      <c r="I1335" s="5">
        <v>2</v>
      </c>
      <c r="J1335" s="3" t="s">
        <v>29</v>
      </c>
      <c r="K1335" s="9">
        <v>42483.625740740739</v>
      </c>
    </row>
    <row r="1336" spans="3:11" x14ac:dyDescent="0.25">
      <c r="C1336" t="str">
        <f>IF(COUNTBLANK(E1336:K1336) = 7,"",IF(AND(NOT(ISBLANK(E1336)),COUNTBLANK(E1336:K1336) = 6),"3 Delete",IF(ISBLANK(E1336),"2 Add",IF(SHA1Range(E1336:K1336) = "a44c65ec32a219d0bb6ad5def242bb88e8c8ac06","0 Original","1 Modify"))))</f>
        <v>0 Original</v>
      </c>
      <c r="D1336" s="3" t="s">
        <v>1960</v>
      </c>
      <c r="E1336" s="5">
        <v>1338</v>
      </c>
      <c r="F1336">
        <v>403</v>
      </c>
      <c r="G1336" t="s">
        <v>395</v>
      </c>
      <c r="H1336" s="7">
        <v>8.99</v>
      </c>
      <c r="I1336" s="5">
        <v>1</v>
      </c>
      <c r="J1336" s="3" t="s">
        <v>29</v>
      </c>
      <c r="K1336" s="9">
        <v>42483.625740740739</v>
      </c>
    </row>
    <row r="1337" spans="3:11" x14ac:dyDescent="0.25">
      <c r="C1337" t="str">
        <f>IF(COUNTBLANK(E1337:K1337) = 7,"",IF(AND(NOT(ISBLANK(E1337)),COUNTBLANK(E1337:K1337) = 6),"3 Delete",IF(ISBLANK(E1337),"2 Add",IF(SHA1Range(E1337:K1337) = "ff6713d4ee221d388579140f25316bf25ac4b5d2","0 Original","1 Modify"))))</f>
        <v>0 Original</v>
      </c>
      <c r="D1337" s="3" t="s">
        <v>1961</v>
      </c>
      <c r="E1337" s="5">
        <v>1339</v>
      </c>
      <c r="F1337">
        <v>403</v>
      </c>
      <c r="G1337" t="s">
        <v>149</v>
      </c>
      <c r="H1337" s="7">
        <v>7.99</v>
      </c>
      <c r="I1337" s="5">
        <v>2</v>
      </c>
      <c r="J1337" s="3" t="s">
        <v>29</v>
      </c>
      <c r="K1337" s="9">
        <v>42483.625740740739</v>
      </c>
    </row>
    <row r="1338" spans="3:11" x14ac:dyDescent="0.25">
      <c r="C1338" t="str">
        <f>IF(COUNTBLANK(E1338:K1338) = 7,"",IF(AND(NOT(ISBLANK(E1338)),COUNTBLANK(E1338:K1338) = 6),"3 Delete",IF(ISBLANK(E1338),"2 Add",IF(SHA1Range(E1338:K1338) = "78284fe5324f952a2a7641c8cdb77b343a80d1e7","0 Original","1 Modify"))))</f>
        <v>0 Original</v>
      </c>
      <c r="D1338" s="3" t="s">
        <v>1962</v>
      </c>
      <c r="E1338" s="5">
        <v>1340</v>
      </c>
      <c r="F1338">
        <v>403</v>
      </c>
      <c r="G1338" t="s">
        <v>54</v>
      </c>
      <c r="H1338" s="7">
        <v>5.99</v>
      </c>
      <c r="I1338" s="5">
        <v>1</v>
      </c>
      <c r="J1338" s="3" t="s">
        <v>29</v>
      </c>
      <c r="K1338" s="9">
        <v>42483.625740740739</v>
      </c>
    </row>
    <row r="1339" spans="3:11" x14ac:dyDescent="0.25">
      <c r="C1339" t="str">
        <f>IF(COUNTBLANK(E1339:K1339) = 7,"",IF(AND(NOT(ISBLANK(E1339)),COUNTBLANK(E1339:K1339) = 6),"3 Delete",IF(ISBLANK(E1339),"2 Add",IF(SHA1Range(E1339:K1339) = "d7ecd7df775b67246210e725dfc5743c620136fa","0 Original","1 Modify"))))</f>
        <v>0 Original</v>
      </c>
      <c r="D1339" s="3" t="s">
        <v>1963</v>
      </c>
      <c r="E1339" s="5">
        <v>1341</v>
      </c>
      <c r="F1339">
        <v>403</v>
      </c>
      <c r="G1339" t="s">
        <v>54</v>
      </c>
      <c r="H1339" s="7">
        <v>5.99</v>
      </c>
      <c r="I1339" s="5">
        <v>1</v>
      </c>
      <c r="J1339" s="3" t="s">
        <v>29</v>
      </c>
      <c r="K1339" s="9">
        <v>42483.625740740739</v>
      </c>
    </row>
    <row r="1340" spans="3:11" x14ac:dyDescent="0.25">
      <c r="C1340" t="str">
        <f>IF(COUNTBLANK(E1340:K1340) = 7,"",IF(AND(NOT(ISBLANK(E1340)),COUNTBLANK(E1340:K1340) = 6),"3 Delete",IF(ISBLANK(E1340),"2 Add",IF(SHA1Range(E1340:K1340) = "6b0c7ca2c1a60551340fde33d2a31f01b1bbf536","0 Original","1 Modify"))))</f>
        <v>0 Original</v>
      </c>
      <c r="D1340" s="3" t="s">
        <v>1964</v>
      </c>
      <c r="E1340" s="5">
        <v>1342</v>
      </c>
      <c r="F1340">
        <v>404</v>
      </c>
      <c r="G1340" t="s">
        <v>109</v>
      </c>
      <c r="H1340" s="7">
        <v>8.99</v>
      </c>
      <c r="I1340" s="5">
        <v>2</v>
      </c>
      <c r="J1340" s="3" t="s">
        <v>29</v>
      </c>
      <c r="K1340" s="9">
        <v>42483.625740740739</v>
      </c>
    </row>
    <row r="1341" spans="3:11" x14ac:dyDescent="0.25">
      <c r="C1341" t="str">
        <f>IF(COUNTBLANK(E1341:K1341) = 7,"",IF(AND(NOT(ISBLANK(E1341)),COUNTBLANK(E1341:K1341) = 6),"3 Delete",IF(ISBLANK(E1341),"2 Add",IF(SHA1Range(E1341:K1341) = "e5bc4d82db8e4e4567f3a28cb72de4dc58800e31","0 Original","1 Modify"))))</f>
        <v>0 Original</v>
      </c>
      <c r="D1341" s="3" t="s">
        <v>1965</v>
      </c>
      <c r="E1341" s="5">
        <v>1343</v>
      </c>
      <c r="F1341">
        <v>404</v>
      </c>
      <c r="G1341" t="s">
        <v>304</v>
      </c>
      <c r="H1341" s="7">
        <v>8.99</v>
      </c>
      <c r="I1341" s="5">
        <v>1</v>
      </c>
      <c r="J1341" s="3" t="s">
        <v>29</v>
      </c>
      <c r="K1341" s="9">
        <v>42483.625740740739</v>
      </c>
    </row>
    <row r="1342" spans="3:11" x14ac:dyDescent="0.25">
      <c r="C1342" t="str">
        <f>IF(COUNTBLANK(E1342:K1342) = 7,"",IF(AND(NOT(ISBLANK(E1342)),COUNTBLANK(E1342:K1342) = 6),"3 Delete",IF(ISBLANK(E1342),"2 Add",IF(SHA1Range(E1342:K1342) = "810691fbaef114b1f62c4fe9f922e4d6466d1f35","0 Original","1 Modify"))))</f>
        <v>0 Original</v>
      </c>
      <c r="D1342" s="3" t="s">
        <v>1966</v>
      </c>
      <c r="E1342" s="5">
        <v>1344</v>
      </c>
      <c r="F1342">
        <v>404</v>
      </c>
      <c r="G1342" t="s">
        <v>51</v>
      </c>
      <c r="H1342" s="7">
        <v>9.99</v>
      </c>
      <c r="I1342" s="5">
        <v>1</v>
      </c>
      <c r="J1342" s="3" t="s">
        <v>29</v>
      </c>
      <c r="K1342" s="9">
        <v>42483.625740740739</v>
      </c>
    </row>
    <row r="1343" spans="3:11" x14ac:dyDescent="0.25">
      <c r="C1343" t="str">
        <f>IF(COUNTBLANK(E1343:K1343) = 7,"",IF(AND(NOT(ISBLANK(E1343)),COUNTBLANK(E1343:K1343) = 6),"3 Delete",IF(ISBLANK(E1343),"2 Add",IF(SHA1Range(E1343:K1343) = "368043bda25f1570a7bdd40ca2d276cc33c4b013","0 Original","1 Modify"))))</f>
        <v>0 Original</v>
      </c>
      <c r="D1343" s="3" t="s">
        <v>1967</v>
      </c>
      <c r="E1343" s="5">
        <v>1345</v>
      </c>
      <c r="F1343">
        <v>404</v>
      </c>
      <c r="G1343" t="s">
        <v>149</v>
      </c>
      <c r="H1343" s="7">
        <v>7.99</v>
      </c>
      <c r="I1343" s="5">
        <v>1</v>
      </c>
      <c r="J1343" s="3" t="s">
        <v>29</v>
      </c>
      <c r="K1343" s="9">
        <v>42483.625740740739</v>
      </c>
    </row>
    <row r="1344" spans="3:11" x14ac:dyDescent="0.25">
      <c r="C1344" t="str">
        <f>IF(COUNTBLANK(E1344:K1344) = 7,"",IF(AND(NOT(ISBLANK(E1344)),COUNTBLANK(E1344:K1344) = 6),"3 Delete",IF(ISBLANK(E1344),"2 Add",IF(SHA1Range(E1344:K1344) = "028648c0da6b581eaef2ac5b2d2110292403f940","0 Original","1 Modify"))))</f>
        <v>0 Original</v>
      </c>
      <c r="D1344" s="3" t="s">
        <v>1968</v>
      </c>
      <c r="E1344" s="5">
        <v>1346</v>
      </c>
      <c r="F1344">
        <v>404</v>
      </c>
      <c r="G1344" t="s">
        <v>503</v>
      </c>
      <c r="H1344" s="7">
        <v>8.99</v>
      </c>
      <c r="I1344" s="5">
        <v>1</v>
      </c>
      <c r="J1344" s="3" t="s">
        <v>29</v>
      </c>
      <c r="K1344" s="9">
        <v>42483.625740740739</v>
      </c>
    </row>
    <row r="1345" spans="3:11" x14ac:dyDescent="0.25">
      <c r="C1345" t="str">
        <f>IF(COUNTBLANK(E1345:K1345) = 7,"",IF(AND(NOT(ISBLANK(E1345)),COUNTBLANK(E1345:K1345) = 6),"3 Delete",IF(ISBLANK(E1345),"2 Add",IF(SHA1Range(E1345:K1345) = "a3513b9989c1abf427ced34e84d3539ff0fc11dd","0 Original","1 Modify"))))</f>
        <v>0 Original</v>
      </c>
      <c r="D1345" s="3" t="s">
        <v>1969</v>
      </c>
      <c r="E1345" s="5">
        <v>1348</v>
      </c>
      <c r="F1345">
        <v>405</v>
      </c>
      <c r="G1345" t="s">
        <v>425</v>
      </c>
      <c r="H1345" s="7">
        <v>6.99</v>
      </c>
      <c r="I1345" s="5">
        <v>1</v>
      </c>
      <c r="J1345" s="3" t="s">
        <v>29</v>
      </c>
      <c r="K1345" s="9">
        <v>42483.625740740739</v>
      </c>
    </row>
    <row r="1346" spans="3:11" x14ac:dyDescent="0.25">
      <c r="C1346" t="str">
        <f>IF(COUNTBLANK(E1346:K1346) = 7,"",IF(AND(NOT(ISBLANK(E1346)),COUNTBLANK(E1346:K1346) = 6),"3 Delete",IF(ISBLANK(E1346),"2 Add",IF(SHA1Range(E1346:K1346) = "efcbe05edca6eff7581eada9ff6d002c6020f802","0 Original","1 Modify"))))</f>
        <v>0 Original</v>
      </c>
      <c r="D1346" s="3" t="s">
        <v>1970</v>
      </c>
      <c r="E1346" s="5">
        <v>1349</v>
      </c>
      <c r="F1346">
        <v>406</v>
      </c>
      <c r="G1346" t="s">
        <v>546</v>
      </c>
      <c r="H1346" s="7">
        <v>9.99</v>
      </c>
      <c r="I1346" s="5">
        <v>1</v>
      </c>
      <c r="J1346" s="3" t="s">
        <v>29</v>
      </c>
      <c r="K1346" s="9">
        <v>42483.625740740739</v>
      </c>
    </row>
    <row r="1347" spans="3:11" x14ac:dyDescent="0.25">
      <c r="C1347" t="str">
        <f>IF(COUNTBLANK(E1347:K1347) = 7,"",IF(AND(NOT(ISBLANK(E1347)),COUNTBLANK(E1347:K1347) = 6),"3 Delete",IF(ISBLANK(E1347),"2 Add",IF(SHA1Range(E1347:K1347) = "43db10cdf24c9ff1b87617ed8961eb0e57fc04c4","0 Original","1 Modify"))))</f>
        <v>0 Original</v>
      </c>
      <c r="D1347" s="3" t="s">
        <v>1971</v>
      </c>
      <c r="E1347" s="5">
        <v>1350</v>
      </c>
      <c r="F1347">
        <v>406</v>
      </c>
      <c r="G1347" t="s">
        <v>281</v>
      </c>
      <c r="H1347" s="7">
        <v>7.99</v>
      </c>
      <c r="I1347" s="5">
        <v>1</v>
      </c>
      <c r="J1347" s="3" t="s">
        <v>29</v>
      </c>
      <c r="K1347" s="9">
        <v>42483.625740740739</v>
      </c>
    </row>
    <row r="1348" spans="3:11" x14ac:dyDescent="0.25">
      <c r="C1348" t="str">
        <f>IF(COUNTBLANK(E1348:K1348) = 7,"",IF(AND(NOT(ISBLANK(E1348)),COUNTBLANK(E1348:K1348) = 6),"3 Delete",IF(ISBLANK(E1348),"2 Add",IF(SHA1Range(E1348:K1348) = "e266ab98870a31f70c816d759843972ee66fe5c7","0 Original","1 Modify"))))</f>
        <v>0 Original</v>
      </c>
      <c r="D1348" s="3" t="s">
        <v>1972</v>
      </c>
      <c r="E1348" s="5">
        <v>1351</v>
      </c>
      <c r="F1348">
        <v>407</v>
      </c>
      <c r="G1348" t="s">
        <v>599</v>
      </c>
      <c r="H1348" s="7">
        <v>5.99</v>
      </c>
      <c r="I1348" s="5">
        <v>2</v>
      </c>
      <c r="J1348" s="3" t="s">
        <v>29</v>
      </c>
      <c r="K1348" s="9">
        <v>42483.625740740739</v>
      </c>
    </row>
    <row r="1349" spans="3:11" x14ac:dyDescent="0.25">
      <c r="C1349" t="str">
        <f>IF(COUNTBLANK(E1349:K1349) = 7,"",IF(AND(NOT(ISBLANK(E1349)),COUNTBLANK(E1349:K1349) = 6),"3 Delete",IF(ISBLANK(E1349),"2 Add",IF(SHA1Range(E1349:K1349) = "2b305fa6b94a0e432ce9a3ad3838d8810e271b83","0 Original","1 Modify"))))</f>
        <v>0 Original</v>
      </c>
      <c r="D1349" s="3" t="s">
        <v>1973</v>
      </c>
      <c r="E1349" s="5">
        <v>1352</v>
      </c>
      <c r="F1349">
        <v>407</v>
      </c>
      <c r="G1349" t="s">
        <v>130</v>
      </c>
      <c r="H1349" s="7">
        <v>8.99</v>
      </c>
      <c r="I1349" s="5">
        <v>2</v>
      </c>
      <c r="J1349" s="3" t="s">
        <v>29</v>
      </c>
      <c r="K1349" s="9">
        <v>42483.625740740739</v>
      </c>
    </row>
    <row r="1350" spans="3:11" x14ac:dyDescent="0.25">
      <c r="C1350" t="str">
        <f>IF(COUNTBLANK(E1350:K1350) = 7,"",IF(AND(NOT(ISBLANK(E1350)),COUNTBLANK(E1350:K1350) = 6),"3 Delete",IF(ISBLANK(E1350),"2 Add",IF(SHA1Range(E1350:K1350) = "a6485305aa35ae98e3bb2f7cde180e3037f20636","0 Original","1 Modify"))))</f>
        <v>0 Original</v>
      </c>
      <c r="D1350" s="3" t="s">
        <v>1974</v>
      </c>
      <c r="E1350" s="5">
        <v>1353</v>
      </c>
      <c r="F1350">
        <v>407</v>
      </c>
      <c r="G1350" t="s">
        <v>136</v>
      </c>
      <c r="H1350" s="7">
        <v>8.99</v>
      </c>
      <c r="I1350" s="5">
        <v>2</v>
      </c>
      <c r="J1350" s="3" t="s">
        <v>29</v>
      </c>
      <c r="K1350" s="9">
        <v>42483.625740740739</v>
      </c>
    </row>
    <row r="1351" spans="3:11" x14ac:dyDescent="0.25">
      <c r="C1351" t="str">
        <f>IF(COUNTBLANK(E1351:K1351) = 7,"",IF(AND(NOT(ISBLANK(E1351)),COUNTBLANK(E1351:K1351) = 6),"3 Delete",IF(ISBLANK(E1351),"2 Add",IF(SHA1Range(E1351:K1351) = "f6bb6ebd78dc0daafb55fdbcab599e6eff47dd96","0 Original","1 Modify"))))</f>
        <v>0 Original</v>
      </c>
      <c r="D1351" s="3" t="s">
        <v>1975</v>
      </c>
      <c r="E1351" s="5">
        <v>1354</v>
      </c>
      <c r="F1351">
        <v>407</v>
      </c>
      <c r="G1351" t="s">
        <v>152</v>
      </c>
      <c r="H1351" s="7">
        <v>5.99</v>
      </c>
      <c r="I1351" s="5">
        <v>1</v>
      </c>
      <c r="J1351" s="3" t="s">
        <v>29</v>
      </c>
      <c r="K1351" s="9">
        <v>42483.625740740739</v>
      </c>
    </row>
    <row r="1352" spans="3:11" x14ac:dyDescent="0.25">
      <c r="C1352" t="str">
        <f>IF(COUNTBLANK(E1352:K1352) = 7,"",IF(AND(NOT(ISBLANK(E1352)),COUNTBLANK(E1352:K1352) = 6),"3 Delete",IF(ISBLANK(E1352),"2 Add",IF(SHA1Range(E1352:K1352) = "4da0660a1cad4d8c4c4d050852d0e7e820e83654","0 Original","1 Modify"))))</f>
        <v>0 Original</v>
      </c>
      <c r="D1352" s="3" t="s">
        <v>1976</v>
      </c>
      <c r="E1352" s="5">
        <v>1355</v>
      </c>
      <c r="F1352">
        <v>408</v>
      </c>
      <c r="G1352" t="s">
        <v>388</v>
      </c>
      <c r="H1352" s="7">
        <v>5.99</v>
      </c>
      <c r="I1352" s="5">
        <v>1</v>
      </c>
      <c r="J1352" s="3" t="s">
        <v>29</v>
      </c>
      <c r="K1352" s="9">
        <v>42483.625740740739</v>
      </c>
    </row>
    <row r="1353" spans="3:11" x14ac:dyDescent="0.25">
      <c r="C1353" t="str">
        <f>IF(COUNTBLANK(E1353:K1353) = 7,"",IF(AND(NOT(ISBLANK(E1353)),COUNTBLANK(E1353:K1353) = 6),"3 Delete",IF(ISBLANK(E1353),"2 Add",IF(SHA1Range(E1353:K1353) = "5bd1a905335be9a819ad134ad9843b43c831207c","0 Original","1 Modify"))))</f>
        <v>0 Original</v>
      </c>
      <c r="D1353" s="3" t="s">
        <v>1977</v>
      </c>
      <c r="E1353" s="5">
        <v>1356</v>
      </c>
      <c r="F1353">
        <v>408</v>
      </c>
      <c r="G1353" t="s">
        <v>246</v>
      </c>
      <c r="H1353" s="7">
        <v>7.99</v>
      </c>
      <c r="I1353" s="5">
        <v>2</v>
      </c>
      <c r="J1353" s="3" t="s">
        <v>29</v>
      </c>
      <c r="K1353" s="9">
        <v>42483.625740740739</v>
      </c>
    </row>
    <row r="1354" spans="3:11" x14ac:dyDescent="0.25">
      <c r="C1354" t="str">
        <f>IF(COUNTBLANK(E1354:K1354) = 7,"",IF(AND(NOT(ISBLANK(E1354)),COUNTBLANK(E1354:K1354) = 6),"3 Delete",IF(ISBLANK(E1354),"2 Add",IF(SHA1Range(E1354:K1354) = "84003fa40c07d495ef96ec48d636eac756455795","0 Original","1 Modify"))))</f>
        <v>0 Original</v>
      </c>
      <c r="D1354" s="3" t="s">
        <v>1978</v>
      </c>
      <c r="E1354" s="5">
        <v>1357</v>
      </c>
      <c r="F1354">
        <v>408</v>
      </c>
      <c r="G1354" t="s">
        <v>136</v>
      </c>
      <c r="H1354" s="7">
        <v>8.99</v>
      </c>
      <c r="I1354" s="5">
        <v>2</v>
      </c>
      <c r="J1354" s="3" t="s">
        <v>29</v>
      </c>
      <c r="K1354" s="9">
        <v>42483.625740740739</v>
      </c>
    </row>
    <row r="1355" spans="3:11" x14ac:dyDescent="0.25">
      <c r="C1355" t="str">
        <f>IF(COUNTBLANK(E1355:K1355) = 7,"",IF(AND(NOT(ISBLANK(E1355)),COUNTBLANK(E1355:K1355) = 6),"3 Delete",IF(ISBLANK(E1355),"2 Add",IF(SHA1Range(E1355:K1355) = "be6052ae4d7ad607db6e9bc14f0197c47db3b8b6","0 Original","1 Modify"))))</f>
        <v>0 Original</v>
      </c>
      <c r="D1355" s="3" t="s">
        <v>1979</v>
      </c>
      <c r="E1355" s="5">
        <v>1358</v>
      </c>
      <c r="F1355">
        <v>409</v>
      </c>
      <c r="G1355" t="s">
        <v>472</v>
      </c>
      <c r="H1355" s="7">
        <v>6.99</v>
      </c>
      <c r="I1355" s="5">
        <v>1</v>
      </c>
      <c r="J1355" s="3" t="s">
        <v>29</v>
      </c>
      <c r="K1355" s="9">
        <v>42483.625740740739</v>
      </c>
    </row>
    <row r="1356" spans="3:11" x14ac:dyDescent="0.25">
      <c r="C1356" t="str">
        <f>IF(COUNTBLANK(E1356:K1356) = 7,"",IF(AND(NOT(ISBLANK(E1356)),COUNTBLANK(E1356:K1356) = 6),"3 Delete",IF(ISBLANK(E1356),"2 Add",IF(SHA1Range(E1356:K1356) = "0e0e53aab86f240511be3192f7e5c596915906b2","0 Original","1 Modify"))))</f>
        <v>0 Original</v>
      </c>
      <c r="D1356" s="3" t="s">
        <v>1980</v>
      </c>
      <c r="E1356" s="5">
        <v>1359</v>
      </c>
      <c r="F1356">
        <v>410</v>
      </c>
      <c r="G1356" t="s">
        <v>456</v>
      </c>
      <c r="H1356" s="7">
        <v>9.99</v>
      </c>
      <c r="I1356" s="5">
        <v>1</v>
      </c>
      <c r="J1356" s="3" t="s">
        <v>29</v>
      </c>
      <c r="K1356" s="9">
        <v>42483.625740740739</v>
      </c>
    </row>
    <row r="1357" spans="3:11" x14ac:dyDescent="0.25">
      <c r="C1357" t="str">
        <f>IF(COUNTBLANK(E1357:K1357) = 7,"",IF(AND(NOT(ISBLANK(E1357)),COUNTBLANK(E1357:K1357) = 6),"3 Delete",IF(ISBLANK(E1357),"2 Add",IF(SHA1Range(E1357:K1357) = "a37520485b1066cd99cd865c7fb2720b2519affd","0 Original","1 Modify"))))</f>
        <v>0 Original</v>
      </c>
      <c r="D1357" s="3" t="s">
        <v>1981</v>
      </c>
      <c r="E1357" s="5">
        <v>1360</v>
      </c>
      <c r="F1357">
        <v>410</v>
      </c>
      <c r="G1357" t="s">
        <v>273</v>
      </c>
      <c r="H1357" s="7">
        <v>8.99</v>
      </c>
      <c r="I1357" s="5">
        <v>1</v>
      </c>
      <c r="J1357" s="3" t="s">
        <v>29</v>
      </c>
      <c r="K1357" s="9">
        <v>42483.625740740739</v>
      </c>
    </row>
    <row r="1358" spans="3:11" x14ac:dyDescent="0.25">
      <c r="C1358" t="str">
        <f>IF(COUNTBLANK(E1358:K1358) = 7,"",IF(AND(NOT(ISBLANK(E1358)),COUNTBLANK(E1358:K1358) = 6),"3 Delete",IF(ISBLANK(E1358),"2 Add",IF(SHA1Range(E1358:K1358) = "8c6005a2b36ae477cf414c07a7ce09e1b62c8482","0 Original","1 Modify"))))</f>
        <v>0 Original</v>
      </c>
      <c r="D1358" s="3" t="s">
        <v>1982</v>
      </c>
      <c r="E1358" s="5">
        <v>1361</v>
      </c>
      <c r="F1358">
        <v>410</v>
      </c>
      <c r="G1358" t="s">
        <v>304</v>
      </c>
      <c r="H1358" s="7">
        <v>8.99</v>
      </c>
      <c r="I1358" s="5">
        <v>1</v>
      </c>
      <c r="J1358" s="3" t="s">
        <v>29</v>
      </c>
      <c r="K1358" s="9">
        <v>42483.625740740739</v>
      </c>
    </row>
    <row r="1359" spans="3:11" x14ac:dyDescent="0.25">
      <c r="C1359" t="str">
        <f>IF(COUNTBLANK(E1359:K1359) = 7,"",IF(AND(NOT(ISBLANK(E1359)),COUNTBLANK(E1359:K1359) = 6),"3 Delete",IF(ISBLANK(E1359),"2 Add",IF(SHA1Range(E1359:K1359) = "805c14de85a25ef3a3b1360edda872b7419d3c9f","0 Original","1 Modify"))))</f>
        <v>0 Original</v>
      </c>
      <c r="D1359" s="3" t="s">
        <v>1983</v>
      </c>
      <c r="E1359" s="5">
        <v>1362</v>
      </c>
      <c r="F1359">
        <v>410</v>
      </c>
      <c r="G1359" t="s">
        <v>425</v>
      </c>
      <c r="H1359" s="7">
        <v>6.99</v>
      </c>
      <c r="I1359" s="5">
        <v>1</v>
      </c>
      <c r="J1359" s="3" t="s">
        <v>29</v>
      </c>
      <c r="K1359" s="9">
        <v>42483.625740740739</v>
      </c>
    </row>
    <row r="1360" spans="3:11" x14ac:dyDescent="0.25">
      <c r="C1360" t="str">
        <f>IF(COUNTBLANK(E1360:K1360) = 7,"",IF(AND(NOT(ISBLANK(E1360)),COUNTBLANK(E1360:K1360) = 6),"3 Delete",IF(ISBLANK(E1360),"2 Add",IF(SHA1Range(E1360:K1360) = "6730dd2c3ed0fd2ff3834b07ac0e097b5c4400f5","0 Original","1 Modify"))))</f>
        <v>0 Original</v>
      </c>
      <c r="D1360" s="3" t="s">
        <v>1984</v>
      </c>
      <c r="E1360" s="5">
        <v>1363</v>
      </c>
      <c r="F1360">
        <v>410</v>
      </c>
      <c r="G1360" t="s">
        <v>537</v>
      </c>
      <c r="H1360" s="7">
        <v>7.99</v>
      </c>
      <c r="I1360" s="5">
        <v>1</v>
      </c>
      <c r="J1360" s="3" t="s">
        <v>29</v>
      </c>
      <c r="K1360" s="9">
        <v>42483.625740740739</v>
      </c>
    </row>
    <row r="1361" spans="3:11" x14ac:dyDescent="0.25">
      <c r="C1361" t="str">
        <f>IF(COUNTBLANK(E1361:K1361) = 7,"",IF(AND(NOT(ISBLANK(E1361)),COUNTBLANK(E1361:K1361) = 6),"3 Delete",IF(ISBLANK(E1361),"2 Add",IF(SHA1Range(E1361:K1361) = "8ad904cea6da6ec74d681d5c9bee034e6f8a2034","0 Original","1 Modify"))))</f>
        <v>0 Original</v>
      </c>
      <c r="D1361" s="3" t="s">
        <v>1985</v>
      </c>
      <c r="E1361" s="5">
        <v>1364</v>
      </c>
      <c r="F1361">
        <v>410</v>
      </c>
      <c r="G1361" t="s">
        <v>54</v>
      </c>
      <c r="H1361" s="7">
        <v>5.99</v>
      </c>
      <c r="I1361" s="5">
        <v>1</v>
      </c>
      <c r="J1361" s="3" t="s">
        <v>29</v>
      </c>
      <c r="K1361" s="9">
        <v>42483.625740740739</v>
      </c>
    </row>
    <row r="1362" spans="3:11" x14ac:dyDescent="0.25">
      <c r="C1362" t="str">
        <f>IF(COUNTBLANK(E1362:K1362) = 7,"",IF(AND(NOT(ISBLANK(E1362)),COUNTBLANK(E1362:K1362) = 6),"3 Delete",IF(ISBLANK(E1362),"2 Add",IF(SHA1Range(E1362:K1362) = "2e6982089daa5dc38f6e1f6e08500f477a9120b6","0 Original","1 Modify"))))</f>
        <v>0 Original</v>
      </c>
      <c r="D1362" s="3" t="s">
        <v>1986</v>
      </c>
      <c r="E1362" s="5">
        <v>1365</v>
      </c>
      <c r="F1362">
        <v>410</v>
      </c>
      <c r="G1362" t="s">
        <v>602</v>
      </c>
      <c r="H1362" s="7">
        <v>7.99</v>
      </c>
      <c r="I1362" s="5">
        <v>1</v>
      </c>
      <c r="J1362" s="3" t="s">
        <v>29</v>
      </c>
      <c r="K1362" s="9">
        <v>42483.625740740739</v>
      </c>
    </row>
    <row r="1363" spans="3:11" x14ac:dyDescent="0.25">
      <c r="C1363" t="str">
        <f>IF(COUNTBLANK(E1363:K1363) = 7,"",IF(AND(NOT(ISBLANK(E1363)),COUNTBLANK(E1363:K1363) = 6),"3 Delete",IF(ISBLANK(E1363),"2 Add",IF(SHA1Range(E1363:K1363) = "ee3e82efbd4a84269b5ae207fc1642c24e23abab","0 Original","1 Modify"))))</f>
        <v>0 Original</v>
      </c>
      <c r="D1363" s="3" t="s">
        <v>1987</v>
      </c>
      <c r="E1363" s="5">
        <v>1366</v>
      </c>
      <c r="F1363">
        <v>411</v>
      </c>
      <c r="G1363" t="s">
        <v>54</v>
      </c>
      <c r="H1363" s="7">
        <v>5.99</v>
      </c>
      <c r="I1363" s="5">
        <v>2</v>
      </c>
      <c r="J1363" s="3" t="s">
        <v>29</v>
      </c>
      <c r="K1363" s="9">
        <v>42483.625740740739</v>
      </c>
    </row>
    <row r="1364" spans="3:11" x14ac:dyDescent="0.25">
      <c r="C1364" t="str">
        <f>IF(COUNTBLANK(E1364:K1364) = 7,"",IF(AND(NOT(ISBLANK(E1364)),COUNTBLANK(E1364:K1364) = 6),"3 Delete",IF(ISBLANK(E1364),"2 Add",IF(SHA1Range(E1364:K1364) = "f7dd0de886f0a4525165b86744e6fce06dd470a3","0 Original","1 Modify"))))</f>
        <v>0 Original</v>
      </c>
      <c r="D1364" s="3" t="s">
        <v>1988</v>
      </c>
      <c r="E1364" s="5">
        <v>1367</v>
      </c>
      <c r="F1364">
        <v>411</v>
      </c>
      <c r="G1364" t="s">
        <v>395</v>
      </c>
      <c r="H1364" s="7">
        <v>8.99</v>
      </c>
      <c r="I1364" s="5">
        <v>1</v>
      </c>
      <c r="J1364" s="3" t="s">
        <v>29</v>
      </c>
      <c r="K1364" s="9">
        <v>42483.625740740739</v>
      </c>
    </row>
    <row r="1365" spans="3:11" x14ac:dyDescent="0.25">
      <c r="C1365" t="str">
        <f>IF(COUNTBLANK(E1365:K1365) = 7,"",IF(AND(NOT(ISBLANK(E1365)),COUNTBLANK(E1365:K1365) = 6),"3 Delete",IF(ISBLANK(E1365),"2 Add",IF(SHA1Range(E1365:K1365) = "11bf4eec1313abb1349eced0bfb1807858bc15e5","0 Original","1 Modify"))))</f>
        <v>0 Original</v>
      </c>
      <c r="D1365" s="3" t="s">
        <v>1989</v>
      </c>
      <c r="E1365" s="5">
        <v>1368</v>
      </c>
      <c r="F1365">
        <v>411</v>
      </c>
      <c r="G1365" t="s">
        <v>576</v>
      </c>
      <c r="H1365" s="7">
        <v>5.99</v>
      </c>
      <c r="I1365" s="5">
        <v>2</v>
      </c>
      <c r="J1365" s="3" t="s">
        <v>29</v>
      </c>
      <c r="K1365" s="9">
        <v>42483.625740740739</v>
      </c>
    </row>
    <row r="1366" spans="3:11" x14ac:dyDescent="0.25">
      <c r="C1366" t="str">
        <f>IF(COUNTBLANK(E1366:K1366) = 7,"",IF(AND(NOT(ISBLANK(E1366)),COUNTBLANK(E1366:K1366) = 6),"3 Delete",IF(ISBLANK(E1366),"2 Add",IF(SHA1Range(E1366:K1366) = "80f802ae04c34dd0d379aaa3c512d68f43c1df97","0 Original","1 Modify"))))</f>
        <v>0 Original</v>
      </c>
      <c r="D1366" s="3" t="s">
        <v>1990</v>
      </c>
      <c r="E1366" s="5">
        <v>1369</v>
      </c>
      <c r="F1366">
        <v>411</v>
      </c>
      <c r="G1366" t="s">
        <v>30</v>
      </c>
      <c r="H1366" s="7">
        <v>9.99</v>
      </c>
      <c r="I1366" s="5">
        <v>1</v>
      </c>
      <c r="J1366" s="3" t="s">
        <v>29</v>
      </c>
      <c r="K1366" s="9">
        <v>42483.625740740739</v>
      </c>
    </row>
    <row r="1367" spans="3:11" x14ac:dyDescent="0.25">
      <c r="C1367" t="str">
        <f>IF(COUNTBLANK(E1367:K1367) = 7,"",IF(AND(NOT(ISBLANK(E1367)),COUNTBLANK(E1367:K1367) = 6),"3 Delete",IF(ISBLANK(E1367),"2 Add",IF(SHA1Range(E1367:K1367) = "366b11bf79db07182538315e5c1897b75090b31b","0 Original","1 Modify"))))</f>
        <v>0 Original</v>
      </c>
      <c r="D1367" s="3" t="s">
        <v>1991</v>
      </c>
      <c r="E1367" s="5">
        <v>1370</v>
      </c>
      <c r="F1367">
        <v>412</v>
      </c>
      <c r="G1367" t="s">
        <v>425</v>
      </c>
      <c r="H1367" s="7">
        <v>6.99</v>
      </c>
      <c r="I1367" s="5">
        <v>1</v>
      </c>
      <c r="J1367" s="3" t="s">
        <v>29</v>
      </c>
      <c r="K1367" s="9">
        <v>42483.625740740739</v>
      </c>
    </row>
    <row r="1368" spans="3:11" x14ac:dyDescent="0.25">
      <c r="C1368" t="str">
        <f>IF(COUNTBLANK(E1368:K1368) = 7,"",IF(AND(NOT(ISBLANK(E1368)),COUNTBLANK(E1368:K1368) = 6),"3 Delete",IF(ISBLANK(E1368),"2 Add",IF(SHA1Range(E1368:K1368) = "5e34addd95a77f447647adafab9b59e8b179f3d4","0 Original","1 Modify"))))</f>
        <v>0 Original</v>
      </c>
      <c r="D1368" s="3" t="s">
        <v>1992</v>
      </c>
      <c r="E1368" s="5">
        <v>1371</v>
      </c>
      <c r="F1368">
        <v>412</v>
      </c>
      <c r="G1368" t="s">
        <v>295</v>
      </c>
      <c r="H1368" s="7">
        <v>7.99</v>
      </c>
      <c r="I1368" s="5">
        <v>2</v>
      </c>
      <c r="J1368" s="3" t="s">
        <v>29</v>
      </c>
      <c r="K1368" s="9">
        <v>42483.625740740739</v>
      </c>
    </row>
    <row r="1369" spans="3:11" x14ac:dyDescent="0.25">
      <c r="C1369" t="str">
        <f>IF(COUNTBLANK(E1369:K1369) = 7,"",IF(AND(NOT(ISBLANK(E1369)),COUNTBLANK(E1369:K1369) = 6),"3 Delete",IF(ISBLANK(E1369),"2 Add",IF(SHA1Range(E1369:K1369) = "848030e11185a69fe0ff28030de6d2f9e1450ea3","0 Original","1 Modify"))))</f>
        <v>0 Original</v>
      </c>
      <c r="D1369" s="3" t="s">
        <v>1993</v>
      </c>
      <c r="E1369" s="5">
        <v>1372</v>
      </c>
      <c r="F1369">
        <v>412</v>
      </c>
      <c r="G1369" t="s">
        <v>254</v>
      </c>
      <c r="H1369" s="7">
        <v>4.99</v>
      </c>
      <c r="I1369" s="5">
        <v>2</v>
      </c>
      <c r="J1369" s="3" t="s">
        <v>29</v>
      </c>
      <c r="K1369" s="9">
        <v>42483.625740740739</v>
      </c>
    </row>
    <row r="1370" spans="3:11" x14ac:dyDescent="0.25">
      <c r="C1370" t="str">
        <f>IF(COUNTBLANK(E1370:K1370) = 7,"",IF(AND(NOT(ISBLANK(E1370)),COUNTBLANK(E1370:K1370) = 6),"3 Delete",IF(ISBLANK(E1370),"2 Add",IF(SHA1Range(E1370:K1370) = "1c62e6f0d3d46f209ff54664ce82170f46b69788","0 Original","1 Modify"))))</f>
        <v>0 Original</v>
      </c>
      <c r="D1370" s="3" t="s">
        <v>1994</v>
      </c>
      <c r="E1370" s="5">
        <v>1373</v>
      </c>
      <c r="F1370">
        <v>413</v>
      </c>
      <c r="G1370" t="s">
        <v>425</v>
      </c>
      <c r="H1370" s="7">
        <v>6.99</v>
      </c>
      <c r="I1370" s="5">
        <v>2</v>
      </c>
      <c r="J1370" s="3" t="s">
        <v>29</v>
      </c>
      <c r="K1370" s="9">
        <v>42483.625740740739</v>
      </c>
    </row>
    <row r="1371" spans="3:11" x14ac:dyDescent="0.25">
      <c r="C1371" t="str">
        <f>IF(COUNTBLANK(E1371:K1371) = 7,"",IF(AND(NOT(ISBLANK(E1371)),COUNTBLANK(E1371:K1371) = 6),"3 Delete",IF(ISBLANK(E1371),"2 Add",IF(SHA1Range(E1371:K1371) = "7cfd428db3ca7b4c7b08e69fdc3ba3875d9647e4","0 Original","1 Modify"))))</f>
        <v>0 Original</v>
      </c>
      <c r="D1371" s="3" t="s">
        <v>1995</v>
      </c>
      <c r="E1371" s="5">
        <v>1374</v>
      </c>
      <c r="F1371">
        <v>413</v>
      </c>
      <c r="G1371" t="s">
        <v>51</v>
      </c>
      <c r="H1371" s="7">
        <v>9.99</v>
      </c>
      <c r="I1371" s="5">
        <v>1</v>
      </c>
      <c r="J1371" s="3" t="s">
        <v>29</v>
      </c>
      <c r="K1371" s="9">
        <v>42483.625740740739</v>
      </c>
    </row>
    <row r="1372" spans="3:11" x14ac:dyDescent="0.25">
      <c r="C1372" t="str">
        <f>IF(COUNTBLANK(E1372:K1372) = 7,"",IF(AND(NOT(ISBLANK(E1372)),COUNTBLANK(E1372:K1372) = 6),"3 Delete",IF(ISBLANK(E1372),"2 Add",IF(SHA1Range(E1372:K1372) = "e68c83d231a177432a1eeb7b7058da53a3f3d4b0","0 Original","1 Modify"))))</f>
        <v>0 Original</v>
      </c>
      <c r="D1372" s="3" t="s">
        <v>1996</v>
      </c>
      <c r="E1372" s="5">
        <v>1375</v>
      </c>
      <c r="F1372">
        <v>413</v>
      </c>
      <c r="G1372" t="s">
        <v>221</v>
      </c>
      <c r="H1372" s="7">
        <v>6.99</v>
      </c>
      <c r="I1372" s="5">
        <v>1</v>
      </c>
      <c r="J1372" s="3" t="s">
        <v>29</v>
      </c>
      <c r="K1372" s="9">
        <v>42483.625740740739</v>
      </c>
    </row>
    <row r="1373" spans="3:11" x14ac:dyDescent="0.25">
      <c r="C1373" t="str">
        <f>IF(COUNTBLANK(E1373:K1373) = 7,"",IF(AND(NOT(ISBLANK(E1373)),COUNTBLANK(E1373:K1373) = 6),"3 Delete",IF(ISBLANK(E1373),"2 Add",IF(SHA1Range(E1373:K1373) = "e8a75902888bcdb1f6738c9876313cd0b0fff085","0 Original","1 Modify"))))</f>
        <v>0 Original</v>
      </c>
      <c r="D1373" s="3" t="s">
        <v>1997</v>
      </c>
      <c r="E1373" s="5">
        <v>1376</v>
      </c>
      <c r="F1373">
        <v>414</v>
      </c>
      <c r="G1373" t="s">
        <v>184</v>
      </c>
      <c r="H1373" s="7">
        <v>8.99</v>
      </c>
      <c r="I1373" s="5">
        <v>1</v>
      </c>
      <c r="J1373" s="3" t="s">
        <v>29</v>
      </c>
      <c r="K1373" s="9">
        <v>42483.625740740739</v>
      </c>
    </row>
    <row r="1374" spans="3:11" x14ac:dyDescent="0.25">
      <c r="C1374" t="str">
        <f>IF(COUNTBLANK(E1374:K1374) = 7,"",IF(AND(NOT(ISBLANK(E1374)),COUNTBLANK(E1374:K1374) = 6),"3 Delete",IF(ISBLANK(E1374),"2 Add",IF(SHA1Range(E1374:K1374) = "2bbb7bbc433ef565a77fc5ca5feddb025c1d4314","0 Original","1 Modify"))))</f>
        <v>0 Original</v>
      </c>
      <c r="D1374" s="3" t="s">
        <v>1998</v>
      </c>
      <c r="E1374" s="5">
        <v>1377</v>
      </c>
      <c r="F1374">
        <v>414</v>
      </c>
      <c r="G1374" t="s">
        <v>459</v>
      </c>
      <c r="H1374" s="7">
        <v>5.99</v>
      </c>
      <c r="I1374" s="5">
        <v>1</v>
      </c>
      <c r="J1374" s="3" t="s">
        <v>29</v>
      </c>
      <c r="K1374" s="9">
        <v>42483.625740740739</v>
      </c>
    </row>
    <row r="1375" spans="3:11" x14ac:dyDescent="0.25">
      <c r="C1375" t="str">
        <f>IF(COUNTBLANK(E1375:K1375) = 7,"",IF(AND(NOT(ISBLANK(E1375)),COUNTBLANK(E1375:K1375) = 6),"3 Delete",IF(ISBLANK(E1375),"2 Add",IF(SHA1Range(E1375:K1375) = "84be1cfda0eb1726f3361ccb3ff05d90d318624a","0 Original","1 Modify"))))</f>
        <v>0 Original</v>
      </c>
      <c r="D1375" s="3" t="s">
        <v>1999</v>
      </c>
      <c r="E1375" s="5">
        <v>1378</v>
      </c>
      <c r="F1375">
        <v>414</v>
      </c>
      <c r="G1375" t="s">
        <v>295</v>
      </c>
      <c r="H1375" s="7">
        <v>7.99</v>
      </c>
      <c r="I1375" s="5">
        <v>1</v>
      </c>
      <c r="J1375" s="3" t="s">
        <v>29</v>
      </c>
      <c r="K1375" s="9">
        <v>42483.625740740739</v>
      </c>
    </row>
    <row r="1376" spans="3:11" x14ac:dyDescent="0.25">
      <c r="C1376" t="str">
        <f>IF(COUNTBLANK(E1376:K1376) = 7,"",IF(AND(NOT(ISBLANK(E1376)),COUNTBLANK(E1376:K1376) = 6),"3 Delete",IF(ISBLANK(E1376),"2 Add",IF(SHA1Range(E1376:K1376) = "376c5f14a2a162132efbd4603635652cd688f624","0 Original","1 Modify"))))</f>
        <v>0 Original</v>
      </c>
      <c r="D1376" s="3" t="s">
        <v>2000</v>
      </c>
      <c r="E1376" s="5">
        <v>1379</v>
      </c>
      <c r="F1376">
        <v>414</v>
      </c>
      <c r="G1376" t="s">
        <v>58</v>
      </c>
      <c r="H1376" s="7">
        <v>8.99</v>
      </c>
      <c r="I1376" s="5">
        <v>2</v>
      </c>
      <c r="J1376" s="3" t="s">
        <v>29</v>
      </c>
      <c r="K1376" s="9">
        <v>42483.625740740739</v>
      </c>
    </row>
    <row r="1377" spans="3:11" x14ac:dyDescent="0.25">
      <c r="C1377" t="str">
        <f>IF(COUNTBLANK(E1377:K1377) = 7,"",IF(AND(NOT(ISBLANK(E1377)),COUNTBLANK(E1377:K1377) = 6),"3 Delete",IF(ISBLANK(E1377),"2 Add",IF(SHA1Range(E1377:K1377) = "4375ec3e842585481d4c50d9c12c4f22c76cd5e7","0 Original","1 Modify"))))</f>
        <v>0 Original</v>
      </c>
      <c r="D1377" s="3" t="s">
        <v>2001</v>
      </c>
      <c r="E1377" s="5">
        <v>1380</v>
      </c>
      <c r="F1377">
        <v>414</v>
      </c>
      <c r="G1377" t="s">
        <v>421</v>
      </c>
      <c r="H1377" s="7">
        <v>6.99</v>
      </c>
      <c r="I1377" s="5">
        <v>2</v>
      </c>
      <c r="J1377" s="3" t="s">
        <v>29</v>
      </c>
      <c r="K1377" s="9">
        <v>42483.625740740739</v>
      </c>
    </row>
    <row r="1378" spans="3:11" x14ac:dyDescent="0.25">
      <c r="C1378" t="str">
        <f>IF(COUNTBLANK(E1378:K1378) = 7,"",IF(AND(NOT(ISBLANK(E1378)),COUNTBLANK(E1378:K1378) = 6),"3 Delete",IF(ISBLANK(E1378),"2 Add",IF(SHA1Range(E1378:K1378) = "5d7f1b7e96938589481db00a6a8d424df229ba0a","0 Original","1 Modify"))))</f>
        <v>0 Original</v>
      </c>
      <c r="D1378" s="3" t="s">
        <v>2002</v>
      </c>
      <c r="E1378" s="5">
        <v>1381</v>
      </c>
      <c r="F1378">
        <v>414</v>
      </c>
      <c r="G1378" t="s">
        <v>257</v>
      </c>
      <c r="H1378" s="7">
        <v>9.99</v>
      </c>
      <c r="I1378" s="5">
        <v>1</v>
      </c>
      <c r="J1378" s="3" t="s">
        <v>29</v>
      </c>
      <c r="K1378" s="9">
        <v>42483.625740740739</v>
      </c>
    </row>
    <row r="1379" spans="3:11" x14ac:dyDescent="0.25">
      <c r="C1379" t="str">
        <f>IF(COUNTBLANK(E1379:K1379) = 7,"",IF(AND(NOT(ISBLANK(E1379)),COUNTBLANK(E1379:K1379) = 6),"3 Delete",IF(ISBLANK(E1379),"2 Add",IF(SHA1Range(E1379:K1379) = "160c42ffe2ad89f76b127ee052e70de206748d8f","0 Original","1 Modify"))))</f>
        <v>0 Original</v>
      </c>
      <c r="D1379" s="3" t="s">
        <v>2003</v>
      </c>
      <c r="E1379" s="5">
        <v>1382</v>
      </c>
      <c r="F1379">
        <v>414</v>
      </c>
      <c r="G1379" t="s">
        <v>30</v>
      </c>
      <c r="H1379" s="7">
        <v>9.99</v>
      </c>
      <c r="I1379" s="5">
        <v>1</v>
      </c>
      <c r="J1379" s="3" t="s">
        <v>29</v>
      </c>
      <c r="K1379" s="9">
        <v>42483.625740740739</v>
      </c>
    </row>
    <row r="1380" spans="3:11" x14ac:dyDescent="0.25">
      <c r="C1380" t="str">
        <f>IF(COUNTBLANK(E1380:K1380) = 7,"",IF(AND(NOT(ISBLANK(E1380)),COUNTBLANK(E1380:K1380) = 6),"3 Delete",IF(ISBLANK(E1380),"2 Add",IF(SHA1Range(E1380:K1380) = "1a610cf427154917946bb74effbd893aeca88754","0 Original","1 Modify"))))</f>
        <v>0 Original</v>
      </c>
      <c r="D1380" s="3" t="s">
        <v>2004</v>
      </c>
      <c r="E1380" s="5">
        <v>1383</v>
      </c>
      <c r="F1380">
        <v>415</v>
      </c>
      <c r="G1380" t="s">
        <v>295</v>
      </c>
      <c r="H1380" s="7">
        <v>7.99</v>
      </c>
      <c r="I1380" s="5">
        <v>2</v>
      </c>
      <c r="J1380" s="3" t="s">
        <v>29</v>
      </c>
      <c r="K1380" s="9">
        <v>42483.625740740739</v>
      </c>
    </row>
    <row r="1381" spans="3:11" x14ac:dyDescent="0.25">
      <c r="C1381" t="str">
        <f>IF(COUNTBLANK(E1381:K1381) = 7,"",IF(AND(NOT(ISBLANK(E1381)),COUNTBLANK(E1381:K1381) = 6),"3 Delete",IF(ISBLANK(E1381),"2 Add",IF(SHA1Range(E1381:K1381) = "5485828eb9c01e453a74f5dfdaefccceaa2db082","0 Original","1 Modify"))))</f>
        <v>0 Original</v>
      </c>
      <c r="D1381" s="3" t="s">
        <v>2005</v>
      </c>
      <c r="E1381" s="5">
        <v>1384</v>
      </c>
      <c r="F1381">
        <v>415</v>
      </c>
      <c r="G1381" t="s">
        <v>525</v>
      </c>
      <c r="H1381" s="7">
        <v>4.99</v>
      </c>
      <c r="I1381" s="5">
        <v>2</v>
      </c>
      <c r="J1381" s="3" t="s">
        <v>29</v>
      </c>
      <c r="K1381" s="9">
        <v>42483.625740740739</v>
      </c>
    </row>
    <row r="1382" spans="3:11" x14ac:dyDescent="0.25">
      <c r="C1382" t="str">
        <f>IF(COUNTBLANK(E1382:K1382) = 7,"",IF(AND(NOT(ISBLANK(E1382)),COUNTBLANK(E1382:K1382) = 6),"3 Delete",IF(ISBLANK(E1382),"2 Add",IF(SHA1Range(E1382:K1382) = "b91bd9e23f349ce1ed9e0209f82f1be635cd58bd","0 Original","1 Modify"))))</f>
        <v>0 Original</v>
      </c>
      <c r="D1382" s="3" t="s">
        <v>2006</v>
      </c>
      <c r="E1382" s="5">
        <v>1385</v>
      </c>
      <c r="F1382">
        <v>415</v>
      </c>
      <c r="G1382" t="s">
        <v>425</v>
      </c>
      <c r="H1382" s="7">
        <v>6.99</v>
      </c>
      <c r="I1382" s="5">
        <v>1</v>
      </c>
      <c r="J1382" s="3" t="s">
        <v>29</v>
      </c>
      <c r="K1382" s="9">
        <v>42483.625740740739</v>
      </c>
    </row>
    <row r="1383" spans="3:11" x14ac:dyDescent="0.25">
      <c r="C1383" t="str">
        <f>IF(COUNTBLANK(E1383:K1383) = 7,"",IF(AND(NOT(ISBLANK(E1383)),COUNTBLANK(E1383:K1383) = 6),"3 Delete",IF(ISBLANK(E1383),"2 Add",IF(SHA1Range(E1383:K1383) = "47ae7035411d5129de084116783f82e286915ad7","0 Original","1 Modify"))))</f>
        <v>0 Original</v>
      </c>
      <c r="D1383" s="3" t="s">
        <v>2007</v>
      </c>
      <c r="E1383" s="5">
        <v>1386</v>
      </c>
      <c r="F1383">
        <v>415</v>
      </c>
      <c r="G1383" t="s">
        <v>51</v>
      </c>
      <c r="H1383" s="7">
        <v>9.99</v>
      </c>
      <c r="I1383" s="5">
        <v>1</v>
      </c>
      <c r="J1383" s="3" t="s">
        <v>29</v>
      </c>
      <c r="K1383" s="9">
        <v>42483.625740740739</v>
      </c>
    </row>
    <row r="1384" spans="3:11" x14ac:dyDescent="0.25">
      <c r="C1384" t="str">
        <f>IF(COUNTBLANK(E1384:K1384) = 7,"",IF(AND(NOT(ISBLANK(E1384)),COUNTBLANK(E1384:K1384) = 6),"3 Delete",IF(ISBLANK(E1384),"2 Add",IF(SHA1Range(E1384:K1384) = "66b94fb3adf5173a3d66771d7a7af195c584a230","0 Original","1 Modify"))))</f>
        <v>0 Original</v>
      </c>
      <c r="D1384" s="3" t="s">
        <v>2008</v>
      </c>
      <c r="E1384" s="5">
        <v>1387</v>
      </c>
      <c r="F1384">
        <v>415</v>
      </c>
      <c r="G1384" t="s">
        <v>418</v>
      </c>
      <c r="H1384" s="7">
        <v>6.99</v>
      </c>
      <c r="I1384" s="5">
        <v>2</v>
      </c>
      <c r="J1384" s="3" t="s">
        <v>29</v>
      </c>
      <c r="K1384" s="9">
        <v>42483.625740740739</v>
      </c>
    </row>
    <row r="1385" spans="3:11" x14ac:dyDescent="0.25">
      <c r="C1385" t="str">
        <f>IF(COUNTBLANK(E1385:K1385) = 7,"",IF(AND(NOT(ISBLANK(E1385)),COUNTBLANK(E1385:K1385) = 6),"3 Delete",IF(ISBLANK(E1385),"2 Add",IF(SHA1Range(E1385:K1385) = "1636d0e91c1d38144fa772d36b47a7da8f2074a0","0 Original","1 Modify"))))</f>
        <v>0 Original</v>
      </c>
      <c r="D1385" s="3" t="s">
        <v>2009</v>
      </c>
      <c r="E1385" s="5">
        <v>1388</v>
      </c>
      <c r="F1385">
        <v>415</v>
      </c>
      <c r="G1385" t="s">
        <v>234</v>
      </c>
      <c r="H1385" s="7">
        <v>4.99</v>
      </c>
      <c r="I1385" s="5">
        <v>1</v>
      </c>
      <c r="J1385" s="3" t="s">
        <v>29</v>
      </c>
      <c r="K1385" s="9">
        <v>42483.625740740739</v>
      </c>
    </row>
    <row r="1386" spans="3:11" x14ac:dyDescent="0.25">
      <c r="C1386" t="str">
        <f>IF(COUNTBLANK(E1386:K1386) = 7,"",IF(AND(NOT(ISBLANK(E1386)),COUNTBLANK(E1386:K1386) = 6),"3 Delete",IF(ISBLANK(E1386),"2 Add",IF(SHA1Range(E1386:K1386) = "d4dfb8b1c85b96225085f5f552b549a541cc6f52","0 Original","1 Modify"))))</f>
        <v>0 Original</v>
      </c>
      <c r="D1386" s="3" t="s">
        <v>2010</v>
      </c>
      <c r="E1386" s="5">
        <v>1389</v>
      </c>
      <c r="F1386">
        <v>416</v>
      </c>
      <c r="G1386" t="s">
        <v>425</v>
      </c>
      <c r="H1386" s="7">
        <v>6.99</v>
      </c>
      <c r="I1386" s="5">
        <v>1</v>
      </c>
      <c r="J1386" s="3" t="s">
        <v>29</v>
      </c>
      <c r="K1386" s="9">
        <v>42483.625740740739</v>
      </c>
    </row>
    <row r="1387" spans="3:11" x14ac:dyDescent="0.25">
      <c r="C1387" t="str">
        <f>IF(COUNTBLANK(E1387:K1387) = 7,"",IF(AND(NOT(ISBLANK(E1387)),COUNTBLANK(E1387:K1387) = 6),"3 Delete",IF(ISBLANK(E1387),"2 Add",IF(SHA1Range(E1387:K1387) = "26bcee7b99e617664bb11fe963adf9ca79df099e","0 Original","1 Modify"))))</f>
        <v>0 Original</v>
      </c>
      <c r="D1387" s="3" t="s">
        <v>2011</v>
      </c>
      <c r="E1387" s="5">
        <v>1390</v>
      </c>
      <c r="F1387">
        <v>416</v>
      </c>
      <c r="G1387" t="s">
        <v>546</v>
      </c>
      <c r="H1387" s="7">
        <v>9.99</v>
      </c>
      <c r="I1387" s="5">
        <v>1</v>
      </c>
      <c r="J1387" s="3" t="s">
        <v>29</v>
      </c>
      <c r="K1387" s="9">
        <v>42483.625740740739</v>
      </c>
    </row>
    <row r="1388" spans="3:11" x14ac:dyDescent="0.25">
      <c r="C1388" t="str">
        <f>IF(COUNTBLANK(E1388:K1388) = 7,"",IF(AND(NOT(ISBLANK(E1388)),COUNTBLANK(E1388:K1388) = 6),"3 Delete",IF(ISBLANK(E1388),"2 Add",IF(SHA1Range(E1388:K1388) = "d9b8187654fd7c9c80d80a9dbdf4ad89af9fbc51","0 Original","1 Modify"))))</f>
        <v>0 Original</v>
      </c>
      <c r="D1388" s="3" t="s">
        <v>2012</v>
      </c>
      <c r="E1388" s="5">
        <v>1391</v>
      </c>
      <c r="F1388">
        <v>416</v>
      </c>
      <c r="G1388" t="s">
        <v>149</v>
      </c>
      <c r="H1388" s="7">
        <v>7.99</v>
      </c>
      <c r="I1388" s="5">
        <v>2</v>
      </c>
      <c r="J1388" s="3" t="s">
        <v>29</v>
      </c>
      <c r="K1388" s="9">
        <v>42483.625740740739</v>
      </c>
    </row>
    <row r="1389" spans="3:11" x14ac:dyDescent="0.25">
      <c r="C1389" t="str">
        <f>IF(COUNTBLANK(E1389:K1389) = 7,"",IF(AND(NOT(ISBLANK(E1389)),COUNTBLANK(E1389:K1389) = 6),"3 Delete",IF(ISBLANK(E1389),"2 Add",IF(SHA1Range(E1389:K1389) = "ac7b93d9fe028e4d6a018c5c715b48401305798c","0 Original","1 Modify"))))</f>
        <v>0 Original</v>
      </c>
      <c r="D1389" s="3" t="s">
        <v>2013</v>
      </c>
      <c r="E1389" s="5">
        <v>1392</v>
      </c>
      <c r="F1389">
        <v>416</v>
      </c>
      <c r="G1389" t="s">
        <v>230</v>
      </c>
      <c r="H1389" s="7">
        <v>5.99</v>
      </c>
      <c r="I1389" s="5">
        <v>1</v>
      </c>
      <c r="J1389" s="3" t="s">
        <v>29</v>
      </c>
      <c r="K1389" s="9">
        <v>42483.625740740739</v>
      </c>
    </row>
    <row r="1390" spans="3:11" x14ac:dyDescent="0.25">
      <c r="C1390" t="str">
        <f>IF(COUNTBLANK(E1390:K1390) = 7,"",IF(AND(NOT(ISBLANK(E1390)),COUNTBLANK(E1390:K1390) = 6),"3 Delete",IF(ISBLANK(E1390),"2 Add",IF(SHA1Range(E1390:K1390) = "3ecff2f2eb06fd5a8a217d6b8cc81f78dd78cb0c","0 Original","1 Modify"))))</f>
        <v>0 Original</v>
      </c>
      <c r="D1390" s="3" t="s">
        <v>2014</v>
      </c>
      <c r="E1390" s="5">
        <v>1393</v>
      </c>
      <c r="F1390">
        <v>416</v>
      </c>
      <c r="G1390" t="s">
        <v>133</v>
      </c>
      <c r="H1390" s="7">
        <v>7.99</v>
      </c>
      <c r="I1390" s="5">
        <v>2</v>
      </c>
      <c r="J1390" s="3" t="s">
        <v>29</v>
      </c>
      <c r="K1390" s="9">
        <v>42483.625740740739</v>
      </c>
    </row>
    <row r="1391" spans="3:11" x14ac:dyDescent="0.25">
      <c r="C1391" t="str">
        <f>IF(COUNTBLANK(E1391:K1391) = 7,"",IF(AND(NOT(ISBLANK(E1391)),COUNTBLANK(E1391:K1391) = 6),"3 Delete",IF(ISBLANK(E1391),"2 Add",IF(SHA1Range(E1391:K1391) = "6084a4c58b8965c05913f924e05b7b1f06e75176","0 Original","1 Modify"))))</f>
        <v>0 Original</v>
      </c>
      <c r="D1391" s="3" t="s">
        <v>2015</v>
      </c>
      <c r="E1391" s="5">
        <v>1394</v>
      </c>
      <c r="F1391">
        <v>416</v>
      </c>
      <c r="G1391" t="s">
        <v>546</v>
      </c>
      <c r="H1391" s="7">
        <v>9.99</v>
      </c>
      <c r="I1391" s="5">
        <v>2</v>
      </c>
      <c r="J1391" s="3" t="s">
        <v>29</v>
      </c>
      <c r="K1391" s="9">
        <v>42483.625740740739</v>
      </c>
    </row>
    <row r="1392" spans="3:11" x14ac:dyDescent="0.25">
      <c r="C1392" t="str">
        <f>IF(COUNTBLANK(E1392:K1392) = 7,"",IF(AND(NOT(ISBLANK(E1392)),COUNTBLANK(E1392:K1392) = 6),"3 Delete",IF(ISBLANK(E1392),"2 Add",IF(SHA1Range(E1392:K1392) = "f08082bdb68c07369da730141382f3b073b1419b","0 Original","1 Modify"))))</f>
        <v>0 Original</v>
      </c>
      <c r="D1392" s="3" t="s">
        <v>2016</v>
      </c>
      <c r="E1392" s="5">
        <v>1395</v>
      </c>
      <c r="F1392">
        <v>417</v>
      </c>
      <c r="G1392" t="s">
        <v>537</v>
      </c>
      <c r="H1392" s="7">
        <v>7.99</v>
      </c>
      <c r="I1392" s="5">
        <v>1</v>
      </c>
      <c r="J1392" s="3" t="s">
        <v>29</v>
      </c>
      <c r="K1392" s="9">
        <v>42483.625740740739</v>
      </c>
    </row>
    <row r="1393" spans="3:11" x14ac:dyDescent="0.25">
      <c r="C1393" t="str">
        <f>IF(COUNTBLANK(E1393:K1393) = 7,"",IF(AND(NOT(ISBLANK(E1393)),COUNTBLANK(E1393:K1393) = 6),"3 Delete",IF(ISBLANK(E1393),"2 Add",IF(SHA1Range(E1393:K1393) = "c97aa02a53cb02ee1212548084572d5f91d21ae5","0 Original","1 Modify"))))</f>
        <v>0 Original</v>
      </c>
      <c r="D1393" s="3" t="s">
        <v>2017</v>
      </c>
      <c r="E1393" s="5">
        <v>1396</v>
      </c>
      <c r="F1393">
        <v>417</v>
      </c>
      <c r="G1393" t="s">
        <v>448</v>
      </c>
      <c r="H1393" s="7">
        <v>8.99</v>
      </c>
      <c r="I1393" s="5">
        <v>2</v>
      </c>
      <c r="J1393" s="3" t="s">
        <v>29</v>
      </c>
      <c r="K1393" s="9">
        <v>42483.625740740739</v>
      </c>
    </row>
    <row r="1394" spans="3:11" x14ac:dyDescent="0.25">
      <c r="C1394" t="str">
        <f>IF(COUNTBLANK(E1394:K1394) = 7,"",IF(AND(NOT(ISBLANK(E1394)),COUNTBLANK(E1394:K1394) = 6),"3 Delete",IF(ISBLANK(E1394),"2 Add",IF(SHA1Range(E1394:K1394) = "28a955faa77d9c382e749d9df77ce67b868d1f52","0 Original","1 Modify"))))</f>
        <v>0 Original</v>
      </c>
      <c r="D1394" s="3" t="s">
        <v>2018</v>
      </c>
      <c r="E1394" s="5">
        <v>1397</v>
      </c>
      <c r="F1394">
        <v>418</v>
      </c>
      <c r="G1394" t="s">
        <v>126</v>
      </c>
      <c r="H1394" s="7">
        <v>6.99</v>
      </c>
      <c r="I1394" s="5">
        <v>1</v>
      </c>
      <c r="J1394" s="3" t="s">
        <v>29</v>
      </c>
      <c r="K1394" s="9">
        <v>42483.625740740739</v>
      </c>
    </row>
    <row r="1395" spans="3:11" x14ac:dyDescent="0.25">
      <c r="C1395" t="str">
        <f>IF(COUNTBLANK(E1395:K1395) = 7,"",IF(AND(NOT(ISBLANK(E1395)),COUNTBLANK(E1395:K1395) = 6),"3 Delete",IF(ISBLANK(E1395),"2 Add",IF(SHA1Range(E1395:K1395) = "f6004b0e2390d3bcdf4adf749314eff3f8e3b606","0 Original","1 Modify"))))</f>
        <v>0 Original</v>
      </c>
      <c r="D1395" s="3" t="s">
        <v>2019</v>
      </c>
      <c r="E1395" s="5">
        <v>1398</v>
      </c>
      <c r="F1395">
        <v>418</v>
      </c>
      <c r="G1395" t="s">
        <v>576</v>
      </c>
      <c r="H1395" s="7">
        <v>5.99</v>
      </c>
      <c r="I1395" s="5">
        <v>2</v>
      </c>
      <c r="J1395" s="3" t="s">
        <v>29</v>
      </c>
      <c r="K1395" s="9">
        <v>42483.625740740739</v>
      </c>
    </row>
    <row r="1396" spans="3:11" x14ac:dyDescent="0.25">
      <c r="C1396" t="str">
        <f>IF(COUNTBLANK(E1396:K1396) = 7,"",IF(AND(NOT(ISBLANK(E1396)),COUNTBLANK(E1396:K1396) = 6),"3 Delete",IF(ISBLANK(E1396),"2 Add",IF(SHA1Range(E1396:K1396) = "b9e491e9eae666ad26fce099e56323ac73ceeede","0 Original","1 Modify"))))</f>
        <v>0 Original</v>
      </c>
      <c r="D1396" s="3" t="s">
        <v>2020</v>
      </c>
      <c r="E1396" s="5">
        <v>1399</v>
      </c>
      <c r="F1396">
        <v>419</v>
      </c>
      <c r="G1396" t="s">
        <v>456</v>
      </c>
      <c r="H1396" s="7">
        <v>9.99</v>
      </c>
      <c r="I1396" s="5">
        <v>1</v>
      </c>
      <c r="J1396" s="3" t="s">
        <v>29</v>
      </c>
      <c r="K1396" s="9">
        <v>42483.625740740739</v>
      </c>
    </row>
    <row r="1397" spans="3:11" x14ac:dyDescent="0.25">
      <c r="C1397" t="str">
        <f>IF(COUNTBLANK(E1397:K1397) = 7,"",IF(AND(NOT(ISBLANK(E1397)),COUNTBLANK(E1397:K1397) = 6),"3 Delete",IF(ISBLANK(E1397),"2 Add",IF(SHA1Range(E1397:K1397) = "7ff4cb91f5076629073947cdd982991fe408a4b7","0 Original","1 Modify"))))</f>
        <v>0 Original</v>
      </c>
      <c r="D1397" s="3" t="s">
        <v>2021</v>
      </c>
      <c r="E1397" s="5">
        <v>1400</v>
      </c>
      <c r="F1397">
        <v>419</v>
      </c>
      <c r="G1397" t="s">
        <v>250</v>
      </c>
      <c r="H1397" s="7">
        <v>8.99</v>
      </c>
      <c r="I1397" s="5">
        <v>1</v>
      </c>
      <c r="J1397" s="3" t="s">
        <v>29</v>
      </c>
      <c r="K1397" s="9">
        <v>42483.625740740739</v>
      </c>
    </row>
    <row r="1398" spans="3:11" x14ac:dyDescent="0.25">
      <c r="C1398" t="str">
        <f>IF(COUNTBLANK(E1398:K1398) = 7,"",IF(AND(NOT(ISBLANK(E1398)),COUNTBLANK(E1398:K1398) = 6),"3 Delete",IF(ISBLANK(E1398),"2 Add",IF(SHA1Range(E1398:K1398) = "de19ff728946a3b8387e455e9fdcb431e2da0f17","0 Original","1 Modify"))))</f>
        <v>0 Original</v>
      </c>
      <c r="D1398" s="3" t="s">
        <v>2022</v>
      </c>
      <c r="E1398" s="5">
        <v>1401</v>
      </c>
      <c r="F1398">
        <v>419</v>
      </c>
      <c r="G1398" t="s">
        <v>238</v>
      </c>
      <c r="H1398" s="7">
        <v>5.99</v>
      </c>
      <c r="I1398" s="5">
        <v>1</v>
      </c>
      <c r="J1398" s="3" t="s">
        <v>29</v>
      </c>
      <c r="K1398" s="9">
        <v>42483.625740740739</v>
      </c>
    </row>
    <row r="1399" spans="3:11" x14ac:dyDescent="0.25">
      <c r="C1399" t="str">
        <f>IF(COUNTBLANK(E1399:K1399) = 7,"",IF(AND(NOT(ISBLANK(E1399)),COUNTBLANK(E1399:K1399) = 6),"3 Delete",IF(ISBLANK(E1399),"2 Add",IF(SHA1Range(E1399:K1399) = "31dd6dc9aefe606e5e1745660d7730bb365e64f9","0 Original","1 Modify"))))</f>
        <v>0 Original</v>
      </c>
      <c r="D1399" s="3" t="s">
        <v>2023</v>
      </c>
      <c r="E1399" s="5">
        <v>1402</v>
      </c>
      <c r="F1399">
        <v>419</v>
      </c>
      <c r="G1399" t="s">
        <v>54</v>
      </c>
      <c r="H1399" s="7">
        <v>5.99</v>
      </c>
      <c r="I1399" s="5">
        <v>1</v>
      </c>
      <c r="J1399" s="3" t="s">
        <v>29</v>
      </c>
      <c r="K1399" s="9">
        <v>42483.625740740739</v>
      </c>
    </row>
    <row r="1400" spans="3:11" x14ac:dyDescent="0.25">
      <c r="C1400" t="str">
        <f>IF(COUNTBLANK(E1400:K1400) = 7,"",IF(AND(NOT(ISBLANK(E1400)),COUNTBLANK(E1400:K1400) = 6),"3 Delete",IF(ISBLANK(E1400),"2 Add",IF(SHA1Range(E1400:K1400) = "38dd3864593b57e3609a9ca3c6b247d0c4df019f","0 Original","1 Modify"))))</f>
        <v>0 Original</v>
      </c>
      <c r="D1400" s="3" t="s">
        <v>2024</v>
      </c>
      <c r="E1400" s="5">
        <v>1403</v>
      </c>
      <c r="F1400">
        <v>419</v>
      </c>
      <c r="G1400" t="s">
        <v>37</v>
      </c>
      <c r="H1400" s="7">
        <v>6.99</v>
      </c>
      <c r="I1400" s="5">
        <v>1</v>
      </c>
      <c r="J1400" s="3" t="s">
        <v>29</v>
      </c>
      <c r="K1400" s="9">
        <v>42483.625740740739</v>
      </c>
    </row>
    <row r="1401" spans="3:11" x14ac:dyDescent="0.25">
      <c r="C1401" t="str">
        <f>IF(COUNTBLANK(E1401:K1401) = 7,"",IF(AND(NOT(ISBLANK(E1401)),COUNTBLANK(E1401:K1401) = 6),"3 Delete",IF(ISBLANK(E1401),"2 Add",IF(SHA1Range(E1401:K1401) = "d6cfcc4fbb601631bc502b556de8a66f48b541a0","0 Original","1 Modify"))))</f>
        <v>0 Original</v>
      </c>
      <c r="D1401" s="3" t="s">
        <v>2025</v>
      </c>
      <c r="E1401" s="5">
        <v>1404</v>
      </c>
      <c r="F1401">
        <v>419</v>
      </c>
      <c r="G1401" t="s">
        <v>221</v>
      </c>
      <c r="H1401" s="7">
        <v>6.99</v>
      </c>
      <c r="I1401" s="5">
        <v>1</v>
      </c>
      <c r="J1401" s="3" t="s">
        <v>29</v>
      </c>
      <c r="K1401" s="9">
        <v>42483.625740740739</v>
      </c>
    </row>
    <row r="1402" spans="3:11" x14ac:dyDescent="0.25">
      <c r="C1402" t="str">
        <f>IF(COUNTBLANK(E1402:K1402) = 7,"",IF(AND(NOT(ISBLANK(E1402)),COUNTBLANK(E1402:K1402) = 6),"3 Delete",IF(ISBLANK(E1402),"2 Add",IF(SHA1Range(E1402:K1402) = "fbebc0151756bafafab96f9d9c53f7a4b88e78f8","0 Original","1 Modify"))))</f>
        <v>0 Original</v>
      </c>
      <c r="D1402" s="3" t="s">
        <v>2026</v>
      </c>
      <c r="E1402" s="5">
        <v>1405</v>
      </c>
      <c r="F1402">
        <v>419</v>
      </c>
      <c r="G1402" t="s">
        <v>221</v>
      </c>
      <c r="H1402" s="7">
        <v>6.99</v>
      </c>
      <c r="I1402" s="5">
        <v>2</v>
      </c>
      <c r="J1402" s="3" t="s">
        <v>29</v>
      </c>
      <c r="K1402" s="9">
        <v>42483.625740740739</v>
      </c>
    </row>
    <row r="1403" spans="3:11" x14ac:dyDescent="0.25">
      <c r="C1403" t="str">
        <f>IF(COUNTBLANK(E1403:K1403) = 7,"",IF(AND(NOT(ISBLANK(E1403)),COUNTBLANK(E1403:K1403) = 6),"3 Delete",IF(ISBLANK(E1403),"2 Add",IF(SHA1Range(E1403:K1403) = "01ac903f9ba651cb1ef58386542c5f6ead0c6469","0 Original","1 Modify"))))</f>
        <v>0 Original</v>
      </c>
      <c r="D1403" s="3" t="s">
        <v>2027</v>
      </c>
      <c r="E1403" s="5">
        <v>1406</v>
      </c>
      <c r="F1403">
        <v>420</v>
      </c>
      <c r="G1403" t="s">
        <v>364</v>
      </c>
      <c r="H1403" s="7">
        <v>9.99</v>
      </c>
      <c r="I1403" s="5">
        <v>2</v>
      </c>
      <c r="J1403" s="3" t="s">
        <v>29</v>
      </c>
      <c r="K1403" s="9">
        <v>42483.625740740739</v>
      </c>
    </row>
    <row r="1404" spans="3:11" x14ac:dyDescent="0.25">
      <c r="C1404" t="str">
        <f>IF(COUNTBLANK(E1404:K1404) = 7,"",IF(AND(NOT(ISBLANK(E1404)),COUNTBLANK(E1404:K1404) = 6),"3 Delete",IF(ISBLANK(E1404),"2 Add",IF(SHA1Range(E1404:K1404) = "1ca6176fb6c6dc4c5dcacb316c06ab1ace0005de","0 Original","1 Modify"))))</f>
        <v>0 Original</v>
      </c>
      <c r="D1404" s="3" t="s">
        <v>2028</v>
      </c>
      <c r="E1404" s="5">
        <v>1407</v>
      </c>
      <c r="F1404">
        <v>420</v>
      </c>
      <c r="G1404" t="s">
        <v>407</v>
      </c>
      <c r="H1404" s="7">
        <v>9.99</v>
      </c>
      <c r="I1404" s="5">
        <v>1</v>
      </c>
      <c r="J1404" s="3" t="s">
        <v>29</v>
      </c>
      <c r="K1404" s="9">
        <v>42483.625740740739</v>
      </c>
    </row>
    <row r="1405" spans="3:11" x14ac:dyDescent="0.25">
      <c r="C1405" t="str">
        <f>IF(COUNTBLANK(E1405:K1405) = 7,"",IF(AND(NOT(ISBLANK(E1405)),COUNTBLANK(E1405:K1405) = 6),"3 Delete",IF(ISBLANK(E1405),"2 Add",IF(SHA1Range(E1405:K1405) = "30ced33a46bfa9103e07af677a44341d5622b0f9","0 Original","1 Modify"))))</f>
        <v>0 Original</v>
      </c>
      <c r="D1405" s="3" t="s">
        <v>2029</v>
      </c>
      <c r="E1405" s="5">
        <v>1408</v>
      </c>
      <c r="F1405">
        <v>421</v>
      </c>
      <c r="G1405" t="s">
        <v>525</v>
      </c>
      <c r="H1405" s="7">
        <v>4.99</v>
      </c>
      <c r="I1405" s="5">
        <v>1</v>
      </c>
      <c r="J1405" s="3" t="s">
        <v>29</v>
      </c>
      <c r="K1405" s="9">
        <v>42483.625740740739</v>
      </c>
    </row>
    <row r="1406" spans="3:11" x14ac:dyDescent="0.25">
      <c r="C1406" t="str">
        <f>IF(COUNTBLANK(E1406:K1406) = 7,"",IF(AND(NOT(ISBLANK(E1406)),COUNTBLANK(E1406:K1406) = 6),"3 Delete",IF(ISBLANK(E1406),"2 Add",IF(SHA1Range(E1406:K1406) = "beeb090984e32acb09003e13d8df250dc4645493","0 Original","1 Modify"))))</f>
        <v>0 Original</v>
      </c>
      <c r="D1406" s="3" t="s">
        <v>2030</v>
      </c>
      <c r="E1406" s="5">
        <v>1409</v>
      </c>
      <c r="F1406">
        <v>421</v>
      </c>
      <c r="G1406" t="s">
        <v>142</v>
      </c>
      <c r="H1406" s="7">
        <v>4.99</v>
      </c>
      <c r="I1406" s="5">
        <v>2</v>
      </c>
      <c r="J1406" s="3" t="s">
        <v>29</v>
      </c>
      <c r="K1406" s="9">
        <v>42483.625740740739</v>
      </c>
    </row>
    <row r="1407" spans="3:11" x14ac:dyDescent="0.25">
      <c r="C1407" t="str">
        <f>IF(COUNTBLANK(E1407:K1407) = 7,"",IF(AND(NOT(ISBLANK(E1407)),COUNTBLANK(E1407:K1407) = 6),"3 Delete",IF(ISBLANK(E1407),"2 Add",IF(SHA1Range(E1407:K1407) = "857dad650ae502dc8b8fd757d815eafdab6b6904","0 Original","1 Modify"))))</f>
        <v>0 Original</v>
      </c>
      <c r="D1407" s="3" t="s">
        <v>2031</v>
      </c>
      <c r="E1407" s="5">
        <v>1410</v>
      </c>
      <c r="F1407">
        <v>421</v>
      </c>
      <c r="G1407" t="s">
        <v>546</v>
      </c>
      <c r="H1407" s="7">
        <v>9.99</v>
      </c>
      <c r="I1407" s="5">
        <v>1</v>
      </c>
      <c r="J1407" s="3" t="s">
        <v>29</v>
      </c>
      <c r="K1407" s="9">
        <v>42483.625740740739</v>
      </c>
    </row>
    <row r="1408" spans="3:11" x14ac:dyDescent="0.25">
      <c r="C1408" t="str">
        <f>IF(COUNTBLANK(E1408:K1408) = 7,"",IF(AND(NOT(ISBLANK(E1408)),COUNTBLANK(E1408:K1408) = 6),"3 Delete",IF(ISBLANK(E1408),"2 Add",IF(SHA1Range(E1408:K1408) = "a840afd4ea41689ee546a1a6df65a45e006b2ddd","0 Original","1 Modify"))))</f>
        <v>0 Original</v>
      </c>
      <c r="D1408" s="3" t="s">
        <v>2032</v>
      </c>
      <c r="E1408" s="5">
        <v>1411</v>
      </c>
      <c r="F1408">
        <v>421</v>
      </c>
      <c r="G1408" t="s">
        <v>398</v>
      </c>
      <c r="H1408" s="7">
        <v>4.99</v>
      </c>
      <c r="I1408" s="5">
        <v>1</v>
      </c>
      <c r="J1408" s="3" t="s">
        <v>29</v>
      </c>
      <c r="K1408" s="9">
        <v>42483.625740740739</v>
      </c>
    </row>
    <row r="1409" spans="3:11" x14ac:dyDescent="0.25">
      <c r="C1409" t="str">
        <f>IF(COUNTBLANK(E1409:K1409) = 7,"",IF(AND(NOT(ISBLANK(E1409)),COUNTBLANK(E1409:K1409) = 6),"3 Delete",IF(ISBLANK(E1409),"2 Add",IF(SHA1Range(E1409:K1409) = "4abec3e1e858a56328e93a82a12087712b37036f","0 Original","1 Modify"))))</f>
        <v>0 Original</v>
      </c>
      <c r="D1409" s="3" t="s">
        <v>2033</v>
      </c>
      <c r="E1409" s="5">
        <v>1412</v>
      </c>
      <c r="F1409">
        <v>422</v>
      </c>
      <c r="G1409" t="s">
        <v>537</v>
      </c>
      <c r="H1409" s="7">
        <v>7.99</v>
      </c>
      <c r="I1409" s="5">
        <v>2</v>
      </c>
      <c r="J1409" s="3" t="s">
        <v>29</v>
      </c>
      <c r="K1409" s="9">
        <v>42483.625740740739</v>
      </c>
    </row>
    <row r="1410" spans="3:11" x14ac:dyDescent="0.25">
      <c r="C1410" t="str">
        <f>IF(COUNTBLANK(E1410:K1410) = 7,"",IF(AND(NOT(ISBLANK(E1410)),COUNTBLANK(E1410:K1410) = 6),"3 Delete",IF(ISBLANK(E1410),"2 Add",IF(SHA1Range(E1410:K1410) = "953200febc4031ba68f3f6d6f07dd0afd55995f8","0 Original","1 Modify"))))</f>
        <v>0 Original</v>
      </c>
      <c r="D1410" s="3" t="s">
        <v>2034</v>
      </c>
      <c r="E1410" s="5">
        <v>1413</v>
      </c>
      <c r="F1410">
        <v>422</v>
      </c>
      <c r="G1410" t="s">
        <v>391</v>
      </c>
      <c r="H1410" s="7">
        <v>7.99</v>
      </c>
      <c r="I1410" s="5">
        <v>1</v>
      </c>
      <c r="J1410" s="3" t="s">
        <v>29</v>
      </c>
      <c r="K1410" s="9">
        <v>42483.625740740739</v>
      </c>
    </row>
    <row r="1411" spans="3:11" x14ac:dyDescent="0.25">
      <c r="C1411" t="str">
        <f>IF(COUNTBLANK(E1411:K1411) = 7,"",IF(AND(NOT(ISBLANK(E1411)),COUNTBLANK(E1411:K1411) = 6),"3 Delete",IF(ISBLANK(E1411),"2 Add",IF(SHA1Range(E1411:K1411) = "cc7e091de4e291a477e004f4fca4d81f49ed478d","0 Original","1 Modify"))))</f>
        <v>0 Original</v>
      </c>
      <c r="D1411" s="3" t="s">
        <v>2035</v>
      </c>
      <c r="E1411" s="5">
        <v>1414</v>
      </c>
      <c r="F1411">
        <v>422</v>
      </c>
      <c r="G1411" t="s">
        <v>335</v>
      </c>
      <c r="H1411" s="7">
        <v>5.99</v>
      </c>
      <c r="I1411" s="5">
        <v>1</v>
      </c>
      <c r="J1411" s="3" t="s">
        <v>29</v>
      </c>
      <c r="K1411" s="9">
        <v>42483.625740740739</v>
      </c>
    </row>
    <row r="1412" spans="3:11" x14ac:dyDescent="0.25">
      <c r="C1412" t="str">
        <f>IF(COUNTBLANK(E1412:K1412) = 7,"",IF(AND(NOT(ISBLANK(E1412)),COUNTBLANK(E1412:K1412) = 6),"3 Delete",IF(ISBLANK(E1412),"2 Add",IF(SHA1Range(E1412:K1412) = "2e91ecbb9720ab5424f483f1ef258f61c6aa80cb","0 Original","1 Modify"))))</f>
        <v>0 Original</v>
      </c>
      <c r="D1412" s="3" t="s">
        <v>2036</v>
      </c>
      <c r="E1412" s="5">
        <v>1415</v>
      </c>
      <c r="F1412">
        <v>423</v>
      </c>
      <c r="G1412" t="s">
        <v>30</v>
      </c>
      <c r="H1412" s="7">
        <v>9.99</v>
      </c>
      <c r="I1412" s="5">
        <v>2</v>
      </c>
      <c r="J1412" s="3" t="s">
        <v>29</v>
      </c>
      <c r="K1412" s="9">
        <v>42483.625740740739</v>
      </c>
    </row>
    <row r="1413" spans="3:11" x14ac:dyDescent="0.25">
      <c r="C1413" t="str">
        <f>IF(COUNTBLANK(E1413:K1413) = 7,"",IF(AND(NOT(ISBLANK(E1413)),COUNTBLANK(E1413:K1413) = 6),"3 Delete",IF(ISBLANK(E1413),"2 Add",IF(SHA1Range(E1413:K1413) = "7524f7e0b49ebbf3adba3ccabc995cc6a0b58bfa","0 Original","1 Modify"))))</f>
        <v>0 Original</v>
      </c>
      <c r="D1413" s="3" t="s">
        <v>2037</v>
      </c>
      <c r="E1413" s="5">
        <v>1416</v>
      </c>
      <c r="F1413">
        <v>423</v>
      </c>
      <c r="G1413" t="s">
        <v>388</v>
      </c>
      <c r="H1413" s="7">
        <v>5.99</v>
      </c>
      <c r="I1413" s="5">
        <v>1</v>
      </c>
      <c r="J1413" s="3" t="s">
        <v>29</v>
      </c>
      <c r="K1413" s="9">
        <v>42483.625740740739</v>
      </c>
    </row>
    <row r="1414" spans="3:11" x14ac:dyDescent="0.25">
      <c r="C1414" t="str">
        <f>IF(COUNTBLANK(E1414:K1414) = 7,"",IF(AND(NOT(ISBLANK(E1414)),COUNTBLANK(E1414:K1414) = 6),"3 Delete",IF(ISBLANK(E1414),"2 Add",IF(SHA1Range(E1414:K1414) = "0d55ddadd1bc3f66ae4c384f30141729e0f9de52","0 Original","1 Modify"))))</f>
        <v>0 Original</v>
      </c>
      <c r="D1414" s="3" t="s">
        <v>2038</v>
      </c>
      <c r="E1414" s="5">
        <v>1417</v>
      </c>
      <c r="F1414">
        <v>423</v>
      </c>
      <c r="G1414" t="s">
        <v>184</v>
      </c>
      <c r="H1414" s="7">
        <v>8.99</v>
      </c>
      <c r="I1414" s="5">
        <v>1</v>
      </c>
      <c r="J1414" s="3" t="s">
        <v>29</v>
      </c>
      <c r="K1414" s="9">
        <v>42483.625740740739</v>
      </c>
    </row>
    <row r="1415" spans="3:11" x14ac:dyDescent="0.25">
      <c r="C1415" t="str">
        <f>IF(COUNTBLANK(E1415:K1415) = 7,"",IF(AND(NOT(ISBLANK(E1415)),COUNTBLANK(E1415:K1415) = 6),"3 Delete",IF(ISBLANK(E1415),"2 Add",IF(SHA1Range(E1415:K1415) = "6ed9dc562d2ee6eb72d09c03eac53be3f256294c","0 Original","1 Modify"))))</f>
        <v>0 Original</v>
      </c>
      <c r="D1415" s="3" t="s">
        <v>2039</v>
      </c>
      <c r="E1415" s="5">
        <v>1418</v>
      </c>
      <c r="F1415">
        <v>423</v>
      </c>
      <c r="G1415" t="s">
        <v>421</v>
      </c>
      <c r="H1415" s="7">
        <v>6.99</v>
      </c>
      <c r="I1415" s="5">
        <v>2</v>
      </c>
      <c r="J1415" s="3" t="s">
        <v>29</v>
      </c>
      <c r="K1415" s="9">
        <v>42483.625740740739</v>
      </c>
    </row>
    <row r="1416" spans="3:11" x14ac:dyDescent="0.25">
      <c r="C1416" t="str">
        <f>IF(COUNTBLANK(E1416:K1416) = 7,"",IF(AND(NOT(ISBLANK(E1416)),COUNTBLANK(E1416:K1416) = 6),"3 Delete",IF(ISBLANK(E1416),"2 Add",IF(SHA1Range(E1416:K1416) = "52be8ab183b864eb3a749f8a46b0e240c71a72c7","0 Original","1 Modify"))))</f>
        <v>0 Original</v>
      </c>
      <c r="D1416" s="3" t="s">
        <v>2040</v>
      </c>
      <c r="E1416" s="5">
        <v>1419</v>
      </c>
      <c r="F1416">
        <v>423</v>
      </c>
      <c r="G1416" t="s">
        <v>391</v>
      </c>
      <c r="H1416" s="7">
        <v>7.99</v>
      </c>
      <c r="I1416" s="5">
        <v>1</v>
      </c>
      <c r="J1416" s="3" t="s">
        <v>29</v>
      </c>
      <c r="K1416" s="9">
        <v>42483.625740740739</v>
      </c>
    </row>
    <row r="1417" spans="3:11" x14ac:dyDescent="0.25">
      <c r="C1417" t="str">
        <f>IF(COUNTBLANK(E1417:K1417) = 7,"",IF(AND(NOT(ISBLANK(E1417)),COUNTBLANK(E1417:K1417) = 6),"3 Delete",IF(ISBLANK(E1417),"2 Add",IF(SHA1Range(E1417:K1417) = "60b8fcca49a85e4a40595d9604aaf599fce17eee","0 Original","1 Modify"))))</f>
        <v>0 Original</v>
      </c>
      <c r="D1417" s="3" t="s">
        <v>2041</v>
      </c>
      <c r="E1417" s="5">
        <v>1420</v>
      </c>
      <c r="F1417">
        <v>424</v>
      </c>
      <c r="G1417" t="s">
        <v>51</v>
      </c>
      <c r="H1417" s="7">
        <v>9.99</v>
      </c>
      <c r="I1417" s="5">
        <v>1</v>
      </c>
      <c r="J1417" s="3" t="s">
        <v>29</v>
      </c>
      <c r="K1417" s="9">
        <v>42483.625740740739</v>
      </c>
    </row>
    <row r="1418" spans="3:11" x14ac:dyDescent="0.25">
      <c r="C1418" t="str">
        <f>IF(COUNTBLANK(E1418:K1418) = 7,"",IF(AND(NOT(ISBLANK(E1418)),COUNTBLANK(E1418:K1418) = 6),"3 Delete",IF(ISBLANK(E1418),"2 Add",IF(SHA1Range(E1418:K1418) = "aa5f2ee51ae90daea19230f4d90c3f6a28462e59","0 Original","1 Modify"))))</f>
        <v>0 Original</v>
      </c>
      <c r="D1418" s="3" t="s">
        <v>2042</v>
      </c>
      <c r="E1418" s="5">
        <v>1421</v>
      </c>
      <c r="F1418">
        <v>424</v>
      </c>
      <c r="G1418" t="s">
        <v>230</v>
      </c>
      <c r="H1418" s="7">
        <v>5.99</v>
      </c>
      <c r="I1418" s="5">
        <v>2</v>
      </c>
      <c r="J1418" s="3" t="s">
        <v>29</v>
      </c>
      <c r="K1418" s="9">
        <v>42483.625740740739</v>
      </c>
    </row>
    <row r="1419" spans="3:11" x14ac:dyDescent="0.25">
      <c r="C1419" t="str">
        <f>IF(COUNTBLANK(E1419:K1419) = 7,"",IF(AND(NOT(ISBLANK(E1419)),COUNTBLANK(E1419:K1419) = 6),"3 Delete",IF(ISBLANK(E1419),"2 Add",IF(SHA1Range(E1419:K1419) = "fdb4325554ca9627169263d0e061c0869eb99d57","0 Original","1 Modify"))))</f>
        <v>0 Original</v>
      </c>
      <c r="D1419" s="3" t="s">
        <v>2043</v>
      </c>
      <c r="E1419" s="5">
        <v>1422</v>
      </c>
      <c r="F1419">
        <v>424</v>
      </c>
      <c r="G1419" t="s">
        <v>304</v>
      </c>
      <c r="H1419" s="7">
        <v>8.99</v>
      </c>
      <c r="I1419" s="5">
        <v>1</v>
      </c>
      <c r="J1419" s="3" t="s">
        <v>29</v>
      </c>
      <c r="K1419" s="9">
        <v>42483.625740740739</v>
      </c>
    </row>
    <row r="1420" spans="3:11" x14ac:dyDescent="0.25">
      <c r="C1420" t="str">
        <f>IF(COUNTBLANK(E1420:K1420) = 7,"",IF(AND(NOT(ISBLANK(E1420)),COUNTBLANK(E1420:K1420) = 6),"3 Delete",IF(ISBLANK(E1420),"2 Add",IF(SHA1Range(E1420:K1420) = "93b601839c148b5d614f0fd93944556cdd96f0f0","0 Original","1 Modify"))))</f>
        <v>0 Original</v>
      </c>
      <c r="D1420" s="3" t="s">
        <v>2044</v>
      </c>
      <c r="E1420" s="5">
        <v>1423</v>
      </c>
      <c r="F1420">
        <v>424</v>
      </c>
      <c r="G1420" t="s">
        <v>130</v>
      </c>
      <c r="H1420" s="7">
        <v>8.99</v>
      </c>
      <c r="I1420" s="5">
        <v>2</v>
      </c>
      <c r="J1420" s="3" t="s">
        <v>29</v>
      </c>
      <c r="K1420" s="9">
        <v>42483.625740740739</v>
      </c>
    </row>
    <row r="1421" spans="3:11" x14ac:dyDescent="0.25">
      <c r="C1421" t="str">
        <f>IF(COUNTBLANK(E1421:K1421) = 7,"",IF(AND(NOT(ISBLANK(E1421)),COUNTBLANK(E1421:K1421) = 6),"3 Delete",IF(ISBLANK(E1421),"2 Add",IF(SHA1Range(E1421:K1421) = "cc40caa961d9142422e68e3e4d08a582162412e5","0 Original","1 Modify"))))</f>
        <v>0 Original</v>
      </c>
      <c r="D1421" s="3" t="s">
        <v>2045</v>
      </c>
      <c r="E1421" s="5">
        <v>1424</v>
      </c>
      <c r="F1421">
        <v>425</v>
      </c>
      <c r="G1421" t="s">
        <v>246</v>
      </c>
      <c r="H1421" s="7">
        <v>7.99</v>
      </c>
      <c r="I1421" s="5">
        <v>1</v>
      </c>
      <c r="J1421" s="3" t="s">
        <v>29</v>
      </c>
      <c r="K1421" s="9">
        <v>42483.625740740739</v>
      </c>
    </row>
    <row r="1422" spans="3:11" x14ac:dyDescent="0.25">
      <c r="C1422" t="str">
        <f>IF(COUNTBLANK(E1422:K1422) = 7,"",IF(AND(NOT(ISBLANK(E1422)),COUNTBLANK(E1422:K1422) = 6),"3 Delete",IF(ISBLANK(E1422),"2 Add",IF(SHA1Range(E1422:K1422) = "613890663ca0beebd2e2926d9c75785c945a42a5","0 Original","1 Modify"))))</f>
        <v>0 Original</v>
      </c>
      <c r="D1422" s="3" t="s">
        <v>2046</v>
      </c>
      <c r="E1422" s="5">
        <v>1425</v>
      </c>
      <c r="F1422">
        <v>425</v>
      </c>
      <c r="G1422" t="s">
        <v>126</v>
      </c>
      <c r="H1422" s="7">
        <v>6.99</v>
      </c>
      <c r="I1422" s="5">
        <v>1</v>
      </c>
      <c r="J1422" s="3" t="s">
        <v>29</v>
      </c>
      <c r="K1422" s="9">
        <v>42483.625740740739</v>
      </c>
    </row>
    <row r="1423" spans="3:11" x14ac:dyDescent="0.25">
      <c r="C1423" t="str">
        <f>IF(COUNTBLANK(E1423:K1423) = 7,"",IF(AND(NOT(ISBLANK(E1423)),COUNTBLANK(E1423:K1423) = 6),"3 Delete",IF(ISBLANK(E1423),"2 Add",IF(SHA1Range(E1423:K1423) = "2499f5dfb16f23c5119db9884e2bebed2f65bae8","0 Original","1 Modify"))))</f>
        <v>0 Original</v>
      </c>
      <c r="D1423" s="3" t="s">
        <v>2047</v>
      </c>
      <c r="E1423" s="5">
        <v>1426</v>
      </c>
      <c r="F1423">
        <v>425</v>
      </c>
      <c r="G1423" t="s">
        <v>398</v>
      </c>
      <c r="H1423" s="7">
        <v>4.99</v>
      </c>
      <c r="I1423" s="5">
        <v>1</v>
      </c>
      <c r="J1423" s="3" t="s">
        <v>29</v>
      </c>
      <c r="K1423" s="9">
        <v>42483.625740740739</v>
      </c>
    </row>
    <row r="1424" spans="3:11" x14ac:dyDescent="0.25">
      <c r="C1424" t="str">
        <f>IF(COUNTBLANK(E1424:K1424) = 7,"",IF(AND(NOT(ISBLANK(E1424)),COUNTBLANK(E1424:K1424) = 6),"3 Delete",IF(ISBLANK(E1424),"2 Add",IF(SHA1Range(E1424:K1424) = "3033ef02b36f65b6e57f1ef385d97d2804fd549e","0 Original","1 Modify"))))</f>
        <v>0 Original</v>
      </c>
      <c r="D1424" s="3" t="s">
        <v>2048</v>
      </c>
      <c r="E1424" s="5">
        <v>1427</v>
      </c>
      <c r="F1424">
        <v>426</v>
      </c>
      <c r="G1424" t="s">
        <v>51</v>
      </c>
      <c r="H1424" s="7">
        <v>9.99</v>
      </c>
      <c r="I1424" s="5">
        <v>1</v>
      </c>
      <c r="J1424" s="3" t="s">
        <v>29</v>
      </c>
      <c r="K1424" s="9">
        <v>42483.625740740739</v>
      </c>
    </row>
    <row r="1425" spans="3:11" x14ac:dyDescent="0.25">
      <c r="C1425" t="str">
        <f>IF(COUNTBLANK(E1425:K1425) = 7,"",IF(AND(NOT(ISBLANK(E1425)),COUNTBLANK(E1425:K1425) = 6),"3 Delete",IF(ISBLANK(E1425),"2 Add",IF(SHA1Range(E1425:K1425) = "5902121ded9166a7eb740de7503cf6d689b941e0","0 Original","1 Modify"))))</f>
        <v>0 Original</v>
      </c>
      <c r="D1425" s="3" t="s">
        <v>2049</v>
      </c>
      <c r="E1425" s="5">
        <v>1428</v>
      </c>
      <c r="F1425">
        <v>426</v>
      </c>
      <c r="G1425" t="s">
        <v>425</v>
      </c>
      <c r="H1425" s="7">
        <v>6.99</v>
      </c>
      <c r="I1425" s="5">
        <v>2</v>
      </c>
      <c r="J1425" s="3" t="s">
        <v>29</v>
      </c>
      <c r="K1425" s="9">
        <v>42483.625740740739</v>
      </c>
    </row>
    <row r="1426" spans="3:11" x14ac:dyDescent="0.25">
      <c r="C1426" t="str">
        <f>IF(COUNTBLANK(E1426:K1426) = 7,"",IF(AND(NOT(ISBLANK(E1426)),COUNTBLANK(E1426:K1426) = 6),"3 Delete",IF(ISBLANK(E1426),"2 Add",IF(SHA1Range(E1426:K1426) = "9a1f7e8d66560be814363550a39fd102c9b03598","0 Original","1 Modify"))))</f>
        <v>0 Original</v>
      </c>
      <c r="D1426" s="3" t="s">
        <v>2050</v>
      </c>
      <c r="E1426" s="5">
        <v>1429</v>
      </c>
      <c r="F1426">
        <v>426</v>
      </c>
      <c r="G1426" t="s">
        <v>126</v>
      </c>
      <c r="H1426" s="7">
        <v>6.99</v>
      </c>
      <c r="I1426" s="5">
        <v>1</v>
      </c>
      <c r="J1426" s="3" t="s">
        <v>29</v>
      </c>
      <c r="K1426" s="9">
        <v>42483.625740740739</v>
      </c>
    </row>
    <row r="1427" spans="3:11" x14ac:dyDescent="0.25">
      <c r="C1427" t="str">
        <f>IF(COUNTBLANK(E1427:K1427) = 7,"",IF(AND(NOT(ISBLANK(E1427)),COUNTBLANK(E1427:K1427) = 6),"3 Delete",IF(ISBLANK(E1427),"2 Add",IF(SHA1Range(E1427:K1427) = "d6bbfe98089c43166e4a6960fbd8bb7c0b83844a","0 Original","1 Modify"))))</f>
        <v>0 Original</v>
      </c>
      <c r="D1427" s="3" t="s">
        <v>2051</v>
      </c>
      <c r="E1427" s="5">
        <v>1430</v>
      </c>
      <c r="F1427">
        <v>427</v>
      </c>
      <c r="G1427" t="s">
        <v>130</v>
      </c>
      <c r="H1427" s="7">
        <v>8.99</v>
      </c>
      <c r="I1427" s="5">
        <v>1</v>
      </c>
      <c r="J1427" s="3" t="s">
        <v>29</v>
      </c>
      <c r="K1427" s="9">
        <v>42483.625740740739</v>
      </c>
    </row>
    <row r="1428" spans="3:11" x14ac:dyDescent="0.25">
      <c r="C1428" t="str">
        <f>IF(COUNTBLANK(E1428:K1428) = 7,"",IF(AND(NOT(ISBLANK(E1428)),COUNTBLANK(E1428:K1428) = 6),"3 Delete",IF(ISBLANK(E1428),"2 Add",IF(SHA1Range(E1428:K1428) = "23fd6f9bb0031d37b65762c007b45e60bc4605b4","0 Original","1 Modify"))))</f>
        <v>0 Original</v>
      </c>
      <c r="D1428" s="3" t="s">
        <v>2052</v>
      </c>
      <c r="E1428" s="5">
        <v>1431</v>
      </c>
      <c r="F1428">
        <v>428</v>
      </c>
      <c r="G1428" t="s">
        <v>149</v>
      </c>
      <c r="H1428" s="7">
        <v>7.99</v>
      </c>
      <c r="I1428" s="5">
        <v>1</v>
      </c>
      <c r="J1428" s="3" t="s">
        <v>29</v>
      </c>
      <c r="K1428" s="9">
        <v>42483.625740740739</v>
      </c>
    </row>
    <row r="1429" spans="3:11" x14ac:dyDescent="0.25">
      <c r="C1429" t="str">
        <f>IF(COUNTBLANK(E1429:K1429) = 7,"",IF(AND(NOT(ISBLANK(E1429)),COUNTBLANK(E1429:K1429) = 6),"3 Delete",IF(ISBLANK(E1429),"2 Add",IF(SHA1Range(E1429:K1429) = "55ff8af80d76301cc79cd13331595e4cc0d1f67a","0 Original","1 Modify"))))</f>
        <v>0 Original</v>
      </c>
      <c r="D1429" s="3" t="s">
        <v>2053</v>
      </c>
      <c r="E1429" s="5">
        <v>1432</v>
      </c>
      <c r="F1429">
        <v>428</v>
      </c>
      <c r="G1429" t="s">
        <v>250</v>
      </c>
      <c r="H1429" s="7">
        <v>8.99</v>
      </c>
      <c r="I1429" s="5">
        <v>2</v>
      </c>
      <c r="J1429" s="3" t="s">
        <v>29</v>
      </c>
      <c r="K1429" s="9">
        <v>42483.625740740739</v>
      </c>
    </row>
    <row r="1430" spans="3:11" x14ac:dyDescent="0.25">
      <c r="C1430" t="str">
        <f>IF(COUNTBLANK(E1430:K1430) = 7,"",IF(AND(NOT(ISBLANK(E1430)),COUNTBLANK(E1430:K1430) = 6),"3 Delete",IF(ISBLANK(E1430),"2 Add",IF(SHA1Range(E1430:K1430) = "c8c7bff3c214d5fe6ebe3c5c26b3bc390ec9e4f8","0 Original","1 Modify"))))</f>
        <v>0 Original</v>
      </c>
      <c r="D1430" s="3" t="s">
        <v>2054</v>
      </c>
      <c r="E1430" s="5">
        <v>1433</v>
      </c>
      <c r="F1430">
        <v>428</v>
      </c>
      <c r="G1430" t="s">
        <v>184</v>
      </c>
      <c r="H1430" s="7">
        <v>8.99</v>
      </c>
      <c r="I1430" s="5">
        <v>2</v>
      </c>
      <c r="J1430" s="3" t="s">
        <v>29</v>
      </c>
      <c r="K1430" s="9">
        <v>42483.625740740739</v>
      </c>
    </row>
    <row r="1431" spans="3:11" x14ac:dyDescent="0.25">
      <c r="C1431" t="str">
        <f>IF(COUNTBLANK(E1431:K1431) = 7,"",IF(AND(NOT(ISBLANK(E1431)),COUNTBLANK(E1431:K1431) = 6),"3 Delete",IF(ISBLANK(E1431),"2 Add",IF(SHA1Range(E1431:K1431) = "866d36f38f38d0114d874d27d9929f928e62bb9a","0 Original","1 Modify"))))</f>
        <v>0 Original</v>
      </c>
      <c r="D1431" s="3" t="s">
        <v>2055</v>
      </c>
      <c r="E1431" s="5">
        <v>1434</v>
      </c>
      <c r="F1431">
        <v>428</v>
      </c>
      <c r="G1431" t="s">
        <v>281</v>
      </c>
      <c r="H1431" s="7">
        <v>7.99</v>
      </c>
      <c r="I1431" s="5">
        <v>1</v>
      </c>
      <c r="J1431" s="3" t="s">
        <v>29</v>
      </c>
      <c r="K1431" s="9">
        <v>42483.625740740739</v>
      </c>
    </row>
    <row r="1432" spans="3:11" x14ac:dyDescent="0.25">
      <c r="C1432" t="str">
        <f>IF(COUNTBLANK(E1432:K1432) = 7,"",IF(AND(NOT(ISBLANK(E1432)),COUNTBLANK(E1432:K1432) = 6),"3 Delete",IF(ISBLANK(E1432),"2 Add",IF(SHA1Range(E1432:K1432) = "73b05c1d7a68427cdab9805f7d4ae4de796f8312","0 Original","1 Modify"))))</f>
        <v>0 Original</v>
      </c>
      <c r="D1432" s="3" t="s">
        <v>2056</v>
      </c>
      <c r="E1432" s="5">
        <v>1435</v>
      </c>
      <c r="F1432">
        <v>428</v>
      </c>
      <c r="G1432" t="s">
        <v>472</v>
      </c>
      <c r="H1432" s="7">
        <v>6.99</v>
      </c>
      <c r="I1432" s="5">
        <v>1</v>
      </c>
      <c r="J1432" s="3" t="s">
        <v>29</v>
      </c>
      <c r="K1432" s="9">
        <v>42483.625740740739</v>
      </c>
    </row>
    <row r="1433" spans="3:11" x14ac:dyDescent="0.25">
      <c r="C1433" t="str">
        <f>IF(COUNTBLANK(E1433:K1433) = 7,"",IF(AND(NOT(ISBLANK(E1433)),COUNTBLANK(E1433:K1433) = 6),"3 Delete",IF(ISBLANK(E1433),"2 Add",IF(SHA1Range(E1433:K1433) = "3b558149b09346a61a2f81449014ab2cc9dc7c21","0 Original","1 Modify"))))</f>
        <v>0 Original</v>
      </c>
      <c r="D1433" s="3" t="s">
        <v>2057</v>
      </c>
      <c r="E1433" s="5">
        <v>1436</v>
      </c>
      <c r="F1433">
        <v>429</v>
      </c>
      <c r="G1433" t="s">
        <v>448</v>
      </c>
      <c r="H1433" s="7">
        <v>8.99</v>
      </c>
      <c r="I1433" s="5">
        <v>2</v>
      </c>
      <c r="J1433" s="3" t="s">
        <v>29</v>
      </c>
      <c r="K1433" s="9">
        <v>42483.625740740739</v>
      </c>
    </row>
    <row r="1434" spans="3:11" x14ac:dyDescent="0.25">
      <c r="C1434" t="str">
        <f>IF(COUNTBLANK(E1434:K1434) = 7,"",IF(AND(NOT(ISBLANK(E1434)),COUNTBLANK(E1434:K1434) = 6),"3 Delete",IF(ISBLANK(E1434),"2 Add",IF(SHA1Range(E1434:K1434) = "b8750676a15ea3dbdbe3c8f0b789813545d9ac30","0 Original","1 Modify"))))</f>
        <v>0 Original</v>
      </c>
      <c r="D1434" s="3" t="s">
        <v>2058</v>
      </c>
      <c r="E1434" s="5">
        <v>1437</v>
      </c>
      <c r="F1434">
        <v>429</v>
      </c>
      <c r="G1434" t="s">
        <v>546</v>
      </c>
      <c r="H1434" s="7">
        <v>9.99</v>
      </c>
      <c r="I1434" s="5">
        <v>1</v>
      </c>
      <c r="J1434" s="3" t="s">
        <v>29</v>
      </c>
      <c r="K1434" s="9">
        <v>42483.625740740739</v>
      </c>
    </row>
    <row r="1435" spans="3:11" x14ac:dyDescent="0.25">
      <c r="C1435" t="str">
        <f>IF(COUNTBLANK(E1435:K1435) = 7,"",IF(AND(NOT(ISBLANK(E1435)),COUNTBLANK(E1435:K1435) = 6),"3 Delete",IF(ISBLANK(E1435),"2 Add",IF(SHA1Range(E1435:K1435) = "19e0650810206ab9c8c57fa09c025260ecc0975f","0 Original","1 Modify"))))</f>
        <v>0 Original</v>
      </c>
      <c r="D1435" s="3" t="s">
        <v>2059</v>
      </c>
      <c r="E1435" s="5">
        <v>1438</v>
      </c>
      <c r="F1435">
        <v>429</v>
      </c>
      <c r="G1435" t="s">
        <v>149</v>
      </c>
      <c r="H1435" s="7">
        <v>7.99</v>
      </c>
      <c r="I1435" s="5">
        <v>2</v>
      </c>
      <c r="J1435" s="3" t="s">
        <v>29</v>
      </c>
      <c r="K1435" s="9">
        <v>42483.625740740739</v>
      </c>
    </row>
    <row r="1436" spans="3:11" x14ac:dyDescent="0.25">
      <c r="C1436" t="str">
        <f>IF(COUNTBLANK(E1436:K1436) = 7,"",IF(AND(NOT(ISBLANK(E1436)),COUNTBLANK(E1436:K1436) = 6),"3 Delete",IF(ISBLANK(E1436),"2 Add",IF(SHA1Range(E1436:K1436) = "afdb91665e27743840b6f3a95a464a695e7a9efa","0 Original","1 Modify"))))</f>
        <v>0 Original</v>
      </c>
      <c r="D1436" s="3" t="s">
        <v>2060</v>
      </c>
      <c r="E1436" s="5">
        <v>1439</v>
      </c>
      <c r="F1436">
        <v>429</v>
      </c>
      <c r="G1436" t="s">
        <v>221</v>
      </c>
      <c r="H1436" s="7">
        <v>6.99</v>
      </c>
      <c r="I1436" s="5">
        <v>1</v>
      </c>
      <c r="J1436" s="3" t="s">
        <v>29</v>
      </c>
      <c r="K1436" s="9">
        <v>42483.625740740739</v>
      </c>
    </row>
    <row r="1437" spans="3:11" x14ac:dyDescent="0.25">
      <c r="C1437" t="str">
        <f>IF(COUNTBLANK(E1437:K1437) = 7,"",IF(AND(NOT(ISBLANK(E1437)),COUNTBLANK(E1437:K1437) = 6),"3 Delete",IF(ISBLANK(E1437),"2 Add",IF(SHA1Range(E1437:K1437) = "1be3ca519fa3ea2dfd42e57317577395dfcf4113","0 Original","1 Modify"))))</f>
        <v>0 Original</v>
      </c>
      <c r="D1437" s="3" t="s">
        <v>2061</v>
      </c>
      <c r="E1437" s="5">
        <v>1440</v>
      </c>
      <c r="F1437">
        <v>430</v>
      </c>
      <c r="G1437" t="s">
        <v>51</v>
      </c>
      <c r="H1437" s="7">
        <v>9.99</v>
      </c>
      <c r="I1437" s="5">
        <v>2</v>
      </c>
      <c r="J1437" s="3" t="s">
        <v>29</v>
      </c>
      <c r="K1437" s="9">
        <v>42483.625740740739</v>
      </c>
    </row>
    <row r="1438" spans="3:11" x14ac:dyDescent="0.25">
      <c r="C1438" t="str">
        <f>IF(COUNTBLANK(E1438:K1438) = 7,"",IF(AND(NOT(ISBLANK(E1438)),COUNTBLANK(E1438:K1438) = 6),"3 Delete",IF(ISBLANK(E1438),"2 Add",IF(SHA1Range(E1438:K1438) = "72d29f05c1ed254b2a29cca982142250a84d2c80","0 Original","1 Modify"))))</f>
        <v>0 Original</v>
      </c>
      <c r="D1438" s="3" t="s">
        <v>2062</v>
      </c>
      <c r="E1438" s="5">
        <v>1441</v>
      </c>
      <c r="F1438">
        <v>430</v>
      </c>
      <c r="G1438" t="s">
        <v>37</v>
      </c>
      <c r="H1438" s="7">
        <v>6.99</v>
      </c>
      <c r="I1438" s="5">
        <v>1</v>
      </c>
      <c r="J1438" s="3" t="s">
        <v>29</v>
      </c>
      <c r="K1438" s="9">
        <v>42483.625740740739</v>
      </c>
    </row>
    <row r="1439" spans="3:11" x14ac:dyDescent="0.25">
      <c r="C1439" t="str">
        <f>IF(COUNTBLANK(E1439:K1439) = 7,"",IF(AND(NOT(ISBLANK(E1439)),COUNTBLANK(E1439:K1439) = 6),"3 Delete",IF(ISBLANK(E1439),"2 Add",IF(SHA1Range(E1439:K1439) = "da32759183c4e61fe2bc1f195a0733f9ad0aa620","0 Original","1 Modify"))))</f>
        <v>0 Original</v>
      </c>
      <c r="D1439" s="3" t="s">
        <v>2063</v>
      </c>
      <c r="E1439" s="5">
        <v>1442</v>
      </c>
      <c r="F1439">
        <v>431</v>
      </c>
      <c r="G1439" t="s">
        <v>109</v>
      </c>
      <c r="H1439" s="7">
        <v>8.99</v>
      </c>
      <c r="I1439" s="5">
        <v>1</v>
      </c>
      <c r="J1439" s="3" t="s">
        <v>29</v>
      </c>
      <c r="K1439" s="9">
        <v>42483.625740740739</v>
      </c>
    </row>
    <row r="1440" spans="3:11" x14ac:dyDescent="0.25">
      <c r="C1440" t="str">
        <f>IF(COUNTBLANK(E1440:K1440) = 7,"",IF(AND(NOT(ISBLANK(E1440)),COUNTBLANK(E1440:K1440) = 6),"3 Delete",IF(ISBLANK(E1440),"2 Add",IF(SHA1Range(E1440:K1440) = "29e4ea49498cffd4ff9ae52c8c3ad981b2c70c2d","0 Original","1 Modify"))))</f>
        <v>0 Original</v>
      </c>
      <c r="D1440" s="3" t="s">
        <v>2064</v>
      </c>
      <c r="E1440" s="5">
        <v>1443</v>
      </c>
      <c r="F1440">
        <v>431</v>
      </c>
      <c r="G1440" t="s">
        <v>391</v>
      </c>
      <c r="H1440" s="7">
        <v>7.99</v>
      </c>
      <c r="I1440" s="5">
        <v>2</v>
      </c>
      <c r="J1440" s="3" t="s">
        <v>29</v>
      </c>
      <c r="K1440" s="9">
        <v>42483.625740740739</v>
      </c>
    </row>
    <row r="1441" spans="3:11" x14ac:dyDescent="0.25">
      <c r="C1441" t="str">
        <f>IF(COUNTBLANK(E1441:K1441) = 7,"",IF(AND(NOT(ISBLANK(E1441)),COUNTBLANK(E1441:K1441) = 6),"3 Delete",IF(ISBLANK(E1441),"2 Add",IF(SHA1Range(E1441:K1441) = "f64ddb0f58a5f5fdbe513007e63e9844ffd10ac2","0 Original","1 Modify"))))</f>
        <v>0 Original</v>
      </c>
      <c r="D1441" s="3" t="s">
        <v>2065</v>
      </c>
      <c r="E1441" s="5">
        <v>1444</v>
      </c>
      <c r="F1441">
        <v>432</v>
      </c>
      <c r="G1441" t="s">
        <v>573</v>
      </c>
      <c r="H1441" s="7">
        <v>9.99</v>
      </c>
      <c r="I1441" s="5">
        <v>2</v>
      </c>
      <c r="J1441" s="3" t="s">
        <v>29</v>
      </c>
      <c r="K1441" s="9">
        <v>42483.625740740739</v>
      </c>
    </row>
    <row r="1442" spans="3:11" x14ac:dyDescent="0.25">
      <c r="C1442" t="str">
        <f>IF(COUNTBLANK(E1442:K1442) = 7,"",IF(AND(NOT(ISBLANK(E1442)),COUNTBLANK(E1442:K1442) = 6),"3 Delete",IF(ISBLANK(E1442),"2 Add",IF(SHA1Range(E1442:K1442) = "22cf0f514433b3fc501a133cd658ce6dd1c5bfed","0 Original","1 Modify"))))</f>
        <v>0 Original</v>
      </c>
      <c r="D1442" s="3" t="s">
        <v>2066</v>
      </c>
      <c r="E1442" s="5">
        <v>1445</v>
      </c>
      <c r="F1442">
        <v>432</v>
      </c>
      <c r="G1442" t="s">
        <v>576</v>
      </c>
      <c r="H1442" s="7">
        <v>5.99</v>
      </c>
      <c r="I1442" s="5">
        <v>1</v>
      </c>
      <c r="J1442" s="3" t="s">
        <v>29</v>
      </c>
      <c r="K1442" s="9">
        <v>42483.625740740739</v>
      </c>
    </row>
    <row r="1443" spans="3:11" x14ac:dyDescent="0.25">
      <c r="C1443" t="str">
        <f>IF(COUNTBLANK(E1443:K1443) = 7,"",IF(AND(NOT(ISBLANK(E1443)),COUNTBLANK(E1443:K1443) = 6),"3 Delete",IF(ISBLANK(E1443),"2 Add",IF(SHA1Range(E1443:K1443) = "926b88f7478229d90a4cddaa386add3f4808199b","0 Original","1 Modify"))))</f>
        <v>0 Original</v>
      </c>
      <c r="D1443" s="3" t="s">
        <v>2067</v>
      </c>
      <c r="E1443" s="5">
        <v>1446</v>
      </c>
      <c r="F1443">
        <v>433</v>
      </c>
      <c r="G1443" t="s">
        <v>217</v>
      </c>
      <c r="H1443" s="7">
        <v>9.99</v>
      </c>
      <c r="I1443" s="5">
        <v>2</v>
      </c>
      <c r="J1443" s="3" t="s">
        <v>29</v>
      </c>
      <c r="K1443" s="9">
        <v>42483.625740740739</v>
      </c>
    </row>
    <row r="1444" spans="3:11" x14ac:dyDescent="0.25">
      <c r="C1444" t="str">
        <f>IF(COUNTBLANK(E1444:K1444) = 7,"",IF(AND(NOT(ISBLANK(E1444)),COUNTBLANK(E1444:K1444) = 6),"3 Delete",IF(ISBLANK(E1444),"2 Add",IF(SHA1Range(E1444:K1444) = "a0d2ee9221c85e1d07de58f02d621611beec0a5d","0 Original","1 Modify"))))</f>
        <v>0 Original</v>
      </c>
      <c r="D1444" s="3" t="s">
        <v>2068</v>
      </c>
      <c r="E1444" s="5">
        <v>1447</v>
      </c>
      <c r="F1444">
        <v>433</v>
      </c>
      <c r="G1444" t="s">
        <v>281</v>
      </c>
      <c r="H1444" s="7">
        <v>7.99</v>
      </c>
      <c r="I1444" s="5">
        <v>1</v>
      </c>
      <c r="J1444" s="3" t="s">
        <v>29</v>
      </c>
      <c r="K1444" s="9">
        <v>42483.625740740739</v>
      </c>
    </row>
    <row r="1445" spans="3:11" x14ac:dyDescent="0.25">
      <c r="C1445" t="str">
        <f>IF(COUNTBLANK(E1445:K1445) = 7,"",IF(AND(NOT(ISBLANK(E1445)),COUNTBLANK(E1445:K1445) = 6),"3 Delete",IF(ISBLANK(E1445),"2 Add",IF(SHA1Range(E1445:K1445) = "ad3b555a2e7e46ca3f0fa81f2468d2460b4068db","0 Original","1 Modify"))))</f>
        <v>0 Original</v>
      </c>
      <c r="D1445" s="3" t="s">
        <v>2069</v>
      </c>
      <c r="E1445" s="5">
        <v>1448</v>
      </c>
      <c r="F1445">
        <v>433</v>
      </c>
      <c r="G1445" t="s">
        <v>388</v>
      </c>
      <c r="H1445" s="7">
        <v>5.99</v>
      </c>
      <c r="I1445" s="5">
        <v>2</v>
      </c>
      <c r="J1445" s="3" t="s">
        <v>29</v>
      </c>
      <c r="K1445" s="9">
        <v>42483.625740740739</v>
      </c>
    </row>
    <row r="1446" spans="3:11" x14ac:dyDescent="0.25">
      <c r="C1446" t="str">
        <f>IF(COUNTBLANK(E1446:K1446) = 7,"",IF(AND(NOT(ISBLANK(E1446)),COUNTBLANK(E1446:K1446) = 6),"3 Delete",IF(ISBLANK(E1446),"2 Add",IF(SHA1Range(E1446:K1446) = "dbb4529ebced0d488410e5de444fa6485ed7d86e","0 Original","1 Modify"))))</f>
        <v>0 Original</v>
      </c>
      <c r="D1446" s="3" t="s">
        <v>2070</v>
      </c>
      <c r="E1446" s="5">
        <v>1449</v>
      </c>
      <c r="F1446">
        <v>433</v>
      </c>
      <c r="G1446" t="s">
        <v>335</v>
      </c>
      <c r="H1446" s="7">
        <v>5.99</v>
      </c>
      <c r="I1446" s="5">
        <v>1</v>
      </c>
      <c r="J1446" s="3" t="s">
        <v>29</v>
      </c>
      <c r="K1446" s="9">
        <v>42483.625740740739</v>
      </c>
    </row>
    <row r="1447" spans="3:11" x14ac:dyDescent="0.25">
      <c r="C1447" t="str">
        <f>IF(COUNTBLANK(E1447:K1447) = 7,"",IF(AND(NOT(ISBLANK(E1447)),COUNTBLANK(E1447:K1447) = 6),"3 Delete",IF(ISBLANK(E1447),"2 Add",IF(SHA1Range(E1447:K1447) = "020be6e78e48d135e4d76368e7eb6a602006b2aa","0 Original","1 Modify"))))</f>
        <v>0 Original</v>
      </c>
      <c r="D1447" s="3" t="s">
        <v>2071</v>
      </c>
      <c r="E1447" s="5">
        <v>1450</v>
      </c>
      <c r="F1447">
        <v>434</v>
      </c>
      <c r="G1447" t="s">
        <v>364</v>
      </c>
      <c r="H1447" s="7">
        <v>9.99</v>
      </c>
      <c r="I1447" s="5">
        <v>2</v>
      </c>
      <c r="J1447" s="3" t="s">
        <v>29</v>
      </c>
      <c r="K1447" s="9">
        <v>42483.625740740739</v>
      </c>
    </row>
    <row r="1448" spans="3:11" x14ac:dyDescent="0.25">
      <c r="C1448" t="str">
        <f>IF(COUNTBLANK(E1448:K1448) = 7,"",IF(AND(NOT(ISBLANK(E1448)),COUNTBLANK(E1448:K1448) = 6),"3 Delete",IF(ISBLANK(E1448),"2 Add",IF(SHA1Range(E1448:K1448) = "f4862caf46004d91b0497c3f9254894c02ce9f5e","0 Original","1 Modify"))))</f>
        <v>0 Original</v>
      </c>
      <c r="D1448" s="3" t="s">
        <v>2072</v>
      </c>
      <c r="E1448" s="5">
        <v>1451</v>
      </c>
      <c r="F1448">
        <v>434</v>
      </c>
      <c r="G1448" t="s">
        <v>407</v>
      </c>
      <c r="H1448" s="7">
        <v>9.99</v>
      </c>
      <c r="I1448" s="5">
        <v>1</v>
      </c>
      <c r="J1448" s="3" t="s">
        <v>29</v>
      </c>
      <c r="K1448" s="9">
        <v>42483.625740740739</v>
      </c>
    </row>
    <row r="1449" spans="3:11" x14ac:dyDescent="0.25">
      <c r="C1449" t="str">
        <f>IF(COUNTBLANK(E1449:K1449) = 7,"",IF(AND(NOT(ISBLANK(E1449)),COUNTBLANK(E1449:K1449) = 6),"3 Delete",IF(ISBLANK(E1449),"2 Add",IF(SHA1Range(E1449:K1449) = "e6bfbcddb11e849ea27119ea9ddb2bf0a2215103","0 Original","1 Modify"))))</f>
        <v>0 Original</v>
      </c>
      <c r="D1449" s="3" t="s">
        <v>2073</v>
      </c>
      <c r="E1449" s="5">
        <v>1452</v>
      </c>
      <c r="F1449">
        <v>434</v>
      </c>
      <c r="G1449" t="s">
        <v>273</v>
      </c>
      <c r="H1449" s="7">
        <v>8.99</v>
      </c>
      <c r="I1449" s="5">
        <v>1</v>
      </c>
      <c r="J1449" s="3" t="s">
        <v>29</v>
      </c>
      <c r="K1449" s="9">
        <v>42483.625740740739</v>
      </c>
    </row>
    <row r="1450" spans="3:11" x14ac:dyDescent="0.25">
      <c r="C1450" t="str">
        <f>IF(COUNTBLANK(E1450:K1450) = 7,"",IF(AND(NOT(ISBLANK(E1450)),COUNTBLANK(E1450:K1450) = 6),"3 Delete",IF(ISBLANK(E1450),"2 Add",IF(SHA1Range(E1450:K1450) = "4ddea0b42c0477b368f666e6718b9f4efbaa959d","0 Original","1 Modify"))))</f>
        <v>0 Original</v>
      </c>
      <c r="D1450" s="3" t="s">
        <v>2074</v>
      </c>
      <c r="E1450" s="5">
        <v>1453</v>
      </c>
      <c r="F1450">
        <v>434</v>
      </c>
      <c r="G1450" t="s">
        <v>54</v>
      </c>
      <c r="H1450" s="7">
        <v>5.99</v>
      </c>
      <c r="I1450" s="5">
        <v>2</v>
      </c>
      <c r="J1450" s="3" t="s">
        <v>29</v>
      </c>
      <c r="K1450" s="9">
        <v>42483.625740740739</v>
      </c>
    </row>
    <row r="1451" spans="3:11" x14ac:dyDescent="0.25">
      <c r="C1451" t="str">
        <f>IF(COUNTBLANK(E1451:K1451) = 7,"",IF(AND(NOT(ISBLANK(E1451)),COUNTBLANK(E1451:K1451) = 6),"3 Delete",IF(ISBLANK(E1451),"2 Add",IF(SHA1Range(E1451:K1451) = "1ed778d3593b99c6c3f4e05d8af7ca27971a5596","0 Original","1 Modify"))))</f>
        <v>0 Original</v>
      </c>
      <c r="D1451" s="3" t="s">
        <v>2075</v>
      </c>
      <c r="E1451" s="5">
        <v>1454</v>
      </c>
      <c r="F1451">
        <v>435</v>
      </c>
      <c r="G1451" t="s">
        <v>250</v>
      </c>
      <c r="H1451" s="7">
        <v>8.99</v>
      </c>
      <c r="I1451" s="5">
        <v>2</v>
      </c>
      <c r="J1451" s="3" t="s">
        <v>29</v>
      </c>
      <c r="K1451" s="9">
        <v>42483.625740740739</v>
      </c>
    </row>
    <row r="1452" spans="3:11" x14ac:dyDescent="0.25">
      <c r="C1452" t="str">
        <f>IF(COUNTBLANK(E1452:K1452) = 7,"",IF(AND(NOT(ISBLANK(E1452)),COUNTBLANK(E1452:K1452) = 6),"3 Delete",IF(ISBLANK(E1452),"2 Add",IF(SHA1Range(E1452:K1452) = "b21d4767d44df103ffb1c62670fa51652e37fc85","0 Original","1 Modify"))))</f>
        <v>0 Original</v>
      </c>
      <c r="D1452" s="3" t="s">
        <v>2076</v>
      </c>
      <c r="E1452" s="5">
        <v>1455</v>
      </c>
      <c r="F1452">
        <v>436</v>
      </c>
      <c r="G1452" t="s">
        <v>51</v>
      </c>
      <c r="H1452" s="7">
        <v>9.99</v>
      </c>
      <c r="I1452" s="5">
        <v>2</v>
      </c>
      <c r="J1452" s="3" t="s">
        <v>29</v>
      </c>
      <c r="K1452" s="9">
        <v>42483.625740740739</v>
      </c>
    </row>
    <row r="1453" spans="3:11" x14ac:dyDescent="0.25">
      <c r="C1453" t="str">
        <f>IF(COUNTBLANK(E1453:K1453) = 7,"",IF(AND(NOT(ISBLANK(E1453)),COUNTBLANK(E1453:K1453) = 6),"3 Delete",IF(ISBLANK(E1453),"2 Add",IF(SHA1Range(E1453:K1453) = "9879c09f66a773f12991f6ea9139845040b4e992","0 Original","1 Modify"))))</f>
        <v>0 Original</v>
      </c>
      <c r="D1453" s="3" t="s">
        <v>2077</v>
      </c>
      <c r="E1453" s="5">
        <v>1456</v>
      </c>
      <c r="F1453">
        <v>436</v>
      </c>
      <c r="G1453" t="s">
        <v>109</v>
      </c>
      <c r="H1453" s="7">
        <v>8.99</v>
      </c>
      <c r="I1453" s="5">
        <v>1</v>
      </c>
      <c r="J1453" s="3" t="s">
        <v>29</v>
      </c>
      <c r="K1453" s="9">
        <v>42483.625740740739</v>
      </c>
    </row>
    <row r="1454" spans="3:11" x14ac:dyDescent="0.25">
      <c r="C1454" t="str">
        <f>IF(COUNTBLANK(E1454:K1454) = 7,"",IF(AND(NOT(ISBLANK(E1454)),COUNTBLANK(E1454:K1454) = 6),"3 Delete",IF(ISBLANK(E1454),"2 Add",IF(SHA1Range(E1454:K1454) = "80ead20d65ef378b5cfba6e1f7bcab9d53fad710","0 Original","1 Modify"))))</f>
        <v>0 Original</v>
      </c>
      <c r="D1454" s="3" t="s">
        <v>2078</v>
      </c>
      <c r="E1454" s="5">
        <v>1457</v>
      </c>
      <c r="F1454">
        <v>436</v>
      </c>
      <c r="G1454" t="s">
        <v>576</v>
      </c>
      <c r="H1454" s="7">
        <v>5.99</v>
      </c>
      <c r="I1454" s="5">
        <v>1</v>
      </c>
      <c r="J1454" s="3" t="s">
        <v>29</v>
      </c>
      <c r="K1454" s="9">
        <v>42483.625740740739</v>
      </c>
    </row>
    <row r="1455" spans="3:11" x14ac:dyDescent="0.25">
      <c r="C1455" t="str">
        <f>IF(COUNTBLANK(E1455:K1455) = 7,"",IF(AND(NOT(ISBLANK(E1455)),COUNTBLANK(E1455:K1455) = 6),"3 Delete",IF(ISBLANK(E1455),"2 Add",IF(SHA1Range(E1455:K1455) = "21e38340d0fce0c9521bc535cd568cd84fc00e76","0 Original","1 Modify"))))</f>
        <v>0 Original</v>
      </c>
      <c r="D1455" s="3" t="s">
        <v>2079</v>
      </c>
      <c r="E1455" s="5">
        <v>1458</v>
      </c>
      <c r="F1455">
        <v>436</v>
      </c>
      <c r="G1455" t="s">
        <v>246</v>
      </c>
      <c r="H1455" s="7">
        <v>7.99</v>
      </c>
      <c r="I1455" s="5">
        <v>1</v>
      </c>
      <c r="J1455" s="3" t="s">
        <v>29</v>
      </c>
      <c r="K1455" s="9">
        <v>42483.625740740739</v>
      </c>
    </row>
    <row r="1456" spans="3:11" x14ac:dyDescent="0.25">
      <c r="C1456" t="str">
        <f>IF(COUNTBLANK(E1456:K1456) = 7,"",IF(AND(NOT(ISBLANK(E1456)),COUNTBLANK(E1456:K1456) = 6),"3 Delete",IF(ISBLANK(E1456),"2 Add",IF(SHA1Range(E1456:K1456) = "372dbb3eb51999e62ae780e299731b6dcc25aea7","0 Original","1 Modify"))))</f>
        <v>0 Original</v>
      </c>
      <c r="D1456" s="3" t="s">
        <v>2080</v>
      </c>
      <c r="E1456" s="5">
        <v>1459</v>
      </c>
      <c r="F1456">
        <v>436</v>
      </c>
      <c r="G1456" t="s">
        <v>130</v>
      </c>
      <c r="H1456" s="7">
        <v>8.99</v>
      </c>
      <c r="I1456" s="5">
        <v>1</v>
      </c>
      <c r="J1456" s="3" t="s">
        <v>29</v>
      </c>
      <c r="K1456" s="9">
        <v>42483.625740740739</v>
      </c>
    </row>
    <row r="1457" spans="3:11" x14ac:dyDescent="0.25">
      <c r="C1457" t="str">
        <f>IF(COUNTBLANK(E1457:K1457) = 7,"",IF(AND(NOT(ISBLANK(E1457)),COUNTBLANK(E1457:K1457) = 6),"3 Delete",IF(ISBLANK(E1457),"2 Add",IF(SHA1Range(E1457:K1457) = "6fea75195ee907b3daa6f85827a5f1aba0f3404d","0 Original","1 Modify"))))</f>
        <v>0 Original</v>
      </c>
      <c r="D1457" s="3" t="s">
        <v>2081</v>
      </c>
      <c r="E1457" s="5">
        <v>1460</v>
      </c>
      <c r="F1457">
        <v>436</v>
      </c>
      <c r="G1457" t="s">
        <v>407</v>
      </c>
      <c r="H1457" s="7">
        <v>9.99</v>
      </c>
      <c r="I1457" s="5">
        <v>2</v>
      </c>
      <c r="J1457" s="3" t="s">
        <v>29</v>
      </c>
      <c r="K1457" s="9">
        <v>42483.625740740739</v>
      </c>
    </row>
    <row r="1458" spans="3:11" x14ac:dyDescent="0.25">
      <c r="C1458" t="str">
        <f>IF(COUNTBLANK(E1458:K1458) = 7,"",IF(AND(NOT(ISBLANK(E1458)),COUNTBLANK(E1458:K1458) = 6),"3 Delete",IF(ISBLANK(E1458),"2 Add",IF(SHA1Range(E1458:K1458) = "a4bb9d22334bca364c1f04577b7aa2adbe86730d","0 Original","1 Modify"))))</f>
        <v>0 Original</v>
      </c>
      <c r="D1458" s="3" t="s">
        <v>2082</v>
      </c>
      <c r="E1458" s="5">
        <v>1461</v>
      </c>
      <c r="F1458">
        <v>437</v>
      </c>
      <c r="G1458" t="s">
        <v>51</v>
      </c>
      <c r="H1458" s="7">
        <v>9.99</v>
      </c>
      <c r="I1458" s="5">
        <v>2</v>
      </c>
      <c r="J1458" s="3" t="s">
        <v>29</v>
      </c>
      <c r="K1458" s="9">
        <v>42483.625740740739</v>
      </c>
    </row>
    <row r="1459" spans="3:11" x14ac:dyDescent="0.25">
      <c r="C1459" t="str">
        <f>IF(COUNTBLANK(E1459:K1459) = 7,"",IF(AND(NOT(ISBLANK(E1459)),COUNTBLANK(E1459:K1459) = 6),"3 Delete",IF(ISBLANK(E1459),"2 Add",IF(SHA1Range(E1459:K1459) = "e54f4a4925a4b4c4ff3b946edaf9b9188ea187ad","0 Original","1 Modify"))))</f>
        <v>0 Original</v>
      </c>
      <c r="D1459" s="3" t="s">
        <v>2083</v>
      </c>
      <c r="E1459" s="5">
        <v>1462</v>
      </c>
      <c r="F1459">
        <v>438</v>
      </c>
      <c r="G1459" t="s">
        <v>398</v>
      </c>
      <c r="H1459" s="7">
        <v>4.99</v>
      </c>
      <c r="I1459" s="5">
        <v>2</v>
      </c>
      <c r="J1459" s="3" t="s">
        <v>29</v>
      </c>
      <c r="K1459" s="9">
        <v>42483.625740740739</v>
      </c>
    </row>
    <row r="1460" spans="3:11" x14ac:dyDescent="0.25">
      <c r="C1460" t="str">
        <f>IF(COUNTBLANK(E1460:K1460) = 7,"",IF(AND(NOT(ISBLANK(E1460)),COUNTBLANK(E1460:K1460) = 6),"3 Delete",IF(ISBLANK(E1460),"2 Add",IF(SHA1Range(E1460:K1460) = "db7ab9c9220effa99c9322eb1dc4f78776b1b029","0 Original","1 Modify"))))</f>
        <v>0 Original</v>
      </c>
      <c r="D1460" s="3" t="s">
        <v>2084</v>
      </c>
      <c r="E1460" s="5">
        <v>1463</v>
      </c>
      <c r="F1460">
        <v>439</v>
      </c>
      <c r="G1460" t="s">
        <v>136</v>
      </c>
      <c r="H1460" s="7">
        <v>8.99</v>
      </c>
      <c r="I1460" s="5">
        <v>1</v>
      </c>
      <c r="J1460" s="3" t="s">
        <v>29</v>
      </c>
      <c r="K1460" s="9">
        <v>42483.625740740739</v>
      </c>
    </row>
    <row r="1461" spans="3:11" x14ac:dyDescent="0.25">
      <c r="C1461" t="str">
        <f>IF(COUNTBLANK(E1461:K1461) = 7,"",IF(AND(NOT(ISBLANK(E1461)),COUNTBLANK(E1461:K1461) = 6),"3 Delete",IF(ISBLANK(E1461),"2 Add",IF(SHA1Range(E1461:K1461) = "7ad69860465055575d962e696c38fb7fb07ddf3a","0 Original","1 Modify"))))</f>
        <v>0 Original</v>
      </c>
      <c r="D1461" s="3" t="s">
        <v>2085</v>
      </c>
      <c r="E1461" s="5">
        <v>1464</v>
      </c>
      <c r="F1461">
        <v>439</v>
      </c>
      <c r="G1461" t="s">
        <v>602</v>
      </c>
      <c r="H1461" s="7">
        <v>7.99</v>
      </c>
      <c r="I1461" s="5">
        <v>2</v>
      </c>
      <c r="J1461" s="3" t="s">
        <v>29</v>
      </c>
      <c r="K1461" s="9">
        <v>42483.625740740739</v>
      </c>
    </row>
    <row r="1462" spans="3:11" x14ac:dyDescent="0.25">
      <c r="C1462" t="str">
        <f>IF(COUNTBLANK(E1462:K1462) = 7,"",IF(AND(NOT(ISBLANK(E1462)),COUNTBLANK(E1462:K1462) = 6),"3 Delete",IF(ISBLANK(E1462),"2 Add",IF(SHA1Range(E1462:K1462) = "1eb50f484e2f09fb92956f107d3ecde7bb4021d9","0 Original","1 Modify"))))</f>
        <v>0 Original</v>
      </c>
      <c r="D1462" s="3" t="s">
        <v>2086</v>
      </c>
      <c r="E1462" s="5">
        <v>1465</v>
      </c>
      <c r="F1462">
        <v>439</v>
      </c>
      <c r="G1462" t="s">
        <v>136</v>
      </c>
      <c r="H1462" s="7">
        <v>8.99</v>
      </c>
      <c r="I1462" s="5">
        <v>2</v>
      </c>
      <c r="J1462" s="3" t="s">
        <v>29</v>
      </c>
      <c r="K1462" s="9">
        <v>42483.625740740739</v>
      </c>
    </row>
    <row r="1463" spans="3:11" x14ac:dyDescent="0.25">
      <c r="C1463" t="str">
        <f>IF(COUNTBLANK(E1463:K1463) = 7,"",IF(AND(NOT(ISBLANK(E1463)),COUNTBLANK(E1463:K1463) = 6),"3 Delete",IF(ISBLANK(E1463),"2 Add",IF(SHA1Range(E1463:K1463) = "2a3be0e3295f8305e9656765923b0d0235ce4f77","0 Original","1 Modify"))))</f>
        <v>0 Original</v>
      </c>
      <c r="D1463" s="3" t="s">
        <v>2087</v>
      </c>
      <c r="E1463" s="5">
        <v>1466</v>
      </c>
      <c r="F1463">
        <v>440</v>
      </c>
      <c r="G1463" t="s">
        <v>456</v>
      </c>
      <c r="H1463" s="7">
        <v>9.99</v>
      </c>
      <c r="I1463" s="5">
        <v>1</v>
      </c>
      <c r="J1463" s="3" t="s">
        <v>29</v>
      </c>
      <c r="K1463" s="9">
        <v>42483.625740740739</v>
      </c>
    </row>
    <row r="1464" spans="3:11" x14ac:dyDescent="0.25">
      <c r="C1464" t="str">
        <f>IF(COUNTBLANK(E1464:K1464) = 7,"",IF(AND(NOT(ISBLANK(E1464)),COUNTBLANK(E1464:K1464) = 6),"3 Delete",IF(ISBLANK(E1464),"2 Add",IF(SHA1Range(E1464:K1464) = "7abe35866c3776f922a28bca1e75c6fde356b747","0 Original","1 Modify"))))</f>
        <v>0 Original</v>
      </c>
      <c r="D1464" s="3" t="s">
        <v>2088</v>
      </c>
      <c r="E1464" s="5">
        <v>1467</v>
      </c>
      <c r="F1464">
        <v>440</v>
      </c>
      <c r="G1464" t="s">
        <v>525</v>
      </c>
      <c r="H1464" s="7">
        <v>4.99</v>
      </c>
      <c r="I1464" s="5">
        <v>1</v>
      </c>
      <c r="J1464" s="3" t="s">
        <v>29</v>
      </c>
      <c r="K1464" s="9">
        <v>42483.625740740739</v>
      </c>
    </row>
    <row r="1465" spans="3:11" x14ac:dyDescent="0.25">
      <c r="C1465" t="str">
        <f>IF(COUNTBLANK(E1465:K1465) = 7,"",IF(AND(NOT(ISBLANK(E1465)),COUNTBLANK(E1465:K1465) = 6),"3 Delete",IF(ISBLANK(E1465),"2 Add",IF(SHA1Range(E1465:K1465) = "f4bf8548521b1039589ada2bae2f1d58f8eb792c","0 Original","1 Modify"))))</f>
        <v>0 Original</v>
      </c>
      <c r="D1465" s="3" t="s">
        <v>2089</v>
      </c>
      <c r="E1465" s="5">
        <v>1468</v>
      </c>
      <c r="F1465">
        <v>441</v>
      </c>
      <c r="G1465" t="s">
        <v>234</v>
      </c>
      <c r="H1465" s="7">
        <v>4.99</v>
      </c>
      <c r="I1465" s="5">
        <v>1</v>
      </c>
      <c r="J1465" s="3" t="s">
        <v>29</v>
      </c>
      <c r="K1465" s="9">
        <v>42483.625740740739</v>
      </c>
    </row>
    <row r="1466" spans="3:11" x14ac:dyDescent="0.25">
      <c r="C1466" t="str">
        <f>IF(COUNTBLANK(E1466:K1466) = 7,"",IF(AND(NOT(ISBLANK(E1466)),COUNTBLANK(E1466:K1466) = 6),"3 Delete",IF(ISBLANK(E1466),"2 Add",IF(SHA1Range(E1466:K1466) = "0245181a6a39527cd2f8541fcab5967f8ddaa8d4","0 Original","1 Modify"))))</f>
        <v>0 Original</v>
      </c>
      <c r="D1466" s="3" t="s">
        <v>2090</v>
      </c>
      <c r="E1466" s="5">
        <v>1469</v>
      </c>
      <c r="F1466">
        <v>441</v>
      </c>
      <c r="G1466" t="s">
        <v>246</v>
      </c>
      <c r="H1466" s="7">
        <v>7.99</v>
      </c>
      <c r="I1466" s="5">
        <v>1</v>
      </c>
      <c r="J1466" s="3" t="s">
        <v>29</v>
      </c>
      <c r="K1466" s="9">
        <v>42483.625740740739</v>
      </c>
    </row>
    <row r="1467" spans="3:11" x14ac:dyDescent="0.25">
      <c r="C1467" t="str">
        <f>IF(COUNTBLANK(E1467:K1467) = 7,"",IF(AND(NOT(ISBLANK(E1467)),COUNTBLANK(E1467:K1467) = 6),"3 Delete",IF(ISBLANK(E1467),"2 Add",IF(SHA1Range(E1467:K1467) = "c2f690169a82eae71a3a70da7a9eb5dddc41d997","0 Original","1 Modify"))))</f>
        <v>0 Original</v>
      </c>
      <c r="D1467" s="3" t="s">
        <v>2091</v>
      </c>
      <c r="E1467" s="5">
        <v>1470</v>
      </c>
      <c r="F1467">
        <v>441</v>
      </c>
      <c r="G1467" t="s">
        <v>133</v>
      </c>
      <c r="H1467" s="7">
        <v>7.99</v>
      </c>
      <c r="I1467" s="5">
        <v>1</v>
      </c>
      <c r="J1467" s="3" t="s">
        <v>29</v>
      </c>
      <c r="K1467" s="9">
        <v>42483.625740740739</v>
      </c>
    </row>
    <row r="1468" spans="3:11" x14ac:dyDescent="0.25">
      <c r="C1468" t="str">
        <f>IF(COUNTBLANK(E1468:K1468) = 7,"",IF(AND(NOT(ISBLANK(E1468)),COUNTBLANK(E1468:K1468) = 6),"3 Delete",IF(ISBLANK(E1468),"2 Add",IF(SHA1Range(E1468:K1468) = "598d35bf8b977c2882f4ce3eed0ea487fcdd3ae3","0 Original","1 Modify"))))</f>
        <v>0 Original</v>
      </c>
      <c r="D1468" s="3" t="s">
        <v>2092</v>
      </c>
      <c r="E1468" s="5">
        <v>1471</v>
      </c>
      <c r="F1468">
        <v>441</v>
      </c>
      <c r="G1468" t="s">
        <v>421</v>
      </c>
      <c r="H1468" s="7">
        <v>6.99</v>
      </c>
      <c r="I1468" s="5">
        <v>2</v>
      </c>
      <c r="J1468" s="3" t="s">
        <v>29</v>
      </c>
      <c r="K1468" s="9">
        <v>42483.625740740739</v>
      </c>
    </row>
    <row r="1469" spans="3:11" x14ac:dyDescent="0.25">
      <c r="C1469" t="str">
        <f>IF(COUNTBLANK(E1469:K1469) = 7,"",IF(AND(NOT(ISBLANK(E1469)),COUNTBLANK(E1469:K1469) = 6),"3 Delete",IF(ISBLANK(E1469),"2 Add",IF(SHA1Range(E1469:K1469) = "a52cd25d49757ea279b580b7fe0c02c302020e5a","0 Original","1 Modify"))))</f>
        <v>0 Original</v>
      </c>
      <c r="D1469" s="3" t="s">
        <v>2093</v>
      </c>
      <c r="E1469" s="5">
        <v>1472</v>
      </c>
      <c r="F1469">
        <v>442</v>
      </c>
      <c r="G1469" t="s">
        <v>525</v>
      </c>
      <c r="H1469" s="7">
        <v>4.99</v>
      </c>
      <c r="I1469" s="5">
        <v>2</v>
      </c>
      <c r="J1469" s="3" t="s">
        <v>29</v>
      </c>
      <c r="K1469" s="9">
        <v>42483.625740740739</v>
      </c>
    </row>
    <row r="1470" spans="3:11" x14ac:dyDescent="0.25">
      <c r="C1470" t="str">
        <f>IF(COUNTBLANK(E1470:K1470) = 7,"",IF(AND(NOT(ISBLANK(E1470)),COUNTBLANK(E1470:K1470) = 6),"3 Delete",IF(ISBLANK(E1470),"2 Add",IF(SHA1Range(E1470:K1470) = "c7b20fc0b01681ba4be2f9eb7632a0294c2e4ba7","0 Original","1 Modify"))))</f>
        <v>0 Original</v>
      </c>
      <c r="D1470" s="3" t="s">
        <v>2094</v>
      </c>
      <c r="E1470" s="5">
        <v>1473</v>
      </c>
      <c r="F1470">
        <v>442</v>
      </c>
      <c r="G1470" t="s">
        <v>388</v>
      </c>
      <c r="H1470" s="7">
        <v>5.99</v>
      </c>
      <c r="I1470" s="5">
        <v>2</v>
      </c>
      <c r="J1470" s="3" t="s">
        <v>29</v>
      </c>
      <c r="K1470" s="9">
        <v>42483.625740740739</v>
      </c>
    </row>
    <row r="1471" spans="3:11" x14ac:dyDescent="0.25">
      <c r="C1471" t="str">
        <f>IF(COUNTBLANK(E1471:K1471) = 7,"",IF(AND(NOT(ISBLANK(E1471)),COUNTBLANK(E1471:K1471) = 6),"3 Delete",IF(ISBLANK(E1471),"2 Add",IF(SHA1Range(E1471:K1471) = "c727b5f612de8a0e42e8d13db6b3af11a17e7c50","0 Original","1 Modify"))))</f>
        <v>0 Original</v>
      </c>
      <c r="D1471" s="3" t="s">
        <v>2095</v>
      </c>
      <c r="E1471" s="5">
        <v>1474</v>
      </c>
      <c r="F1471">
        <v>442</v>
      </c>
      <c r="G1471" t="s">
        <v>459</v>
      </c>
      <c r="H1471" s="7">
        <v>5.99</v>
      </c>
      <c r="I1471" s="5">
        <v>2</v>
      </c>
      <c r="J1471" s="3" t="s">
        <v>29</v>
      </c>
      <c r="K1471" s="9">
        <v>42483.625740740739</v>
      </c>
    </row>
    <row r="1472" spans="3:11" x14ac:dyDescent="0.25">
      <c r="C1472" t="str">
        <f>IF(COUNTBLANK(E1472:K1472) = 7,"",IF(AND(NOT(ISBLANK(E1472)),COUNTBLANK(E1472:K1472) = 6),"3 Delete",IF(ISBLANK(E1472),"2 Add",IF(SHA1Range(E1472:K1472) = "011a4b85caa6828475cd063792a2d5ec9a443295","0 Original","1 Modify"))))</f>
        <v>0 Original</v>
      </c>
      <c r="D1472" s="3" t="s">
        <v>2096</v>
      </c>
      <c r="E1472" s="5">
        <v>1475</v>
      </c>
      <c r="F1472">
        <v>442</v>
      </c>
      <c r="G1472" t="s">
        <v>58</v>
      </c>
      <c r="H1472" s="7">
        <v>8.99</v>
      </c>
      <c r="I1472" s="5">
        <v>1</v>
      </c>
      <c r="J1472" s="3" t="s">
        <v>29</v>
      </c>
      <c r="K1472" s="9">
        <v>42483.625740740739</v>
      </c>
    </row>
    <row r="1473" spans="3:11" x14ac:dyDescent="0.25">
      <c r="C1473" t="str">
        <f>IF(COUNTBLANK(E1473:K1473) = 7,"",IF(AND(NOT(ISBLANK(E1473)),COUNTBLANK(E1473:K1473) = 6),"3 Delete",IF(ISBLANK(E1473),"2 Add",IF(SHA1Range(E1473:K1473) = "27a5ad17a3d8322d6e7644a645b905c196fb8eed","0 Original","1 Modify"))))</f>
        <v>0 Original</v>
      </c>
      <c r="D1473" s="3" t="s">
        <v>2097</v>
      </c>
      <c r="E1473" s="5">
        <v>1476</v>
      </c>
      <c r="F1473">
        <v>442</v>
      </c>
      <c r="G1473" t="s">
        <v>407</v>
      </c>
      <c r="H1473" s="7">
        <v>9.99</v>
      </c>
      <c r="I1473" s="5">
        <v>2</v>
      </c>
      <c r="J1473" s="3" t="s">
        <v>29</v>
      </c>
      <c r="K1473" s="9">
        <v>42483.625740740739</v>
      </c>
    </row>
    <row r="1474" spans="3:11" x14ac:dyDescent="0.25">
      <c r="C1474" t="str">
        <f>IF(COUNTBLANK(E1474:K1474) = 7,"",IF(AND(NOT(ISBLANK(E1474)),COUNTBLANK(E1474:K1474) = 6),"3 Delete",IF(ISBLANK(E1474),"2 Add",IF(SHA1Range(E1474:K1474) = "89807783830fc695f76f4db72a27dc7050c0f623","0 Original","1 Modify"))))</f>
        <v>0 Original</v>
      </c>
      <c r="D1474" s="3" t="s">
        <v>2098</v>
      </c>
      <c r="E1474" s="5">
        <v>1477</v>
      </c>
      <c r="F1474">
        <v>442</v>
      </c>
      <c r="G1474" t="s">
        <v>136</v>
      </c>
      <c r="H1474" s="7">
        <v>8.99</v>
      </c>
      <c r="I1474" s="5">
        <v>3</v>
      </c>
      <c r="J1474" s="3" t="s">
        <v>29</v>
      </c>
      <c r="K1474" s="9">
        <v>42483.625740740739</v>
      </c>
    </row>
    <row r="1475" spans="3:11" x14ac:dyDescent="0.25">
      <c r="C1475" t="str">
        <f>IF(COUNTBLANK(E1475:K1475) = 7,"",IF(AND(NOT(ISBLANK(E1475)),COUNTBLANK(E1475:K1475) = 6),"3 Delete",IF(ISBLANK(E1475),"2 Add",IF(SHA1Range(E1475:K1475) = "006552a84c0f120d391d9545b08dd44854201743","0 Original","1 Modify"))))</f>
        <v>0 Original</v>
      </c>
      <c r="D1475" s="3" t="s">
        <v>2099</v>
      </c>
      <c r="E1475" s="5">
        <v>1478</v>
      </c>
      <c r="F1475">
        <v>443</v>
      </c>
      <c r="G1475" t="s">
        <v>421</v>
      </c>
      <c r="H1475" s="7">
        <v>6.99</v>
      </c>
      <c r="I1475" s="5">
        <v>1</v>
      </c>
      <c r="J1475" s="3" t="s">
        <v>29</v>
      </c>
      <c r="K1475" s="9">
        <v>42483.625740740739</v>
      </c>
    </row>
    <row r="1476" spans="3:11" x14ac:dyDescent="0.25">
      <c r="C1476" t="str">
        <f>IF(COUNTBLANK(E1476:K1476) = 7,"",IF(AND(NOT(ISBLANK(E1476)),COUNTBLANK(E1476:K1476) = 6),"3 Delete",IF(ISBLANK(E1476),"2 Add",IF(SHA1Range(E1476:K1476) = "947ec593b71939dda531f3cac5055fcaee78f8ed","0 Original","1 Modify"))))</f>
        <v>0 Original</v>
      </c>
      <c r="D1476" s="3" t="s">
        <v>2100</v>
      </c>
      <c r="E1476" s="5">
        <v>1479</v>
      </c>
      <c r="F1476">
        <v>444</v>
      </c>
      <c r="G1476" t="s">
        <v>44</v>
      </c>
      <c r="H1476" s="7">
        <v>6.99</v>
      </c>
      <c r="I1476" s="5">
        <v>1</v>
      </c>
      <c r="J1476" s="3" t="s">
        <v>29</v>
      </c>
      <c r="K1476" s="9">
        <v>42483.625740740739</v>
      </c>
    </row>
    <row r="1477" spans="3:11" x14ac:dyDescent="0.25">
      <c r="C1477" t="str">
        <f>IF(COUNTBLANK(E1477:K1477) = 7,"",IF(AND(NOT(ISBLANK(E1477)),COUNTBLANK(E1477:K1477) = 6),"3 Delete",IF(ISBLANK(E1477),"2 Add",IF(SHA1Range(E1477:K1477) = "d31feb27f446c652a05facfa3c980783349b3a5c","0 Original","1 Modify"))))</f>
        <v>0 Original</v>
      </c>
      <c r="D1477" s="3" t="s">
        <v>2101</v>
      </c>
      <c r="E1477" s="5">
        <v>1480</v>
      </c>
      <c r="F1477">
        <v>444</v>
      </c>
      <c r="G1477" t="s">
        <v>142</v>
      </c>
      <c r="H1477" s="7">
        <v>4.99</v>
      </c>
      <c r="I1477" s="5">
        <v>1</v>
      </c>
      <c r="J1477" s="3" t="s">
        <v>29</v>
      </c>
      <c r="K1477" s="9">
        <v>42483.625740740739</v>
      </c>
    </row>
    <row r="1478" spans="3:11" x14ac:dyDescent="0.25">
      <c r="C1478" t="str">
        <f>IF(COUNTBLANK(E1478:K1478) = 7,"",IF(AND(NOT(ISBLANK(E1478)),COUNTBLANK(E1478:K1478) = 6),"3 Delete",IF(ISBLANK(E1478),"2 Add",IF(SHA1Range(E1478:K1478) = "823b6d530a78702ca6daa6e2a3fdf69080335de0","0 Original","1 Modify"))))</f>
        <v>0 Original</v>
      </c>
      <c r="D1478" s="3" t="s">
        <v>2102</v>
      </c>
      <c r="E1478" s="5">
        <v>1481</v>
      </c>
      <c r="F1478">
        <v>444</v>
      </c>
      <c r="G1478" t="s">
        <v>599</v>
      </c>
      <c r="H1478" s="7">
        <v>5.99</v>
      </c>
      <c r="I1478" s="5">
        <v>2</v>
      </c>
      <c r="J1478" s="3" t="s">
        <v>29</v>
      </c>
      <c r="K1478" s="9">
        <v>42483.625740740739</v>
      </c>
    </row>
    <row r="1479" spans="3:11" x14ac:dyDescent="0.25">
      <c r="C1479" t="str">
        <f>IF(COUNTBLANK(E1479:K1479) = 7,"",IF(AND(NOT(ISBLANK(E1479)),COUNTBLANK(E1479:K1479) = 6),"3 Delete",IF(ISBLANK(E1479),"2 Add",IF(SHA1Range(E1479:K1479) = "bc6d31ad624de36a6c9cac6e11b3d09d6dbab95d","0 Original","1 Modify"))))</f>
        <v>0 Original</v>
      </c>
      <c r="D1479" s="3" t="s">
        <v>2103</v>
      </c>
      <c r="E1479" s="5">
        <v>1482</v>
      </c>
      <c r="F1479">
        <v>445</v>
      </c>
      <c r="G1479" t="s">
        <v>576</v>
      </c>
      <c r="H1479" s="7">
        <v>5.99</v>
      </c>
      <c r="I1479" s="5">
        <v>1</v>
      </c>
      <c r="J1479" s="3" t="s">
        <v>29</v>
      </c>
      <c r="K1479" s="9">
        <v>42483.625740740739</v>
      </c>
    </row>
    <row r="1480" spans="3:11" x14ac:dyDescent="0.25">
      <c r="C1480" t="str">
        <f>IF(COUNTBLANK(E1480:K1480) = 7,"",IF(AND(NOT(ISBLANK(E1480)),COUNTBLANK(E1480:K1480) = 6),"3 Delete",IF(ISBLANK(E1480),"2 Add",IF(SHA1Range(E1480:K1480) = "d0d599480ae9899dbb23c0407e599206a937101f","0 Original","1 Modify"))))</f>
        <v>0 Original</v>
      </c>
      <c r="D1480" s="3" t="s">
        <v>2104</v>
      </c>
      <c r="E1480" s="5">
        <v>1483</v>
      </c>
      <c r="F1480">
        <v>445</v>
      </c>
      <c r="G1480" t="s">
        <v>364</v>
      </c>
      <c r="H1480" s="7">
        <v>9.99</v>
      </c>
      <c r="I1480" s="5">
        <v>1</v>
      </c>
      <c r="J1480" s="3" t="s">
        <v>29</v>
      </c>
      <c r="K1480" s="9">
        <v>42483.625740740739</v>
      </c>
    </row>
    <row r="1481" spans="3:11" x14ac:dyDescent="0.25">
      <c r="C1481" t="str">
        <f>IF(COUNTBLANK(E1481:K1481) = 7,"",IF(AND(NOT(ISBLANK(E1481)),COUNTBLANK(E1481:K1481) = 6),"3 Delete",IF(ISBLANK(E1481),"2 Add",IF(SHA1Range(E1481:K1481) = "7c5ddb21cba9d9ad4ef0f4196d6bec5de1b25d2e","0 Original","1 Modify"))))</f>
        <v>0 Original</v>
      </c>
      <c r="D1481" s="3" t="s">
        <v>2105</v>
      </c>
      <c r="E1481" s="5">
        <v>1484</v>
      </c>
      <c r="F1481">
        <v>445</v>
      </c>
      <c r="G1481" t="s">
        <v>398</v>
      </c>
      <c r="H1481" s="7">
        <v>4.99</v>
      </c>
      <c r="I1481" s="5">
        <v>1</v>
      </c>
      <c r="J1481" s="3" t="s">
        <v>29</v>
      </c>
      <c r="K1481" s="9">
        <v>42483.625740740739</v>
      </c>
    </row>
    <row r="1482" spans="3:11" x14ac:dyDescent="0.25">
      <c r="C1482" t="str">
        <f>IF(COUNTBLANK(E1482:K1482) = 7,"",IF(AND(NOT(ISBLANK(E1482)),COUNTBLANK(E1482:K1482) = 6),"3 Delete",IF(ISBLANK(E1482),"2 Add",IF(SHA1Range(E1482:K1482) = "b3d828044736fea54c077a4b74f5121430483178","0 Original","1 Modify"))))</f>
        <v>0 Original</v>
      </c>
      <c r="D1482" s="3" t="s">
        <v>2106</v>
      </c>
      <c r="E1482" s="5">
        <v>1485</v>
      </c>
      <c r="F1482">
        <v>445</v>
      </c>
      <c r="G1482" t="s">
        <v>254</v>
      </c>
      <c r="H1482" s="7">
        <v>4.99</v>
      </c>
      <c r="I1482" s="5">
        <v>2</v>
      </c>
      <c r="J1482" s="3" t="s">
        <v>29</v>
      </c>
      <c r="K1482" s="9">
        <v>42483.625740740739</v>
      </c>
    </row>
    <row r="1483" spans="3:11" x14ac:dyDescent="0.25">
      <c r="C1483" t="str">
        <f>IF(COUNTBLANK(E1483:K1483) = 7,"",IF(AND(NOT(ISBLANK(E1483)),COUNTBLANK(E1483:K1483) = 6),"3 Delete",IF(ISBLANK(E1483),"2 Add",IF(SHA1Range(E1483:K1483) = "6d1bd87aebaf0619df520e56653f702a0d8dd8a2","0 Original","1 Modify"))))</f>
        <v>0 Original</v>
      </c>
      <c r="D1483" s="3" t="s">
        <v>2107</v>
      </c>
      <c r="E1483" s="5">
        <v>1486</v>
      </c>
      <c r="F1483">
        <v>445</v>
      </c>
      <c r="G1483" t="s">
        <v>503</v>
      </c>
      <c r="H1483" s="7">
        <v>8.99</v>
      </c>
      <c r="I1483" s="5">
        <v>1</v>
      </c>
      <c r="J1483" s="3" t="s">
        <v>29</v>
      </c>
      <c r="K1483" s="9">
        <v>42483.625740740739</v>
      </c>
    </row>
    <row r="1484" spans="3:11" x14ac:dyDescent="0.25">
      <c r="C1484" t="str">
        <f>IF(COUNTBLANK(E1484:K1484) = 7,"",IF(AND(NOT(ISBLANK(E1484)),COUNTBLANK(E1484:K1484) = 6),"3 Delete",IF(ISBLANK(E1484),"2 Add",IF(SHA1Range(E1484:K1484) = "527c8b106fb83fb60f190fe52511dfe9cc347847","0 Original","1 Modify"))))</f>
        <v>0 Original</v>
      </c>
      <c r="D1484" s="3" t="s">
        <v>2108</v>
      </c>
      <c r="E1484" s="5">
        <v>1487</v>
      </c>
      <c r="F1484">
        <v>446</v>
      </c>
      <c r="G1484" t="s">
        <v>221</v>
      </c>
      <c r="H1484" s="7">
        <v>6.99</v>
      </c>
      <c r="I1484" s="5">
        <v>2</v>
      </c>
      <c r="J1484" s="3" t="s">
        <v>29</v>
      </c>
      <c r="K1484" s="9">
        <v>42483.625740740739</v>
      </c>
    </row>
    <row r="1485" spans="3:11" x14ac:dyDescent="0.25">
      <c r="C1485" t="str">
        <f>IF(COUNTBLANK(E1485:K1485) = 7,"",IF(AND(NOT(ISBLANK(E1485)),COUNTBLANK(E1485:K1485) = 6),"3 Delete",IF(ISBLANK(E1485),"2 Add",IF(SHA1Range(E1485:K1485) = "8c7ae03637971dd1f2e98e8835a592f36ab61d86","0 Original","1 Modify"))))</f>
        <v>0 Original</v>
      </c>
      <c r="D1485" s="3" t="s">
        <v>2109</v>
      </c>
      <c r="E1485" s="5">
        <v>1488</v>
      </c>
      <c r="F1485">
        <v>446</v>
      </c>
      <c r="G1485" t="s">
        <v>230</v>
      </c>
      <c r="H1485" s="7">
        <v>5.99</v>
      </c>
      <c r="I1485" s="5">
        <v>1</v>
      </c>
      <c r="J1485" s="3" t="s">
        <v>29</v>
      </c>
      <c r="K1485" s="9">
        <v>42483.625740740739</v>
      </c>
    </row>
    <row r="1486" spans="3:11" x14ac:dyDescent="0.25">
      <c r="C1486" t="str">
        <f>IF(COUNTBLANK(E1486:K1486) = 7,"",IF(AND(NOT(ISBLANK(E1486)),COUNTBLANK(E1486:K1486) = 6),"3 Delete",IF(ISBLANK(E1486),"2 Add",IF(SHA1Range(E1486:K1486) = "7c763da16c07460a8ee1bfc8ac24a150591ad5f8","0 Original","1 Modify"))))</f>
        <v>0 Original</v>
      </c>
      <c r="D1486" s="3" t="s">
        <v>2110</v>
      </c>
      <c r="E1486" s="5">
        <v>1489</v>
      </c>
      <c r="F1486">
        <v>446</v>
      </c>
      <c r="G1486" t="s">
        <v>250</v>
      </c>
      <c r="H1486" s="7">
        <v>8.99</v>
      </c>
      <c r="I1486" s="5">
        <v>1</v>
      </c>
      <c r="J1486" s="3" t="s">
        <v>29</v>
      </c>
      <c r="K1486" s="9">
        <v>42483.625740740739</v>
      </c>
    </row>
    <row r="1487" spans="3:11" x14ac:dyDescent="0.25">
      <c r="C1487" t="str">
        <f>IF(COUNTBLANK(E1487:K1487) = 7,"",IF(AND(NOT(ISBLANK(E1487)),COUNTBLANK(E1487:K1487) = 6),"3 Delete",IF(ISBLANK(E1487),"2 Add",IF(SHA1Range(E1487:K1487) = "67219305ddb731cbb7ec868151f6fbfcb56cd3fe","0 Original","1 Modify"))))</f>
        <v>0 Original</v>
      </c>
      <c r="D1487" s="3" t="s">
        <v>2111</v>
      </c>
      <c r="E1487" s="5">
        <v>1490</v>
      </c>
      <c r="F1487">
        <v>446</v>
      </c>
      <c r="G1487" t="s">
        <v>30</v>
      </c>
      <c r="H1487" s="7">
        <v>9.99</v>
      </c>
      <c r="I1487" s="5">
        <v>1</v>
      </c>
      <c r="J1487" s="3" t="s">
        <v>29</v>
      </c>
      <c r="K1487" s="9">
        <v>42483.625740740739</v>
      </c>
    </row>
    <row r="1488" spans="3:11" x14ac:dyDescent="0.25">
      <c r="C1488" t="str">
        <f>IF(COUNTBLANK(E1488:K1488) = 7,"",IF(AND(NOT(ISBLANK(E1488)),COUNTBLANK(E1488:K1488) = 6),"3 Delete",IF(ISBLANK(E1488),"2 Add",IF(SHA1Range(E1488:K1488) = "a48e72f2cd62bc3d28a13fc64c1284916b5a0527","0 Original","1 Modify"))))</f>
        <v>0 Original</v>
      </c>
      <c r="D1488" s="3" t="s">
        <v>2112</v>
      </c>
      <c r="E1488" s="5">
        <v>1491</v>
      </c>
      <c r="F1488">
        <v>446</v>
      </c>
      <c r="G1488" t="s">
        <v>109</v>
      </c>
      <c r="H1488" s="7">
        <v>8.99</v>
      </c>
      <c r="I1488" s="5">
        <v>1</v>
      </c>
      <c r="J1488" s="3" t="s">
        <v>29</v>
      </c>
      <c r="K1488" s="9">
        <v>42483.625740740739</v>
      </c>
    </row>
    <row r="1489" spans="3:11" x14ac:dyDescent="0.25">
      <c r="C1489" t="str">
        <f>IF(COUNTBLANK(E1489:K1489) = 7,"",IF(AND(NOT(ISBLANK(E1489)),COUNTBLANK(E1489:K1489) = 6),"3 Delete",IF(ISBLANK(E1489),"2 Add",IF(SHA1Range(E1489:K1489) = "95df04a3f0334b4e0f1e91f72bc5bfc170f6e66a","0 Original","1 Modify"))))</f>
        <v>0 Original</v>
      </c>
      <c r="D1489" s="3" t="s">
        <v>2113</v>
      </c>
      <c r="E1489" s="5">
        <v>1492</v>
      </c>
      <c r="F1489">
        <v>446</v>
      </c>
      <c r="G1489" t="s">
        <v>472</v>
      </c>
      <c r="H1489" s="7">
        <v>6.99</v>
      </c>
      <c r="I1489" s="5">
        <v>1</v>
      </c>
      <c r="J1489" s="3" t="s">
        <v>29</v>
      </c>
      <c r="K1489" s="9">
        <v>42483.625740740739</v>
      </c>
    </row>
    <row r="1490" spans="3:11" x14ac:dyDescent="0.25">
      <c r="C1490" t="str">
        <f>IF(COUNTBLANK(E1490:K1490) = 7,"",IF(AND(NOT(ISBLANK(E1490)),COUNTBLANK(E1490:K1490) = 6),"3 Delete",IF(ISBLANK(E1490),"2 Add",IF(SHA1Range(E1490:K1490) = "10ef5731413e97606516bfd235389932bfeb7b07","0 Original","1 Modify"))))</f>
        <v>0 Original</v>
      </c>
      <c r="D1490" s="3" t="s">
        <v>2114</v>
      </c>
      <c r="E1490" s="5">
        <v>1493</v>
      </c>
      <c r="F1490">
        <v>446</v>
      </c>
      <c r="G1490" t="s">
        <v>456</v>
      </c>
      <c r="H1490" s="7">
        <v>9.99</v>
      </c>
      <c r="I1490" s="5">
        <v>2</v>
      </c>
      <c r="J1490" s="3" t="s">
        <v>29</v>
      </c>
      <c r="K1490" s="9">
        <v>42483.625740740739</v>
      </c>
    </row>
    <row r="1491" spans="3:11" x14ac:dyDescent="0.25">
      <c r="C1491" t="str">
        <f>IF(COUNTBLANK(E1491:K1491) = 7,"",IF(AND(NOT(ISBLANK(E1491)),COUNTBLANK(E1491:K1491) = 6),"3 Delete",IF(ISBLANK(E1491),"2 Add",IF(SHA1Range(E1491:K1491) = "e1528ee88d0b03b2564ec692d923e9aa08797179","0 Original","1 Modify"))))</f>
        <v>0 Original</v>
      </c>
      <c r="D1491" s="3" t="s">
        <v>2115</v>
      </c>
      <c r="E1491" s="5">
        <v>1494</v>
      </c>
      <c r="F1491">
        <v>447</v>
      </c>
      <c r="G1491" t="s">
        <v>407</v>
      </c>
      <c r="H1491" s="7">
        <v>9.99</v>
      </c>
      <c r="I1491" s="5">
        <v>2</v>
      </c>
      <c r="J1491" s="3" t="s">
        <v>29</v>
      </c>
      <c r="K1491" s="9">
        <v>42483.625740740739</v>
      </c>
    </row>
    <row r="1492" spans="3:11" x14ac:dyDescent="0.25">
      <c r="C1492" t="str">
        <f>IF(COUNTBLANK(E1492:K1492) = 7,"",IF(AND(NOT(ISBLANK(E1492)),COUNTBLANK(E1492:K1492) = 6),"3 Delete",IF(ISBLANK(E1492),"2 Add",IF(SHA1Range(E1492:K1492) = "9f01cd40603e16931887a76b69e34e9908898770","0 Original","1 Modify"))))</f>
        <v>0 Original</v>
      </c>
      <c r="D1492" s="3" t="s">
        <v>2116</v>
      </c>
      <c r="E1492" s="5">
        <v>1495</v>
      </c>
      <c r="F1492">
        <v>447</v>
      </c>
      <c r="G1492" t="s">
        <v>152</v>
      </c>
      <c r="H1492" s="7">
        <v>5.99</v>
      </c>
      <c r="I1492" s="5">
        <v>1</v>
      </c>
      <c r="J1492" s="3" t="s">
        <v>29</v>
      </c>
      <c r="K1492" s="9">
        <v>42483.625740740739</v>
      </c>
    </row>
    <row r="1493" spans="3:11" x14ac:dyDescent="0.25">
      <c r="C1493" t="str">
        <f>IF(COUNTBLANK(E1493:K1493) = 7,"",IF(AND(NOT(ISBLANK(E1493)),COUNTBLANK(E1493:K1493) = 6),"3 Delete",IF(ISBLANK(E1493),"2 Add",IF(SHA1Range(E1493:K1493) = "62ac6484053d9057d13498b19a3aaedb2509708a","0 Original","1 Modify"))))</f>
        <v>0 Original</v>
      </c>
      <c r="D1493" s="3" t="s">
        <v>2117</v>
      </c>
      <c r="E1493" s="5">
        <v>1496</v>
      </c>
      <c r="F1493">
        <v>447</v>
      </c>
      <c r="G1493" t="s">
        <v>537</v>
      </c>
      <c r="H1493" s="7">
        <v>7.99</v>
      </c>
      <c r="I1493" s="5">
        <v>2</v>
      </c>
      <c r="J1493" s="3" t="s">
        <v>29</v>
      </c>
      <c r="K1493" s="9">
        <v>42483.625740740739</v>
      </c>
    </row>
    <row r="1494" spans="3:11" x14ac:dyDescent="0.25">
      <c r="C1494" t="str">
        <f>IF(COUNTBLANK(E1494:K1494) = 7,"",IF(AND(NOT(ISBLANK(E1494)),COUNTBLANK(E1494:K1494) = 6),"3 Delete",IF(ISBLANK(E1494),"2 Add",IF(SHA1Range(E1494:K1494) = "58bcee63c2f19a487a6cc425c1bc4693512b1bfd","0 Original","1 Modify"))))</f>
        <v>0 Original</v>
      </c>
      <c r="D1494" s="3" t="s">
        <v>2118</v>
      </c>
      <c r="E1494" s="5">
        <v>1497</v>
      </c>
      <c r="F1494">
        <v>448</v>
      </c>
      <c r="G1494" t="s">
        <v>257</v>
      </c>
      <c r="H1494" s="7">
        <v>9.99</v>
      </c>
      <c r="I1494" s="5">
        <v>1</v>
      </c>
      <c r="J1494" s="3" t="s">
        <v>29</v>
      </c>
      <c r="K1494" s="9">
        <v>42483.625740740739</v>
      </c>
    </row>
    <row r="1495" spans="3:11" x14ac:dyDescent="0.25">
      <c r="C1495" t="str">
        <f>IF(COUNTBLANK(E1495:K1495) = 7,"",IF(AND(NOT(ISBLANK(E1495)),COUNTBLANK(E1495:K1495) = 6),"3 Delete",IF(ISBLANK(E1495),"2 Add",IF(SHA1Range(E1495:K1495) = "c3a01b3ab4796917a60593e5f1c3eda5cee914d0","0 Original","1 Modify"))))</f>
        <v>0 Original</v>
      </c>
      <c r="D1495" s="3" t="s">
        <v>2119</v>
      </c>
      <c r="E1495" s="5">
        <v>1498</v>
      </c>
      <c r="F1495">
        <v>448</v>
      </c>
      <c r="G1495" t="s">
        <v>576</v>
      </c>
      <c r="H1495" s="7">
        <v>5.99</v>
      </c>
      <c r="I1495" s="5">
        <v>2</v>
      </c>
      <c r="J1495" s="3" t="s">
        <v>29</v>
      </c>
      <c r="K1495" s="9">
        <v>42483.625740740739</v>
      </c>
    </row>
    <row r="1496" spans="3:11" x14ac:dyDescent="0.25">
      <c r="C1496" t="str">
        <f>IF(COUNTBLANK(E1496:K1496) = 7,"",IF(AND(NOT(ISBLANK(E1496)),COUNTBLANK(E1496:K1496) = 6),"3 Delete",IF(ISBLANK(E1496),"2 Add",IF(SHA1Range(E1496:K1496) = "1ed688273ca1b6185f971d715c1d6576abd9a244","0 Original","1 Modify"))))</f>
        <v>0 Original</v>
      </c>
      <c r="D1496" s="3" t="s">
        <v>2120</v>
      </c>
      <c r="E1496" s="5">
        <v>1499</v>
      </c>
      <c r="F1496">
        <v>448</v>
      </c>
      <c r="G1496" t="s">
        <v>257</v>
      </c>
      <c r="H1496" s="7">
        <v>9.99</v>
      </c>
      <c r="I1496" s="5">
        <v>1</v>
      </c>
      <c r="J1496" s="3" t="s">
        <v>29</v>
      </c>
      <c r="K1496" s="9">
        <v>42483.625740740739</v>
      </c>
    </row>
    <row r="1497" spans="3:11" x14ac:dyDescent="0.25">
      <c r="C1497" t="str">
        <f>IF(COUNTBLANK(E1497:K1497) = 7,"",IF(AND(NOT(ISBLANK(E1497)),COUNTBLANK(E1497:K1497) = 6),"3 Delete",IF(ISBLANK(E1497),"2 Add",IF(SHA1Range(E1497:K1497) = "b61a7ff9c5f0e44ea6a675d826054a10a9220e62","0 Original","1 Modify"))))</f>
        <v>0 Original</v>
      </c>
      <c r="D1497" s="3" t="s">
        <v>2121</v>
      </c>
      <c r="E1497" s="5">
        <v>1500</v>
      </c>
      <c r="F1497">
        <v>449</v>
      </c>
      <c r="G1497" t="s">
        <v>391</v>
      </c>
      <c r="H1497" s="7">
        <v>7.99</v>
      </c>
      <c r="I1497" s="5">
        <v>2</v>
      </c>
      <c r="J1497" s="3" t="s">
        <v>29</v>
      </c>
      <c r="K1497" s="9">
        <v>42483.625740740739</v>
      </c>
    </row>
    <row r="1498" spans="3:11" x14ac:dyDescent="0.25">
      <c r="C1498" t="str">
        <f>IF(COUNTBLANK(E1498:K1498) = 7,"",IF(AND(NOT(ISBLANK(E1498)),COUNTBLANK(E1498:K1498) = 6),"3 Delete",IF(ISBLANK(E1498),"2 Add",IF(SHA1Range(E1498:K1498) = "6d464a2176fc3a6e2434661589bb501f45c9b194","0 Original","1 Modify"))))</f>
        <v>0 Original</v>
      </c>
      <c r="D1498" s="3" t="s">
        <v>2122</v>
      </c>
      <c r="E1498" s="5">
        <v>1501</v>
      </c>
      <c r="F1498">
        <v>450</v>
      </c>
      <c r="G1498" t="s">
        <v>398</v>
      </c>
      <c r="H1498" s="7">
        <v>4.99</v>
      </c>
      <c r="I1498" s="5">
        <v>2</v>
      </c>
      <c r="J1498" s="3" t="s">
        <v>29</v>
      </c>
      <c r="K1498" s="9">
        <v>42483.625740740739</v>
      </c>
    </row>
    <row r="1499" spans="3:11" x14ac:dyDescent="0.25">
      <c r="C1499" t="str">
        <f>IF(COUNTBLANK(E1499:K1499) = 7,"",IF(AND(NOT(ISBLANK(E1499)),COUNTBLANK(E1499:K1499) = 6),"3 Delete",IF(ISBLANK(E1499),"2 Add",IF(SHA1Range(E1499:K1499) = "0722000241ecff6394d7debe0d90b1d7138527a7","0 Original","1 Modify"))))</f>
        <v>0 Original</v>
      </c>
      <c r="D1499" s="3" t="s">
        <v>2123</v>
      </c>
      <c r="E1499" s="5">
        <v>1502</v>
      </c>
      <c r="F1499">
        <v>450</v>
      </c>
      <c r="G1499" t="s">
        <v>184</v>
      </c>
      <c r="H1499" s="7">
        <v>8.99</v>
      </c>
      <c r="I1499" s="5">
        <v>1</v>
      </c>
      <c r="J1499" s="3" t="s">
        <v>29</v>
      </c>
      <c r="K1499" s="9">
        <v>42483.625740740739</v>
      </c>
    </row>
    <row r="1500" spans="3:11" x14ac:dyDescent="0.25">
      <c r="C1500" t="str">
        <f>IF(COUNTBLANK(E1500:K1500) = 7,"",IF(AND(NOT(ISBLANK(E1500)),COUNTBLANK(E1500:K1500) = 6),"3 Delete",IF(ISBLANK(E1500),"2 Add",IF(SHA1Range(E1500:K1500) = "59dc8f38f2acb415c693f992e4c2bb471c01f9ea","0 Original","1 Modify"))))</f>
        <v>0 Original</v>
      </c>
      <c r="D1500" s="3" t="s">
        <v>2124</v>
      </c>
      <c r="E1500" s="5">
        <v>1503</v>
      </c>
      <c r="F1500">
        <v>450</v>
      </c>
      <c r="G1500" t="s">
        <v>273</v>
      </c>
      <c r="H1500" s="7">
        <v>8.99</v>
      </c>
      <c r="I1500" s="5">
        <v>2</v>
      </c>
      <c r="J1500" s="3" t="s">
        <v>29</v>
      </c>
      <c r="K1500" s="9">
        <v>42483.625740740739</v>
      </c>
    </row>
    <row r="1501" spans="3:11" x14ac:dyDescent="0.25">
      <c r="C1501" t="str">
        <f>IF(COUNTBLANK(E1501:K1501) = 7,"",IF(AND(NOT(ISBLANK(E1501)),COUNTBLANK(E1501:K1501) = 6),"3 Delete",IF(ISBLANK(E1501),"2 Add",IF(SHA1Range(E1501:K1501) = "3065862d7276747d4d6548171e936e18b4072aba","0 Original","1 Modify"))))</f>
        <v>0 Original</v>
      </c>
      <c r="D1501" s="3" t="s">
        <v>2125</v>
      </c>
      <c r="E1501" s="5">
        <v>1504</v>
      </c>
      <c r="F1501">
        <v>450</v>
      </c>
      <c r="G1501" t="s">
        <v>246</v>
      </c>
      <c r="H1501" s="7">
        <v>7.99</v>
      </c>
      <c r="I1501" s="5">
        <v>1</v>
      </c>
      <c r="J1501" s="3" t="s">
        <v>29</v>
      </c>
      <c r="K1501" s="9">
        <v>42483.625740740739</v>
      </c>
    </row>
    <row r="1502" spans="3:11" x14ac:dyDescent="0.25">
      <c r="C1502" t="str">
        <f>IF(COUNTBLANK(E1502:K1502) = 7,"",IF(AND(NOT(ISBLANK(E1502)),COUNTBLANK(E1502:K1502) = 6),"3 Delete",IF(ISBLANK(E1502),"2 Add",IF(SHA1Range(E1502:K1502) = "f3041b3c6aa07be66d6a16a0880818ba3a34c787","0 Original","1 Modify"))))</f>
        <v>0 Original</v>
      </c>
      <c r="D1502" s="3" t="s">
        <v>2126</v>
      </c>
      <c r="E1502" s="5">
        <v>1505</v>
      </c>
      <c r="F1502">
        <v>450</v>
      </c>
      <c r="G1502" t="s">
        <v>503</v>
      </c>
      <c r="H1502" s="7">
        <v>8.99</v>
      </c>
      <c r="I1502" s="5">
        <v>2</v>
      </c>
      <c r="J1502" s="3" t="s">
        <v>29</v>
      </c>
      <c r="K1502" s="9">
        <v>42483.625740740739</v>
      </c>
    </row>
    <row r="1503" spans="3:11" x14ac:dyDescent="0.25">
      <c r="C1503" t="str">
        <f>IF(COUNTBLANK(E1503:K1503) = 7,"",IF(AND(NOT(ISBLANK(E1503)),COUNTBLANK(E1503:K1503) = 6),"3 Delete",IF(ISBLANK(E1503),"2 Add",IF(SHA1Range(E1503:K1503) = "b3a55d13f99e1a66e5306d85a3a09d208643f5d7","0 Original","1 Modify"))))</f>
        <v>0 Original</v>
      </c>
      <c r="D1503" s="3" t="s">
        <v>2127</v>
      </c>
      <c r="E1503" s="5">
        <v>1506</v>
      </c>
      <c r="F1503">
        <v>451</v>
      </c>
      <c r="G1503" t="s">
        <v>217</v>
      </c>
      <c r="H1503" s="7">
        <v>9.99</v>
      </c>
      <c r="I1503" s="5">
        <v>1</v>
      </c>
      <c r="J1503" s="3" t="s">
        <v>29</v>
      </c>
      <c r="K1503" s="9">
        <v>42483.625740740739</v>
      </c>
    </row>
    <row r="1504" spans="3:11" x14ac:dyDescent="0.25">
      <c r="C1504" t="str">
        <f>IF(COUNTBLANK(E1504:K1504) = 7,"",IF(AND(NOT(ISBLANK(E1504)),COUNTBLANK(E1504:K1504) = 6),"3 Delete",IF(ISBLANK(E1504),"2 Add",IF(SHA1Range(E1504:K1504) = "279c128783dae378e05da68e2034a5a7953b7fe0","0 Original","1 Modify"))))</f>
        <v>0 Original</v>
      </c>
      <c r="D1504" s="3" t="s">
        <v>2128</v>
      </c>
      <c r="E1504" s="5">
        <v>1507</v>
      </c>
      <c r="F1504">
        <v>451</v>
      </c>
      <c r="G1504" t="s">
        <v>250</v>
      </c>
      <c r="H1504" s="7">
        <v>8.99</v>
      </c>
      <c r="I1504" s="5">
        <v>1</v>
      </c>
      <c r="J1504" s="3" t="s">
        <v>29</v>
      </c>
      <c r="K1504" s="9">
        <v>42483.625740740739</v>
      </c>
    </row>
    <row r="1505" spans="3:11" x14ac:dyDescent="0.25">
      <c r="C1505" t="str">
        <f>IF(COUNTBLANK(E1505:K1505) = 7,"",IF(AND(NOT(ISBLANK(E1505)),COUNTBLANK(E1505:K1505) = 6),"3 Delete",IF(ISBLANK(E1505),"2 Add",IF(SHA1Range(E1505:K1505) = "67eb98d3ebb1ae7167c801003084495fc1b760d7","0 Original","1 Modify"))))</f>
        <v>0 Original</v>
      </c>
      <c r="D1505" s="3" t="s">
        <v>2129</v>
      </c>
      <c r="E1505" s="5">
        <v>1508</v>
      </c>
      <c r="F1505">
        <v>451</v>
      </c>
      <c r="G1505" t="s">
        <v>599</v>
      </c>
      <c r="H1505" s="7">
        <v>5.99</v>
      </c>
      <c r="I1505" s="5">
        <v>1</v>
      </c>
      <c r="J1505" s="3" t="s">
        <v>29</v>
      </c>
      <c r="K1505" s="9">
        <v>42483.625740740739</v>
      </c>
    </row>
    <row r="1506" spans="3:11" x14ac:dyDescent="0.25">
      <c r="C1506" t="str">
        <f>IF(COUNTBLANK(E1506:K1506) = 7,"",IF(AND(NOT(ISBLANK(E1506)),COUNTBLANK(E1506:K1506) = 6),"3 Delete",IF(ISBLANK(E1506),"2 Add",IF(SHA1Range(E1506:K1506) = "8c5d8c27af2282615cae81555df3f1ab9314d3eb","0 Original","1 Modify"))))</f>
        <v>0 Original</v>
      </c>
      <c r="D1506" s="3" t="s">
        <v>2130</v>
      </c>
      <c r="E1506" s="5">
        <v>1509</v>
      </c>
      <c r="F1506">
        <v>451</v>
      </c>
      <c r="G1506" t="s">
        <v>281</v>
      </c>
      <c r="H1506" s="7">
        <v>7.99</v>
      </c>
      <c r="I1506" s="5">
        <v>1</v>
      </c>
      <c r="J1506" s="3" t="s">
        <v>29</v>
      </c>
      <c r="K1506" s="9">
        <v>42483.625740740739</v>
      </c>
    </row>
    <row r="1507" spans="3:11" x14ac:dyDescent="0.25">
      <c r="C1507" t="str">
        <f>IF(COUNTBLANK(E1507:K1507) = 7,"",IF(AND(NOT(ISBLANK(E1507)),COUNTBLANK(E1507:K1507) = 6),"3 Delete",IF(ISBLANK(E1507),"2 Add",IF(SHA1Range(E1507:K1507) = "f66e9b6d9f70a15cfbdd9825c76ede06606cd742","0 Original","1 Modify"))))</f>
        <v>0 Original</v>
      </c>
      <c r="D1507" s="3" t="s">
        <v>2131</v>
      </c>
      <c r="E1507" s="5">
        <v>1510</v>
      </c>
      <c r="F1507">
        <v>451</v>
      </c>
      <c r="G1507" t="s">
        <v>54</v>
      </c>
      <c r="H1507" s="7">
        <v>5.99</v>
      </c>
      <c r="I1507" s="5">
        <v>1</v>
      </c>
      <c r="J1507" s="3" t="s">
        <v>29</v>
      </c>
      <c r="K1507" s="9">
        <v>42483.625740740739</v>
      </c>
    </row>
    <row r="1508" spans="3:11" x14ac:dyDescent="0.25">
      <c r="C1508" t="str">
        <f>IF(COUNTBLANK(E1508:K1508) = 7,"",IF(AND(NOT(ISBLANK(E1508)),COUNTBLANK(E1508:K1508) = 6),"3 Delete",IF(ISBLANK(E1508),"2 Add",IF(SHA1Range(E1508:K1508) = "7a1fe8b7c35f98c48a45dbdbf1478418c8b929a8","0 Original","1 Modify"))))</f>
        <v>0 Original</v>
      </c>
      <c r="D1508" s="3" t="s">
        <v>2132</v>
      </c>
      <c r="E1508" s="5">
        <v>1511</v>
      </c>
      <c r="F1508">
        <v>452</v>
      </c>
      <c r="G1508" t="s">
        <v>152</v>
      </c>
      <c r="H1508" s="7">
        <v>5.99</v>
      </c>
      <c r="I1508" s="5">
        <v>1</v>
      </c>
      <c r="J1508" s="3" t="s">
        <v>29</v>
      </c>
      <c r="K1508" s="9">
        <v>42483.625740740739</v>
      </c>
    </row>
    <row r="1509" spans="3:11" x14ac:dyDescent="0.25">
      <c r="C1509" t="str">
        <f>IF(COUNTBLANK(E1509:K1509) = 7,"",IF(AND(NOT(ISBLANK(E1509)),COUNTBLANK(E1509:K1509) = 6),"3 Delete",IF(ISBLANK(E1509),"2 Add",IF(SHA1Range(E1509:K1509) = "c607cb26be107f0300d1b561d3f7c69e0b71a1f8","0 Original","1 Modify"))))</f>
        <v>0 Original</v>
      </c>
      <c r="D1509" s="3" t="s">
        <v>2133</v>
      </c>
      <c r="E1509" s="5">
        <v>1512</v>
      </c>
      <c r="F1509">
        <v>452</v>
      </c>
      <c r="G1509" t="s">
        <v>133</v>
      </c>
      <c r="H1509" s="7">
        <v>7.99</v>
      </c>
      <c r="I1509" s="5">
        <v>2</v>
      </c>
      <c r="J1509" s="3" t="s">
        <v>29</v>
      </c>
      <c r="K1509" s="9">
        <v>42483.625740740739</v>
      </c>
    </row>
    <row r="1510" spans="3:11" x14ac:dyDescent="0.25">
      <c r="C1510" t="str">
        <f>IF(COUNTBLANK(E1510:K1510) = 7,"",IF(AND(NOT(ISBLANK(E1510)),COUNTBLANK(E1510:K1510) = 6),"3 Delete",IF(ISBLANK(E1510),"2 Add",IF(SHA1Range(E1510:K1510) = "df7e5df7db224d426c73519e47b43c10b4554500","0 Original","1 Modify"))))</f>
        <v>0 Original</v>
      </c>
      <c r="D1510" s="3" t="s">
        <v>2134</v>
      </c>
      <c r="E1510" s="5">
        <v>1513</v>
      </c>
      <c r="F1510">
        <v>453</v>
      </c>
      <c r="G1510" t="s">
        <v>136</v>
      </c>
      <c r="H1510" s="7">
        <v>8.99</v>
      </c>
      <c r="I1510" s="5">
        <v>1</v>
      </c>
      <c r="J1510" s="3" t="s">
        <v>29</v>
      </c>
      <c r="K1510" s="9">
        <v>42483.625740740739</v>
      </c>
    </row>
    <row r="1511" spans="3:11" x14ac:dyDescent="0.25">
      <c r="C1511" t="str">
        <f>IF(COUNTBLANK(E1511:K1511) = 7,"",IF(AND(NOT(ISBLANK(E1511)),COUNTBLANK(E1511:K1511) = 6),"3 Delete",IF(ISBLANK(E1511),"2 Add",IF(SHA1Range(E1511:K1511) = "722e6a78eecabfb4a7afca5a0cd6bed050eab21e","0 Original","1 Modify"))))</f>
        <v>0 Original</v>
      </c>
      <c r="D1511" s="3" t="s">
        <v>2135</v>
      </c>
      <c r="E1511" s="5">
        <v>1514</v>
      </c>
      <c r="F1511">
        <v>453</v>
      </c>
      <c r="G1511" t="s">
        <v>51</v>
      </c>
      <c r="H1511" s="7">
        <v>9.99</v>
      </c>
      <c r="I1511" s="5">
        <v>1</v>
      </c>
      <c r="J1511" s="3" t="s">
        <v>29</v>
      </c>
      <c r="K1511" s="9">
        <v>42483.625740740739</v>
      </c>
    </row>
    <row r="1512" spans="3:11" x14ac:dyDescent="0.25">
      <c r="C1512" t="str">
        <f>IF(COUNTBLANK(E1512:K1512) = 7,"",IF(AND(NOT(ISBLANK(E1512)),COUNTBLANK(E1512:K1512) = 6),"3 Delete",IF(ISBLANK(E1512),"2 Add",IF(SHA1Range(E1512:K1512) = "d90ce5a1de8414a621f978841fa3c2f6f8deb0c0","0 Original","1 Modify"))))</f>
        <v>0 Original</v>
      </c>
      <c r="D1512" s="3" t="s">
        <v>2136</v>
      </c>
      <c r="E1512" s="5">
        <v>1515</v>
      </c>
      <c r="F1512">
        <v>453</v>
      </c>
      <c r="G1512" t="s">
        <v>599</v>
      </c>
      <c r="H1512" s="7">
        <v>5.99</v>
      </c>
      <c r="I1512" s="5">
        <v>1</v>
      </c>
      <c r="J1512" s="3" t="s">
        <v>29</v>
      </c>
      <c r="K1512" s="9">
        <v>42483.625740740739</v>
      </c>
    </row>
    <row r="1513" spans="3:11" x14ac:dyDescent="0.25">
      <c r="C1513" t="str">
        <f>IF(COUNTBLANK(E1513:K1513) = 7,"",IF(AND(NOT(ISBLANK(E1513)),COUNTBLANK(E1513:K1513) = 6),"3 Delete",IF(ISBLANK(E1513),"2 Add",IF(SHA1Range(E1513:K1513) = "eb39bc18c6d8d5c77b9f86d954cacd543258c26b","0 Original","1 Modify"))))</f>
        <v>0 Original</v>
      </c>
      <c r="D1513" s="3" t="s">
        <v>2137</v>
      </c>
      <c r="E1513" s="5">
        <v>1516</v>
      </c>
      <c r="F1513">
        <v>453</v>
      </c>
      <c r="G1513" t="s">
        <v>126</v>
      </c>
      <c r="H1513" s="7">
        <v>6.99</v>
      </c>
      <c r="I1513" s="5">
        <v>1</v>
      </c>
      <c r="J1513" s="3" t="s">
        <v>29</v>
      </c>
      <c r="K1513" s="9">
        <v>42483.625740740739</v>
      </c>
    </row>
    <row r="1514" spans="3:11" x14ac:dyDescent="0.25">
      <c r="C1514" t="str">
        <f>IF(COUNTBLANK(E1514:K1514) = 7,"",IF(AND(NOT(ISBLANK(E1514)),COUNTBLANK(E1514:K1514) = 6),"3 Delete",IF(ISBLANK(E1514),"2 Add",IF(SHA1Range(E1514:K1514) = "818c7caa784aac06906849ef925410b180dfb929","0 Original","1 Modify"))))</f>
        <v>0 Original</v>
      </c>
      <c r="D1514" s="3" t="s">
        <v>2138</v>
      </c>
      <c r="E1514" s="5">
        <v>1517</v>
      </c>
      <c r="F1514">
        <v>454</v>
      </c>
      <c r="G1514" t="s">
        <v>152</v>
      </c>
      <c r="H1514" s="7">
        <v>5.99</v>
      </c>
      <c r="I1514" s="5">
        <v>1</v>
      </c>
      <c r="J1514" s="3" t="s">
        <v>29</v>
      </c>
      <c r="K1514" s="9">
        <v>42483.625740740739</v>
      </c>
    </row>
    <row r="1515" spans="3:11" x14ac:dyDescent="0.25">
      <c r="C1515" t="str">
        <f>IF(COUNTBLANK(E1515:K1515) = 7,"",IF(AND(NOT(ISBLANK(E1515)),COUNTBLANK(E1515:K1515) = 6),"3 Delete",IF(ISBLANK(E1515),"2 Add",IF(SHA1Range(E1515:K1515) = "e10a51b7f43b3ccdeb9acfacd57410cada569992","0 Original","1 Modify"))))</f>
        <v>0 Original</v>
      </c>
      <c r="D1515" s="3" t="s">
        <v>2139</v>
      </c>
      <c r="E1515" s="5">
        <v>1518</v>
      </c>
      <c r="F1515">
        <v>454</v>
      </c>
      <c r="G1515" t="s">
        <v>295</v>
      </c>
      <c r="H1515" s="7">
        <v>7.99</v>
      </c>
      <c r="I1515" s="5">
        <v>1</v>
      </c>
      <c r="J1515" s="3" t="s">
        <v>29</v>
      </c>
      <c r="K1515" s="9">
        <v>42483.625740740739</v>
      </c>
    </row>
    <row r="1516" spans="3:11" x14ac:dyDescent="0.25">
      <c r="C1516" t="str">
        <f>IF(COUNTBLANK(E1516:K1516) = 7,"",IF(AND(NOT(ISBLANK(E1516)),COUNTBLANK(E1516:K1516) = 6),"3 Delete",IF(ISBLANK(E1516),"2 Add",IF(SHA1Range(E1516:K1516) = "f9dd171b86b179ad22d15d65ca2d832f2c87b73a","0 Original","1 Modify"))))</f>
        <v>0 Original</v>
      </c>
      <c r="D1516" s="3" t="s">
        <v>2140</v>
      </c>
      <c r="E1516" s="5">
        <v>1519</v>
      </c>
      <c r="F1516">
        <v>454</v>
      </c>
      <c r="G1516" t="s">
        <v>546</v>
      </c>
      <c r="H1516" s="7">
        <v>9.99</v>
      </c>
      <c r="I1516" s="5">
        <v>1</v>
      </c>
      <c r="J1516" s="3" t="s">
        <v>29</v>
      </c>
      <c r="K1516" s="9">
        <v>42483.625740740739</v>
      </c>
    </row>
    <row r="1517" spans="3:11" x14ac:dyDescent="0.25">
      <c r="C1517" t="str">
        <f>IF(COUNTBLANK(E1517:K1517) = 7,"",IF(AND(NOT(ISBLANK(E1517)),COUNTBLANK(E1517:K1517) = 6),"3 Delete",IF(ISBLANK(E1517),"2 Add",IF(SHA1Range(E1517:K1517) = "58d2e1343c917726773664e71aae06673dd8c6c7","0 Original","1 Modify"))))</f>
        <v>0 Original</v>
      </c>
      <c r="D1517" s="3" t="s">
        <v>2141</v>
      </c>
      <c r="E1517" s="5">
        <v>1520</v>
      </c>
      <c r="F1517">
        <v>454</v>
      </c>
      <c r="G1517" t="s">
        <v>30</v>
      </c>
      <c r="H1517" s="7">
        <v>9.99</v>
      </c>
      <c r="I1517" s="5">
        <v>2</v>
      </c>
      <c r="J1517" s="3" t="s">
        <v>29</v>
      </c>
      <c r="K1517" s="9">
        <v>42483.625740740739</v>
      </c>
    </row>
    <row r="1518" spans="3:11" x14ac:dyDescent="0.25">
      <c r="C1518" t="str">
        <f>IF(COUNTBLANK(E1518:K1518) = 7,"",IF(AND(NOT(ISBLANK(E1518)),COUNTBLANK(E1518:K1518) = 6),"3 Delete",IF(ISBLANK(E1518),"2 Add",IF(SHA1Range(E1518:K1518) = "e3831905c12f3f17773f44c09b8a44f8b3e12acd","0 Original","1 Modify"))))</f>
        <v>0 Original</v>
      </c>
      <c r="D1518" s="3" t="s">
        <v>2142</v>
      </c>
      <c r="E1518" s="5">
        <v>1521</v>
      </c>
      <c r="F1518">
        <v>455</v>
      </c>
      <c r="G1518" t="s">
        <v>238</v>
      </c>
      <c r="H1518" s="7">
        <v>5.99</v>
      </c>
      <c r="I1518" s="5">
        <v>1</v>
      </c>
      <c r="J1518" s="3" t="s">
        <v>29</v>
      </c>
      <c r="K1518" s="9">
        <v>42483.625740740739</v>
      </c>
    </row>
    <row r="1519" spans="3:11" x14ac:dyDescent="0.25">
      <c r="C1519" t="str">
        <f>IF(COUNTBLANK(E1519:K1519) = 7,"",IF(AND(NOT(ISBLANK(E1519)),COUNTBLANK(E1519:K1519) = 6),"3 Delete",IF(ISBLANK(E1519),"2 Add",IF(SHA1Range(E1519:K1519) = "bbeff11c3c18a99ed65f6231e3f6c50c9e880057","0 Original","1 Modify"))))</f>
        <v>0 Original</v>
      </c>
      <c r="D1519" s="3" t="s">
        <v>2143</v>
      </c>
      <c r="E1519" s="5">
        <v>1522</v>
      </c>
      <c r="F1519">
        <v>455</v>
      </c>
      <c r="G1519" t="s">
        <v>273</v>
      </c>
      <c r="H1519" s="7">
        <v>8.99</v>
      </c>
      <c r="I1519" s="5">
        <v>2</v>
      </c>
      <c r="J1519" s="3" t="s">
        <v>29</v>
      </c>
      <c r="K1519" s="9">
        <v>42483.625740740739</v>
      </c>
    </row>
    <row r="1520" spans="3:11" x14ac:dyDescent="0.25">
      <c r="C1520" t="str">
        <f>IF(COUNTBLANK(E1520:K1520) = 7,"",IF(AND(NOT(ISBLANK(E1520)),COUNTBLANK(E1520:K1520) = 6),"3 Delete",IF(ISBLANK(E1520),"2 Add",IF(SHA1Range(E1520:K1520) = "b8a503bedbdd8db48a9163e63ba2f5039666d5eb","0 Original","1 Modify"))))</f>
        <v>0 Original</v>
      </c>
      <c r="D1520" s="3" t="s">
        <v>2144</v>
      </c>
      <c r="E1520" s="5">
        <v>1523</v>
      </c>
      <c r="F1520">
        <v>455</v>
      </c>
      <c r="G1520" t="s">
        <v>456</v>
      </c>
      <c r="H1520" s="7">
        <v>9.99</v>
      </c>
      <c r="I1520" s="5">
        <v>1</v>
      </c>
      <c r="J1520" s="3" t="s">
        <v>29</v>
      </c>
      <c r="K1520" s="9">
        <v>42483.625740740739</v>
      </c>
    </row>
    <row r="1521" spans="3:11" x14ac:dyDescent="0.25">
      <c r="C1521" t="str">
        <f>IF(COUNTBLANK(E1521:K1521) = 7,"",IF(AND(NOT(ISBLANK(E1521)),COUNTBLANK(E1521:K1521) = 6),"3 Delete",IF(ISBLANK(E1521),"2 Add",IF(SHA1Range(E1521:K1521) = "e802ae0f7b899c7566c4997fb5df14b628a4cbd4","0 Original","1 Modify"))))</f>
        <v>0 Original</v>
      </c>
      <c r="D1521" s="3" t="s">
        <v>2145</v>
      </c>
      <c r="E1521" s="5">
        <v>1524</v>
      </c>
      <c r="F1521">
        <v>456</v>
      </c>
      <c r="G1521" t="s">
        <v>51</v>
      </c>
      <c r="H1521" s="7">
        <v>9.99</v>
      </c>
      <c r="I1521" s="5">
        <v>1</v>
      </c>
      <c r="J1521" s="3" t="s">
        <v>29</v>
      </c>
      <c r="K1521" s="9">
        <v>42483.625740740739</v>
      </c>
    </row>
    <row r="1522" spans="3:11" x14ac:dyDescent="0.25">
      <c r="C1522" t="str">
        <f>IF(COUNTBLANK(E1522:K1522) = 7,"",IF(AND(NOT(ISBLANK(E1522)),COUNTBLANK(E1522:K1522) = 6),"3 Delete",IF(ISBLANK(E1522),"2 Add",IF(SHA1Range(E1522:K1522) = "76282bc4f6f0aa132aa826e78c248ee0d869c21d","0 Original","1 Modify"))))</f>
        <v>0 Original</v>
      </c>
      <c r="D1522" s="3" t="s">
        <v>2146</v>
      </c>
      <c r="E1522" s="5">
        <v>1525</v>
      </c>
      <c r="F1522">
        <v>456</v>
      </c>
      <c r="G1522" t="s">
        <v>418</v>
      </c>
      <c r="H1522" s="7">
        <v>6.99</v>
      </c>
      <c r="I1522" s="5">
        <v>1</v>
      </c>
      <c r="J1522" s="3" t="s">
        <v>29</v>
      </c>
      <c r="K1522" s="9">
        <v>42483.625740740739</v>
      </c>
    </row>
    <row r="1523" spans="3:11" x14ac:dyDescent="0.25">
      <c r="C1523" t="str">
        <f>IF(COUNTBLANK(E1523:K1523) = 7,"",IF(AND(NOT(ISBLANK(E1523)),COUNTBLANK(E1523:K1523) = 6),"3 Delete",IF(ISBLANK(E1523),"2 Add",IF(SHA1Range(E1523:K1523) = "cab284e7839668d50beb41cd5fb68b3c3b705788","0 Original","1 Modify"))))</f>
        <v>0 Original</v>
      </c>
      <c r="D1523" s="3" t="s">
        <v>2147</v>
      </c>
      <c r="E1523" s="5">
        <v>1526</v>
      </c>
      <c r="F1523">
        <v>456</v>
      </c>
      <c r="G1523" t="s">
        <v>388</v>
      </c>
      <c r="H1523" s="7">
        <v>5.99</v>
      </c>
      <c r="I1523" s="5">
        <v>2</v>
      </c>
      <c r="J1523" s="3" t="s">
        <v>29</v>
      </c>
      <c r="K1523" s="9">
        <v>42483.625740740739</v>
      </c>
    </row>
    <row r="1524" spans="3:11" x14ac:dyDescent="0.25">
      <c r="C1524" t="str">
        <f>IF(COUNTBLANK(E1524:K1524) = 7,"",IF(AND(NOT(ISBLANK(E1524)),COUNTBLANK(E1524:K1524) = 6),"3 Delete",IF(ISBLANK(E1524),"2 Add",IF(SHA1Range(E1524:K1524) = "1bbcb4efa99fa43806119e9df10faf23e81f9a63","0 Original","1 Modify"))))</f>
        <v>0 Original</v>
      </c>
      <c r="D1524" s="3" t="s">
        <v>2148</v>
      </c>
      <c r="E1524" s="5">
        <v>1527</v>
      </c>
      <c r="F1524">
        <v>457</v>
      </c>
      <c r="G1524" t="s">
        <v>58</v>
      </c>
      <c r="H1524" s="7">
        <v>8.99</v>
      </c>
      <c r="I1524" s="5">
        <v>1</v>
      </c>
      <c r="J1524" s="3" t="s">
        <v>29</v>
      </c>
      <c r="K1524" s="9">
        <v>42483.625740740739</v>
      </c>
    </row>
    <row r="1525" spans="3:11" x14ac:dyDescent="0.25">
      <c r="C1525" t="str">
        <f>IF(COUNTBLANK(E1525:K1525) = 7,"",IF(AND(NOT(ISBLANK(E1525)),COUNTBLANK(E1525:K1525) = 6),"3 Delete",IF(ISBLANK(E1525),"2 Add",IF(SHA1Range(E1525:K1525) = "5147a25d724b59cf402a2cb5e437d7e2d3b4d095","0 Original","1 Modify"))))</f>
        <v>0 Original</v>
      </c>
      <c r="D1525" s="3" t="s">
        <v>2149</v>
      </c>
      <c r="E1525" s="5">
        <v>1528</v>
      </c>
      <c r="F1525">
        <v>457</v>
      </c>
      <c r="G1525" t="s">
        <v>257</v>
      </c>
      <c r="H1525" s="7">
        <v>9.99</v>
      </c>
      <c r="I1525" s="5">
        <v>1</v>
      </c>
      <c r="J1525" s="3" t="s">
        <v>29</v>
      </c>
      <c r="K1525" s="9">
        <v>42483.625740740739</v>
      </c>
    </row>
    <row r="1526" spans="3:11" x14ac:dyDescent="0.25">
      <c r="C1526" t="str">
        <f>IF(COUNTBLANK(E1526:K1526) = 7,"",IF(AND(NOT(ISBLANK(E1526)),COUNTBLANK(E1526:K1526) = 6),"3 Delete",IF(ISBLANK(E1526),"2 Add",IF(SHA1Range(E1526:K1526) = "1c7a73c6e36f20a4c0b81901e76329baba7941f7","0 Original","1 Modify"))))</f>
        <v>0 Original</v>
      </c>
      <c r="D1526" s="3" t="s">
        <v>2150</v>
      </c>
      <c r="E1526" s="5">
        <v>1529</v>
      </c>
      <c r="F1526">
        <v>457</v>
      </c>
      <c r="G1526" t="s">
        <v>221</v>
      </c>
      <c r="H1526" s="7">
        <v>6.99</v>
      </c>
      <c r="I1526" s="5">
        <v>1</v>
      </c>
      <c r="J1526" s="3" t="s">
        <v>29</v>
      </c>
      <c r="K1526" s="9">
        <v>42483.625740740739</v>
      </c>
    </row>
    <row r="1527" spans="3:11" x14ac:dyDescent="0.25">
      <c r="C1527" t="str">
        <f>IF(COUNTBLANK(E1527:K1527) = 7,"",IF(AND(NOT(ISBLANK(E1527)),COUNTBLANK(E1527:K1527) = 6),"3 Delete",IF(ISBLANK(E1527),"2 Add",IF(SHA1Range(E1527:K1527) = "4c7cf0013bd1ba1900af3848d684eeddfe0f3edf","0 Original","1 Modify"))))</f>
        <v>0 Original</v>
      </c>
      <c r="D1527" s="3" t="s">
        <v>2151</v>
      </c>
      <c r="E1527" s="5">
        <v>1530</v>
      </c>
      <c r="F1527">
        <v>458</v>
      </c>
      <c r="G1527" t="s">
        <v>281</v>
      </c>
      <c r="H1527" s="7">
        <v>7.99</v>
      </c>
      <c r="I1527" s="5">
        <v>1</v>
      </c>
      <c r="J1527" s="3" t="s">
        <v>29</v>
      </c>
      <c r="K1527" s="9">
        <v>42483.625740740739</v>
      </c>
    </row>
    <row r="1528" spans="3:11" x14ac:dyDescent="0.25">
      <c r="C1528" t="str">
        <f>IF(COUNTBLANK(E1528:K1528) = 7,"",IF(AND(NOT(ISBLANK(E1528)),COUNTBLANK(E1528:K1528) = 6),"3 Delete",IF(ISBLANK(E1528),"2 Add",IF(SHA1Range(E1528:K1528) = "5d1087a180f6d1e2c591291daf69a719c3a6236c","0 Original","1 Modify"))))</f>
        <v>0 Original</v>
      </c>
      <c r="D1528" s="3" t="s">
        <v>2152</v>
      </c>
      <c r="E1528" s="5">
        <v>1531</v>
      </c>
      <c r="F1528">
        <v>458</v>
      </c>
      <c r="G1528" t="s">
        <v>230</v>
      </c>
      <c r="H1528" s="7">
        <v>5.99</v>
      </c>
      <c r="I1528" s="5">
        <v>1</v>
      </c>
      <c r="J1528" s="3" t="s">
        <v>29</v>
      </c>
      <c r="K1528" s="9">
        <v>42483.625740740739</v>
      </c>
    </row>
    <row r="1529" spans="3:11" x14ac:dyDescent="0.25">
      <c r="C1529" t="str">
        <f>IF(COUNTBLANK(E1529:K1529) = 7,"",IF(AND(NOT(ISBLANK(E1529)),COUNTBLANK(E1529:K1529) = 6),"3 Delete",IF(ISBLANK(E1529),"2 Add",IF(SHA1Range(E1529:K1529) = "534956b96455bc5988c9e0c7d1971ff772cf9796","0 Original","1 Modify"))))</f>
        <v>0 Original</v>
      </c>
      <c r="D1529" s="3" t="s">
        <v>2153</v>
      </c>
      <c r="E1529" s="5">
        <v>1532</v>
      </c>
      <c r="F1529">
        <v>458</v>
      </c>
      <c r="G1529" t="s">
        <v>30</v>
      </c>
      <c r="H1529" s="7">
        <v>9.99</v>
      </c>
      <c r="I1529" s="5">
        <v>2</v>
      </c>
      <c r="J1529" s="3" t="s">
        <v>29</v>
      </c>
      <c r="K1529" s="9">
        <v>42483.625740740739</v>
      </c>
    </row>
    <row r="1530" spans="3:11" x14ac:dyDescent="0.25">
      <c r="C1530" t="str">
        <f>IF(COUNTBLANK(E1530:K1530) = 7,"",IF(AND(NOT(ISBLANK(E1530)),COUNTBLANK(E1530:K1530) = 6),"3 Delete",IF(ISBLANK(E1530),"2 Add",IF(SHA1Range(E1530:K1530) = "f831cb843721415b01ed728b90acc50af4119c7f","0 Original","1 Modify"))))</f>
        <v>0 Original</v>
      </c>
      <c r="D1530" s="3" t="s">
        <v>2154</v>
      </c>
      <c r="E1530" s="5">
        <v>1533</v>
      </c>
      <c r="F1530">
        <v>458</v>
      </c>
      <c r="G1530" t="s">
        <v>418</v>
      </c>
      <c r="H1530" s="7">
        <v>6.99</v>
      </c>
      <c r="I1530" s="5">
        <v>1</v>
      </c>
      <c r="J1530" s="3" t="s">
        <v>29</v>
      </c>
      <c r="K1530" s="9">
        <v>42483.625740740739</v>
      </c>
    </row>
    <row r="1531" spans="3:11" x14ac:dyDescent="0.25">
      <c r="C1531" t="str">
        <f>IF(COUNTBLANK(E1531:K1531) = 7,"",IF(AND(NOT(ISBLANK(E1531)),COUNTBLANK(E1531:K1531) = 6),"3 Delete",IF(ISBLANK(E1531),"2 Add",IF(SHA1Range(E1531:K1531) = "3b5b9fb34ca8fa6b09ab85fbb877e078787c8603","0 Original","1 Modify"))))</f>
        <v>0 Original</v>
      </c>
      <c r="D1531" s="3" t="s">
        <v>2155</v>
      </c>
      <c r="E1531" s="5">
        <v>1534</v>
      </c>
      <c r="F1531">
        <v>458</v>
      </c>
      <c r="G1531" t="s">
        <v>234</v>
      </c>
      <c r="H1531" s="7">
        <v>4.99</v>
      </c>
      <c r="I1531" s="5">
        <v>1</v>
      </c>
      <c r="J1531" s="3" t="s">
        <v>29</v>
      </c>
      <c r="K1531" s="9">
        <v>42483.625740740739</v>
      </c>
    </row>
    <row r="1532" spans="3:11" x14ac:dyDescent="0.25">
      <c r="C1532" t="str">
        <f>IF(COUNTBLANK(E1532:K1532) = 7,"",IF(AND(NOT(ISBLANK(E1532)),COUNTBLANK(E1532:K1532) = 6),"3 Delete",IF(ISBLANK(E1532),"2 Add",IF(SHA1Range(E1532:K1532) = "81d4b56b2d4a6fbd145a6aca12be69fe44dab3e2","0 Original","1 Modify"))))</f>
        <v>0 Original</v>
      </c>
      <c r="D1532" s="3" t="s">
        <v>2156</v>
      </c>
      <c r="E1532" s="5">
        <v>1535</v>
      </c>
      <c r="F1532">
        <v>458</v>
      </c>
      <c r="G1532" t="s">
        <v>425</v>
      </c>
      <c r="H1532" s="7">
        <v>6.99</v>
      </c>
      <c r="I1532" s="5">
        <v>2</v>
      </c>
      <c r="J1532" s="3" t="s">
        <v>29</v>
      </c>
      <c r="K1532" s="9">
        <v>42483.625740740739</v>
      </c>
    </row>
    <row r="1533" spans="3:11" x14ac:dyDescent="0.25">
      <c r="C1533" t="str">
        <f>IF(COUNTBLANK(E1533:K1533) = 7,"",IF(AND(NOT(ISBLANK(E1533)),COUNTBLANK(E1533:K1533) = 6),"3 Delete",IF(ISBLANK(E1533),"2 Add",IF(SHA1Range(E1533:K1533) = "f30d7d4d36ec9e680e6c45931abdf57778cb7fd2","0 Original","1 Modify"))))</f>
        <v>0 Original</v>
      </c>
      <c r="D1533" s="3" t="s">
        <v>2157</v>
      </c>
      <c r="E1533" s="5">
        <v>1536</v>
      </c>
      <c r="F1533">
        <v>458</v>
      </c>
      <c r="G1533" t="s">
        <v>407</v>
      </c>
      <c r="H1533" s="7">
        <v>9.99</v>
      </c>
      <c r="I1533" s="5">
        <v>1</v>
      </c>
      <c r="J1533" s="3" t="s">
        <v>29</v>
      </c>
      <c r="K1533" s="9">
        <v>42483.625740740739</v>
      </c>
    </row>
    <row r="1534" spans="3:11" x14ac:dyDescent="0.25">
      <c r="C1534" t="str">
        <f>IF(COUNTBLANK(E1534:K1534) = 7,"",IF(AND(NOT(ISBLANK(E1534)),COUNTBLANK(E1534:K1534) = 6),"3 Delete",IF(ISBLANK(E1534),"2 Add",IF(SHA1Range(E1534:K1534) = "890f0c6d919b3e319bfae95ee02259f398d88840","0 Original","1 Modify"))))</f>
        <v>0 Original</v>
      </c>
      <c r="D1534" s="3" t="s">
        <v>2158</v>
      </c>
      <c r="E1534" s="5">
        <v>1537</v>
      </c>
      <c r="F1534">
        <v>459</v>
      </c>
      <c r="G1534" t="s">
        <v>149</v>
      </c>
      <c r="H1534" s="7">
        <v>7.99</v>
      </c>
      <c r="I1534" s="5">
        <v>1</v>
      </c>
      <c r="J1534" s="3" t="s">
        <v>29</v>
      </c>
      <c r="K1534" s="9">
        <v>42483.625740740739</v>
      </c>
    </row>
    <row r="1535" spans="3:11" x14ac:dyDescent="0.25">
      <c r="C1535" t="str">
        <f>IF(COUNTBLANK(E1535:K1535) = 7,"",IF(AND(NOT(ISBLANK(E1535)),COUNTBLANK(E1535:K1535) = 6),"3 Delete",IF(ISBLANK(E1535),"2 Add",IF(SHA1Range(E1535:K1535) = "7dde1ceb55afff6dcc19386896036bd5c2fe5dd4","0 Original","1 Modify"))))</f>
        <v>0 Original</v>
      </c>
      <c r="D1535" s="3" t="s">
        <v>2159</v>
      </c>
      <c r="E1535" s="5">
        <v>1538</v>
      </c>
      <c r="F1535">
        <v>459</v>
      </c>
      <c r="G1535" t="s">
        <v>184</v>
      </c>
      <c r="H1535" s="7">
        <v>8.99</v>
      </c>
      <c r="I1535" s="5">
        <v>1</v>
      </c>
      <c r="J1535" s="3" t="s">
        <v>29</v>
      </c>
      <c r="K1535" s="9">
        <v>42483.625740740739</v>
      </c>
    </row>
    <row r="1536" spans="3:11" x14ac:dyDescent="0.25">
      <c r="C1536" t="str">
        <f>IF(COUNTBLANK(E1536:K1536) = 7,"",IF(AND(NOT(ISBLANK(E1536)),COUNTBLANK(E1536:K1536) = 6),"3 Delete",IF(ISBLANK(E1536),"2 Add",IF(SHA1Range(E1536:K1536) = "353a01713b6d915ce9c7c24c3c082a9765e05748","0 Original","1 Modify"))))</f>
        <v>0 Original</v>
      </c>
      <c r="D1536" s="3" t="s">
        <v>2160</v>
      </c>
      <c r="E1536" s="5">
        <v>1539</v>
      </c>
      <c r="F1536">
        <v>459</v>
      </c>
      <c r="G1536" t="s">
        <v>599</v>
      </c>
      <c r="H1536" s="7">
        <v>5.99</v>
      </c>
      <c r="I1536" s="5">
        <v>1</v>
      </c>
      <c r="J1536" s="3" t="s">
        <v>29</v>
      </c>
      <c r="K1536" s="9">
        <v>42483.625740740739</v>
      </c>
    </row>
    <row r="1537" spans="3:11" x14ac:dyDescent="0.25">
      <c r="C1537" t="str">
        <f>IF(COUNTBLANK(E1537:K1537) = 7,"",IF(AND(NOT(ISBLANK(E1537)),COUNTBLANK(E1537:K1537) = 6),"3 Delete",IF(ISBLANK(E1537),"2 Add",IF(SHA1Range(E1537:K1537) = "55face46934643aaaff19bc05eb9090af424dc9b","0 Original","1 Modify"))))</f>
        <v>0 Original</v>
      </c>
      <c r="D1537" s="3" t="s">
        <v>2161</v>
      </c>
      <c r="E1537" s="5">
        <v>1540</v>
      </c>
      <c r="F1537">
        <v>460</v>
      </c>
      <c r="G1537" t="s">
        <v>525</v>
      </c>
      <c r="H1537" s="7">
        <v>4.99</v>
      </c>
      <c r="I1537" s="5">
        <v>1</v>
      </c>
      <c r="J1537" s="3" t="s">
        <v>29</v>
      </c>
      <c r="K1537" s="9">
        <v>42483.625740740739</v>
      </c>
    </row>
    <row r="1538" spans="3:11" x14ac:dyDescent="0.25">
      <c r="C1538" t="str">
        <f>IF(COUNTBLANK(E1538:K1538) = 7,"",IF(AND(NOT(ISBLANK(E1538)),COUNTBLANK(E1538:K1538) = 6),"3 Delete",IF(ISBLANK(E1538),"2 Add",IF(SHA1Range(E1538:K1538) = "07968649fe30e24b2026f1f1064685ac52d76030","0 Original","1 Modify"))))</f>
        <v>0 Original</v>
      </c>
      <c r="D1538" s="3" t="s">
        <v>2162</v>
      </c>
      <c r="E1538" s="5">
        <v>1541</v>
      </c>
      <c r="F1538">
        <v>460</v>
      </c>
      <c r="G1538" t="s">
        <v>37</v>
      </c>
      <c r="H1538" s="7">
        <v>6.99</v>
      </c>
      <c r="I1538" s="5">
        <v>1</v>
      </c>
      <c r="J1538" s="3" t="s">
        <v>29</v>
      </c>
      <c r="K1538" s="9">
        <v>42483.625740740739</v>
      </c>
    </row>
    <row r="1539" spans="3:11" x14ac:dyDescent="0.25">
      <c r="C1539" t="str">
        <f>IF(COUNTBLANK(E1539:K1539) = 7,"",IF(AND(NOT(ISBLANK(E1539)),COUNTBLANK(E1539:K1539) = 6),"3 Delete",IF(ISBLANK(E1539),"2 Add",IF(SHA1Range(E1539:K1539) = "fbe0c2d2b71fd7773037ff29bfa45d90caa40b1d","0 Original","1 Modify"))))</f>
        <v>0 Original</v>
      </c>
      <c r="D1539" s="3" t="s">
        <v>2163</v>
      </c>
      <c r="E1539" s="5">
        <v>1542</v>
      </c>
      <c r="F1539">
        <v>460</v>
      </c>
      <c r="G1539" t="s">
        <v>109</v>
      </c>
      <c r="H1539" s="7">
        <v>8.99</v>
      </c>
      <c r="I1539" s="5">
        <v>2</v>
      </c>
      <c r="J1539" s="3" t="s">
        <v>29</v>
      </c>
      <c r="K1539" s="9">
        <v>42483.625740740739</v>
      </c>
    </row>
    <row r="1540" spans="3:11" x14ac:dyDescent="0.25">
      <c r="C1540" t="str">
        <f>IF(COUNTBLANK(E1540:K1540) = 7,"",IF(AND(NOT(ISBLANK(E1540)),COUNTBLANK(E1540:K1540) = 6),"3 Delete",IF(ISBLANK(E1540),"2 Add",IF(SHA1Range(E1540:K1540) = "f5623987a779475183bb1645a07b2445ae8a32d7","0 Original","1 Modify"))))</f>
        <v>0 Original</v>
      </c>
      <c r="D1540" s="3" t="s">
        <v>2164</v>
      </c>
      <c r="E1540" s="5">
        <v>1543</v>
      </c>
      <c r="F1540">
        <v>460</v>
      </c>
      <c r="G1540" t="s">
        <v>221</v>
      </c>
      <c r="H1540" s="7">
        <v>6.99</v>
      </c>
      <c r="I1540" s="5">
        <v>1</v>
      </c>
      <c r="J1540" s="3" t="s">
        <v>29</v>
      </c>
      <c r="K1540" s="9">
        <v>42483.625740740739</v>
      </c>
    </row>
    <row r="1541" spans="3:11" x14ac:dyDescent="0.25">
      <c r="C1541" t="str">
        <f>IF(COUNTBLANK(E1541:K1541) = 7,"",IF(AND(NOT(ISBLANK(E1541)),COUNTBLANK(E1541:K1541) = 6),"3 Delete",IF(ISBLANK(E1541),"2 Add",IF(SHA1Range(E1541:K1541) = "8abecbdee7253b0f341f6b73f698cc48ad785f66","0 Original","1 Modify"))))</f>
        <v>0 Original</v>
      </c>
      <c r="D1541" s="3" t="s">
        <v>2165</v>
      </c>
      <c r="E1541" s="5">
        <v>1544</v>
      </c>
      <c r="F1541">
        <v>461</v>
      </c>
      <c r="G1541" t="s">
        <v>184</v>
      </c>
      <c r="H1541" s="7">
        <v>8.99</v>
      </c>
      <c r="I1541" s="5">
        <v>2</v>
      </c>
      <c r="J1541" s="3" t="s">
        <v>29</v>
      </c>
      <c r="K1541" s="9">
        <v>42483.625740740739</v>
      </c>
    </row>
    <row r="1542" spans="3:11" x14ac:dyDescent="0.25">
      <c r="C1542" t="str">
        <f>IF(COUNTBLANK(E1542:K1542) = 7,"",IF(AND(NOT(ISBLANK(E1542)),COUNTBLANK(E1542:K1542) = 6),"3 Delete",IF(ISBLANK(E1542),"2 Add",IF(SHA1Range(E1542:K1542) = "affa328a0b8ff86f31a5c846182e35c8696604a1","0 Original","1 Modify"))))</f>
        <v>0 Original</v>
      </c>
      <c r="D1542" s="3" t="s">
        <v>2166</v>
      </c>
      <c r="E1542" s="5">
        <v>1545</v>
      </c>
      <c r="F1542">
        <v>461</v>
      </c>
      <c r="G1542" t="s">
        <v>246</v>
      </c>
      <c r="H1542" s="7">
        <v>7.99</v>
      </c>
      <c r="I1542" s="5">
        <v>1</v>
      </c>
      <c r="J1542" s="3" t="s">
        <v>29</v>
      </c>
      <c r="K1542" s="9">
        <v>42483.625740740739</v>
      </c>
    </row>
    <row r="1543" spans="3:11" x14ac:dyDescent="0.25">
      <c r="C1543" t="str">
        <f>IF(COUNTBLANK(E1543:K1543) = 7,"",IF(AND(NOT(ISBLANK(E1543)),COUNTBLANK(E1543:K1543) = 6),"3 Delete",IF(ISBLANK(E1543),"2 Add",IF(SHA1Range(E1543:K1543) = "d816d8d4f057b7d7a46c55068e5689b64172e780","0 Original","1 Modify"))))</f>
        <v>0 Original</v>
      </c>
      <c r="D1543" s="3" t="s">
        <v>2167</v>
      </c>
      <c r="E1543" s="5">
        <v>1546</v>
      </c>
      <c r="F1543">
        <v>461</v>
      </c>
      <c r="G1543" t="s">
        <v>295</v>
      </c>
      <c r="H1543" s="7">
        <v>7.99</v>
      </c>
      <c r="I1543" s="5">
        <v>1</v>
      </c>
      <c r="J1543" s="3" t="s">
        <v>29</v>
      </c>
      <c r="K1543" s="9">
        <v>42483.625740740739</v>
      </c>
    </row>
    <row r="1544" spans="3:11" x14ac:dyDescent="0.25">
      <c r="C1544" t="str">
        <f>IF(COUNTBLANK(E1544:K1544) = 7,"",IF(AND(NOT(ISBLANK(E1544)),COUNTBLANK(E1544:K1544) = 6),"3 Delete",IF(ISBLANK(E1544),"2 Add",IF(SHA1Range(E1544:K1544) = "6a5fc785a42e76e46881d856333dab4df3958673","0 Original","1 Modify"))))</f>
        <v>0 Original</v>
      </c>
      <c r="D1544" s="3" t="s">
        <v>2168</v>
      </c>
      <c r="E1544" s="5">
        <v>1547</v>
      </c>
      <c r="F1544">
        <v>461</v>
      </c>
      <c r="G1544" t="s">
        <v>30</v>
      </c>
      <c r="H1544" s="7">
        <v>9.99</v>
      </c>
      <c r="I1544" s="5">
        <v>1</v>
      </c>
      <c r="J1544" s="3" t="s">
        <v>29</v>
      </c>
      <c r="K1544" s="9">
        <v>42483.625740740739</v>
      </c>
    </row>
    <row r="1545" spans="3:11" x14ac:dyDescent="0.25">
      <c r="C1545" t="str">
        <f>IF(COUNTBLANK(E1545:K1545) = 7,"",IF(AND(NOT(ISBLANK(E1545)),COUNTBLANK(E1545:K1545) = 6),"3 Delete",IF(ISBLANK(E1545),"2 Add",IF(SHA1Range(E1545:K1545) = "1cdcbc99290fe73468f3a5d4154e063ecc14f191","0 Original","1 Modify"))))</f>
        <v>0 Original</v>
      </c>
      <c r="D1545" s="3" t="s">
        <v>2169</v>
      </c>
      <c r="E1545" s="5">
        <v>1548</v>
      </c>
      <c r="F1545">
        <v>462</v>
      </c>
      <c r="G1545" t="s">
        <v>576</v>
      </c>
      <c r="H1545" s="7">
        <v>5.99</v>
      </c>
      <c r="I1545" s="5">
        <v>1</v>
      </c>
      <c r="J1545" s="3" t="s">
        <v>29</v>
      </c>
      <c r="K1545" s="9">
        <v>42483.625740740739</v>
      </c>
    </row>
    <row r="1546" spans="3:11" x14ac:dyDescent="0.25">
      <c r="C1546" t="str">
        <f>IF(COUNTBLANK(E1546:K1546) = 7,"",IF(AND(NOT(ISBLANK(E1546)),COUNTBLANK(E1546:K1546) = 6),"3 Delete",IF(ISBLANK(E1546),"2 Add",IF(SHA1Range(E1546:K1546) = "77e9ae07b7cbd46813fd506f96570514e175a364","0 Original","1 Modify"))))</f>
        <v>0 Original</v>
      </c>
      <c r="D1546" s="3" t="s">
        <v>2170</v>
      </c>
      <c r="E1546" s="5">
        <v>1549</v>
      </c>
      <c r="F1546">
        <v>462</v>
      </c>
      <c r="G1546" t="s">
        <v>136</v>
      </c>
      <c r="H1546" s="7">
        <v>8.99</v>
      </c>
      <c r="I1546" s="5">
        <v>2</v>
      </c>
      <c r="J1546" s="3" t="s">
        <v>29</v>
      </c>
      <c r="K1546" s="9">
        <v>42483.625740740739</v>
      </c>
    </row>
    <row r="1547" spans="3:11" x14ac:dyDescent="0.25">
      <c r="C1547" t="str">
        <f>IF(COUNTBLANK(E1547:K1547) = 7,"",IF(AND(NOT(ISBLANK(E1547)),COUNTBLANK(E1547:K1547) = 6),"3 Delete",IF(ISBLANK(E1547),"2 Add",IF(SHA1Range(E1547:K1547) = "011f561e7e8965835ec22dba8a6d0d430c419893","0 Original","1 Modify"))))</f>
        <v>0 Original</v>
      </c>
      <c r="D1547" s="3" t="s">
        <v>2171</v>
      </c>
      <c r="E1547" s="5">
        <v>1550</v>
      </c>
      <c r="F1547">
        <v>462</v>
      </c>
      <c r="G1547" t="s">
        <v>152</v>
      </c>
      <c r="H1547" s="7">
        <v>5.99</v>
      </c>
      <c r="I1547" s="5">
        <v>1</v>
      </c>
      <c r="J1547" s="3" t="s">
        <v>29</v>
      </c>
      <c r="K1547" s="9">
        <v>42483.625740740739</v>
      </c>
    </row>
    <row r="1548" spans="3:11" x14ac:dyDescent="0.25">
      <c r="C1548" t="str">
        <f>IF(COUNTBLANK(E1548:K1548) = 7,"",IF(AND(NOT(ISBLANK(E1548)),COUNTBLANK(E1548:K1548) = 6),"3 Delete",IF(ISBLANK(E1548),"2 Add",IF(SHA1Range(E1548:K1548) = "cd8b8ca8949ec69ef16fd0dcdcf26b6e335ba527","0 Original","1 Modify"))))</f>
        <v>0 Original</v>
      </c>
      <c r="D1548" s="3" t="s">
        <v>2172</v>
      </c>
      <c r="E1548" s="5">
        <v>1551</v>
      </c>
      <c r="F1548">
        <v>462</v>
      </c>
      <c r="G1548" t="s">
        <v>238</v>
      </c>
      <c r="H1548" s="7">
        <v>5.99</v>
      </c>
      <c r="I1548" s="5">
        <v>2</v>
      </c>
      <c r="J1548" s="3" t="s">
        <v>29</v>
      </c>
      <c r="K1548" s="9">
        <v>42483.625740740739</v>
      </c>
    </row>
    <row r="1549" spans="3:11" x14ac:dyDescent="0.25">
      <c r="C1549" t="str">
        <f>IF(COUNTBLANK(E1549:K1549) = 7,"",IF(AND(NOT(ISBLANK(E1549)),COUNTBLANK(E1549:K1549) = 6),"3 Delete",IF(ISBLANK(E1549),"2 Add",IF(SHA1Range(E1549:K1549) = "6250db40df70ce28d217e76d52126b540be1bec3","0 Original","1 Modify"))))</f>
        <v>0 Original</v>
      </c>
      <c r="D1549" s="3" t="s">
        <v>2173</v>
      </c>
      <c r="E1549" s="5">
        <v>1552</v>
      </c>
      <c r="F1549">
        <v>462</v>
      </c>
      <c r="G1549" t="s">
        <v>221</v>
      </c>
      <c r="H1549" s="7">
        <v>6.99</v>
      </c>
      <c r="I1549" s="5">
        <v>1</v>
      </c>
      <c r="J1549" s="3" t="s">
        <v>29</v>
      </c>
      <c r="K1549" s="9">
        <v>42483.625740740739</v>
      </c>
    </row>
    <row r="1550" spans="3:11" x14ac:dyDescent="0.25">
      <c r="C1550" t="str">
        <f>IF(COUNTBLANK(E1550:K1550) = 7,"",IF(AND(NOT(ISBLANK(E1550)),COUNTBLANK(E1550:K1550) = 6),"3 Delete",IF(ISBLANK(E1550),"2 Add",IF(SHA1Range(E1550:K1550) = "86aaf29ce85bac64de9f7419800df9869415f6ee","0 Original","1 Modify"))))</f>
        <v>0 Original</v>
      </c>
      <c r="D1550" s="3" t="s">
        <v>2174</v>
      </c>
      <c r="E1550" s="5">
        <v>1553</v>
      </c>
      <c r="F1550">
        <v>462</v>
      </c>
      <c r="G1550" t="s">
        <v>30</v>
      </c>
      <c r="H1550" s="7">
        <v>9.99</v>
      </c>
      <c r="I1550" s="5">
        <v>1</v>
      </c>
      <c r="J1550" s="3" t="s">
        <v>29</v>
      </c>
      <c r="K1550" s="9">
        <v>42483.625740740739</v>
      </c>
    </row>
    <row r="1551" spans="3:11" x14ac:dyDescent="0.25">
      <c r="C1551" t="str">
        <f>IF(COUNTBLANK(E1551:K1551) = 7,"",IF(AND(NOT(ISBLANK(E1551)),COUNTBLANK(E1551:K1551) = 6),"3 Delete",IF(ISBLANK(E1551),"2 Add",IF(SHA1Range(E1551:K1551) = "c3793a10e755ec6751f94656b6745bced5b6102e","0 Original","1 Modify"))))</f>
        <v>0 Original</v>
      </c>
      <c r="D1551" s="3" t="s">
        <v>2175</v>
      </c>
      <c r="E1551" s="5">
        <v>1554</v>
      </c>
      <c r="F1551">
        <v>462</v>
      </c>
      <c r="G1551" t="s">
        <v>391</v>
      </c>
      <c r="H1551" s="7">
        <v>7.99</v>
      </c>
      <c r="I1551" s="5">
        <v>2</v>
      </c>
      <c r="J1551" s="3" t="s">
        <v>29</v>
      </c>
      <c r="K1551" s="9">
        <v>42483.625740740739</v>
      </c>
    </row>
    <row r="1552" spans="3:11" x14ac:dyDescent="0.25">
      <c r="C1552" t="str">
        <f>IF(COUNTBLANK(E1552:K1552) = 7,"",IF(AND(NOT(ISBLANK(E1552)),COUNTBLANK(E1552:K1552) = 6),"3 Delete",IF(ISBLANK(E1552),"2 Add",IF(SHA1Range(E1552:K1552) = "625b29f8735ba49133e765d73af52d9d58567c3b","0 Original","1 Modify"))))</f>
        <v>0 Original</v>
      </c>
      <c r="D1552" s="3" t="s">
        <v>2176</v>
      </c>
      <c r="E1552" s="5">
        <v>1555</v>
      </c>
      <c r="F1552">
        <v>463</v>
      </c>
      <c r="G1552" t="s">
        <v>398</v>
      </c>
      <c r="H1552" s="7">
        <v>4.99</v>
      </c>
      <c r="I1552" s="5">
        <v>2</v>
      </c>
      <c r="J1552" s="3" t="s">
        <v>29</v>
      </c>
      <c r="K1552" s="9">
        <v>42483.625740740739</v>
      </c>
    </row>
    <row r="1553" spans="3:11" x14ac:dyDescent="0.25">
      <c r="C1553" t="str">
        <f>IF(COUNTBLANK(E1553:K1553) = 7,"",IF(AND(NOT(ISBLANK(E1553)),COUNTBLANK(E1553:K1553) = 6),"3 Delete",IF(ISBLANK(E1553),"2 Add",IF(SHA1Range(E1553:K1553) = "0851371874951cc8f76b5e3695ee6f647bf90f23","0 Original","1 Modify"))))</f>
        <v>0 Original</v>
      </c>
      <c r="D1553" s="3" t="s">
        <v>2177</v>
      </c>
      <c r="E1553" s="5">
        <v>1556</v>
      </c>
      <c r="F1553">
        <v>463</v>
      </c>
      <c r="G1553" t="s">
        <v>456</v>
      </c>
      <c r="H1553" s="7">
        <v>9.99</v>
      </c>
      <c r="I1553" s="5">
        <v>1</v>
      </c>
      <c r="J1553" s="3" t="s">
        <v>29</v>
      </c>
      <c r="K1553" s="9">
        <v>42483.625740740739</v>
      </c>
    </row>
    <row r="1554" spans="3:11" x14ac:dyDescent="0.25">
      <c r="C1554" t="str">
        <f>IF(COUNTBLANK(E1554:K1554) = 7,"",IF(AND(NOT(ISBLANK(E1554)),COUNTBLANK(E1554:K1554) = 6),"3 Delete",IF(ISBLANK(E1554),"2 Add",IF(SHA1Range(E1554:K1554) = "06b86466797ec7aca3463bfb1a652165e139583e","0 Original","1 Modify"))))</f>
        <v>0 Original</v>
      </c>
      <c r="D1554" s="3" t="s">
        <v>2178</v>
      </c>
      <c r="E1554" s="5">
        <v>1557</v>
      </c>
      <c r="F1554">
        <v>463</v>
      </c>
      <c r="G1554" t="s">
        <v>418</v>
      </c>
      <c r="H1554" s="7">
        <v>6.99</v>
      </c>
      <c r="I1554" s="5">
        <v>1</v>
      </c>
      <c r="J1554" s="3" t="s">
        <v>29</v>
      </c>
      <c r="K1554" s="9">
        <v>42483.625740740739</v>
      </c>
    </row>
    <row r="1555" spans="3:11" x14ac:dyDescent="0.25">
      <c r="C1555" t="str">
        <f>IF(COUNTBLANK(E1555:K1555) = 7,"",IF(AND(NOT(ISBLANK(E1555)),COUNTBLANK(E1555:K1555) = 6),"3 Delete",IF(ISBLANK(E1555),"2 Add",IF(SHA1Range(E1555:K1555) = "497be52c61dc8666c4fec734f6ddba8e24b93a55","0 Original","1 Modify"))))</f>
        <v>0 Original</v>
      </c>
      <c r="D1555" s="3" t="s">
        <v>2179</v>
      </c>
      <c r="E1555" s="5">
        <v>1558</v>
      </c>
      <c r="F1555">
        <v>463</v>
      </c>
      <c r="G1555" t="s">
        <v>30</v>
      </c>
      <c r="H1555" s="7">
        <v>9.99</v>
      </c>
      <c r="I1555" s="5">
        <v>2</v>
      </c>
      <c r="J1555" s="3" t="s">
        <v>29</v>
      </c>
      <c r="K1555" s="9">
        <v>42483.625740740739</v>
      </c>
    </row>
    <row r="1556" spans="3:11" x14ac:dyDescent="0.25">
      <c r="C1556" t="str">
        <f>IF(COUNTBLANK(E1556:K1556) = 7,"",IF(AND(NOT(ISBLANK(E1556)),COUNTBLANK(E1556:K1556) = 6),"3 Delete",IF(ISBLANK(E1556),"2 Add",IF(SHA1Range(E1556:K1556) = "f1f5e843eb18119150d4f851bec7c41066465f79","0 Original","1 Modify"))))</f>
        <v>0 Original</v>
      </c>
      <c r="D1556" s="3" t="s">
        <v>2180</v>
      </c>
      <c r="E1556" s="5">
        <v>1559</v>
      </c>
      <c r="F1556">
        <v>463</v>
      </c>
      <c r="G1556" t="s">
        <v>391</v>
      </c>
      <c r="H1556" s="7">
        <v>7.99</v>
      </c>
      <c r="I1556" s="5">
        <v>1</v>
      </c>
      <c r="J1556" s="3" t="s">
        <v>29</v>
      </c>
      <c r="K1556" s="9">
        <v>42483.625740740739</v>
      </c>
    </row>
    <row r="1557" spans="3:11" x14ac:dyDescent="0.25">
      <c r="C1557" t="str">
        <f>IF(COUNTBLANK(E1557:K1557) = 7,"",IF(AND(NOT(ISBLANK(E1557)),COUNTBLANK(E1557:K1557) = 6),"3 Delete",IF(ISBLANK(E1557),"2 Add",IF(SHA1Range(E1557:K1557) = "b03291b537b951e201fea2f86cf39588fe3c05ad","0 Original","1 Modify"))))</f>
        <v>0 Original</v>
      </c>
      <c r="D1557" s="3" t="s">
        <v>2181</v>
      </c>
      <c r="E1557" s="5">
        <v>1560</v>
      </c>
      <c r="F1557">
        <v>464</v>
      </c>
      <c r="G1557" t="s">
        <v>425</v>
      </c>
      <c r="H1557" s="7">
        <v>6.99</v>
      </c>
      <c r="I1557" s="5">
        <v>1</v>
      </c>
      <c r="J1557" s="3" t="s">
        <v>29</v>
      </c>
      <c r="K1557" s="9">
        <v>42483.625740740739</v>
      </c>
    </row>
    <row r="1558" spans="3:11" x14ac:dyDescent="0.25">
      <c r="C1558" t="str">
        <f>IF(COUNTBLANK(E1558:K1558) = 7,"",IF(AND(NOT(ISBLANK(E1558)),COUNTBLANK(E1558:K1558) = 6),"3 Delete",IF(ISBLANK(E1558),"2 Add",IF(SHA1Range(E1558:K1558) = "85c8162ab5c518ad323810de537aa3879d9f7537","0 Original","1 Modify"))))</f>
        <v>0 Original</v>
      </c>
      <c r="D1558" s="3" t="s">
        <v>2182</v>
      </c>
      <c r="E1558" s="5">
        <v>1561</v>
      </c>
      <c r="F1558">
        <v>464</v>
      </c>
      <c r="G1558" t="s">
        <v>398</v>
      </c>
      <c r="H1558" s="7">
        <v>4.99</v>
      </c>
      <c r="I1558" s="5">
        <v>1</v>
      </c>
      <c r="J1558" s="3" t="s">
        <v>29</v>
      </c>
      <c r="K1558" s="9">
        <v>42483.625740740739</v>
      </c>
    </row>
    <row r="1559" spans="3:11" x14ac:dyDescent="0.25">
      <c r="C1559" t="str">
        <f>IF(COUNTBLANK(E1559:K1559) = 7,"",IF(AND(NOT(ISBLANK(E1559)),COUNTBLANK(E1559:K1559) = 6),"3 Delete",IF(ISBLANK(E1559),"2 Add",IF(SHA1Range(E1559:K1559) = "91a14261a3726f47a194e17377c6a3808f7ecb2a","0 Original","1 Modify"))))</f>
        <v>0 Original</v>
      </c>
      <c r="D1559" s="3" t="s">
        <v>2183</v>
      </c>
      <c r="E1559" s="5">
        <v>1562</v>
      </c>
      <c r="F1559">
        <v>464</v>
      </c>
      <c r="G1559" t="s">
        <v>602</v>
      </c>
      <c r="H1559" s="7">
        <v>7.99</v>
      </c>
      <c r="I1559" s="5">
        <v>1</v>
      </c>
      <c r="J1559" s="3" t="s">
        <v>29</v>
      </c>
      <c r="K1559" s="9">
        <v>42483.625740740739</v>
      </c>
    </row>
    <row r="1560" spans="3:11" x14ac:dyDescent="0.25">
      <c r="C1560" t="str">
        <f>IF(COUNTBLANK(E1560:K1560) = 7,"",IF(AND(NOT(ISBLANK(E1560)),COUNTBLANK(E1560:K1560) = 6),"3 Delete",IF(ISBLANK(E1560),"2 Add",IF(SHA1Range(E1560:K1560) = "4ab4617da2255d307271910af96043a5217a8240","0 Original","1 Modify"))))</f>
        <v>0 Original</v>
      </c>
      <c r="D1560" s="3" t="s">
        <v>2184</v>
      </c>
      <c r="E1560" s="5">
        <v>1563</v>
      </c>
      <c r="F1560">
        <v>464</v>
      </c>
      <c r="G1560" t="s">
        <v>425</v>
      </c>
      <c r="H1560" s="7">
        <v>6.99</v>
      </c>
      <c r="I1560" s="5">
        <v>1</v>
      </c>
      <c r="J1560" s="3" t="s">
        <v>29</v>
      </c>
      <c r="K1560" s="9">
        <v>42483.625740740739</v>
      </c>
    </row>
    <row r="1561" spans="3:11" x14ac:dyDescent="0.25">
      <c r="C1561" t="str">
        <f>IF(COUNTBLANK(E1561:K1561) = 7,"",IF(AND(NOT(ISBLANK(E1561)),COUNTBLANK(E1561:K1561) = 6),"3 Delete",IF(ISBLANK(E1561),"2 Add",IF(SHA1Range(E1561:K1561) = "1be43ba58f9711d262336198c41b939112622352","0 Original","1 Modify"))))</f>
        <v>0 Original</v>
      </c>
      <c r="D1561" s="3" t="s">
        <v>2185</v>
      </c>
      <c r="E1561" s="5">
        <v>1564</v>
      </c>
      <c r="F1561">
        <v>464</v>
      </c>
      <c r="G1561" t="s">
        <v>37</v>
      </c>
      <c r="H1561" s="7">
        <v>6.99</v>
      </c>
      <c r="I1561" s="5">
        <v>1</v>
      </c>
      <c r="J1561" s="3" t="s">
        <v>29</v>
      </c>
      <c r="K1561" s="9">
        <v>42483.625740740739</v>
      </c>
    </row>
    <row r="1562" spans="3:11" x14ac:dyDescent="0.25">
      <c r="C1562" t="str">
        <f>IF(COUNTBLANK(E1562:K1562) = 7,"",IF(AND(NOT(ISBLANK(E1562)),COUNTBLANK(E1562:K1562) = 6),"3 Delete",IF(ISBLANK(E1562),"2 Add",IF(SHA1Range(E1562:K1562) = "7b56747312bf8c60d83cf42c0e3f468e40688bcf","0 Original","1 Modify"))))</f>
        <v>0 Original</v>
      </c>
      <c r="D1562" s="3" t="s">
        <v>2186</v>
      </c>
      <c r="E1562" s="5">
        <v>1565</v>
      </c>
      <c r="F1562">
        <v>465</v>
      </c>
      <c r="G1562" t="s">
        <v>304</v>
      </c>
      <c r="H1562" s="7">
        <v>8.99</v>
      </c>
      <c r="I1562" s="5">
        <v>2</v>
      </c>
      <c r="J1562" s="3" t="s">
        <v>29</v>
      </c>
      <c r="K1562" s="9">
        <v>42483.625740740739</v>
      </c>
    </row>
    <row r="1563" spans="3:11" x14ac:dyDescent="0.25">
      <c r="C1563" t="str">
        <f>IF(COUNTBLANK(E1563:K1563) = 7,"",IF(AND(NOT(ISBLANK(E1563)),COUNTBLANK(E1563:K1563) = 6),"3 Delete",IF(ISBLANK(E1563),"2 Add",IF(SHA1Range(E1563:K1563) = "7a1687a6423c28db68448964a83db5fe2aa0e12e","0 Original","1 Modify"))))</f>
        <v>0 Original</v>
      </c>
      <c r="D1563" s="3" t="s">
        <v>2187</v>
      </c>
      <c r="E1563" s="5">
        <v>1566</v>
      </c>
      <c r="F1563">
        <v>465</v>
      </c>
      <c r="G1563" t="s">
        <v>152</v>
      </c>
      <c r="H1563" s="7">
        <v>5.99</v>
      </c>
      <c r="I1563" s="5">
        <v>2</v>
      </c>
      <c r="J1563" s="3" t="s">
        <v>29</v>
      </c>
      <c r="K1563" s="9">
        <v>42483.625740740739</v>
      </c>
    </row>
    <row r="1564" spans="3:11" x14ac:dyDescent="0.25">
      <c r="C1564" t="str">
        <f>IF(COUNTBLANK(E1564:K1564) = 7,"",IF(AND(NOT(ISBLANK(E1564)),COUNTBLANK(E1564:K1564) = 6),"3 Delete",IF(ISBLANK(E1564),"2 Add",IF(SHA1Range(E1564:K1564) = "6d5d9b788150de567692db6c10c1aaa3c423acf1","0 Original","1 Modify"))))</f>
        <v>0 Original</v>
      </c>
      <c r="D1564" s="3" t="s">
        <v>2188</v>
      </c>
      <c r="E1564" s="5">
        <v>1567</v>
      </c>
      <c r="F1564">
        <v>466</v>
      </c>
      <c r="G1564" t="s">
        <v>602</v>
      </c>
      <c r="H1564" s="7">
        <v>7.99</v>
      </c>
      <c r="I1564" s="5">
        <v>1</v>
      </c>
      <c r="J1564" s="3" t="s">
        <v>29</v>
      </c>
      <c r="K1564" s="9">
        <v>42483.625740740739</v>
      </c>
    </row>
    <row r="1565" spans="3:11" x14ac:dyDescent="0.25">
      <c r="C1565" t="str">
        <f>IF(COUNTBLANK(E1565:K1565) = 7,"",IF(AND(NOT(ISBLANK(E1565)),COUNTBLANK(E1565:K1565) = 6),"3 Delete",IF(ISBLANK(E1565),"2 Add",IF(SHA1Range(E1565:K1565) = "b14a922de0cc36a9dff14f1a95cd1a318749d788","0 Original","1 Modify"))))</f>
        <v>0 Original</v>
      </c>
      <c r="D1565" s="3" t="s">
        <v>2189</v>
      </c>
      <c r="E1565" s="5">
        <v>1568</v>
      </c>
      <c r="F1565">
        <v>466</v>
      </c>
      <c r="G1565" t="s">
        <v>602</v>
      </c>
      <c r="H1565" s="7">
        <v>7.99</v>
      </c>
      <c r="I1565" s="5">
        <v>2</v>
      </c>
      <c r="J1565" s="3" t="s">
        <v>29</v>
      </c>
      <c r="K1565" s="9">
        <v>42483.625740740739</v>
      </c>
    </row>
    <row r="1566" spans="3:11" x14ac:dyDescent="0.25">
      <c r="C1566" t="str">
        <f>IF(COUNTBLANK(E1566:K1566) = 7,"",IF(AND(NOT(ISBLANK(E1566)),COUNTBLANK(E1566:K1566) = 6),"3 Delete",IF(ISBLANK(E1566),"2 Add",IF(SHA1Range(E1566:K1566) = "d13098db9127230e62c10449c54ea21df544cf49","0 Original","1 Modify"))))</f>
        <v>0 Original</v>
      </c>
      <c r="D1566" s="3" t="s">
        <v>2190</v>
      </c>
      <c r="E1566" s="5">
        <v>1569</v>
      </c>
      <c r="F1566">
        <v>467</v>
      </c>
      <c r="G1566" t="s">
        <v>217</v>
      </c>
      <c r="H1566" s="7">
        <v>9.99</v>
      </c>
      <c r="I1566" s="5">
        <v>1</v>
      </c>
      <c r="J1566" s="3" t="s">
        <v>29</v>
      </c>
      <c r="K1566" s="9">
        <v>42483.625740740739</v>
      </c>
    </row>
    <row r="1567" spans="3:11" x14ac:dyDescent="0.25">
      <c r="C1567" t="str">
        <f>IF(COUNTBLANK(E1567:K1567) = 7,"",IF(AND(NOT(ISBLANK(E1567)),COUNTBLANK(E1567:K1567) = 6),"3 Delete",IF(ISBLANK(E1567),"2 Add",IF(SHA1Range(E1567:K1567) = "9f0f8dc05652edb29d4565526c3e0793e7ef71c6","0 Original","1 Modify"))))</f>
        <v>0 Original</v>
      </c>
      <c r="D1567" s="3" t="s">
        <v>2191</v>
      </c>
      <c r="E1567" s="5">
        <v>1570</v>
      </c>
      <c r="F1567">
        <v>468</v>
      </c>
      <c r="G1567" t="s">
        <v>250</v>
      </c>
      <c r="H1567" s="7">
        <v>8.99</v>
      </c>
      <c r="I1567" s="5">
        <v>1</v>
      </c>
      <c r="J1567" s="3" t="s">
        <v>29</v>
      </c>
      <c r="K1567" s="9">
        <v>42483.625740740739</v>
      </c>
    </row>
    <row r="1568" spans="3:11" x14ac:dyDescent="0.25">
      <c r="C1568" t="str">
        <f>IF(COUNTBLANK(E1568:K1568) = 7,"",IF(AND(NOT(ISBLANK(E1568)),COUNTBLANK(E1568:K1568) = 6),"3 Delete",IF(ISBLANK(E1568),"2 Add",IF(SHA1Range(E1568:K1568) = "0101690ae5863fad303e130c666e83e945d82ab9","0 Original","1 Modify"))))</f>
        <v>0 Original</v>
      </c>
      <c r="D1568" s="3" t="s">
        <v>2192</v>
      </c>
      <c r="E1568" s="5">
        <v>1571</v>
      </c>
      <c r="F1568">
        <v>468</v>
      </c>
      <c r="G1568" t="s">
        <v>421</v>
      </c>
      <c r="H1568" s="7">
        <v>6.99</v>
      </c>
      <c r="I1568" s="5">
        <v>1</v>
      </c>
      <c r="J1568" s="3" t="s">
        <v>29</v>
      </c>
      <c r="K1568" s="9">
        <v>42483.625740740739</v>
      </c>
    </row>
    <row r="1569" spans="3:11" x14ac:dyDescent="0.25">
      <c r="C1569" t="str">
        <f>IF(COUNTBLANK(E1569:K1569) = 7,"",IF(AND(NOT(ISBLANK(E1569)),COUNTBLANK(E1569:K1569) = 6),"3 Delete",IF(ISBLANK(E1569),"2 Add",IF(SHA1Range(E1569:K1569) = "ab346b150635131424711e5a6298cb66df4fbd69","0 Original","1 Modify"))))</f>
        <v>0 Original</v>
      </c>
      <c r="D1569" s="3" t="s">
        <v>2193</v>
      </c>
      <c r="E1569" s="5">
        <v>1572</v>
      </c>
      <c r="F1569">
        <v>468</v>
      </c>
      <c r="G1569" t="s">
        <v>130</v>
      </c>
      <c r="H1569" s="7">
        <v>8.99</v>
      </c>
      <c r="I1569" s="5">
        <v>2</v>
      </c>
      <c r="J1569" s="3" t="s">
        <v>29</v>
      </c>
      <c r="K1569" s="9">
        <v>42483.625740740739</v>
      </c>
    </row>
    <row r="1570" spans="3:11" x14ac:dyDescent="0.25">
      <c r="C1570" t="str">
        <f>IF(COUNTBLANK(E1570:K1570) = 7,"",IF(AND(NOT(ISBLANK(E1570)),COUNTBLANK(E1570:K1570) = 6),"3 Delete",IF(ISBLANK(E1570),"2 Add",IF(SHA1Range(E1570:K1570) = "27bedfba3d7039af54e39a5a1be0a8f6f2f6be65","0 Original","1 Modify"))))</f>
        <v>0 Original</v>
      </c>
      <c r="D1570" s="3" t="s">
        <v>2194</v>
      </c>
      <c r="E1570" s="5">
        <v>1573</v>
      </c>
      <c r="F1570">
        <v>468</v>
      </c>
      <c r="G1570" t="s">
        <v>602</v>
      </c>
      <c r="H1570" s="7">
        <v>7.99</v>
      </c>
      <c r="I1570" s="5">
        <v>2</v>
      </c>
      <c r="J1570" s="3" t="s">
        <v>29</v>
      </c>
      <c r="K1570" s="9">
        <v>42483.625740740739</v>
      </c>
    </row>
    <row r="1571" spans="3:11" x14ac:dyDescent="0.25">
      <c r="C1571" t="str">
        <f>IF(COUNTBLANK(E1571:K1571) = 7,"",IF(AND(NOT(ISBLANK(E1571)),COUNTBLANK(E1571:K1571) = 6),"3 Delete",IF(ISBLANK(E1571),"2 Add",IF(SHA1Range(E1571:K1571) = "f9a146c0e2ce8e81df576f9cc8879d037a8e5f1b","0 Original","1 Modify"))))</f>
        <v>0 Original</v>
      </c>
      <c r="D1571" s="3" t="s">
        <v>2195</v>
      </c>
      <c r="E1571" s="5">
        <v>1574</v>
      </c>
      <c r="F1571">
        <v>468</v>
      </c>
      <c r="G1571" t="s">
        <v>407</v>
      </c>
      <c r="H1571" s="7">
        <v>9.99</v>
      </c>
      <c r="I1571" s="5">
        <v>2</v>
      </c>
      <c r="J1571" s="3" t="s">
        <v>29</v>
      </c>
      <c r="K1571" s="9">
        <v>42483.625740740739</v>
      </c>
    </row>
    <row r="1572" spans="3:11" x14ac:dyDescent="0.25">
      <c r="C1572" t="str">
        <f>IF(COUNTBLANK(E1572:K1572) = 7,"",IF(AND(NOT(ISBLANK(E1572)),COUNTBLANK(E1572:K1572) = 6),"3 Delete",IF(ISBLANK(E1572),"2 Add",IF(SHA1Range(E1572:K1572) = "1aa9be53dbbe5f83e289fd16759744087a39dfdd","0 Original","1 Modify"))))</f>
        <v>0 Original</v>
      </c>
      <c r="D1572" s="3" t="s">
        <v>2196</v>
      </c>
      <c r="E1572" s="5">
        <v>1575</v>
      </c>
      <c r="F1572">
        <v>468</v>
      </c>
      <c r="G1572" t="s">
        <v>152</v>
      </c>
      <c r="H1572" s="7">
        <v>5.99</v>
      </c>
      <c r="I1572" s="5">
        <v>1</v>
      </c>
      <c r="J1572" s="3" t="s">
        <v>29</v>
      </c>
      <c r="K1572" s="9">
        <v>42483.625740740739</v>
      </c>
    </row>
    <row r="1573" spans="3:11" x14ac:dyDescent="0.25">
      <c r="C1573" t="str">
        <f>IF(COUNTBLANK(E1573:K1573) = 7,"",IF(AND(NOT(ISBLANK(E1573)),COUNTBLANK(E1573:K1573) = 6),"3 Delete",IF(ISBLANK(E1573),"2 Add",IF(SHA1Range(E1573:K1573) = "1ce504f7c9345012ea952020a76d55be617cfb11","0 Original","1 Modify"))))</f>
        <v>0 Original</v>
      </c>
      <c r="D1573" s="3" t="s">
        <v>2197</v>
      </c>
      <c r="E1573" s="5">
        <v>1576</v>
      </c>
      <c r="F1573">
        <v>469</v>
      </c>
      <c r="G1573" t="s">
        <v>230</v>
      </c>
      <c r="H1573" s="7">
        <v>5.99</v>
      </c>
      <c r="I1573" s="5">
        <v>2</v>
      </c>
      <c r="J1573" s="3" t="s">
        <v>29</v>
      </c>
      <c r="K1573" s="9">
        <v>42483.625740740739</v>
      </c>
    </row>
    <row r="1574" spans="3:11" x14ac:dyDescent="0.25">
      <c r="C1574" t="str">
        <f>IF(COUNTBLANK(E1574:K1574) = 7,"",IF(AND(NOT(ISBLANK(E1574)),COUNTBLANK(E1574:K1574) = 6),"3 Delete",IF(ISBLANK(E1574),"2 Add",IF(SHA1Range(E1574:K1574) = "c31f529092acf470a63a3021d6b777c573298641","0 Original","1 Modify"))))</f>
        <v>0 Original</v>
      </c>
      <c r="D1574" s="3" t="s">
        <v>2198</v>
      </c>
      <c r="E1574" s="5">
        <v>1577</v>
      </c>
      <c r="F1574">
        <v>469</v>
      </c>
      <c r="G1574" t="s">
        <v>136</v>
      </c>
      <c r="H1574" s="7">
        <v>8.99</v>
      </c>
      <c r="I1574" s="5">
        <v>1</v>
      </c>
      <c r="J1574" s="3" t="s">
        <v>29</v>
      </c>
      <c r="K1574" s="9">
        <v>42483.625740740739</v>
      </c>
    </row>
    <row r="1575" spans="3:11" x14ac:dyDescent="0.25">
      <c r="C1575" t="str">
        <f>IF(COUNTBLANK(E1575:K1575) = 7,"",IF(AND(NOT(ISBLANK(E1575)),COUNTBLANK(E1575:K1575) = 6),"3 Delete",IF(ISBLANK(E1575),"2 Add",IF(SHA1Range(E1575:K1575) = "4da67193a6c183afb0d7aba57d94783931fdf98d","0 Original","1 Modify"))))</f>
        <v>0 Original</v>
      </c>
      <c r="D1575" s="3" t="s">
        <v>2199</v>
      </c>
      <c r="E1575" s="5">
        <v>1578</v>
      </c>
      <c r="F1575">
        <v>469</v>
      </c>
      <c r="G1575" t="s">
        <v>126</v>
      </c>
      <c r="H1575" s="7">
        <v>6.99</v>
      </c>
      <c r="I1575" s="5">
        <v>1</v>
      </c>
      <c r="J1575" s="3" t="s">
        <v>29</v>
      </c>
      <c r="K1575" s="9">
        <v>42483.625740740739</v>
      </c>
    </row>
    <row r="1576" spans="3:11" x14ac:dyDescent="0.25">
      <c r="C1576" t="str">
        <f>IF(COUNTBLANK(E1576:K1576) = 7,"",IF(AND(NOT(ISBLANK(E1576)),COUNTBLANK(E1576:K1576) = 6),"3 Delete",IF(ISBLANK(E1576),"2 Add",IF(SHA1Range(E1576:K1576) = "2da6b2b9c1be77c447eb6c92ddbc0ae4736d6690","0 Original","1 Modify"))))</f>
        <v>0 Original</v>
      </c>
      <c r="D1576" s="3" t="s">
        <v>2200</v>
      </c>
      <c r="E1576" s="5">
        <v>1579</v>
      </c>
      <c r="F1576">
        <v>470</v>
      </c>
      <c r="G1576" t="s">
        <v>364</v>
      </c>
      <c r="H1576" s="7">
        <v>9.99</v>
      </c>
      <c r="I1576" s="5">
        <v>2</v>
      </c>
      <c r="J1576" s="3" t="s">
        <v>29</v>
      </c>
      <c r="K1576" s="9">
        <v>42483.625740740739</v>
      </c>
    </row>
    <row r="1577" spans="3:11" x14ac:dyDescent="0.25">
      <c r="C1577" t="str">
        <f>IF(COUNTBLANK(E1577:K1577) = 7,"",IF(AND(NOT(ISBLANK(E1577)),COUNTBLANK(E1577:K1577) = 6),"3 Delete",IF(ISBLANK(E1577),"2 Add",IF(SHA1Range(E1577:K1577) = "4dd34ec1db0ed2cc7cc64c1875d0fda47cee354a","0 Original","1 Modify"))))</f>
        <v>0 Original</v>
      </c>
      <c r="D1577" s="3" t="s">
        <v>2201</v>
      </c>
      <c r="E1577" s="5">
        <v>1580</v>
      </c>
      <c r="F1577">
        <v>470</v>
      </c>
      <c r="G1577" t="s">
        <v>573</v>
      </c>
      <c r="H1577" s="7">
        <v>9.99</v>
      </c>
      <c r="I1577" s="5">
        <v>1</v>
      </c>
      <c r="J1577" s="3" t="s">
        <v>29</v>
      </c>
      <c r="K1577" s="9">
        <v>42483.625740740739</v>
      </c>
    </row>
    <row r="1578" spans="3:11" x14ac:dyDescent="0.25">
      <c r="C1578" t="str">
        <f>IF(COUNTBLANK(E1578:K1578) = 7,"",IF(AND(NOT(ISBLANK(E1578)),COUNTBLANK(E1578:K1578) = 6),"3 Delete",IF(ISBLANK(E1578),"2 Add",IF(SHA1Range(E1578:K1578) = "46d06acb113a613bdeeb51e7d0a590642e04ce81","0 Original","1 Modify"))))</f>
        <v>0 Original</v>
      </c>
      <c r="D1578" s="3" t="s">
        <v>2202</v>
      </c>
      <c r="E1578" s="5">
        <v>1581</v>
      </c>
      <c r="F1578">
        <v>471</v>
      </c>
      <c r="G1578" t="s">
        <v>398</v>
      </c>
      <c r="H1578" s="7">
        <v>4.99</v>
      </c>
      <c r="I1578" s="5">
        <v>1</v>
      </c>
      <c r="J1578" s="3" t="s">
        <v>29</v>
      </c>
      <c r="K1578" s="9">
        <v>42483.625740740739</v>
      </c>
    </row>
    <row r="1579" spans="3:11" x14ac:dyDescent="0.25">
      <c r="C1579" t="str">
        <f>IF(COUNTBLANK(E1579:K1579) = 7,"",IF(AND(NOT(ISBLANK(E1579)),COUNTBLANK(E1579:K1579) = 6),"3 Delete",IF(ISBLANK(E1579),"2 Add",IF(SHA1Range(E1579:K1579) = "55faa588845fa9e2f605f6c633a2028076d8e8da","0 Original","1 Modify"))))</f>
        <v>0 Original</v>
      </c>
      <c r="D1579" s="3" t="s">
        <v>2203</v>
      </c>
      <c r="E1579" s="5">
        <v>1582</v>
      </c>
      <c r="F1579">
        <v>471</v>
      </c>
      <c r="G1579" t="s">
        <v>398</v>
      </c>
      <c r="H1579" s="7">
        <v>4.99</v>
      </c>
      <c r="I1579" s="5">
        <v>2</v>
      </c>
      <c r="J1579" s="3" t="s">
        <v>29</v>
      </c>
      <c r="K1579" s="9">
        <v>42483.625740740739</v>
      </c>
    </row>
    <row r="1580" spans="3:11" x14ac:dyDescent="0.25">
      <c r="C1580" t="str">
        <f>IF(COUNTBLANK(E1580:K1580) = 7,"",IF(AND(NOT(ISBLANK(E1580)),COUNTBLANK(E1580:K1580) = 6),"3 Delete",IF(ISBLANK(E1580),"2 Add",IF(SHA1Range(E1580:K1580) = "21a0ed45a8d6112f84f12629146ffd5a41616c30","0 Original","1 Modify"))))</f>
        <v>0 Original</v>
      </c>
      <c r="D1580" s="3" t="s">
        <v>2204</v>
      </c>
      <c r="E1580" s="5">
        <v>1583</v>
      </c>
      <c r="F1580">
        <v>472</v>
      </c>
      <c r="G1580" t="s">
        <v>217</v>
      </c>
      <c r="H1580" s="7">
        <v>9.99</v>
      </c>
      <c r="I1580" s="5">
        <v>1</v>
      </c>
      <c r="J1580" s="3" t="s">
        <v>29</v>
      </c>
      <c r="K1580" s="9">
        <v>42483.625740740739</v>
      </c>
    </row>
    <row r="1581" spans="3:11" x14ac:dyDescent="0.25">
      <c r="C1581" t="str">
        <f>IF(COUNTBLANK(E1581:K1581) = 7,"",IF(AND(NOT(ISBLANK(E1581)),COUNTBLANK(E1581:K1581) = 6),"3 Delete",IF(ISBLANK(E1581),"2 Add",IF(SHA1Range(E1581:K1581) = "f8d4cb66221ff1b99ea625075799bb28e38f2f68","0 Original","1 Modify"))))</f>
        <v>0 Original</v>
      </c>
      <c r="D1581" s="3" t="s">
        <v>2205</v>
      </c>
      <c r="E1581" s="5">
        <v>1584</v>
      </c>
      <c r="F1581">
        <v>472</v>
      </c>
      <c r="G1581" t="s">
        <v>456</v>
      </c>
      <c r="H1581" s="7">
        <v>9.99</v>
      </c>
      <c r="I1581" s="5">
        <v>3</v>
      </c>
      <c r="J1581" s="3" t="s">
        <v>29</v>
      </c>
      <c r="K1581" s="9">
        <v>42483.625740740739</v>
      </c>
    </row>
    <row r="1582" spans="3:11" x14ac:dyDescent="0.25">
      <c r="C1582" t="str">
        <f>IF(COUNTBLANK(E1582:K1582) = 7,"",IF(AND(NOT(ISBLANK(E1582)),COUNTBLANK(E1582:K1582) = 6),"3 Delete",IF(ISBLANK(E1582),"2 Add",IF(SHA1Range(E1582:K1582) = "7390200c878e5c6bb8967ca40e69a2cb4452b68e","0 Original","1 Modify"))))</f>
        <v>0 Original</v>
      </c>
      <c r="D1582" s="3" t="s">
        <v>2206</v>
      </c>
      <c r="E1582" s="5">
        <v>1585</v>
      </c>
      <c r="F1582">
        <v>473</v>
      </c>
      <c r="G1582" t="s">
        <v>395</v>
      </c>
      <c r="H1582" s="7">
        <v>8.99</v>
      </c>
      <c r="I1582" s="5">
        <v>1</v>
      </c>
      <c r="J1582" s="3" t="s">
        <v>29</v>
      </c>
      <c r="K1582" s="9">
        <v>42483.625740740739</v>
      </c>
    </row>
    <row r="1583" spans="3:11" x14ac:dyDescent="0.25">
      <c r="C1583" t="str">
        <f>IF(COUNTBLANK(E1583:K1583) = 7,"",IF(AND(NOT(ISBLANK(E1583)),COUNTBLANK(E1583:K1583) = 6),"3 Delete",IF(ISBLANK(E1583),"2 Add",IF(SHA1Range(E1583:K1583) = "2670c52bd997aa92de296a9e854f63b803738c65","0 Original","1 Modify"))))</f>
        <v>0 Original</v>
      </c>
      <c r="D1583" s="3" t="s">
        <v>2207</v>
      </c>
      <c r="E1583" s="5">
        <v>1586</v>
      </c>
      <c r="F1583">
        <v>473</v>
      </c>
      <c r="G1583" t="s">
        <v>133</v>
      </c>
      <c r="H1583" s="7">
        <v>7.99</v>
      </c>
      <c r="I1583" s="5">
        <v>1</v>
      </c>
      <c r="J1583" s="3" t="s">
        <v>29</v>
      </c>
      <c r="K1583" s="9">
        <v>42483.625740740739</v>
      </c>
    </row>
    <row r="1584" spans="3:11" x14ac:dyDescent="0.25">
      <c r="C1584" t="str">
        <f>IF(COUNTBLANK(E1584:K1584) = 7,"",IF(AND(NOT(ISBLANK(E1584)),COUNTBLANK(E1584:K1584) = 6),"3 Delete",IF(ISBLANK(E1584),"2 Add",IF(SHA1Range(E1584:K1584) = "d0d79f27a337e3f31edf44420cda91048be2a100","0 Original","1 Modify"))))</f>
        <v>0 Original</v>
      </c>
      <c r="D1584" s="3" t="s">
        <v>2208</v>
      </c>
      <c r="E1584" s="5">
        <v>1587</v>
      </c>
      <c r="F1584">
        <v>473</v>
      </c>
      <c r="G1584" t="s">
        <v>217</v>
      </c>
      <c r="H1584" s="7">
        <v>9.99</v>
      </c>
      <c r="I1584" s="5">
        <v>1</v>
      </c>
      <c r="J1584" s="3" t="s">
        <v>29</v>
      </c>
      <c r="K1584" s="9">
        <v>42483.625740740739</v>
      </c>
    </row>
    <row r="1585" spans="3:11" x14ac:dyDescent="0.25">
      <c r="C1585" t="str">
        <f>IF(COUNTBLANK(E1585:K1585) = 7,"",IF(AND(NOT(ISBLANK(E1585)),COUNTBLANK(E1585:K1585) = 6),"3 Delete",IF(ISBLANK(E1585),"2 Add",IF(SHA1Range(E1585:K1585) = "3903beea6415e4fd7867ea72e7c988f6202cc91c","0 Original","1 Modify"))))</f>
        <v>0 Original</v>
      </c>
      <c r="D1585" s="3" t="s">
        <v>2209</v>
      </c>
      <c r="E1585" s="5">
        <v>1588</v>
      </c>
      <c r="F1585">
        <v>473</v>
      </c>
      <c r="G1585" t="s">
        <v>230</v>
      </c>
      <c r="H1585" s="7">
        <v>5.99</v>
      </c>
      <c r="I1585" s="5">
        <v>1</v>
      </c>
      <c r="J1585" s="3" t="s">
        <v>29</v>
      </c>
      <c r="K1585" s="9">
        <v>42483.625740740739</v>
      </c>
    </row>
    <row r="1586" spans="3:11" x14ac:dyDescent="0.25">
      <c r="C1586" t="str">
        <f>IF(COUNTBLANK(E1586:K1586) = 7,"",IF(AND(NOT(ISBLANK(E1586)),COUNTBLANK(E1586:K1586) = 6),"3 Delete",IF(ISBLANK(E1586),"2 Add",IF(SHA1Range(E1586:K1586) = "3b6426e4dfd4e2818181e23a97ecae5645688cad","0 Original","1 Modify"))))</f>
        <v>0 Original</v>
      </c>
      <c r="D1586" s="3" t="s">
        <v>2210</v>
      </c>
      <c r="E1586" s="5">
        <v>1589</v>
      </c>
      <c r="F1586">
        <v>473</v>
      </c>
      <c r="G1586" t="s">
        <v>573</v>
      </c>
      <c r="H1586" s="7">
        <v>9.99</v>
      </c>
      <c r="I1586" s="5">
        <v>1</v>
      </c>
      <c r="J1586" s="3" t="s">
        <v>29</v>
      </c>
      <c r="K1586" s="9">
        <v>42483.625740740739</v>
      </c>
    </row>
    <row r="1587" spans="3:11" x14ac:dyDescent="0.25">
      <c r="C1587" t="str">
        <f>IF(COUNTBLANK(E1587:K1587) = 7,"",IF(AND(NOT(ISBLANK(E1587)),COUNTBLANK(E1587:K1587) = 6),"3 Delete",IF(ISBLANK(E1587),"2 Add",IF(SHA1Range(E1587:K1587) = "37467b44c880dcd646420ddeeb279ae479764039","0 Original","1 Modify"))))</f>
        <v>0 Original</v>
      </c>
      <c r="D1587" s="3" t="s">
        <v>2211</v>
      </c>
      <c r="E1587" s="5">
        <v>1590</v>
      </c>
      <c r="F1587">
        <v>473</v>
      </c>
      <c r="G1587" t="s">
        <v>546</v>
      </c>
      <c r="H1587" s="7">
        <v>9.99</v>
      </c>
      <c r="I1587" s="5">
        <v>2</v>
      </c>
      <c r="J1587" s="3" t="s">
        <v>29</v>
      </c>
      <c r="K1587" s="9">
        <v>42483.625740740739</v>
      </c>
    </row>
    <row r="1588" spans="3:11" x14ac:dyDescent="0.25">
      <c r="C1588" t="str">
        <f>IF(COUNTBLANK(E1588:K1588) = 7,"",IF(AND(NOT(ISBLANK(E1588)),COUNTBLANK(E1588:K1588) = 6),"3 Delete",IF(ISBLANK(E1588),"2 Add",IF(SHA1Range(E1588:K1588) = "8d031cc895ca2f8f857a98481c0320a85d1fcd0f","0 Original","1 Modify"))))</f>
        <v>0 Original</v>
      </c>
      <c r="D1588" s="3" t="s">
        <v>2212</v>
      </c>
      <c r="E1588" s="5">
        <v>1591</v>
      </c>
      <c r="F1588">
        <v>473</v>
      </c>
      <c r="G1588" t="s">
        <v>230</v>
      </c>
      <c r="H1588" s="7">
        <v>5.99</v>
      </c>
      <c r="I1588" s="5">
        <v>1</v>
      </c>
      <c r="J1588" s="3" t="s">
        <v>29</v>
      </c>
      <c r="K1588" s="9">
        <v>42483.625740740739</v>
      </c>
    </row>
    <row r="1589" spans="3:11" x14ac:dyDescent="0.25">
      <c r="C1589" t="str">
        <f>IF(COUNTBLANK(E1589:K1589) = 7,"",IF(AND(NOT(ISBLANK(E1589)),COUNTBLANK(E1589:K1589) = 6),"3 Delete",IF(ISBLANK(E1589),"2 Add",IF(SHA1Range(E1589:K1589) = "8f370703c3f285791f2803af26bd78dc4d6df4bd","0 Original","1 Modify"))))</f>
        <v>0 Original</v>
      </c>
      <c r="D1589" s="3" t="s">
        <v>2213</v>
      </c>
      <c r="E1589" s="5">
        <v>1592</v>
      </c>
      <c r="F1589">
        <v>474</v>
      </c>
      <c r="G1589" t="s">
        <v>126</v>
      </c>
      <c r="H1589" s="7">
        <v>6.99</v>
      </c>
      <c r="I1589" s="5">
        <v>2</v>
      </c>
      <c r="J1589" s="3" t="s">
        <v>29</v>
      </c>
      <c r="K1589" s="9">
        <v>42483.625740740739</v>
      </c>
    </row>
    <row r="1590" spans="3:11" x14ac:dyDescent="0.25">
      <c r="C1590" t="str">
        <f>IF(COUNTBLANK(E1590:K1590) = 7,"",IF(AND(NOT(ISBLANK(E1590)),COUNTBLANK(E1590:K1590) = 6),"3 Delete",IF(ISBLANK(E1590),"2 Add",IF(SHA1Range(E1590:K1590) = "af8eb0bffd190f00424c1b827261ff81fc2dba7f","0 Original","1 Modify"))))</f>
        <v>0 Original</v>
      </c>
      <c r="D1590" s="3" t="s">
        <v>2214</v>
      </c>
      <c r="E1590" s="5">
        <v>1593</v>
      </c>
      <c r="F1590">
        <v>474</v>
      </c>
      <c r="G1590" t="s">
        <v>573</v>
      </c>
      <c r="H1590" s="7">
        <v>9.99</v>
      </c>
      <c r="I1590" s="5">
        <v>2</v>
      </c>
      <c r="J1590" s="3" t="s">
        <v>29</v>
      </c>
      <c r="K1590" s="9">
        <v>42483.625740740739</v>
      </c>
    </row>
    <row r="1591" spans="3:11" x14ac:dyDescent="0.25">
      <c r="C1591" t="str">
        <f>IF(COUNTBLANK(E1591:K1591) = 7,"",IF(AND(NOT(ISBLANK(E1591)),COUNTBLANK(E1591:K1591) = 6),"3 Delete",IF(ISBLANK(E1591),"2 Add",IF(SHA1Range(E1591:K1591) = "6e8481e2a5d6ceb68a3677434b0eda6c7bfdb375","0 Original","1 Modify"))))</f>
        <v>0 Original</v>
      </c>
      <c r="D1591" s="3" t="s">
        <v>2215</v>
      </c>
      <c r="E1591" s="5">
        <v>1594</v>
      </c>
      <c r="F1591">
        <v>474</v>
      </c>
      <c r="G1591" t="s">
        <v>391</v>
      </c>
      <c r="H1591" s="7">
        <v>7.99</v>
      </c>
      <c r="I1591" s="5">
        <v>2</v>
      </c>
      <c r="J1591" s="3" t="s">
        <v>29</v>
      </c>
      <c r="K1591" s="9">
        <v>42483.625740740739</v>
      </c>
    </row>
    <row r="1592" spans="3:11" x14ac:dyDescent="0.25">
      <c r="C1592" t="str">
        <f>IF(COUNTBLANK(E1592:K1592) = 7,"",IF(AND(NOT(ISBLANK(E1592)),COUNTBLANK(E1592:K1592) = 6),"3 Delete",IF(ISBLANK(E1592),"2 Add",IF(SHA1Range(E1592:K1592) = "4a57229affc7cc9216638c7bbd5c4cf1d393991e","0 Original","1 Modify"))))</f>
        <v>0 Original</v>
      </c>
      <c r="D1592" s="3" t="s">
        <v>2216</v>
      </c>
      <c r="E1592" s="5">
        <v>1595</v>
      </c>
      <c r="F1592">
        <v>474</v>
      </c>
      <c r="G1592" t="s">
        <v>503</v>
      </c>
      <c r="H1592" s="7">
        <v>8.99</v>
      </c>
      <c r="I1592" s="5">
        <v>1</v>
      </c>
      <c r="J1592" s="3" t="s">
        <v>29</v>
      </c>
      <c r="K1592" s="9">
        <v>42483.625740740739</v>
      </c>
    </row>
    <row r="1593" spans="3:11" x14ac:dyDescent="0.25">
      <c r="C1593" t="str">
        <f>IF(COUNTBLANK(E1593:K1593) = 7,"",IF(AND(NOT(ISBLANK(E1593)),COUNTBLANK(E1593:K1593) = 6),"3 Delete",IF(ISBLANK(E1593),"2 Add",IF(SHA1Range(E1593:K1593) = "75d0a5d0555c6d3742b56385e44c2c10276d16cd","0 Original","1 Modify"))))</f>
        <v>0 Original</v>
      </c>
      <c r="D1593" s="3" t="s">
        <v>2217</v>
      </c>
      <c r="E1593" s="5">
        <v>1596</v>
      </c>
      <c r="F1593">
        <v>475</v>
      </c>
      <c r="G1593" t="s">
        <v>398</v>
      </c>
      <c r="H1593" s="7">
        <v>4.99</v>
      </c>
      <c r="I1593" s="5">
        <v>1</v>
      </c>
      <c r="J1593" s="3" t="s">
        <v>29</v>
      </c>
      <c r="K1593" s="9">
        <v>42483.625740740739</v>
      </c>
    </row>
    <row r="1594" spans="3:11" x14ac:dyDescent="0.25">
      <c r="C1594" t="str">
        <f>IF(COUNTBLANK(E1594:K1594) = 7,"",IF(AND(NOT(ISBLANK(E1594)),COUNTBLANK(E1594:K1594) = 6),"3 Delete",IF(ISBLANK(E1594),"2 Add",IF(SHA1Range(E1594:K1594) = "d4d20b05085d939960f5018189eebbf881bfd4ce","0 Original","1 Modify"))))</f>
        <v>0 Original</v>
      </c>
      <c r="D1594" s="3" t="s">
        <v>2218</v>
      </c>
      <c r="E1594" s="5">
        <v>1597</v>
      </c>
      <c r="F1594">
        <v>475</v>
      </c>
      <c r="G1594" t="s">
        <v>273</v>
      </c>
      <c r="H1594" s="7">
        <v>8.99</v>
      </c>
      <c r="I1594" s="5">
        <v>2</v>
      </c>
      <c r="J1594" s="3" t="s">
        <v>29</v>
      </c>
      <c r="K1594" s="9">
        <v>42483.625740740739</v>
      </c>
    </row>
    <row r="1595" spans="3:11" x14ac:dyDescent="0.25">
      <c r="C1595" t="str">
        <f>IF(COUNTBLANK(E1595:K1595) = 7,"",IF(AND(NOT(ISBLANK(E1595)),COUNTBLANK(E1595:K1595) = 6),"3 Delete",IF(ISBLANK(E1595),"2 Add",IF(SHA1Range(E1595:K1595) = "6dfb3c24a571d822659440f1891402630df71949","0 Original","1 Modify"))))</f>
        <v>0 Original</v>
      </c>
      <c r="D1595" s="3" t="s">
        <v>2219</v>
      </c>
      <c r="E1595" s="5">
        <v>1598</v>
      </c>
      <c r="F1595">
        <v>476</v>
      </c>
      <c r="G1595" t="s">
        <v>250</v>
      </c>
      <c r="H1595" s="7">
        <v>8.99</v>
      </c>
      <c r="I1595" s="5">
        <v>1</v>
      </c>
      <c r="J1595" s="3" t="s">
        <v>29</v>
      </c>
      <c r="K1595" s="9">
        <v>42483.625740740739</v>
      </c>
    </row>
    <row r="1596" spans="3:11" x14ac:dyDescent="0.25">
      <c r="C1596" t="str">
        <f>IF(COUNTBLANK(E1596:K1596) = 7,"",IF(AND(NOT(ISBLANK(E1596)),COUNTBLANK(E1596:K1596) = 6),"3 Delete",IF(ISBLANK(E1596),"2 Add",IF(SHA1Range(E1596:K1596) = "5caa16d7ec551452935e75c79ea598d9c752b0bd","0 Original","1 Modify"))))</f>
        <v>0 Original</v>
      </c>
      <c r="D1596" s="3" t="s">
        <v>2220</v>
      </c>
      <c r="E1596" s="5">
        <v>1599</v>
      </c>
      <c r="F1596">
        <v>476</v>
      </c>
      <c r="G1596" t="s">
        <v>425</v>
      </c>
      <c r="H1596" s="7">
        <v>6.99</v>
      </c>
      <c r="I1596" s="5">
        <v>1</v>
      </c>
      <c r="J1596" s="3" t="s">
        <v>29</v>
      </c>
      <c r="K1596" s="9">
        <v>42483.625740740739</v>
      </c>
    </row>
    <row r="1597" spans="3:11" x14ac:dyDescent="0.25">
      <c r="C1597" t="str">
        <f>IF(COUNTBLANK(E1597:K1597) = 7,"",IF(AND(NOT(ISBLANK(E1597)),COUNTBLANK(E1597:K1597) = 6),"3 Delete",IF(ISBLANK(E1597),"2 Add",IF(SHA1Range(E1597:K1597) = "ccb78f75c34f878c83f3be5264ea6df75f00493c","0 Original","1 Modify"))))</f>
        <v>0 Original</v>
      </c>
      <c r="D1597" s="3" t="s">
        <v>2221</v>
      </c>
      <c r="E1597" s="5">
        <v>1600</v>
      </c>
      <c r="F1597">
        <v>476</v>
      </c>
      <c r="G1597" t="s">
        <v>418</v>
      </c>
      <c r="H1597" s="7">
        <v>6.99</v>
      </c>
      <c r="I1597" s="5">
        <v>1</v>
      </c>
      <c r="J1597" s="3" t="s">
        <v>29</v>
      </c>
      <c r="K1597" s="9">
        <v>42483.625740740739</v>
      </c>
    </row>
    <row r="1598" spans="3:11" x14ac:dyDescent="0.25">
      <c r="C1598" t="str">
        <f>IF(COUNTBLANK(E1598:K1598) = 7,"",IF(AND(NOT(ISBLANK(E1598)),COUNTBLANK(E1598:K1598) = 6),"3 Delete",IF(ISBLANK(E1598),"2 Add",IF(SHA1Range(E1598:K1598) = "302f1e38708d58c7765a54f1b798d6a30708d1c1","0 Original","1 Modify"))))</f>
        <v>0 Original</v>
      </c>
      <c r="D1598" s="3" t="s">
        <v>2222</v>
      </c>
      <c r="E1598" s="5">
        <v>1601</v>
      </c>
      <c r="F1598">
        <v>477</v>
      </c>
      <c r="G1598" t="s">
        <v>44</v>
      </c>
      <c r="H1598" s="7">
        <v>6.99</v>
      </c>
      <c r="I1598" s="5">
        <v>1</v>
      </c>
      <c r="J1598" s="3" t="s">
        <v>29</v>
      </c>
      <c r="K1598" s="9">
        <v>42483.625740740739</v>
      </c>
    </row>
    <row r="1599" spans="3:11" x14ac:dyDescent="0.25">
      <c r="C1599" t="str">
        <f>IF(COUNTBLANK(E1599:K1599) = 7,"",IF(AND(NOT(ISBLANK(E1599)),COUNTBLANK(E1599:K1599) = 6),"3 Delete",IF(ISBLANK(E1599),"2 Add",IF(SHA1Range(E1599:K1599) = "edc5e784a45ccad2b4581711116f691f766b92b6","0 Original","1 Modify"))))</f>
        <v>0 Original</v>
      </c>
      <c r="D1599" s="3" t="s">
        <v>2223</v>
      </c>
      <c r="E1599" s="5">
        <v>1602</v>
      </c>
      <c r="F1599">
        <v>477</v>
      </c>
      <c r="G1599" t="s">
        <v>335</v>
      </c>
      <c r="H1599" s="7">
        <v>5.99</v>
      </c>
      <c r="I1599" s="5">
        <v>1</v>
      </c>
      <c r="J1599" s="3" t="s">
        <v>29</v>
      </c>
      <c r="K1599" s="9">
        <v>42483.625740740739</v>
      </c>
    </row>
    <row r="1600" spans="3:11" x14ac:dyDescent="0.25">
      <c r="C1600" t="str">
        <f>IF(COUNTBLANK(E1600:K1600) = 7,"",IF(AND(NOT(ISBLANK(E1600)),COUNTBLANK(E1600:K1600) = 6),"3 Delete",IF(ISBLANK(E1600),"2 Add",IF(SHA1Range(E1600:K1600) = "35b3eec0dc99f4595d8f837a75e0113c68c0aa81","0 Original","1 Modify"))))</f>
        <v>0 Original</v>
      </c>
      <c r="D1600" s="3" t="s">
        <v>2224</v>
      </c>
      <c r="E1600" s="5">
        <v>1603</v>
      </c>
      <c r="F1600">
        <v>477</v>
      </c>
      <c r="G1600" t="s">
        <v>54</v>
      </c>
      <c r="H1600" s="7">
        <v>5.99</v>
      </c>
      <c r="I1600" s="5">
        <v>1</v>
      </c>
      <c r="J1600" s="3" t="s">
        <v>29</v>
      </c>
      <c r="K1600" s="9">
        <v>42483.625740740739</v>
      </c>
    </row>
    <row r="1601" spans="3:11" x14ac:dyDescent="0.25">
      <c r="C1601" t="str">
        <f>IF(COUNTBLANK(E1601:K1601) = 7,"",IF(AND(NOT(ISBLANK(E1601)),COUNTBLANK(E1601:K1601) = 6),"3 Delete",IF(ISBLANK(E1601),"2 Add",IF(SHA1Range(E1601:K1601) = "fe925e9614c6dbe721bdfdd7e9c288be080c9dc5","0 Original","1 Modify"))))</f>
        <v>0 Original</v>
      </c>
      <c r="D1601" s="3" t="s">
        <v>2225</v>
      </c>
      <c r="E1601" s="5">
        <v>1604</v>
      </c>
      <c r="F1601">
        <v>477</v>
      </c>
      <c r="G1601" t="s">
        <v>304</v>
      </c>
      <c r="H1601" s="7">
        <v>8.99</v>
      </c>
      <c r="I1601" s="5">
        <v>2</v>
      </c>
      <c r="J1601" s="3" t="s">
        <v>29</v>
      </c>
      <c r="K1601" s="9">
        <v>42483.625740740739</v>
      </c>
    </row>
    <row r="1602" spans="3:11" x14ac:dyDescent="0.25">
      <c r="C1602" t="str">
        <f>IF(COUNTBLANK(E1602:K1602) = 7,"",IF(AND(NOT(ISBLANK(E1602)),COUNTBLANK(E1602:K1602) = 6),"3 Delete",IF(ISBLANK(E1602),"2 Add",IF(SHA1Range(E1602:K1602) = "2c6f689a853db93950bc9cded2f9e999e8c65884","0 Original","1 Modify"))))</f>
        <v>0 Original</v>
      </c>
      <c r="D1602" s="3" t="s">
        <v>2226</v>
      </c>
      <c r="E1602" s="5">
        <v>1605</v>
      </c>
      <c r="F1602">
        <v>477</v>
      </c>
      <c r="G1602" t="s">
        <v>281</v>
      </c>
      <c r="H1602" s="7">
        <v>7.99</v>
      </c>
      <c r="I1602" s="5">
        <v>1</v>
      </c>
      <c r="J1602" s="3" t="s">
        <v>29</v>
      </c>
      <c r="K1602" s="9">
        <v>42483.625740740739</v>
      </c>
    </row>
    <row r="1603" spans="3:11" x14ac:dyDescent="0.25">
      <c r="C1603" t="str">
        <f>IF(COUNTBLANK(E1603:K1603) = 7,"",IF(AND(NOT(ISBLANK(E1603)),COUNTBLANK(E1603:K1603) = 6),"3 Delete",IF(ISBLANK(E1603),"2 Add",IF(SHA1Range(E1603:K1603) = "ef67a3e669e99c69e926589de890f4a572b63299","0 Original","1 Modify"))))</f>
        <v>0 Original</v>
      </c>
      <c r="D1603" s="3" t="s">
        <v>2227</v>
      </c>
      <c r="E1603" s="5">
        <v>1606</v>
      </c>
      <c r="F1603">
        <v>478</v>
      </c>
      <c r="G1603" t="s">
        <v>152</v>
      </c>
      <c r="H1603" s="7">
        <v>5.99</v>
      </c>
      <c r="I1603" s="5">
        <v>1</v>
      </c>
      <c r="J1603" s="3" t="s">
        <v>29</v>
      </c>
      <c r="K1603" s="9">
        <v>42483.625740740739</v>
      </c>
    </row>
    <row r="1604" spans="3:11" x14ac:dyDescent="0.25">
      <c r="C1604" t="str">
        <f>IF(COUNTBLANK(E1604:K1604) = 7,"",IF(AND(NOT(ISBLANK(E1604)),COUNTBLANK(E1604:K1604) = 6),"3 Delete",IF(ISBLANK(E1604),"2 Add",IF(SHA1Range(E1604:K1604) = "5721c963847e878dcfe8382627c503340747e789","0 Original","1 Modify"))))</f>
        <v>0 Original</v>
      </c>
      <c r="D1604" s="3" t="s">
        <v>2228</v>
      </c>
      <c r="E1604" s="5">
        <v>1607</v>
      </c>
      <c r="F1604">
        <v>478</v>
      </c>
      <c r="G1604" t="s">
        <v>537</v>
      </c>
      <c r="H1604" s="7">
        <v>7.99</v>
      </c>
      <c r="I1604" s="5">
        <v>1</v>
      </c>
      <c r="J1604" s="3" t="s">
        <v>29</v>
      </c>
      <c r="K1604" s="9">
        <v>42483.625740740739</v>
      </c>
    </row>
    <row r="1605" spans="3:11" x14ac:dyDescent="0.25">
      <c r="C1605" t="str">
        <f>IF(COUNTBLANK(E1605:K1605) = 7,"",IF(AND(NOT(ISBLANK(E1605)),COUNTBLANK(E1605:K1605) = 6),"3 Delete",IF(ISBLANK(E1605),"2 Add",IF(SHA1Range(E1605:K1605) = "225805f5408a7115c2c5efdf31bd34bb404a126c","0 Original","1 Modify"))))</f>
        <v>0 Original</v>
      </c>
      <c r="D1605" s="3" t="s">
        <v>2229</v>
      </c>
      <c r="E1605" s="5">
        <v>1608</v>
      </c>
      <c r="F1605">
        <v>479</v>
      </c>
      <c r="G1605" t="s">
        <v>459</v>
      </c>
      <c r="H1605" s="7">
        <v>5.99</v>
      </c>
      <c r="I1605" s="5">
        <v>1</v>
      </c>
      <c r="J1605" s="3" t="s">
        <v>29</v>
      </c>
      <c r="K1605" s="9">
        <v>42483.625740740739</v>
      </c>
    </row>
    <row r="1606" spans="3:11" x14ac:dyDescent="0.25">
      <c r="C1606" t="str">
        <f>IF(COUNTBLANK(E1606:K1606) = 7,"",IF(AND(NOT(ISBLANK(E1606)),COUNTBLANK(E1606:K1606) = 6),"3 Delete",IF(ISBLANK(E1606),"2 Add",IF(SHA1Range(E1606:K1606) = "ce2040198150632444c491cd9983ac4989e5cdec","0 Original","1 Modify"))))</f>
        <v>0 Original</v>
      </c>
      <c r="D1606" s="3" t="s">
        <v>2230</v>
      </c>
      <c r="E1606" s="5">
        <v>1609</v>
      </c>
      <c r="F1606">
        <v>479</v>
      </c>
      <c r="G1606" t="s">
        <v>133</v>
      </c>
      <c r="H1606" s="7">
        <v>7.99</v>
      </c>
      <c r="I1606" s="5">
        <v>1</v>
      </c>
      <c r="J1606" s="3" t="s">
        <v>29</v>
      </c>
      <c r="K1606" s="9">
        <v>42483.625740740739</v>
      </c>
    </row>
    <row r="1607" spans="3:11" x14ac:dyDescent="0.25">
      <c r="C1607" t="str">
        <f>IF(COUNTBLANK(E1607:K1607) = 7,"",IF(AND(NOT(ISBLANK(E1607)),COUNTBLANK(E1607:K1607) = 6),"3 Delete",IF(ISBLANK(E1607),"2 Add",IF(SHA1Range(E1607:K1607) = "b9fa593c367f606d095a7eb298d60687b3125caa","0 Original","1 Modify"))))</f>
        <v>0 Original</v>
      </c>
      <c r="D1607" s="3" t="s">
        <v>2231</v>
      </c>
      <c r="E1607" s="5">
        <v>1610</v>
      </c>
      <c r="F1607">
        <v>479</v>
      </c>
      <c r="G1607" t="s">
        <v>37</v>
      </c>
      <c r="H1607" s="7">
        <v>6.99</v>
      </c>
      <c r="I1607" s="5">
        <v>1</v>
      </c>
      <c r="J1607" s="3" t="s">
        <v>29</v>
      </c>
      <c r="K1607" s="9">
        <v>42483.625740740739</v>
      </c>
    </row>
    <row r="1608" spans="3:11" x14ac:dyDescent="0.25">
      <c r="C1608" t="str">
        <f>IF(COUNTBLANK(E1608:K1608) = 7,"",IF(AND(NOT(ISBLANK(E1608)),COUNTBLANK(E1608:K1608) = 6),"3 Delete",IF(ISBLANK(E1608),"2 Add",IF(SHA1Range(E1608:K1608) = "ce00b4a47f8100245a4c11e2506431126bde3237","0 Original","1 Modify"))))</f>
        <v>0 Original</v>
      </c>
      <c r="D1608" s="3" t="s">
        <v>2232</v>
      </c>
      <c r="E1608" s="5">
        <v>1611</v>
      </c>
      <c r="F1608">
        <v>479</v>
      </c>
      <c r="G1608" t="s">
        <v>130</v>
      </c>
      <c r="H1608" s="7">
        <v>8.99</v>
      </c>
      <c r="I1608" s="5">
        <v>1</v>
      </c>
      <c r="J1608" s="3" t="s">
        <v>29</v>
      </c>
      <c r="K1608" s="9">
        <v>42483.625740740739</v>
      </c>
    </row>
    <row r="1609" spans="3:11" x14ac:dyDescent="0.25">
      <c r="C1609" t="str">
        <f>IF(COUNTBLANK(E1609:K1609) = 7,"",IF(AND(NOT(ISBLANK(E1609)),COUNTBLANK(E1609:K1609) = 6),"3 Delete",IF(ISBLANK(E1609),"2 Add",IF(SHA1Range(E1609:K1609) = "187b8ec7249c929e3c6e9e6f80624d1272afb8ad","0 Original","1 Modify"))))</f>
        <v>0 Original</v>
      </c>
      <c r="D1609" s="3" t="s">
        <v>2233</v>
      </c>
      <c r="E1609" s="5">
        <v>1612</v>
      </c>
      <c r="F1609">
        <v>480</v>
      </c>
      <c r="G1609" t="s">
        <v>448</v>
      </c>
      <c r="H1609" s="7">
        <v>8.99</v>
      </c>
      <c r="I1609" s="5">
        <v>1</v>
      </c>
      <c r="J1609" s="3" t="s">
        <v>29</v>
      </c>
      <c r="K1609" s="9">
        <v>42483.625740740739</v>
      </c>
    </row>
    <row r="1610" spans="3:11" x14ac:dyDescent="0.25">
      <c r="C1610" t="str">
        <f>IF(COUNTBLANK(E1610:K1610) = 7,"",IF(AND(NOT(ISBLANK(E1610)),COUNTBLANK(E1610:K1610) = 6),"3 Delete",IF(ISBLANK(E1610),"2 Add",IF(SHA1Range(E1610:K1610) = "d1be26367561c47ee1a2e6b44e48e05824109f67","0 Original","1 Modify"))))</f>
        <v>0 Original</v>
      </c>
      <c r="D1610" s="3" t="s">
        <v>2234</v>
      </c>
      <c r="E1610" s="5">
        <v>1613</v>
      </c>
      <c r="F1610">
        <v>480</v>
      </c>
      <c r="G1610" t="s">
        <v>133</v>
      </c>
      <c r="H1610" s="7">
        <v>7.99</v>
      </c>
      <c r="I1610" s="5">
        <v>1</v>
      </c>
      <c r="J1610" s="3" t="s">
        <v>29</v>
      </c>
      <c r="K1610" s="9">
        <v>42483.625740740739</v>
      </c>
    </row>
    <row r="1611" spans="3:11" x14ac:dyDescent="0.25">
      <c r="C1611" t="str">
        <f>IF(COUNTBLANK(E1611:K1611) = 7,"",IF(AND(NOT(ISBLANK(E1611)),COUNTBLANK(E1611:K1611) = 6),"3 Delete",IF(ISBLANK(E1611),"2 Add",IF(SHA1Range(E1611:K1611) = "7888070bfe30d270a0d615e850044267a4fe2e8c","0 Original","1 Modify"))))</f>
        <v>0 Original</v>
      </c>
      <c r="D1611" s="3" t="s">
        <v>2235</v>
      </c>
      <c r="E1611" s="5">
        <v>1614</v>
      </c>
      <c r="F1611">
        <v>480</v>
      </c>
      <c r="G1611" t="s">
        <v>395</v>
      </c>
      <c r="H1611" s="7">
        <v>8.99</v>
      </c>
      <c r="I1611" s="5">
        <v>1</v>
      </c>
      <c r="J1611" s="3" t="s">
        <v>29</v>
      </c>
      <c r="K1611" s="9">
        <v>42483.625740740739</v>
      </c>
    </row>
    <row r="1612" spans="3:11" x14ac:dyDescent="0.25">
      <c r="C1612" t="str">
        <f>IF(COUNTBLANK(E1612:K1612) = 7,"",IF(AND(NOT(ISBLANK(E1612)),COUNTBLANK(E1612:K1612) = 6),"3 Delete",IF(ISBLANK(E1612),"2 Add",IF(SHA1Range(E1612:K1612) = "65d835488e787094e7046e4e08f0464e51896b66","0 Original","1 Modify"))))</f>
        <v>0 Original</v>
      </c>
      <c r="D1612" s="3" t="s">
        <v>2236</v>
      </c>
      <c r="E1612" s="5">
        <v>1615</v>
      </c>
      <c r="F1612">
        <v>481</v>
      </c>
      <c r="G1612" t="s">
        <v>407</v>
      </c>
      <c r="H1612" s="7">
        <v>9.99</v>
      </c>
      <c r="I1612" s="5">
        <v>1</v>
      </c>
      <c r="J1612" s="3" t="s">
        <v>29</v>
      </c>
      <c r="K1612" s="9">
        <v>42483.625740740739</v>
      </c>
    </row>
    <row r="1613" spans="3:11" x14ac:dyDescent="0.25">
      <c r="C1613" t="str">
        <f>IF(COUNTBLANK(E1613:K1613) = 7,"",IF(AND(NOT(ISBLANK(E1613)),COUNTBLANK(E1613:K1613) = 6),"3 Delete",IF(ISBLANK(E1613),"2 Add",IF(SHA1Range(E1613:K1613) = "26a25e4f1f44ffd256ed618d4016efce439b5725","0 Original","1 Modify"))))</f>
        <v>0 Original</v>
      </c>
      <c r="D1613" s="3" t="s">
        <v>2237</v>
      </c>
      <c r="E1613" s="5">
        <v>1616</v>
      </c>
      <c r="F1613">
        <v>481</v>
      </c>
      <c r="G1613" t="s">
        <v>257</v>
      </c>
      <c r="H1613" s="7">
        <v>9.99</v>
      </c>
      <c r="I1613" s="5">
        <v>1</v>
      </c>
      <c r="J1613" s="3" t="s">
        <v>29</v>
      </c>
      <c r="K1613" s="9">
        <v>42483.625740740739</v>
      </c>
    </row>
    <row r="1614" spans="3:11" x14ac:dyDescent="0.25">
      <c r="C1614" t="str">
        <f>IF(COUNTBLANK(E1614:K1614) = 7,"",IF(AND(NOT(ISBLANK(E1614)),COUNTBLANK(E1614:K1614) = 6),"3 Delete",IF(ISBLANK(E1614),"2 Add",IF(SHA1Range(E1614:K1614) = "81646d0ba34b1cf1465950ffdf8fb6a01642c07d","0 Original","1 Modify"))))</f>
        <v>0 Original</v>
      </c>
      <c r="D1614" s="3" t="s">
        <v>2238</v>
      </c>
      <c r="E1614" s="5">
        <v>1617</v>
      </c>
      <c r="F1614">
        <v>482</v>
      </c>
      <c r="G1614" t="s">
        <v>395</v>
      </c>
      <c r="H1614" s="7">
        <v>8.99</v>
      </c>
      <c r="I1614" s="5">
        <v>1</v>
      </c>
      <c r="J1614" s="3" t="s">
        <v>29</v>
      </c>
      <c r="K1614" s="9">
        <v>42483.625740740739</v>
      </c>
    </row>
    <row r="1615" spans="3:11" x14ac:dyDescent="0.25">
      <c r="C1615" t="str">
        <f>IF(COUNTBLANK(E1615:K1615) = 7,"",IF(AND(NOT(ISBLANK(E1615)),COUNTBLANK(E1615:K1615) = 6),"3 Delete",IF(ISBLANK(E1615),"2 Add",IF(SHA1Range(E1615:K1615) = "9f4fa5768535419d07c9f237c72049ad72674e68","0 Original","1 Modify"))))</f>
        <v>0 Original</v>
      </c>
      <c r="D1615" s="3" t="s">
        <v>2239</v>
      </c>
      <c r="E1615" s="5">
        <v>1618</v>
      </c>
      <c r="F1615">
        <v>483</v>
      </c>
      <c r="G1615" t="s">
        <v>421</v>
      </c>
      <c r="H1615" s="7">
        <v>6.99</v>
      </c>
      <c r="I1615" s="5">
        <v>1</v>
      </c>
      <c r="J1615" s="3" t="s">
        <v>29</v>
      </c>
      <c r="K1615" s="9">
        <v>42483.625740740739</v>
      </c>
    </row>
    <row r="1616" spans="3:11" x14ac:dyDescent="0.25">
      <c r="C1616" t="str">
        <f>IF(COUNTBLANK(E1616:K1616) = 7,"",IF(AND(NOT(ISBLANK(E1616)),COUNTBLANK(E1616:K1616) = 6),"3 Delete",IF(ISBLANK(E1616),"2 Add",IF(SHA1Range(E1616:K1616) = "0246db8b46a8a9554623c26d88530283b3b4641e","0 Original","1 Modify"))))</f>
        <v>0 Original</v>
      </c>
      <c r="D1616" s="3" t="s">
        <v>2240</v>
      </c>
      <c r="E1616" s="5">
        <v>1619</v>
      </c>
      <c r="F1616">
        <v>483</v>
      </c>
      <c r="G1616" t="s">
        <v>250</v>
      </c>
      <c r="H1616" s="7">
        <v>8.99</v>
      </c>
      <c r="I1616" s="5">
        <v>2</v>
      </c>
      <c r="J1616" s="3" t="s">
        <v>29</v>
      </c>
      <c r="K1616" s="9">
        <v>42483.625740740739</v>
      </c>
    </row>
    <row r="1617" spans="3:11" x14ac:dyDescent="0.25">
      <c r="C1617" t="str">
        <f>IF(COUNTBLANK(E1617:K1617) = 7,"",IF(AND(NOT(ISBLANK(E1617)),COUNTBLANK(E1617:K1617) = 6),"3 Delete",IF(ISBLANK(E1617),"2 Add",IF(SHA1Range(E1617:K1617) = "f868d1f9739858903e880fc916818384eb47f0ef","0 Original","1 Modify"))))</f>
        <v>0 Original</v>
      </c>
      <c r="D1617" s="3" t="s">
        <v>2241</v>
      </c>
      <c r="E1617" s="5">
        <v>1620</v>
      </c>
      <c r="F1617">
        <v>483</v>
      </c>
      <c r="G1617" t="s">
        <v>238</v>
      </c>
      <c r="H1617" s="7">
        <v>5.99</v>
      </c>
      <c r="I1617" s="5">
        <v>1</v>
      </c>
      <c r="J1617" s="3" t="s">
        <v>29</v>
      </c>
      <c r="K1617" s="9">
        <v>42483.625740740739</v>
      </c>
    </row>
    <row r="1618" spans="3:11" x14ac:dyDescent="0.25">
      <c r="C1618" t="str">
        <f>IF(COUNTBLANK(E1618:K1618) = 7,"",IF(AND(NOT(ISBLANK(E1618)),COUNTBLANK(E1618:K1618) = 6),"3 Delete",IF(ISBLANK(E1618),"2 Add",IF(SHA1Range(E1618:K1618) = "3d727586f81a042962d5531817459582eddbf1fc","0 Original","1 Modify"))))</f>
        <v>0 Original</v>
      </c>
      <c r="D1618" s="3" t="s">
        <v>2242</v>
      </c>
      <c r="E1618" s="5">
        <v>1621</v>
      </c>
      <c r="F1618">
        <v>483</v>
      </c>
      <c r="G1618" t="s">
        <v>142</v>
      </c>
      <c r="H1618" s="7">
        <v>4.99</v>
      </c>
      <c r="I1618" s="5">
        <v>1</v>
      </c>
      <c r="J1618" s="3" t="s">
        <v>29</v>
      </c>
      <c r="K1618" s="9">
        <v>42483.625740740739</v>
      </c>
    </row>
    <row r="1619" spans="3:11" x14ac:dyDescent="0.25">
      <c r="C1619" t="str">
        <f>IF(COUNTBLANK(E1619:K1619) = 7,"",IF(AND(NOT(ISBLANK(E1619)),COUNTBLANK(E1619:K1619) = 6),"3 Delete",IF(ISBLANK(E1619),"2 Add",IF(SHA1Range(E1619:K1619) = "f872ed2afa42b232c26f43df011146852c696f01","0 Original","1 Modify"))))</f>
        <v>0 Original</v>
      </c>
      <c r="D1619" s="3" t="s">
        <v>2243</v>
      </c>
      <c r="E1619" s="5">
        <v>1622</v>
      </c>
      <c r="F1619">
        <v>483</v>
      </c>
      <c r="G1619" t="s">
        <v>130</v>
      </c>
      <c r="H1619" s="7">
        <v>8.99</v>
      </c>
      <c r="I1619" s="5">
        <v>1</v>
      </c>
      <c r="J1619" s="3" t="s">
        <v>29</v>
      </c>
      <c r="K1619" s="9">
        <v>42483.625740740739</v>
      </c>
    </row>
    <row r="1620" spans="3:11" x14ac:dyDescent="0.25">
      <c r="C1620" t="str">
        <f>IF(COUNTBLANK(E1620:K1620) = 7,"",IF(AND(NOT(ISBLANK(E1620)),COUNTBLANK(E1620:K1620) = 6),"3 Delete",IF(ISBLANK(E1620),"2 Add",IF(SHA1Range(E1620:K1620) = "7908436554d767820733c21523abf0aff621062a","0 Original","1 Modify"))))</f>
        <v>0 Original</v>
      </c>
      <c r="D1620" s="3" t="s">
        <v>2244</v>
      </c>
      <c r="E1620" s="5">
        <v>1623</v>
      </c>
      <c r="F1620">
        <v>483</v>
      </c>
      <c r="G1620" t="s">
        <v>418</v>
      </c>
      <c r="H1620" s="7">
        <v>6.99</v>
      </c>
      <c r="I1620" s="5">
        <v>1</v>
      </c>
      <c r="J1620" s="3" t="s">
        <v>29</v>
      </c>
      <c r="K1620" s="9">
        <v>42483.625740740739</v>
      </c>
    </row>
    <row r="1621" spans="3:11" x14ac:dyDescent="0.25">
      <c r="C1621" t="str">
        <f>IF(COUNTBLANK(E1621:K1621) = 7,"",IF(AND(NOT(ISBLANK(E1621)),COUNTBLANK(E1621:K1621) = 6),"3 Delete",IF(ISBLANK(E1621),"2 Add",IF(SHA1Range(E1621:K1621) = "e16ea4f37d2e4859438019238e2d69c473a64ed1","0 Original","1 Modify"))))</f>
        <v>0 Original</v>
      </c>
      <c r="D1621" s="3" t="s">
        <v>2245</v>
      </c>
      <c r="E1621" s="5">
        <v>1624</v>
      </c>
      <c r="F1621">
        <v>484</v>
      </c>
      <c r="G1621" t="s">
        <v>281</v>
      </c>
      <c r="H1621" s="7">
        <v>7.99</v>
      </c>
      <c r="I1621" s="5">
        <v>2</v>
      </c>
      <c r="J1621" s="3" t="s">
        <v>29</v>
      </c>
      <c r="K1621" s="9">
        <v>42483.625740740739</v>
      </c>
    </row>
    <row r="1622" spans="3:11" x14ac:dyDescent="0.25">
      <c r="C1622" t="str">
        <f>IF(COUNTBLANK(E1622:K1622) = 7,"",IF(AND(NOT(ISBLANK(E1622)),COUNTBLANK(E1622:K1622) = 6),"3 Delete",IF(ISBLANK(E1622),"2 Add",IF(SHA1Range(E1622:K1622) = "7396e201a9751e81de92cf00e760abd6b4f127bd","0 Original","1 Modify"))))</f>
        <v>0 Original</v>
      </c>
      <c r="D1622" s="3" t="s">
        <v>2246</v>
      </c>
      <c r="E1622" s="5">
        <v>1625</v>
      </c>
      <c r="F1622">
        <v>484</v>
      </c>
      <c r="G1622" t="s">
        <v>109</v>
      </c>
      <c r="H1622" s="7">
        <v>8.99</v>
      </c>
      <c r="I1622" s="5">
        <v>2</v>
      </c>
      <c r="J1622" s="3" t="s">
        <v>29</v>
      </c>
      <c r="K1622" s="9">
        <v>42483.625740740739</v>
      </c>
    </row>
    <row r="1623" spans="3:11" x14ac:dyDescent="0.25">
      <c r="C1623" t="str">
        <f>IF(COUNTBLANK(E1623:K1623) = 7,"",IF(AND(NOT(ISBLANK(E1623)),COUNTBLANK(E1623:K1623) = 6),"3 Delete",IF(ISBLANK(E1623),"2 Add",IF(SHA1Range(E1623:K1623) = "262dc2af97f8c662d6f5879d4af2ce1917e0b8c1","0 Original","1 Modify"))))</f>
        <v>0 Original</v>
      </c>
      <c r="D1623" s="3" t="s">
        <v>2247</v>
      </c>
      <c r="E1623" s="5">
        <v>1626</v>
      </c>
      <c r="F1623">
        <v>484</v>
      </c>
      <c r="G1623" t="s">
        <v>37</v>
      </c>
      <c r="H1623" s="7">
        <v>6.99</v>
      </c>
      <c r="I1623" s="5">
        <v>1</v>
      </c>
      <c r="J1623" s="3" t="s">
        <v>29</v>
      </c>
      <c r="K1623" s="9">
        <v>42483.625740740739</v>
      </c>
    </row>
    <row r="1624" spans="3:11" x14ac:dyDescent="0.25">
      <c r="C1624" t="str">
        <f>IF(COUNTBLANK(E1624:K1624) = 7,"",IF(AND(NOT(ISBLANK(E1624)),COUNTBLANK(E1624:K1624) = 6),"3 Delete",IF(ISBLANK(E1624),"2 Add",IF(SHA1Range(E1624:K1624) = "bd4fe4f83e2fc985cc69519a64c2a359712a1769","0 Original","1 Modify"))))</f>
        <v>0 Original</v>
      </c>
      <c r="D1624" s="3" t="s">
        <v>2248</v>
      </c>
      <c r="E1624" s="5">
        <v>1627</v>
      </c>
      <c r="F1624">
        <v>485</v>
      </c>
      <c r="G1624" t="s">
        <v>407</v>
      </c>
      <c r="H1624" s="7">
        <v>9.99</v>
      </c>
      <c r="I1624" s="5">
        <v>1</v>
      </c>
      <c r="J1624" s="3" t="s">
        <v>29</v>
      </c>
      <c r="K1624" s="9">
        <v>42483.625740740739</v>
      </c>
    </row>
    <row r="1625" spans="3:11" x14ac:dyDescent="0.25">
      <c r="C1625" t="str">
        <f>IF(COUNTBLANK(E1625:K1625) = 7,"",IF(AND(NOT(ISBLANK(E1625)),COUNTBLANK(E1625:K1625) = 6),"3 Delete",IF(ISBLANK(E1625),"2 Add",IF(SHA1Range(E1625:K1625) = "754cb3c4575185be09c698187f5ec444283f6396","0 Original","1 Modify"))))</f>
        <v>0 Original</v>
      </c>
      <c r="D1625" s="3" t="s">
        <v>2249</v>
      </c>
      <c r="E1625" s="5">
        <v>1628</v>
      </c>
      <c r="F1625">
        <v>485</v>
      </c>
      <c r="G1625" t="s">
        <v>525</v>
      </c>
      <c r="H1625" s="7">
        <v>4.99</v>
      </c>
      <c r="I1625" s="5">
        <v>2</v>
      </c>
      <c r="J1625" s="3" t="s">
        <v>29</v>
      </c>
      <c r="K1625" s="9">
        <v>42483.625740740739</v>
      </c>
    </row>
    <row r="1626" spans="3:11" x14ac:dyDescent="0.25">
      <c r="C1626" t="str">
        <f>IF(COUNTBLANK(E1626:K1626) = 7,"",IF(AND(NOT(ISBLANK(E1626)),COUNTBLANK(E1626:K1626) = 6),"3 Delete",IF(ISBLANK(E1626),"2 Add",IF(SHA1Range(E1626:K1626) = "554e9458744b475dd5a51d47233e53a19f21a2bf","0 Original","1 Modify"))))</f>
        <v>0 Original</v>
      </c>
      <c r="D1626" s="3" t="s">
        <v>2250</v>
      </c>
      <c r="E1626" s="5">
        <v>1629</v>
      </c>
      <c r="F1626">
        <v>485</v>
      </c>
      <c r="G1626" t="s">
        <v>221</v>
      </c>
      <c r="H1626" s="7">
        <v>6.99</v>
      </c>
      <c r="I1626" s="5">
        <v>1</v>
      </c>
      <c r="J1626" s="3" t="s">
        <v>29</v>
      </c>
      <c r="K1626" s="9">
        <v>42483.625740740739</v>
      </c>
    </row>
    <row r="1627" spans="3:11" x14ac:dyDescent="0.25">
      <c r="C1627" t="str">
        <f>IF(COUNTBLANK(E1627:K1627) = 7,"",IF(AND(NOT(ISBLANK(E1627)),COUNTBLANK(E1627:K1627) = 6),"3 Delete",IF(ISBLANK(E1627),"2 Add",IF(SHA1Range(E1627:K1627) = "482f89c20959b7779031af39e59c7fad633706a1","0 Original","1 Modify"))))</f>
        <v>0 Original</v>
      </c>
      <c r="D1627" s="3" t="s">
        <v>2251</v>
      </c>
      <c r="E1627" s="5">
        <v>1630</v>
      </c>
      <c r="F1627">
        <v>485</v>
      </c>
      <c r="G1627" t="s">
        <v>234</v>
      </c>
      <c r="H1627" s="7">
        <v>4.99</v>
      </c>
      <c r="I1627" s="5">
        <v>1</v>
      </c>
      <c r="J1627" s="3" t="s">
        <v>29</v>
      </c>
      <c r="K1627" s="9">
        <v>42483.625740740739</v>
      </c>
    </row>
    <row r="1628" spans="3:11" x14ac:dyDescent="0.25">
      <c r="C1628" t="str">
        <f>IF(COUNTBLANK(E1628:K1628) = 7,"",IF(AND(NOT(ISBLANK(E1628)),COUNTBLANK(E1628:K1628) = 6),"3 Delete",IF(ISBLANK(E1628),"2 Add",IF(SHA1Range(E1628:K1628) = "212c1bf5f8f4e257ab184de030f54c78b91535d9","0 Original","1 Modify"))))</f>
        <v>0 Original</v>
      </c>
      <c r="D1628" s="3" t="s">
        <v>2252</v>
      </c>
      <c r="E1628" s="5">
        <v>1631</v>
      </c>
      <c r="F1628">
        <v>486</v>
      </c>
      <c r="G1628" t="s">
        <v>281</v>
      </c>
      <c r="H1628" s="7">
        <v>7.99</v>
      </c>
      <c r="I1628" s="5">
        <v>1</v>
      </c>
      <c r="J1628" s="3" t="s">
        <v>29</v>
      </c>
      <c r="K1628" s="9">
        <v>42483.625740740739</v>
      </c>
    </row>
    <row r="1629" spans="3:11" x14ac:dyDescent="0.25">
      <c r="C1629" t="str">
        <f>IF(COUNTBLANK(E1629:K1629) = 7,"",IF(AND(NOT(ISBLANK(E1629)),COUNTBLANK(E1629:K1629) = 6),"3 Delete",IF(ISBLANK(E1629),"2 Add",IF(SHA1Range(E1629:K1629) = "2ffa2fa6511ae478b0ca5edc5984c938564025f5","0 Original","1 Modify"))))</f>
        <v>0 Original</v>
      </c>
      <c r="D1629" s="3" t="s">
        <v>2253</v>
      </c>
      <c r="E1629" s="5">
        <v>1632</v>
      </c>
      <c r="F1629">
        <v>486</v>
      </c>
      <c r="G1629" t="s">
        <v>234</v>
      </c>
      <c r="H1629" s="7">
        <v>4.99</v>
      </c>
      <c r="I1629" s="5">
        <v>2</v>
      </c>
      <c r="J1629" s="3" t="s">
        <v>29</v>
      </c>
      <c r="K1629" s="9">
        <v>42483.625740740739</v>
      </c>
    </row>
    <row r="1630" spans="3:11" x14ac:dyDescent="0.25">
      <c r="C1630" t="str">
        <f>IF(COUNTBLANK(E1630:K1630) = 7,"",IF(AND(NOT(ISBLANK(E1630)),COUNTBLANK(E1630:K1630) = 6),"3 Delete",IF(ISBLANK(E1630),"2 Add",IF(SHA1Range(E1630:K1630) = "3c1135fd6449b1dfccedeec0f6b3a98ae7fd81f5","0 Original","1 Modify"))))</f>
        <v>0 Original</v>
      </c>
      <c r="D1630" s="3" t="s">
        <v>2254</v>
      </c>
      <c r="E1630" s="5">
        <v>1633</v>
      </c>
      <c r="F1630">
        <v>487</v>
      </c>
      <c r="G1630" t="s">
        <v>388</v>
      </c>
      <c r="H1630" s="7">
        <v>5.99</v>
      </c>
      <c r="I1630" s="5">
        <v>1</v>
      </c>
      <c r="J1630" s="3" t="s">
        <v>29</v>
      </c>
      <c r="K1630" s="9">
        <v>42483.625740740739</v>
      </c>
    </row>
    <row r="1631" spans="3:11" x14ac:dyDescent="0.25">
      <c r="C1631" t="str">
        <f>IF(COUNTBLANK(E1631:K1631) = 7,"",IF(AND(NOT(ISBLANK(E1631)),COUNTBLANK(E1631:K1631) = 6),"3 Delete",IF(ISBLANK(E1631),"2 Add",IF(SHA1Range(E1631:K1631) = "df2589635fe1b47a0f9dc1e221d2a33b342585e6","0 Original","1 Modify"))))</f>
        <v>0 Original</v>
      </c>
      <c r="D1631" s="3" t="s">
        <v>2255</v>
      </c>
      <c r="E1631" s="5">
        <v>1634</v>
      </c>
      <c r="F1631">
        <v>487</v>
      </c>
      <c r="G1631" t="s">
        <v>304</v>
      </c>
      <c r="H1631" s="7">
        <v>8.99</v>
      </c>
      <c r="I1631" s="5">
        <v>2</v>
      </c>
      <c r="J1631" s="3" t="s">
        <v>29</v>
      </c>
      <c r="K1631" s="9">
        <v>42483.625740740739</v>
      </c>
    </row>
    <row r="1632" spans="3:11" x14ac:dyDescent="0.25">
      <c r="C1632" t="str">
        <f>IF(COUNTBLANK(E1632:K1632) = 7,"",IF(AND(NOT(ISBLANK(E1632)),COUNTBLANK(E1632:K1632) = 6),"3 Delete",IF(ISBLANK(E1632),"2 Add",IF(SHA1Range(E1632:K1632) = "1b2ab0cce99a6463d1e748444cab3b0c43d798cc","0 Original","1 Modify"))))</f>
        <v>0 Original</v>
      </c>
      <c r="D1632" s="3" t="s">
        <v>2256</v>
      </c>
      <c r="E1632" s="5">
        <v>1635</v>
      </c>
      <c r="F1632">
        <v>487</v>
      </c>
      <c r="G1632" t="s">
        <v>448</v>
      </c>
      <c r="H1632" s="7">
        <v>8.99</v>
      </c>
      <c r="I1632" s="5">
        <v>2</v>
      </c>
      <c r="J1632" s="3" t="s">
        <v>29</v>
      </c>
      <c r="K1632" s="9">
        <v>42483.625740740739</v>
      </c>
    </row>
    <row r="1633" spans="3:11" x14ac:dyDescent="0.25">
      <c r="C1633" t="str">
        <f>IF(COUNTBLANK(E1633:K1633) = 7,"",IF(AND(NOT(ISBLANK(E1633)),COUNTBLANK(E1633:K1633) = 6),"3 Delete",IF(ISBLANK(E1633),"2 Add",IF(SHA1Range(E1633:K1633) = "b356089ff6061cb540df9724d1a6aa058104307f","0 Original","1 Modify"))))</f>
        <v>0 Original</v>
      </c>
      <c r="D1633" s="3" t="s">
        <v>2257</v>
      </c>
      <c r="E1633" s="5">
        <v>1636</v>
      </c>
      <c r="F1633">
        <v>488</v>
      </c>
      <c r="G1633" t="s">
        <v>54</v>
      </c>
      <c r="H1633" s="7">
        <v>5.99</v>
      </c>
      <c r="I1633" s="5">
        <v>2</v>
      </c>
      <c r="J1633" s="3" t="s">
        <v>29</v>
      </c>
      <c r="K1633" s="9">
        <v>42483.625740740739</v>
      </c>
    </row>
    <row r="1634" spans="3:11" x14ac:dyDescent="0.25">
      <c r="C1634" t="str">
        <f>IF(COUNTBLANK(E1634:K1634) = 7,"",IF(AND(NOT(ISBLANK(E1634)),COUNTBLANK(E1634:K1634) = 6),"3 Delete",IF(ISBLANK(E1634),"2 Add",IF(SHA1Range(E1634:K1634) = "c426c5e7628bc45a169c7239f673c6903f4b5df7","0 Original","1 Modify"))))</f>
        <v>0 Original</v>
      </c>
      <c r="D1634" s="3" t="s">
        <v>2258</v>
      </c>
      <c r="E1634" s="5">
        <v>1637</v>
      </c>
      <c r="F1634">
        <v>488</v>
      </c>
      <c r="G1634" t="s">
        <v>217</v>
      </c>
      <c r="H1634" s="7">
        <v>9.99</v>
      </c>
      <c r="I1634" s="5">
        <v>2</v>
      </c>
      <c r="J1634" s="3" t="s">
        <v>29</v>
      </c>
      <c r="K1634" s="9">
        <v>42483.625740740739</v>
      </c>
    </row>
    <row r="1635" spans="3:11" x14ac:dyDescent="0.25">
      <c r="C1635" t="str">
        <f>IF(COUNTBLANK(E1635:K1635) = 7,"",IF(AND(NOT(ISBLANK(E1635)),COUNTBLANK(E1635:K1635) = 6),"3 Delete",IF(ISBLANK(E1635),"2 Add",IF(SHA1Range(E1635:K1635) = "e44ff86439150157d91939249e0685957b74d82e","0 Original","1 Modify"))))</f>
        <v>0 Original</v>
      </c>
      <c r="D1635" s="3" t="s">
        <v>2259</v>
      </c>
      <c r="E1635" s="5">
        <v>1638</v>
      </c>
      <c r="F1635">
        <v>488</v>
      </c>
      <c r="G1635" t="s">
        <v>221</v>
      </c>
      <c r="H1635" s="7">
        <v>6.99</v>
      </c>
      <c r="I1635" s="5">
        <v>2</v>
      </c>
      <c r="J1635" s="3" t="s">
        <v>29</v>
      </c>
      <c r="K1635" s="9">
        <v>42483.625740740739</v>
      </c>
    </row>
    <row r="1636" spans="3:11" x14ac:dyDescent="0.25">
      <c r="C1636" t="str">
        <f>IF(COUNTBLANK(E1636:K1636) = 7,"",IF(AND(NOT(ISBLANK(E1636)),COUNTBLANK(E1636:K1636) = 6),"3 Delete",IF(ISBLANK(E1636),"2 Add",IF(SHA1Range(E1636:K1636) = "c3bae75ed242fdc917a7bcd5b087a9a192e1724d","0 Original","1 Modify"))))</f>
        <v>0 Original</v>
      </c>
      <c r="D1636" s="3" t="s">
        <v>2260</v>
      </c>
      <c r="E1636" s="5">
        <v>1639</v>
      </c>
      <c r="F1636">
        <v>489</v>
      </c>
      <c r="G1636" t="s">
        <v>304</v>
      </c>
      <c r="H1636" s="7">
        <v>8.99</v>
      </c>
      <c r="I1636" s="5">
        <v>1</v>
      </c>
      <c r="J1636" s="3" t="s">
        <v>29</v>
      </c>
      <c r="K1636" s="9">
        <v>42483.625740740739</v>
      </c>
    </row>
    <row r="1637" spans="3:11" x14ac:dyDescent="0.25">
      <c r="C1637" t="str">
        <f>IF(COUNTBLANK(E1637:K1637) = 7,"",IF(AND(NOT(ISBLANK(E1637)),COUNTBLANK(E1637:K1637) = 6),"3 Delete",IF(ISBLANK(E1637),"2 Add",IF(SHA1Range(E1637:K1637) = "650d0de3777af496a2e88725ef9aa5b7f9fdd20b","0 Original","1 Modify"))))</f>
        <v>0 Original</v>
      </c>
      <c r="D1637" s="3" t="s">
        <v>2261</v>
      </c>
      <c r="E1637" s="5">
        <v>1640</v>
      </c>
      <c r="F1637">
        <v>489</v>
      </c>
      <c r="G1637" t="s">
        <v>273</v>
      </c>
      <c r="H1637" s="7">
        <v>8.99</v>
      </c>
      <c r="I1637" s="5">
        <v>1</v>
      </c>
      <c r="J1637" s="3" t="s">
        <v>29</v>
      </c>
      <c r="K1637" s="9">
        <v>42483.625740740739</v>
      </c>
    </row>
    <row r="1638" spans="3:11" x14ac:dyDescent="0.25">
      <c r="C1638" t="str">
        <f>IF(COUNTBLANK(E1638:K1638) = 7,"",IF(AND(NOT(ISBLANK(E1638)),COUNTBLANK(E1638:K1638) = 6),"3 Delete",IF(ISBLANK(E1638),"2 Add",IF(SHA1Range(E1638:K1638) = "a0e38d1a24fca2686a70da813075ec27444dc42b","0 Original","1 Modify"))))</f>
        <v>0 Original</v>
      </c>
      <c r="D1638" s="3" t="s">
        <v>2262</v>
      </c>
      <c r="E1638" s="5">
        <v>1641</v>
      </c>
      <c r="F1638">
        <v>489</v>
      </c>
      <c r="G1638" t="s">
        <v>448</v>
      </c>
      <c r="H1638" s="7">
        <v>8.99</v>
      </c>
      <c r="I1638" s="5">
        <v>1</v>
      </c>
      <c r="J1638" s="3" t="s">
        <v>29</v>
      </c>
      <c r="K1638" s="9">
        <v>42483.625740740739</v>
      </c>
    </row>
    <row r="1639" spans="3:11" x14ac:dyDescent="0.25">
      <c r="C1639" t="str">
        <f>IF(COUNTBLANK(E1639:K1639) = 7,"",IF(AND(NOT(ISBLANK(E1639)),COUNTBLANK(E1639:K1639) = 6),"3 Delete",IF(ISBLANK(E1639),"2 Add",IF(SHA1Range(E1639:K1639) = "8a69ed6f5af3ea5edf8639af6c2d0e360d1b79dc","0 Original","1 Modify"))))</f>
        <v>0 Original</v>
      </c>
      <c r="D1639" s="3" t="s">
        <v>2263</v>
      </c>
      <c r="E1639" s="5">
        <v>1642</v>
      </c>
      <c r="F1639">
        <v>489</v>
      </c>
      <c r="G1639" t="s">
        <v>364</v>
      </c>
      <c r="H1639" s="7">
        <v>9.99</v>
      </c>
      <c r="I1639" s="5">
        <v>1</v>
      </c>
      <c r="J1639" s="3" t="s">
        <v>29</v>
      </c>
      <c r="K1639" s="9">
        <v>42483.625740740739</v>
      </c>
    </row>
    <row r="1640" spans="3:11" x14ac:dyDescent="0.25">
      <c r="C1640" t="str">
        <f>IF(COUNTBLANK(E1640:K1640) = 7,"",IF(AND(NOT(ISBLANK(E1640)),COUNTBLANK(E1640:K1640) = 6),"3 Delete",IF(ISBLANK(E1640),"2 Add",IF(SHA1Range(E1640:K1640) = "e0994b37e1396e2e6ec3b6ef8a99af36f330aadf","0 Original","1 Modify"))))</f>
        <v>0 Original</v>
      </c>
      <c r="D1640" s="3" t="s">
        <v>2264</v>
      </c>
      <c r="E1640" s="5">
        <v>1643</v>
      </c>
      <c r="F1640">
        <v>490</v>
      </c>
      <c r="G1640" t="s">
        <v>51</v>
      </c>
      <c r="H1640" s="7">
        <v>9.99</v>
      </c>
      <c r="I1640" s="5">
        <v>1</v>
      </c>
      <c r="J1640" s="3" t="s">
        <v>29</v>
      </c>
      <c r="K1640" s="9">
        <v>42483.625740740739</v>
      </c>
    </row>
    <row r="1641" spans="3:11" x14ac:dyDescent="0.25">
      <c r="C1641" t="str">
        <f>IF(COUNTBLANK(E1641:K1641) = 7,"",IF(AND(NOT(ISBLANK(E1641)),COUNTBLANK(E1641:K1641) = 6),"3 Delete",IF(ISBLANK(E1641),"2 Add",IF(SHA1Range(E1641:K1641) = "abdb99bdf5e80d2d366a2d767c7c40ceee62d874","0 Original","1 Modify"))))</f>
        <v>0 Original</v>
      </c>
      <c r="D1641" s="3" t="s">
        <v>2265</v>
      </c>
      <c r="E1641" s="5">
        <v>1644</v>
      </c>
      <c r="F1641">
        <v>491</v>
      </c>
      <c r="G1641" t="s">
        <v>546</v>
      </c>
      <c r="H1641" s="7">
        <v>9.99</v>
      </c>
      <c r="I1641" s="5">
        <v>1</v>
      </c>
      <c r="J1641" s="3" t="s">
        <v>29</v>
      </c>
      <c r="K1641" s="9">
        <v>42483.625740740739</v>
      </c>
    </row>
    <row r="1642" spans="3:11" x14ac:dyDescent="0.25">
      <c r="C1642" t="str">
        <f>IF(COUNTBLANK(E1642:K1642) = 7,"",IF(AND(NOT(ISBLANK(E1642)),COUNTBLANK(E1642:K1642) = 6),"3 Delete",IF(ISBLANK(E1642),"2 Add",IF(SHA1Range(E1642:K1642) = "89625c8fd713e852d31d796b432c9ce236a03d62","0 Original","1 Modify"))))</f>
        <v>0 Original</v>
      </c>
      <c r="D1642" s="3" t="s">
        <v>2266</v>
      </c>
      <c r="E1642" s="5">
        <v>1645</v>
      </c>
      <c r="F1642">
        <v>491</v>
      </c>
      <c r="G1642" t="s">
        <v>304</v>
      </c>
      <c r="H1642" s="7">
        <v>8.99</v>
      </c>
      <c r="I1642" s="5">
        <v>2</v>
      </c>
      <c r="J1642" s="3" t="s">
        <v>29</v>
      </c>
      <c r="K1642" s="9">
        <v>42483.625740740739</v>
      </c>
    </row>
    <row r="1643" spans="3:11" x14ac:dyDescent="0.25">
      <c r="C1643" t="str">
        <f>IF(COUNTBLANK(E1643:K1643) = 7,"",IF(AND(NOT(ISBLANK(E1643)),COUNTBLANK(E1643:K1643) = 6),"3 Delete",IF(ISBLANK(E1643),"2 Add",IF(SHA1Range(E1643:K1643) = "f8fbe3f7e383913c2aa3bb1e0050c7e853e8ca7c","0 Original","1 Modify"))))</f>
        <v>0 Original</v>
      </c>
      <c r="D1643" s="3" t="s">
        <v>2267</v>
      </c>
      <c r="E1643" s="5">
        <v>1646</v>
      </c>
      <c r="F1643">
        <v>491</v>
      </c>
      <c r="G1643" t="s">
        <v>109</v>
      </c>
      <c r="H1643" s="7">
        <v>8.99</v>
      </c>
      <c r="I1643" s="5">
        <v>2</v>
      </c>
      <c r="J1643" s="3" t="s">
        <v>29</v>
      </c>
      <c r="K1643" s="9">
        <v>42483.625740740739</v>
      </c>
    </row>
    <row r="1644" spans="3:11" x14ac:dyDescent="0.25">
      <c r="C1644" t="str">
        <f>IF(COUNTBLANK(E1644:K1644) = 7,"",IF(AND(NOT(ISBLANK(E1644)),COUNTBLANK(E1644:K1644) = 6),"3 Delete",IF(ISBLANK(E1644),"2 Add",IF(SHA1Range(E1644:K1644) = "4983317e95de57578d79f7ddc348b03bcee2c594","0 Original","1 Modify"))))</f>
        <v>0 Original</v>
      </c>
      <c r="D1644" s="3" t="s">
        <v>2268</v>
      </c>
      <c r="E1644" s="5">
        <v>1647</v>
      </c>
      <c r="F1644">
        <v>491</v>
      </c>
      <c r="G1644" t="s">
        <v>472</v>
      </c>
      <c r="H1644" s="7">
        <v>6.99</v>
      </c>
      <c r="I1644" s="5">
        <v>1</v>
      </c>
      <c r="J1644" s="3" t="s">
        <v>29</v>
      </c>
      <c r="K1644" s="9">
        <v>42483.625740740739</v>
      </c>
    </row>
    <row r="1645" spans="3:11" x14ac:dyDescent="0.25">
      <c r="C1645" t="str">
        <f>IF(COUNTBLANK(E1645:K1645) = 7,"",IF(AND(NOT(ISBLANK(E1645)),COUNTBLANK(E1645:K1645) = 6),"3 Delete",IF(ISBLANK(E1645),"2 Add",IF(SHA1Range(E1645:K1645) = "a29919b6a005b3585bf8e66cbf44b41624d814c6","0 Original","1 Modify"))))</f>
        <v>0 Original</v>
      </c>
      <c r="D1645" s="3" t="s">
        <v>2269</v>
      </c>
      <c r="E1645" s="5">
        <v>1648</v>
      </c>
      <c r="F1645">
        <v>492</v>
      </c>
      <c r="G1645" t="s">
        <v>44</v>
      </c>
      <c r="H1645" s="7">
        <v>6.99</v>
      </c>
      <c r="I1645" s="5">
        <v>1</v>
      </c>
      <c r="J1645" s="3" t="s">
        <v>29</v>
      </c>
      <c r="K1645" s="9">
        <v>42483.625740740739</v>
      </c>
    </row>
    <row r="1646" spans="3:11" x14ac:dyDescent="0.25">
      <c r="C1646" t="str">
        <f>IF(COUNTBLANK(E1646:K1646) = 7,"",IF(AND(NOT(ISBLANK(E1646)),COUNTBLANK(E1646:K1646) = 6),"3 Delete",IF(ISBLANK(E1646),"2 Add",IF(SHA1Range(E1646:K1646) = "07de649fda4892ce368daa13b9a281c072152a12","0 Original","1 Modify"))))</f>
        <v>0 Original</v>
      </c>
      <c r="D1646" s="3" t="s">
        <v>2270</v>
      </c>
      <c r="E1646" s="5">
        <v>1649</v>
      </c>
      <c r="F1646">
        <v>492</v>
      </c>
      <c r="G1646" t="s">
        <v>364</v>
      </c>
      <c r="H1646" s="7">
        <v>9.99</v>
      </c>
      <c r="I1646" s="5">
        <v>1</v>
      </c>
      <c r="J1646" s="3" t="s">
        <v>29</v>
      </c>
      <c r="K1646" s="9">
        <v>42483.625740740739</v>
      </c>
    </row>
    <row r="1647" spans="3:11" x14ac:dyDescent="0.25">
      <c r="C1647" t="str">
        <f>IF(COUNTBLANK(E1647:K1647) = 7,"",IF(AND(NOT(ISBLANK(E1647)),COUNTBLANK(E1647:K1647) = 6),"3 Delete",IF(ISBLANK(E1647),"2 Add",IF(SHA1Range(E1647:K1647) = "c83dd4bb0a489a2010765075d582c3f060d5447e","0 Original","1 Modify"))))</f>
        <v>0 Original</v>
      </c>
      <c r="D1647" s="3" t="s">
        <v>2271</v>
      </c>
      <c r="E1647" s="5">
        <v>1650</v>
      </c>
      <c r="F1647">
        <v>492</v>
      </c>
      <c r="G1647" t="s">
        <v>459</v>
      </c>
      <c r="H1647" s="7">
        <v>5.99</v>
      </c>
      <c r="I1647" s="5">
        <v>1</v>
      </c>
      <c r="J1647" s="3" t="s">
        <v>29</v>
      </c>
      <c r="K1647" s="9">
        <v>42483.625740740739</v>
      </c>
    </row>
    <row r="1648" spans="3:11" x14ac:dyDescent="0.25">
      <c r="C1648" t="str">
        <f>IF(COUNTBLANK(E1648:K1648) = 7,"",IF(AND(NOT(ISBLANK(E1648)),COUNTBLANK(E1648:K1648) = 6),"3 Delete",IF(ISBLANK(E1648),"2 Add",IF(SHA1Range(E1648:K1648) = "6b71e9b16d975ec0ccdcf3ca5e4f96a615e3ddd2","0 Original","1 Modify"))))</f>
        <v>0 Original</v>
      </c>
      <c r="D1648" s="3" t="s">
        <v>2272</v>
      </c>
      <c r="E1648" s="5">
        <v>1651</v>
      </c>
      <c r="F1648">
        <v>492</v>
      </c>
      <c r="G1648" t="s">
        <v>459</v>
      </c>
      <c r="H1648" s="7">
        <v>5.99</v>
      </c>
      <c r="I1648" s="5">
        <v>2</v>
      </c>
      <c r="J1648" s="3" t="s">
        <v>29</v>
      </c>
      <c r="K1648" s="9">
        <v>42483.625740740739</v>
      </c>
    </row>
    <row r="1649" spans="3:11" x14ac:dyDescent="0.25">
      <c r="C1649" t="str">
        <f>IF(COUNTBLANK(E1649:K1649) = 7,"",IF(AND(NOT(ISBLANK(E1649)),COUNTBLANK(E1649:K1649) = 6),"3 Delete",IF(ISBLANK(E1649),"2 Add",IF(SHA1Range(E1649:K1649) = "c2fc558cad294cd5f6dd2bb7ae16aafda5efaff3","0 Original","1 Modify"))))</f>
        <v>0 Original</v>
      </c>
      <c r="D1649" s="3" t="s">
        <v>2273</v>
      </c>
      <c r="E1649" s="5">
        <v>1652</v>
      </c>
      <c r="F1649">
        <v>492</v>
      </c>
      <c r="G1649" t="s">
        <v>217</v>
      </c>
      <c r="H1649" s="7">
        <v>9.99</v>
      </c>
      <c r="I1649" s="5">
        <v>2</v>
      </c>
      <c r="J1649" s="3" t="s">
        <v>29</v>
      </c>
      <c r="K1649" s="9">
        <v>42483.625740740739</v>
      </c>
    </row>
    <row r="1650" spans="3:11" x14ac:dyDescent="0.25">
      <c r="C1650" t="str">
        <f>IF(COUNTBLANK(E1650:K1650) = 7,"",IF(AND(NOT(ISBLANK(E1650)),COUNTBLANK(E1650:K1650) = 6),"3 Delete",IF(ISBLANK(E1650),"2 Add",IF(SHA1Range(E1650:K1650) = "caa7fc4aa7c83fe8ac17d003fb8b9bb8e5e15e5f","0 Original","1 Modify"))))</f>
        <v>0 Original</v>
      </c>
      <c r="D1650" s="3" t="s">
        <v>2274</v>
      </c>
      <c r="E1650" s="5">
        <v>1653</v>
      </c>
      <c r="F1650">
        <v>492</v>
      </c>
      <c r="G1650" t="s">
        <v>254</v>
      </c>
      <c r="H1650" s="7">
        <v>4.99</v>
      </c>
      <c r="I1650" s="5">
        <v>1</v>
      </c>
      <c r="J1650" s="3" t="s">
        <v>29</v>
      </c>
      <c r="K1650" s="9">
        <v>42483.625740740739</v>
      </c>
    </row>
    <row r="1651" spans="3:11" x14ac:dyDescent="0.25">
      <c r="C1651" t="str">
        <f>IF(COUNTBLANK(E1651:K1651) = 7,"",IF(AND(NOT(ISBLANK(E1651)),COUNTBLANK(E1651:K1651) = 6),"3 Delete",IF(ISBLANK(E1651),"2 Add",IF(SHA1Range(E1651:K1651) = "e8ffda39a677a21cb03de74cb0ca51f0ae596fb2","0 Original","1 Modify"))))</f>
        <v>0 Original</v>
      </c>
      <c r="D1651" s="3" t="s">
        <v>2275</v>
      </c>
      <c r="E1651" s="5">
        <v>1654</v>
      </c>
      <c r="F1651">
        <v>492</v>
      </c>
      <c r="G1651" t="s">
        <v>54</v>
      </c>
      <c r="H1651" s="7">
        <v>5.99</v>
      </c>
      <c r="I1651" s="5">
        <v>2</v>
      </c>
      <c r="J1651" s="3" t="s">
        <v>29</v>
      </c>
      <c r="K1651" s="9">
        <v>42483.625740740739</v>
      </c>
    </row>
    <row r="1652" spans="3:11" x14ac:dyDescent="0.25">
      <c r="C1652" t="str">
        <f>IF(COUNTBLANK(E1652:K1652) = 7,"",IF(AND(NOT(ISBLANK(E1652)),COUNTBLANK(E1652:K1652) = 6),"3 Delete",IF(ISBLANK(E1652),"2 Add",IF(SHA1Range(E1652:K1652) = "6f1026561c9c7fb9d748f1407a070adc9022eb41","0 Original","1 Modify"))))</f>
        <v>0 Original</v>
      </c>
      <c r="D1652" s="3" t="s">
        <v>2276</v>
      </c>
      <c r="E1652" s="5">
        <v>1655</v>
      </c>
      <c r="F1652">
        <v>492</v>
      </c>
      <c r="G1652" t="s">
        <v>37</v>
      </c>
      <c r="H1652" s="7">
        <v>6.99</v>
      </c>
      <c r="I1652" s="5">
        <v>1</v>
      </c>
      <c r="J1652" s="3" t="s">
        <v>29</v>
      </c>
      <c r="K1652" s="9">
        <v>42483.625740740739</v>
      </c>
    </row>
    <row r="1653" spans="3:11" x14ac:dyDescent="0.25">
      <c r="C1653" t="str">
        <f>IF(COUNTBLANK(E1653:K1653) = 7,"",IF(AND(NOT(ISBLANK(E1653)),COUNTBLANK(E1653:K1653) = 6),"3 Delete",IF(ISBLANK(E1653),"2 Add",IF(SHA1Range(E1653:K1653) = "c7ca3ca3425131d43660cf6370a3eeaa99ad48f2","0 Original","1 Modify"))))</f>
        <v>0 Original</v>
      </c>
      <c r="D1653" s="3" t="s">
        <v>2277</v>
      </c>
      <c r="E1653" s="5">
        <v>1656</v>
      </c>
      <c r="F1653">
        <v>493</v>
      </c>
      <c r="G1653" t="s">
        <v>109</v>
      </c>
      <c r="H1653" s="7">
        <v>8.99</v>
      </c>
      <c r="I1653" s="5">
        <v>2</v>
      </c>
      <c r="J1653" s="3" t="s">
        <v>29</v>
      </c>
      <c r="K1653" s="9">
        <v>42483.625740740739</v>
      </c>
    </row>
    <row r="1654" spans="3:11" x14ac:dyDescent="0.25">
      <c r="C1654" t="str">
        <f>IF(COUNTBLANK(E1654:K1654) = 7,"",IF(AND(NOT(ISBLANK(E1654)),COUNTBLANK(E1654:K1654) = 6),"3 Delete",IF(ISBLANK(E1654),"2 Add",IF(SHA1Range(E1654:K1654) = "503670ed4ffade9302edeed09a2f76c6ad614e42","0 Original","1 Modify"))))</f>
        <v>0 Original</v>
      </c>
      <c r="D1654" s="3" t="s">
        <v>2278</v>
      </c>
      <c r="E1654" s="5">
        <v>1657</v>
      </c>
      <c r="F1654">
        <v>493</v>
      </c>
      <c r="G1654" t="s">
        <v>418</v>
      </c>
      <c r="H1654" s="7">
        <v>6.99</v>
      </c>
      <c r="I1654" s="5">
        <v>1</v>
      </c>
      <c r="J1654" s="3" t="s">
        <v>29</v>
      </c>
      <c r="K1654" s="9">
        <v>42483.625740740739</v>
      </c>
    </row>
    <row r="1655" spans="3:11" x14ac:dyDescent="0.25">
      <c r="C1655" t="str">
        <f>IF(COUNTBLANK(E1655:K1655) = 7,"",IF(AND(NOT(ISBLANK(E1655)),COUNTBLANK(E1655:K1655) = 6),"3 Delete",IF(ISBLANK(E1655),"2 Add",IF(SHA1Range(E1655:K1655) = "fd70c9e1184008555f7d08ab91589aa05028ea4b","0 Original","1 Modify"))))</f>
        <v>0 Original</v>
      </c>
      <c r="D1655" s="3" t="s">
        <v>2279</v>
      </c>
      <c r="E1655" s="5">
        <v>1658</v>
      </c>
      <c r="F1655">
        <v>493</v>
      </c>
      <c r="G1655" t="s">
        <v>503</v>
      </c>
      <c r="H1655" s="7">
        <v>8.99</v>
      </c>
      <c r="I1655" s="5">
        <v>2</v>
      </c>
      <c r="J1655" s="3" t="s">
        <v>29</v>
      </c>
      <c r="K1655" s="9">
        <v>42483.625740740739</v>
      </c>
    </row>
    <row r="1656" spans="3:11" x14ac:dyDescent="0.25">
      <c r="C1656" t="str">
        <f>IF(COUNTBLANK(E1656:K1656) = 7,"",IF(AND(NOT(ISBLANK(E1656)),COUNTBLANK(E1656:K1656) = 6),"3 Delete",IF(ISBLANK(E1656),"2 Add",IF(SHA1Range(E1656:K1656) = "1dfb73dc5b9bdd334d3bb581881947ce1c95ce48","0 Original","1 Modify"))))</f>
        <v>0 Original</v>
      </c>
      <c r="D1656" s="3" t="s">
        <v>2280</v>
      </c>
      <c r="E1656" s="5">
        <v>1659</v>
      </c>
      <c r="F1656">
        <v>494</v>
      </c>
      <c r="G1656" t="s">
        <v>230</v>
      </c>
      <c r="H1656" s="7">
        <v>5.99</v>
      </c>
      <c r="I1656" s="5">
        <v>1</v>
      </c>
      <c r="J1656" s="3" t="s">
        <v>29</v>
      </c>
      <c r="K1656" s="9">
        <v>42483.625740740739</v>
      </c>
    </row>
    <row r="1657" spans="3:11" x14ac:dyDescent="0.25">
      <c r="C1657" t="str">
        <f>IF(COUNTBLANK(E1657:K1657) = 7,"",IF(AND(NOT(ISBLANK(E1657)),COUNTBLANK(E1657:K1657) = 6),"3 Delete",IF(ISBLANK(E1657),"2 Add",IF(SHA1Range(E1657:K1657) = "1fecb211a33dbeee05e3b429f5906b73dd76a513","0 Original","1 Modify"))))</f>
        <v>0 Original</v>
      </c>
      <c r="D1657" s="3" t="s">
        <v>2281</v>
      </c>
      <c r="E1657" s="5">
        <v>1660</v>
      </c>
      <c r="F1657">
        <v>494</v>
      </c>
      <c r="G1657" t="s">
        <v>421</v>
      </c>
      <c r="H1657" s="7">
        <v>6.99</v>
      </c>
      <c r="I1657" s="5">
        <v>1</v>
      </c>
      <c r="J1657" s="3" t="s">
        <v>29</v>
      </c>
      <c r="K1657" s="9">
        <v>42483.625740740739</v>
      </c>
    </row>
    <row r="1658" spans="3:11" x14ac:dyDescent="0.25">
      <c r="C1658" t="str">
        <f>IF(COUNTBLANK(E1658:K1658) = 7,"",IF(AND(NOT(ISBLANK(E1658)),COUNTBLANK(E1658:K1658) = 6),"3 Delete",IF(ISBLANK(E1658),"2 Add",IF(SHA1Range(E1658:K1658) = "5b59984415cf8270e3411abd815e56696c4fd499","0 Original","1 Modify"))))</f>
        <v>0 Original</v>
      </c>
      <c r="D1658" s="3" t="s">
        <v>2282</v>
      </c>
      <c r="E1658" s="5">
        <v>1661</v>
      </c>
      <c r="F1658">
        <v>494</v>
      </c>
      <c r="G1658" t="s">
        <v>126</v>
      </c>
      <c r="H1658" s="7">
        <v>6.99</v>
      </c>
      <c r="I1658" s="5">
        <v>1</v>
      </c>
      <c r="J1658" s="3" t="s">
        <v>29</v>
      </c>
      <c r="K1658" s="9">
        <v>42483.625740740739</v>
      </c>
    </row>
    <row r="1659" spans="3:11" x14ac:dyDescent="0.25">
      <c r="C1659" t="str">
        <f>IF(COUNTBLANK(E1659:K1659) = 7,"",IF(AND(NOT(ISBLANK(E1659)),COUNTBLANK(E1659:K1659) = 6),"3 Delete",IF(ISBLANK(E1659),"2 Add",IF(SHA1Range(E1659:K1659) = "99b99de3b62aeb561312177156b0f2174237f3e4","0 Original","1 Modify"))))</f>
        <v>0 Original</v>
      </c>
      <c r="D1659" s="3" t="s">
        <v>2283</v>
      </c>
      <c r="E1659" s="5">
        <v>1662</v>
      </c>
      <c r="F1659">
        <v>494</v>
      </c>
      <c r="G1659" t="s">
        <v>448</v>
      </c>
      <c r="H1659" s="7">
        <v>8.99</v>
      </c>
      <c r="I1659" s="5">
        <v>1</v>
      </c>
      <c r="J1659" s="3" t="s">
        <v>29</v>
      </c>
      <c r="K1659" s="9">
        <v>42483.625740740739</v>
      </c>
    </row>
    <row r="1660" spans="3:11" x14ac:dyDescent="0.25">
      <c r="C1660" t="str">
        <f>IF(COUNTBLANK(E1660:K1660) = 7,"",IF(AND(NOT(ISBLANK(E1660)),COUNTBLANK(E1660:K1660) = 6),"3 Delete",IF(ISBLANK(E1660),"2 Add",IF(SHA1Range(E1660:K1660) = "68d6257ed0864aedc4d462073fbe59e1b5ecaa44","0 Original","1 Modify"))))</f>
        <v>0 Original</v>
      </c>
      <c r="D1660" s="3" t="s">
        <v>2284</v>
      </c>
      <c r="E1660" s="5">
        <v>1663</v>
      </c>
      <c r="F1660">
        <v>494</v>
      </c>
      <c r="G1660" t="s">
        <v>576</v>
      </c>
      <c r="H1660" s="7">
        <v>5.99</v>
      </c>
      <c r="I1660" s="5">
        <v>1</v>
      </c>
      <c r="J1660" s="3" t="s">
        <v>29</v>
      </c>
      <c r="K1660" s="9">
        <v>42483.625740740739</v>
      </c>
    </row>
    <row r="1661" spans="3:11" x14ac:dyDescent="0.25">
      <c r="C1661" t="str">
        <f>IF(COUNTBLANK(E1661:K1661) = 7,"",IF(AND(NOT(ISBLANK(E1661)),COUNTBLANK(E1661:K1661) = 6),"3 Delete",IF(ISBLANK(E1661),"2 Add",IF(SHA1Range(E1661:K1661) = "c3fe4a5977889b0b97721c3abedd81949f2f8698","0 Original","1 Modify"))))</f>
        <v>0 Original</v>
      </c>
      <c r="D1661" s="3" t="s">
        <v>2285</v>
      </c>
      <c r="E1661" s="5">
        <v>1664</v>
      </c>
      <c r="F1661">
        <v>495</v>
      </c>
      <c r="G1661" t="s">
        <v>136</v>
      </c>
      <c r="H1661" s="7">
        <v>8.99</v>
      </c>
      <c r="I1661" s="5">
        <v>1</v>
      </c>
      <c r="J1661" s="3" t="s">
        <v>29</v>
      </c>
      <c r="K1661" s="9">
        <v>42483.625740740739</v>
      </c>
    </row>
    <row r="1662" spans="3:11" x14ac:dyDescent="0.25">
      <c r="C1662" t="str">
        <f>IF(COUNTBLANK(E1662:K1662) = 7,"",IF(AND(NOT(ISBLANK(E1662)),COUNTBLANK(E1662:K1662) = 6),"3 Delete",IF(ISBLANK(E1662),"2 Add",IF(SHA1Range(E1662:K1662) = "44e032f264f3c7652151d84d9a9bd78045bad58b","0 Original","1 Modify"))))</f>
        <v>0 Original</v>
      </c>
      <c r="D1662" s="3" t="s">
        <v>2286</v>
      </c>
      <c r="E1662" s="5">
        <v>1665</v>
      </c>
      <c r="F1662">
        <v>496</v>
      </c>
      <c r="G1662" t="s">
        <v>459</v>
      </c>
      <c r="H1662" s="7">
        <v>5.99</v>
      </c>
      <c r="I1662" s="5">
        <v>1</v>
      </c>
      <c r="J1662" s="3" t="s">
        <v>29</v>
      </c>
      <c r="K1662" s="9">
        <v>42483.625740740739</v>
      </c>
    </row>
    <row r="1663" spans="3:11" x14ac:dyDescent="0.25">
      <c r="C1663" t="str">
        <f>IF(COUNTBLANK(E1663:K1663) = 7,"",IF(AND(NOT(ISBLANK(E1663)),COUNTBLANK(E1663:K1663) = 6),"3 Delete",IF(ISBLANK(E1663),"2 Add",IF(SHA1Range(E1663:K1663) = "dace244422c46da85ed3a19e42bdea9e7749b14e","0 Original","1 Modify"))))</f>
        <v>0 Original</v>
      </c>
      <c r="D1663" s="3" t="s">
        <v>2287</v>
      </c>
      <c r="E1663" s="5">
        <v>1666</v>
      </c>
      <c r="F1663">
        <v>496</v>
      </c>
      <c r="G1663" t="s">
        <v>459</v>
      </c>
      <c r="H1663" s="7">
        <v>5.99</v>
      </c>
      <c r="I1663" s="5">
        <v>1</v>
      </c>
      <c r="J1663" s="3" t="s">
        <v>29</v>
      </c>
      <c r="K1663" s="9">
        <v>42483.625740740739</v>
      </c>
    </row>
    <row r="1664" spans="3:11" x14ac:dyDescent="0.25">
      <c r="C1664" t="str">
        <f>IF(COUNTBLANK(E1664:K1664) = 7,"",IF(AND(NOT(ISBLANK(E1664)),COUNTBLANK(E1664:K1664) = 6),"3 Delete",IF(ISBLANK(E1664),"2 Add",IF(SHA1Range(E1664:K1664) = "f3ca198272b01af5f2c6e2f5cbd643899b621412","0 Original","1 Modify"))))</f>
        <v>0 Original</v>
      </c>
      <c r="D1664" s="3" t="s">
        <v>2288</v>
      </c>
      <c r="E1664" s="5">
        <v>1667</v>
      </c>
      <c r="F1664">
        <v>497</v>
      </c>
      <c r="G1664" t="s">
        <v>388</v>
      </c>
      <c r="H1664" s="7">
        <v>5.99</v>
      </c>
      <c r="I1664" s="5">
        <v>1</v>
      </c>
      <c r="J1664" s="3" t="s">
        <v>29</v>
      </c>
      <c r="K1664" s="9">
        <v>42483.625740740739</v>
      </c>
    </row>
    <row r="1665" spans="3:11" x14ac:dyDescent="0.25">
      <c r="C1665" t="str">
        <f>IF(COUNTBLANK(E1665:K1665) = 7,"",IF(AND(NOT(ISBLANK(E1665)),COUNTBLANK(E1665:K1665) = 6),"3 Delete",IF(ISBLANK(E1665),"2 Add",IF(SHA1Range(E1665:K1665) = "73a0040cf7183db37e2edb9f9a6c0d39732962f4","0 Original","1 Modify"))))</f>
        <v>0 Original</v>
      </c>
      <c r="D1665" s="3" t="s">
        <v>2289</v>
      </c>
      <c r="E1665" s="5">
        <v>1668</v>
      </c>
      <c r="F1665">
        <v>497</v>
      </c>
      <c r="G1665" t="s">
        <v>238</v>
      </c>
      <c r="H1665" s="7">
        <v>5.99</v>
      </c>
      <c r="I1665" s="5">
        <v>2</v>
      </c>
      <c r="J1665" s="3" t="s">
        <v>29</v>
      </c>
      <c r="K1665" s="9">
        <v>42483.625740740739</v>
      </c>
    </row>
    <row r="1666" spans="3:11" x14ac:dyDescent="0.25">
      <c r="C1666" t="str">
        <f>IF(COUNTBLANK(E1666:K1666) = 7,"",IF(AND(NOT(ISBLANK(E1666)),COUNTBLANK(E1666:K1666) = 6),"3 Delete",IF(ISBLANK(E1666),"2 Add",IF(SHA1Range(E1666:K1666) = "04677663800a3f11700c5357e80ca70fb8472ef5","0 Original","1 Modify"))))</f>
        <v>0 Original</v>
      </c>
      <c r="D1666" s="3" t="s">
        <v>2290</v>
      </c>
      <c r="E1666" s="5">
        <v>1669</v>
      </c>
      <c r="F1666">
        <v>497</v>
      </c>
      <c r="G1666" t="s">
        <v>133</v>
      </c>
      <c r="H1666" s="7">
        <v>7.99</v>
      </c>
      <c r="I1666" s="5">
        <v>2</v>
      </c>
      <c r="J1666" s="3" t="s">
        <v>29</v>
      </c>
      <c r="K1666" s="9">
        <v>42483.625740740739</v>
      </c>
    </row>
    <row r="1667" spans="3:11" x14ac:dyDescent="0.25">
      <c r="C1667" t="str">
        <f>IF(COUNTBLANK(E1667:K1667) = 7,"",IF(AND(NOT(ISBLANK(E1667)),COUNTBLANK(E1667:K1667) = 6),"3 Delete",IF(ISBLANK(E1667),"2 Add",IF(SHA1Range(E1667:K1667) = "0fd81d9491ac01a0db9787b768af140f10ac7bcc","0 Original","1 Modify"))))</f>
        <v>0 Original</v>
      </c>
      <c r="D1667" s="3" t="s">
        <v>2291</v>
      </c>
      <c r="E1667" s="5">
        <v>1670</v>
      </c>
      <c r="F1667">
        <v>497</v>
      </c>
      <c r="G1667" t="s">
        <v>388</v>
      </c>
      <c r="H1667" s="7">
        <v>5.99</v>
      </c>
      <c r="I1667" s="5">
        <v>1</v>
      </c>
      <c r="J1667" s="3" t="s">
        <v>29</v>
      </c>
      <c r="K1667" s="9">
        <v>42483.625740740739</v>
      </c>
    </row>
    <row r="1668" spans="3:11" x14ac:dyDescent="0.25">
      <c r="C1668" t="str">
        <f>IF(COUNTBLANK(E1668:K1668) = 7,"",IF(AND(NOT(ISBLANK(E1668)),COUNTBLANK(E1668:K1668) = 6),"3 Delete",IF(ISBLANK(E1668),"2 Add",IF(SHA1Range(E1668:K1668) = "5e1aed833b3088ead445c6806dcc7baf69cbd583","0 Original","1 Modify"))))</f>
        <v>0 Original</v>
      </c>
      <c r="D1668" s="3" t="s">
        <v>2292</v>
      </c>
      <c r="E1668" s="5">
        <v>1671</v>
      </c>
      <c r="F1668">
        <v>497</v>
      </c>
      <c r="G1668" t="s">
        <v>149</v>
      </c>
      <c r="H1668" s="7">
        <v>7.99</v>
      </c>
      <c r="I1668" s="5">
        <v>1</v>
      </c>
      <c r="J1668" s="3" t="s">
        <v>29</v>
      </c>
      <c r="K1668" s="9">
        <v>42483.625740740739</v>
      </c>
    </row>
    <row r="1669" spans="3:11" x14ac:dyDescent="0.25">
      <c r="C1669" t="str">
        <f>IF(COUNTBLANK(E1669:K1669) = 7,"",IF(AND(NOT(ISBLANK(E1669)),COUNTBLANK(E1669:K1669) = 6),"3 Delete",IF(ISBLANK(E1669),"2 Add",IF(SHA1Range(E1669:K1669) = "be5e858ab9fbdd2624888251a5657eb69dfa67d2","0 Original","1 Modify"))))</f>
        <v>0 Original</v>
      </c>
      <c r="D1669" s="3" t="s">
        <v>2293</v>
      </c>
      <c r="E1669" s="5">
        <v>1672</v>
      </c>
      <c r="F1669">
        <v>497</v>
      </c>
      <c r="G1669" t="s">
        <v>456</v>
      </c>
      <c r="H1669" s="7">
        <v>9.99</v>
      </c>
      <c r="I1669" s="5">
        <v>2</v>
      </c>
      <c r="J1669" s="3" t="s">
        <v>29</v>
      </c>
      <c r="K1669" s="9">
        <v>42483.625740740739</v>
      </c>
    </row>
    <row r="1670" spans="3:11" x14ac:dyDescent="0.25">
      <c r="C1670" t="str">
        <f>IF(COUNTBLANK(E1670:K1670) = 7,"",IF(AND(NOT(ISBLANK(E1670)),COUNTBLANK(E1670:K1670) = 6),"3 Delete",IF(ISBLANK(E1670),"2 Add",IF(SHA1Range(E1670:K1670) = "59f7d560106b82189116ccb5fdbf803b03ff6745","0 Original","1 Modify"))))</f>
        <v>0 Original</v>
      </c>
      <c r="D1670" s="3" t="s">
        <v>2294</v>
      </c>
      <c r="E1670" s="5">
        <v>1673</v>
      </c>
      <c r="F1670">
        <v>497</v>
      </c>
      <c r="G1670" t="s">
        <v>142</v>
      </c>
      <c r="H1670" s="7">
        <v>4.99</v>
      </c>
      <c r="I1670" s="5">
        <v>1</v>
      </c>
      <c r="J1670" s="3" t="s">
        <v>29</v>
      </c>
      <c r="K1670" s="9">
        <v>42483.625740740739</v>
      </c>
    </row>
    <row r="1671" spans="3:11" x14ac:dyDescent="0.25">
      <c r="C1671" t="str">
        <f>IF(COUNTBLANK(E1671:K1671) = 7,"",IF(AND(NOT(ISBLANK(E1671)),COUNTBLANK(E1671:K1671) = 6),"3 Delete",IF(ISBLANK(E1671),"2 Add",IF(SHA1Range(E1671:K1671) = "c521f7a9f463ad63df28fbdbc8578c42efd6befd","0 Original","1 Modify"))))</f>
        <v>0 Original</v>
      </c>
      <c r="D1671" s="3" t="s">
        <v>2295</v>
      </c>
      <c r="E1671" s="5">
        <v>1674</v>
      </c>
      <c r="F1671">
        <v>497</v>
      </c>
      <c r="G1671" t="s">
        <v>537</v>
      </c>
      <c r="H1671" s="7">
        <v>7.99</v>
      </c>
      <c r="I1671" s="5">
        <v>2</v>
      </c>
      <c r="J1671" s="3" t="s">
        <v>29</v>
      </c>
      <c r="K1671" s="9">
        <v>42483.625740740739</v>
      </c>
    </row>
    <row r="1672" spans="3:11" x14ac:dyDescent="0.25">
      <c r="C1672" t="str">
        <f>IF(COUNTBLANK(E1672:K1672) = 7,"",IF(AND(NOT(ISBLANK(E1672)),COUNTBLANK(E1672:K1672) = 6),"3 Delete",IF(ISBLANK(E1672),"2 Add",IF(SHA1Range(E1672:K1672) = "1d3ad2d6167696a063b9db334ea168900ffdae2e","0 Original","1 Modify"))))</f>
        <v>0 Original</v>
      </c>
      <c r="D1672" s="3" t="s">
        <v>2296</v>
      </c>
      <c r="E1672" s="5">
        <v>1675</v>
      </c>
      <c r="F1672">
        <v>498</v>
      </c>
      <c r="G1672" t="s">
        <v>602</v>
      </c>
      <c r="H1672" s="7">
        <v>7.99</v>
      </c>
      <c r="I1672" s="5">
        <v>1</v>
      </c>
      <c r="J1672" s="3" t="s">
        <v>29</v>
      </c>
      <c r="K1672" s="9">
        <v>42483.625740740739</v>
      </c>
    </row>
    <row r="1673" spans="3:11" x14ac:dyDescent="0.25">
      <c r="C1673" t="str">
        <f>IF(COUNTBLANK(E1673:K1673) = 7,"",IF(AND(NOT(ISBLANK(E1673)),COUNTBLANK(E1673:K1673) = 6),"3 Delete",IF(ISBLANK(E1673),"2 Add",IF(SHA1Range(E1673:K1673) = "a2fb74696c1e2d6cc6de56d6c5003e27bab3b113","0 Original","1 Modify"))))</f>
        <v>0 Original</v>
      </c>
      <c r="D1673" s="3" t="s">
        <v>2297</v>
      </c>
      <c r="E1673" s="5">
        <v>1676</v>
      </c>
      <c r="F1673">
        <v>498</v>
      </c>
      <c r="G1673" t="s">
        <v>459</v>
      </c>
      <c r="H1673" s="7">
        <v>5.99</v>
      </c>
      <c r="I1673" s="5">
        <v>1</v>
      </c>
      <c r="J1673" s="3" t="s">
        <v>29</v>
      </c>
      <c r="K1673" s="9">
        <v>42483.625740740739</v>
      </c>
    </row>
    <row r="1674" spans="3:11" x14ac:dyDescent="0.25">
      <c r="C1674" t="str">
        <f>IF(COUNTBLANK(E1674:K1674) = 7,"",IF(AND(NOT(ISBLANK(E1674)),COUNTBLANK(E1674:K1674) = 6),"3 Delete",IF(ISBLANK(E1674),"2 Add",IF(SHA1Range(E1674:K1674) = "f351b68c42e89f07f37f58fe4977dc9d6d295c14","0 Original","1 Modify"))))</f>
        <v>0 Original</v>
      </c>
      <c r="D1674" s="3" t="s">
        <v>2298</v>
      </c>
      <c r="E1674" s="5">
        <v>1677</v>
      </c>
      <c r="F1674">
        <v>498</v>
      </c>
      <c r="G1674" t="s">
        <v>126</v>
      </c>
      <c r="H1674" s="7">
        <v>6.99</v>
      </c>
      <c r="I1674" s="5">
        <v>1</v>
      </c>
      <c r="J1674" s="3" t="s">
        <v>29</v>
      </c>
      <c r="K1674" s="9">
        <v>42483.625740740739</v>
      </c>
    </row>
    <row r="1675" spans="3:11" x14ac:dyDescent="0.25">
      <c r="C1675" t="str">
        <f>IF(COUNTBLANK(E1675:K1675) = 7,"",IF(AND(NOT(ISBLANK(E1675)),COUNTBLANK(E1675:K1675) = 6),"3 Delete",IF(ISBLANK(E1675),"2 Add",IF(SHA1Range(E1675:K1675) = "a2af5402611694d51c57f64945f7a042df52ac4d","0 Original","1 Modify"))))</f>
        <v>0 Original</v>
      </c>
      <c r="D1675" s="3" t="s">
        <v>2299</v>
      </c>
      <c r="E1675" s="5">
        <v>1678</v>
      </c>
      <c r="F1675">
        <v>498</v>
      </c>
      <c r="G1675" t="s">
        <v>425</v>
      </c>
      <c r="H1675" s="7">
        <v>6.99</v>
      </c>
      <c r="I1675" s="5">
        <v>1</v>
      </c>
      <c r="J1675" s="3" t="s">
        <v>29</v>
      </c>
      <c r="K1675" s="9">
        <v>42483.625740740739</v>
      </c>
    </row>
    <row r="1676" spans="3:11" x14ac:dyDescent="0.25">
      <c r="C1676" t="str">
        <f>IF(COUNTBLANK(E1676:K1676) = 7,"",IF(AND(NOT(ISBLANK(E1676)),COUNTBLANK(E1676:K1676) = 6),"3 Delete",IF(ISBLANK(E1676),"2 Add",IF(SHA1Range(E1676:K1676) = "5d6cb95d04ecbc90674a1fd82149f9f7cad6031e","0 Original","1 Modify"))))</f>
        <v>0 Original</v>
      </c>
      <c r="D1676" s="3" t="s">
        <v>2300</v>
      </c>
      <c r="E1676" s="5">
        <v>1679</v>
      </c>
      <c r="F1676">
        <v>499</v>
      </c>
      <c r="G1676" t="s">
        <v>472</v>
      </c>
      <c r="H1676" s="7">
        <v>6.99</v>
      </c>
      <c r="I1676" s="5">
        <v>1</v>
      </c>
      <c r="J1676" s="3" t="s">
        <v>29</v>
      </c>
      <c r="K1676" s="9">
        <v>42483.625740740739</v>
      </c>
    </row>
    <row r="1677" spans="3:11" x14ac:dyDescent="0.25">
      <c r="C1677" t="str">
        <f>IF(COUNTBLANK(E1677:K1677) = 7,"",IF(AND(NOT(ISBLANK(E1677)),COUNTBLANK(E1677:K1677) = 6),"3 Delete",IF(ISBLANK(E1677),"2 Add",IF(SHA1Range(E1677:K1677) = "4654fa1eea1e018f279ad72d26476a381c62fbdf","0 Original","1 Modify"))))</f>
        <v>0 Original</v>
      </c>
      <c r="D1677" s="3" t="s">
        <v>2301</v>
      </c>
      <c r="E1677" s="5">
        <v>1680</v>
      </c>
      <c r="F1677">
        <v>499</v>
      </c>
      <c r="G1677" t="s">
        <v>456</v>
      </c>
      <c r="H1677" s="7">
        <v>9.99</v>
      </c>
      <c r="I1677" s="5">
        <v>1</v>
      </c>
      <c r="J1677" s="3" t="s">
        <v>29</v>
      </c>
      <c r="K1677" s="9">
        <v>42483.625740740739</v>
      </c>
    </row>
    <row r="1678" spans="3:11" x14ac:dyDescent="0.25">
      <c r="C1678" t="str">
        <f>IF(COUNTBLANK(E1678:K1678) = 7,"",IF(AND(NOT(ISBLANK(E1678)),COUNTBLANK(E1678:K1678) = 6),"3 Delete",IF(ISBLANK(E1678),"2 Add",IF(SHA1Range(E1678:K1678) = "e96e9da7bbd6374463c2f62e3bac04a0f5f1a314","0 Original","1 Modify"))))</f>
        <v>0 Original</v>
      </c>
      <c r="D1678" s="3" t="s">
        <v>2302</v>
      </c>
      <c r="E1678" s="5">
        <v>1681</v>
      </c>
      <c r="F1678">
        <v>499</v>
      </c>
      <c r="G1678" t="s">
        <v>546</v>
      </c>
      <c r="H1678" s="7">
        <v>9.99</v>
      </c>
      <c r="I1678" s="5">
        <v>1</v>
      </c>
      <c r="J1678" s="3" t="s">
        <v>29</v>
      </c>
      <c r="K1678" s="9">
        <v>42483.625740740739</v>
      </c>
    </row>
    <row r="1679" spans="3:11" x14ac:dyDescent="0.25">
      <c r="C1679" t="str">
        <f>IF(COUNTBLANK(E1679:K1679) = 7,"",IF(AND(NOT(ISBLANK(E1679)),COUNTBLANK(E1679:K1679) = 6),"3 Delete",IF(ISBLANK(E1679),"2 Add",IF(SHA1Range(E1679:K1679) = "c30843be186b10889e6b0b680560b93864d44b5e","0 Original","1 Modify"))))</f>
        <v>0 Original</v>
      </c>
      <c r="D1679" s="3" t="s">
        <v>2303</v>
      </c>
      <c r="E1679" s="5">
        <v>1682</v>
      </c>
      <c r="F1679">
        <v>500</v>
      </c>
      <c r="G1679" t="s">
        <v>58</v>
      </c>
      <c r="H1679" s="7">
        <v>8.99</v>
      </c>
      <c r="I1679" s="5">
        <v>2</v>
      </c>
      <c r="J1679" s="3" t="s">
        <v>29</v>
      </c>
      <c r="K1679" s="9">
        <v>42483.625740740739</v>
      </c>
    </row>
    <row r="1680" spans="3:11" x14ac:dyDescent="0.25">
      <c r="C1680" t="str">
        <f>IF(COUNTBLANK(E1680:K1680) = 7,"",IF(AND(NOT(ISBLANK(E1680)),COUNTBLANK(E1680:K1680) = 6),"3 Delete",IF(ISBLANK(E1680),"2 Add",IF(SHA1Range(E1680:K1680) = "8d20c9925824dcdef806e9dff6435af6a370ce8f","0 Original","1 Modify"))))</f>
        <v>0 Original</v>
      </c>
      <c r="D1680" s="3" t="s">
        <v>2304</v>
      </c>
      <c r="E1680" s="5">
        <v>1683</v>
      </c>
      <c r="F1680">
        <v>500</v>
      </c>
      <c r="G1680" t="s">
        <v>37</v>
      </c>
      <c r="H1680" s="7">
        <v>6.99</v>
      </c>
      <c r="I1680" s="5">
        <v>1</v>
      </c>
      <c r="J1680" s="3" t="s">
        <v>29</v>
      </c>
      <c r="K1680" s="9">
        <v>42483.625740740739</v>
      </c>
    </row>
    <row r="1681" spans="3:11" x14ac:dyDescent="0.25">
      <c r="C1681" t="str">
        <f>IF(COUNTBLANK(E1681:K1681) = 7,"",IF(AND(NOT(ISBLANK(E1681)),COUNTBLANK(E1681:K1681) = 6),"3 Delete",IF(ISBLANK(E1681),"2 Add",IF(SHA1Range(E1681:K1681) = "23c21219c04c0e562d73ed7ef69516377625798d","0 Original","1 Modify"))))</f>
        <v>0 Original</v>
      </c>
      <c r="D1681" s="3" t="s">
        <v>2305</v>
      </c>
      <c r="E1681" s="5">
        <v>1684</v>
      </c>
      <c r="F1681">
        <v>500</v>
      </c>
      <c r="G1681" t="s">
        <v>238</v>
      </c>
      <c r="H1681" s="7">
        <v>5.99</v>
      </c>
      <c r="I1681" s="5">
        <v>2</v>
      </c>
      <c r="J1681" s="3" t="s">
        <v>29</v>
      </c>
      <c r="K1681" s="9">
        <v>42483.625740740739</v>
      </c>
    </row>
    <row r="1682" spans="3:11" x14ac:dyDescent="0.25">
      <c r="C1682" t="str">
        <f>IF(COUNTBLANK(E1682:K1682) = 7,"",IF(AND(NOT(ISBLANK(E1682)),COUNTBLANK(E1682:K1682) = 6),"3 Delete",IF(ISBLANK(E1682),"2 Add",IF(SHA1Range(E1682:K1682) = "81b77ef389c9af99b97e25d1edcb344624c06a6c","0 Original","1 Modify"))))</f>
        <v>0 Original</v>
      </c>
      <c r="D1682" s="3" t="s">
        <v>2306</v>
      </c>
      <c r="E1682" s="5">
        <v>1685</v>
      </c>
      <c r="F1682">
        <v>500</v>
      </c>
      <c r="G1682" t="s">
        <v>525</v>
      </c>
      <c r="H1682" s="7">
        <v>4.99</v>
      </c>
      <c r="I1682" s="5">
        <v>2</v>
      </c>
      <c r="J1682" s="3" t="s">
        <v>29</v>
      </c>
      <c r="K1682" s="9">
        <v>42483.625740740739</v>
      </c>
    </row>
    <row r="1683" spans="3:11" x14ac:dyDescent="0.25">
      <c r="C1683" t="str">
        <f>IF(COUNTBLANK(E1683:K1683) = 7,"",IF(AND(NOT(ISBLANK(E1683)),COUNTBLANK(E1683:K1683) = 6),"3 Delete",IF(ISBLANK(E1683),"2 Add",IF(SHA1Range(E1683:K1683) = "78dee63e1a1c583212f61ff84ff10e00b8604762","0 Original","1 Modify"))))</f>
        <v>0 Original</v>
      </c>
      <c r="D1683" s="3" t="s">
        <v>2307</v>
      </c>
      <c r="E1683" s="5">
        <v>1686</v>
      </c>
      <c r="F1683">
        <v>500</v>
      </c>
      <c r="G1683" t="s">
        <v>30</v>
      </c>
      <c r="H1683" s="7">
        <v>9.99</v>
      </c>
      <c r="I1683" s="5">
        <v>1</v>
      </c>
      <c r="J1683" s="3" t="s">
        <v>29</v>
      </c>
      <c r="K1683" s="9">
        <v>42483.625740740739</v>
      </c>
    </row>
    <row r="1684" spans="3:11" x14ac:dyDescent="0.25">
      <c r="C1684" t="str">
        <f>IF(COUNTBLANK(E1684:K1684) = 7,"",IF(AND(NOT(ISBLANK(E1684)),COUNTBLANK(E1684:K1684) = 6),"3 Delete",IF(ISBLANK(E1684),"2 Add",IF(SHA1Range(E1684:K1684) = "23d7c41d94f69564b174547436a9950ee93c400b","0 Original","1 Modify"))))</f>
        <v>0 Original</v>
      </c>
      <c r="D1684" s="3" t="s">
        <v>2308</v>
      </c>
      <c r="E1684" s="5">
        <v>1687</v>
      </c>
      <c r="F1684">
        <v>500</v>
      </c>
      <c r="G1684" t="s">
        <v>250</v>
      </c>
      <c r="H1684" s="7">
        <v>8.99</v>
      </c>
      <c r="I1684" s="5">
        <v>1</v>
      </c>
      <c r="J1684" s="3" t="s">
        <v>29</v>
      </c>
      <c r="K1684" s="9">
        <v>42483.625740740739</v>
      </c>
    </row>
    <row r="1685" spans="3:11" x14ac:dyDescent="0.25">
      <c r="C1685" t="str">
        <f>IF(COUNTBLANK(E1685:K1685) = 7,"",IF(AND(NOT(ISBLANK(E1685)),COUNTBLANK(E1685:K1685) = 6),"3 Delete",IF(ISBLANK(E1685),"2 Add",IF(SHA1Range(E1685:K1685) = "8c082255840e4dddb19ae4a0e76b7430eb082428","0 Original","1 Modify"))))</f>
        <v>0 Original</v>
      </c>
      <c r="D1685" s="3" t="s">
        <v>2309</v>
      </c>
      <c r="E1685" s="5">
        <v>1688</v>
      </c>
      <c r="F1685">
        <v>500</v>
      </c>
      <c r="G1685" t="s">
        <v>537</v>
      </c>
      <c r="H1685" s="7">
        <v>7.99</v>
      </c>
      <c r="I1685" s="5">
        <v>1</v>
      </c>
      <c r="J1685" s="3" t="s">
        <v>29</v>
      </c>
      <c r="K1685" s="9">
        <v>42483.625740740739</v>
      </c>
    </row>
    <row r="1686" spans="3:11" x14ac:dyDescent="0.25">
      <c r="C1686" t="str">
        <f>IF(COUNTBLANK(E1686:K1686) = 7,"",IF(AND(NOT(ISBLANK(E1686)),COUNTBLANK(E1686:K1686) = 6),"3 Delete",IF(ISBLANK(E1686),"2 Add",IF(SHA1Range(E1686:K1686) = "f6ac705f1a474fe83763f2c83010b449fb892f42","0 Original","1 Modify"))))</f>
        <v>0 Original</v>
      </c>
      <c r="D1686" s="3" t="s">
        <v>2310</v>
      </c>
      <c r="E1686" s="5">
        <v>1689</v>
      </c>
      <c r="F1686">
        <v>501</v>
      </c>
      <c r="G1686" t="s">
        <v>109</v>
      </c>
      <c r="H1686" s="7">
        <v>8.99</v>
      </c>
      <c r="I1686" s="5">
        <v>1</v>
      </c>
      <c r="J1686" s="3" t="s">
        <v>29</v>
      </c>
      <c r="K1686" s="9">
        <v>42483.625740740739</v>
      </c>
    </row>
    <row r="1687" spans="3:11" x14ac:dyDescent="0.25">
      <c r="C1687" t="str">
        <f>IF(COUNTBLANK(E1687:K1687) = 7,"",IF(AND(NOT(ISBLANK(E1687)),COUNTBLANK(E1687:K1687) = 6),"3 Delete",IF(ISBLANK(E1687),"2 Add",IF(SHA1Range(E1687:K1687) = "d74d146c24c15803136305572b8c6599c1c3d2dc","0 Original","1 Modify"))))</f>
        <v>0 Original</v>
      </c>
      <c r="D1687" s="3" t="s">
        <v>2311</v>
      </c>
      <c r="E1687" s="5">
        <v>1690</v>
      </c>
      <c r="F1687">
        <v>502</v>
      </c>
      <c r="G1687" t="s">
        <v>238</v>
      </c>
      <c r="H1687" s="7">
        <v>5.99</v>
      </c>
      <c r="I1687" s="5">
        <v>1</v>
      </c>
      <c r="J1687" s="3" t="s">
        <v>29</v>
      </c>
      <c r="K1687" s="9">
        <v>42483.625740740739</v>
      </c>
    </row>
    <row r="1688" spans="3:11" x14ac:dyDescent="0.25">
      <c r="C1688" t="str">
        <f>IF(COUNTBLANK(E1688:K1688) = 7,"",IF(AND(NOT(ISBLANK(E1688)),COUNTBLANK(E1688:K1688) = 6),"3 Delete",IF(ISBLANK(E1688),"2 Add",IF(SHA1Range(E1688:K1688) = "793bc87cb5df28931f6984c028a7ae2ab1c2811b","0 Original","1 Modify"))))</f>
        <v>0 Original</v>
      </c>
      <c r="D1688" s="3" t="s">
        <v>2312</v>
      </c>
      <c r="E1688" s="5">
        <v>1691</v>
      </c>
      <c r="F1688">
        <v>503</v>
      </c>
      <c r="G1688" t="s">
        <v>51</v>
      </c>
      <c r="H1688" s="7">
        <v>9.99</v>
      </c>
      <c r="I1688" s="5">
        <v>1</v>
      </c>
      <c r="J1688" s="3" t="s">
        <v>29</v>
      </c>
      <c r="K1688" s="9">
        <v>42483.625740740739</v>
      </c>
    </row>
    <row r="1689" spans="3:11" x14ac:dyDescent="0.25">
      <c r="C1689" t="str">
        <f>IF(COUNTBLANK(E1689:K1689) = 7,"",IF(AND(NOT(ISBLANK(E1689)),COUNTBLANK(E1689:K1689) = 6),"3 Delete",IF(ISBLANK(E1689),"2 Add",IF(SHA1Range(E1689:K1689) = "90c05538a346654fb73464584d1839e4a6fbc03f","0 Original","1 Modify"))))</f>
        <v>0 Original</v>
      </c>
      <c r="D1689" s="3" t="s">
        <v>2313</v>
      </c>
      <c r="E1689" s="5">
        <v>1692</v>
      </c>
      <c r="F1689">
        <v>503</v>
      </c>
      <c r="G1689" t="s">
        <v>221</v>
      </c>
      <c r="H1689" s="7">
        <v>6.99</v>
      </c>
      <c r="I1689" s="5">
        <v>2</v>
      </c>
      <c r="J1689" s="3" t="s">
        <v>29</v>
      </c>
      <c r="K1689" s="9">
        <v>42483.625740740739</v>
      </c>
    </row>
    <row r="1690" spans="3:11" x14ac:dyDescent="0.25">
      <c r="C1690" t="str">
        <f>IF(COUNTBLANK(E1690:K1690) = 7,"",IF(AND(NOT(ISBLANK(E1690)),COUNTBLANK(E1690:K1690) = 6),"3 Delete",IF(ISBLANK(E1690),"2 Add",IF(SHA1Range(E1690:K1690) = "c9d4c6cec72e370b64a9f41c8681f81ce0f3c405","0 Original","1 Modify"))))</f>
        <v>0 Original</v>
      </c>
      <c r="D1690" s="3" t="s">
        <v>2314</v>
      </c>
      <c r="E1690" s="5">
        <v>1693</v>
      </c>
      <c r="F1690">
        <v>504</v>
      </c>
      <c r="G1690" t="s">
        <v>576</v>
      </c>
      <c r="H1690" s="7">
        <v>5.99</v>
      </c>
      <c r="I1690" s="5">
        <v>2</v>
      </c>
      <c r="J1690" s="3" t="s">
        <v>29</v>
      </c>
      <c r="K1690" s="9">
        <v>42483.625740740739</v>
      </c>
    </row>
    <row r="1691" spans="3:11" x14ac:dyDescent="0.25">
      <c r="C1691" t="str">
        <f>IF(COUNTBLANK(E1691:K1691) = 7,"",IF(AND(NOT(ISBLANK(E1691)),COUNTBLANK(E1691:K1691) = 6),"3 Delete",IF(ISBLANK(E1691),"2 Add",IF(SHA1Range(E1691:K1691) = "93db22ebe8b5fd93d142979a4f23ef1e100e0e5f","0 Original","1 Modify"))))</f>
        <v>0 Original</v>
      </c>
      <c r="D1691" s="3" t="s">
        <v>2315</v>
      </c>
      <c r="E1691" s="5">
        <v>1694</v>
      </c>
      <c r="F1691">
        <v>504</v>
      </c>
      <c r="G1691" t="s">
        <v>126</v>
      </c>
      <c r="H1691" s="7">
        <v>6.99</v>
      </c>
      <c r="I1691" s="5">
        <v>2</v>
      </c>
      <c r="J1691" s="3" t="s">
        <v>29</v>
      </c>
      <c r="K1691" s="9">
        <v>42483.625740740739</v>
      </c>
    </row>
    <row r="1692" spans="3:11" x14ac:dyDescent="0.25">
      <c r="C1692" t="str">
        <f>IF(COUNTBLANK(E1692:K1692) = 7,"",IF(AND(NOT(ISBLANK(E1692)),COUNTBLANK(E1692:K1692) = 6),"3 Delete",IF(ISBLANK(E1692),"2 Add",IF(SHA1Range(E1692:K1692) = "e5842f263cd119c5fc5335a3eca8ca5b124114bd","0 Original","1 Modify"))))</f>
        <v>0 Original</v>
      </c>
      <c r="D1692" s="3" t="s">
        <v>2316</v>
      </c>
      <c r="E1692" s="5">
        <v>1695</v>
      </c>
      <c r="F1692">
        <v>504</v>
      </c>
      <c r="G1692" t="s">
        <v>421</v>
      </c>
      <c r="H1692" s="7">
        <v>6.99</v>
      </c>
      <c r="I1692" s="5">
        <v>2</v>
      </c>
      <c r="J1692" s="3" t="s">
        <v>29</v>
      </c>
      <c r="K1692" s="9">
        <v>42483.625740740739</v>
      </c>
    </row>
    <row r="1693" spans="3:11" x14ac:dyDescent="0.25">
      <c r="C1693" t="str">
        <f>IF(COUNTBLANK(E1693:K1693) = 7,"",IF(AND(NOT(ISBLANK(E1693)),COUNTBLANK(E1693:K1693) = 6),"3 Delete",IF(ISBLANK(E1693),"2 Add",IF(SHA1Range(E1693:K1693) = "91f208ed6b53b7f87de3010e5bae0519061205c8","0 Original","1 Modify"))))</f>
        <v>0 Original</v>
      </c>
      <c r="D1693" s="3" t="s">
        <v>2317</v>
      </c>
      <c r="E1693" s="5">
        <v>1696</v>
      </c>
      <c r="F1693">
        <v>504</v>
      </c>
      <c r="G1693" t="s">
        <v>395</v>
      </c>
      <c r="H1693" s="7">
        <v>8.99</v>
      </c>
      <c r="I1693" s="5">
        <v>1</v>
      </c>
      <c r="J1693" s="3" t="s">
        <v>29</v>
      </c>
      <c r="K1693" s="9">
        <v>42483.625740740739</v>
      </c>
    </row>
    <row r="1694" spans="3:11" x14ac:dyDescent="0.25">
      <c r="C1694" t="str">
        <f>IF(COUNTBLANK(E1694:K1694) = 7,"",IF(AND(NOT(ISBLANK(E1694)),COUNTBLANK(E1694:K1694) = 6),"3 Delete",IF(ISBLANK(E1694),"2 Add",IF(SHA1Range(E1694:K1694) = "87b852fcb7eacd4bd40929d6e0e7fdad7051d5c6","0 Original","1 Modify"))))</f>
        <v>0 Original</v>
      </c>
      <c r="D1694" s="3" t="s">
        <v>2318</v>
      </c>
      <c r="E1694" s="5">
        <v>1697</v>
      </c>
      <c r="F1694">
        <v>505</v>
      </c>
      <c r="G1694" t="s">
        <v>456</v>
      </c>
      <c r="H1694" s="7">
        <v>9.99</v>
      </c>
      <c r="I1694" s="5">
        <v>1</v>
      </c>
      <c r="J1694" s="3" t="s">
        <v>29</v>
      </c>
      <c r="K1694" s="9">
        <v>42483.625740740739</v>
      </c>
    </row>
    <row r="1695" spans="3:11" x14ac:dyDescent="0.25">
      <c r="C1695" t="str">
        <f>IF(COUNTBLANK(E1695:K1695) = 7,"",IF(AND(NOT(ISBLANK(E1695)),COUNTBLANK(E1695:K1695) = 6),"3 Delete",IF(ISBLANK(E1695),"2 Add",IF(SHA1Range(E1695:K1695) = "69601df2d64a9b8a9807daaa51675d481778ddba","0 Original","1 Modify"))))</f>
        <v>0 Original</v>
      </c>
      <c r="D1695" s="3" t="s">
        <v>2319</v>
      </c>
      <c r="E1695" s="5">
        <v>1698</v>
      </c>
      <c r="F1695">
        <v>505</v>
      </c>
      <c r="G1695" t="s">
        <v>126</v>
      </c>
      <c r="H1695" s="7">
        <v>6.99</v>
      </c>
      <c r="I1695" s="5">
        <v>1</v>
      </c>
      <c r="J1695" s="3" t="s">
        <v>29</v>
      </c>
      <c r="K1695" s="9">
        <v>42483.625740740739</v>
      </c>
    </row>
    <row r="1696" spans="3:11" x14ac:dyDescent="0.25">
      <c r="C1696" t="str">
        <f>IF(COUNTBLANK(E1696:K1696) = 7,"",IF(AND(NOT(ISBLANK(E1696)),COUNTBLANK(E1696:K1696) = 6),"3 Delete",IF(ISBLANK(E1696),"2 Add",IF(SHA1Range(E1696:K1696) = "13a859946e5aacbb5e5015591095acb917230840","0 Original","1 Modify"))))</f>
        <v>0 Original</v>
      </c>
      <c r="D1696" s="3" t="s">
        <v>2320</v>
      </c>
      <c r="E1696" s="5">
        <v>1699</v>
      </c>
      <c r="F1696">
        <v>505</v>
      </c>
      <c r="G1696" t="s">
        <v>250</v>
      </c>
      <c r="H1696" s="7">
        <v>8.99</v>
      </c>
      <c r="I1696" s="5">
        <v>1</v>
      </c>
      <c r="J1696" s="3" t="s">
        <v>29</v>
      </c>
      <c r="K1696" s="9">
        <v>42483.625740740739</v>
      </c>
    </row>
    <row r="1697" spans="3:11" x14ac:dyDescent="0.25">
      <c r="C1697" t="str">
        <f>IF(COUNTBLANK(E1697:K1697) = 7,"",IF(AND(NOT(ISBLANK(E1697)),COUNTBLANK(E1697:K1697) = 6),"3 Delete",IF(ISBLANK(E1697),"2 Add",IF(SHA1Range(E1697:K1697) = "aa5df455a0b6c089fea49067b4eccd61ddfddc50","0 Original","1 Modify"))))</f>
        <v>0 Original</v>
      </c>
      <c r="D1697" s="3" t="s">
        <v>2321</v>
      </c>
      <c r="E1697" s="5">
        <v>1700</v>
      </c>
      <c r="F1697">
        <v>505</v>
      </c>
      <c r="G1697" t="s">
        <v>503</v>
      </c>
      <c r="H1697" s="7">
        <v>8.99</v>
      </c>
      <c r="I1697" s="5">
        <v>1</v>
      </c>
      <c r="J1697" s="3" t="s">
        <v>29</v>
      </c>
      <c r="K1697" s="9">
        <v>42483.625740740739</v>
      </c>
    </row>
    <row r="1698" spans="3:11" x14ac:dyDescent="0.25">
      <c r="C1698" t="str">
        <f>IF(COUNTBLANK(E1698:K1698) = 7,"",IF(AND(NOT(ISBLANK(E1698)),COUNTBLANK(E1698:K1698) = 6),"3 Delete",IF(ISBLANK(E1698),"2 Add",IF(SHA1Range(E1698:K1698) = "f1e35f1123dd1bb09808b31296081d547a773d35","0 Original","1 Modify"))))</f>
        <v>0 Original</v>
      </c>
      <c r="D1698" s="3" t="s">
        <v>2322</v>
      </c>
      <c r="E1698" s="5">
        <v>1701</v>
      </c>
      <c r="F1698">
        <v>505</v>
      </c>
      <c r="G1698" t="s">
        <v>472</v>
      </c>
      <c r="H1698" s="7">
        <v>6.99</v>
      </c>
      <c r="I1698" s="5">
        <v>2</v>
      </c>
      <c r="J1698" s="3" t="s">
        <v>29</v>
      </c>
      <c r="K1698" s="9">
        <v>42483.625740740739</v>
      </c>
    </row>
    <row r="1699" spans="3:11" x14ac:dyDescent="0.25">
      <c r="C1699" t="str">
        <f>IF(COUNTBLANK(E1699:K1699) = 7,"",IF(AND(NOT(ISBLANK(E1699)),COUNTBLANK(E1699:K1699) = 6),"3 Delete",IF(ISBLANK(E1699),"2 Add",IF(SHA1Range(E1699:K1699) = "4e64fafa34c97d59055bdb9c2709a3ccce3381c8","0 Original","1 Modify"))))</f>
        <v>0 Original</v>
      </c>
      <c r="D1699" s="3" t="s">
        <v>2323</v>
      </c>
      <c r="E1699" s="5">
        <v>1702</v>
      </c>
      <c r="F1699">
        <v>505</v>
      </c>
      <c r="G1699" t="s">
        <v>149</v>
      </c>
      <c r="H1699" s="7">
        <v>7.99</v>
      </c>
      <c r="I1699" s="5">
        <v>2</v>
      </c>
      <c r="J1699" s="3" t="s">
        <v>29</v>
      </c>
      <c r="K1699" s="9">
        <v>42483.625740740739</v>
      </c>
    </row>
    <row r="1700" spans="3:11" x14ac:dyDescent="0.25">
      <c r="C1700" t="str">
        <f>IF(COUNTBLANK(E1700:K1700) = 7,"",IF(AND(NOT(ISBLANK(E1700)),COUNTBLANK(E1700:K1700) = 6),"3 Delete",IF(ISBLANK(E1700),"2 Add",IF(SHA1Range(E1700:K1700) = "2c4bef92c83a49bc41ed59457a2efb04da41c38d","0 Original","1 Modify"))))</f>
        <v>0 Original</v>
      </c>
      <c r="D1700" s="3" t="s">
        <v>2324</v>
      </c>
      <c r="E1700" s="5">
        <v>1703</v>
      </c>
      <c r="F1700">
        <v>506</v>
      </c>
      <c r="G1700" t="s">
        <v>184</v>
      </c>
      <c r="H1700" s="7">
        <v>8.99</v>
      </c>
      <c r="I1700" s="5">
        <v>1</v>
      </c>
      <c r="J1700" s="3" t="s">
        <v>29</v>
      </c>
      <c r="K1700" s="9">
        <v>42483.625740740739</v>
      </c>
    </row>
    <row r="1701" spans="3:11" x14ac:dyDescent="0.25">
      <c r="C1701" t="str">
        <f>IF(COUNTBLANK(E1701:K1701) = 7,"",IF(AND(NOT(ISBLANK(E1701)),COUNTBLANK(E1701:K1701) = 6),"3 Delete",IF(ISBLANK(E1701),"2 Add",IF(SHA1Range(E1701:K1701) = "48d330e25cbe65d74410e7d0f5f908633bae27b6","0 Original","1 Modify"))))</f>
        <v>0 Original</v>
      </c>
      <c r="D1701" s="3" t="s">
        <v>2325</v>
      </c>
      <c r="E1701" s="5">
        <v>1704</v>
      </c>
      <c r="F1701">
        <v>507</v>
      </c>
      <c r="G1701" t="s">
        <v>395</v>
      </c>
      <c r="H1701" s="7">
        <v>8.99</v>
      </c>
      <c r="I1701" s="5">
        <v>1</v>
      </c>
      <c r="J1701" s="3" t="s">
        <v>29</v>
      </c>
      <c r="K1701" s="9">
        <v>42483.625740740739</v>
      </c>
    </row>
    <row r="1702" spans="3:11" x14ac:dyDescent="0.25">
      <c r="C1702" t="str">
        <f>IF(COUNTBLANK(E1702:K1702) = 7,"",IF(AND(NOT(ISBLANK(E1702)),COUNTBLANK(E1702:K1702) = 6),"3 Delete",IF(ISBLANK(E1702),"2 Add",IF(SHA1Range(E1702:K1702) = "15f634b54bcbc8b663dc652bf634e93bb95b2be7","0 Original","1 Modify"))))</f>
        <v>0 Original</v>
      </c>
      <c r="D1702" s="3" t="s">
        <v>2326</v>
      </c>
      <c r="E1702" s="5">
        <v>1705</v>
      </c>
      <c r="F1702">
        <v>507</v>
      </c>
      <c r="G1702" t="s">
        <v>537</v>
      </c>
      <c r="H1702" s="7">
        <v>7.99</v>
      </c>
      <c r="I1702" s="5">
        <v>2</v>
      </c>
      <c r="J1702" s="3" t="s">
        <v>29</v>
      </c>
      <c r="K1702" s="9">
        <v>42483.625740740739</v>
      </c>
    </row>
    <row r="1703" spans="3:11" x14ac:dyDescent="0.25">
      <c r="C1703" t="str">
        <f>IF(COUNTBLANK(E1703:K1703) = 7,"",IF(AND(NOT(ISBLANK(E1703)),COUNTBLANK(E1703:K1703) = 6),"3 Delete",IF(ISBLANK(E1703),"2 Add",IF(SHA1Range(E1703:K1703) = "9eacbac341b1892ce3e8e91afb9f3243f93bdd60","0 Original","1 Modify"))))</f>
        <v>0 Original</v>
      </c>
      <c r="D1703" s="3" t="s">
        <v>2327</v>
      </c>
      <c r="E1703" s="5">
        <v>1706</v>
      </c>
      <c r="F1703">
        <v>507</v>
      </c>
      <c r="G1703" t="s">
        <v>230</v>
      </c>
      <c r="H1703" s="7">
        <v>5.99</v>
      </c>
      <c r="I1703" s="5">
        <v>1</v>
      </c>
      <c r="J1703" s="3" t="s">
        <v>29</v>
      </c>
      <c r="K1703" s="9">
        <v>42483.625740740739</v>
      </c>
    </row>
    <row r="1704" spans="3:11" x14ac:dyDescent="0.25">
      <c r="C1704" t="str">
        <f>IF(COUNTBLANK(E1704:K1704) = 7,"",IF(AND(NOT(ISBLANK(E1704)),COUNTBLANK(E1704:K1704) = 6),"3 Delete",IF(ISBLANK(E1704),"2 Add",IF(SHA1Range(E1704:K1704) = "f3f5aea435a694ce888f311a0553b99e4a995f28","0 Original","1 Modify"))))</f>
        <v>0 Original</v>
      </c>
      <c r="D1704" s="3" t="s">
        <v>2328</v>
      </c>
      <c r="E1704" s="5">
        <v>1707</v>
      </c>
      <c r="F1704">
        <v>507</v>
      </c>
      <c r="G1704" t="s">
        <v>44</v>
      </c>
      <c r="H1704" s="7">
        <v>6.99</v>
      </c>
      <c r="I1704" s="5">
        <v>2</v>
      </c>
      <c r="J1704" s="3" t="s">
        <v>29</v>
      </c>
      <c r="K1704" s="9">
        <v>42483.625740740739</v>
      </c>
    </row>
    <row r="1705" spans="3:11" x14ac:dyDescent="0.25">
      <c r="C1705" t="str">
        <f>IF(COUNTBLANK(E1705:K1705) = 7,"",IF(AND(NOT(ISBLANK(E1705)),COUNTBLANK(E1705:K1705) = 6),"3 Delete",IF(ISBLANK(E1705),"2 Add",IF(SHA1Range(E1705:K1705) = "68d6ef2feae9666f736bc0e8c2750ba6fa0c2e18","0 Original","1 Modify"))))</f>
        <v>0 Original</v>
      </c>
      <c r="D1705" s="3" t="s">
        <v>2329</v>
      </c>
      <c r="E1705" s="5">
        <v>1708</v>
      </c>
      <c r="F1705">
        <v>507</v>
      </c>
      <c r="G1705" t="s">
        <v>230</v>
      </c>
      <c r="H1705" s="7">
        <v>5.99</v>
      </c>
      <c r="I1705" s="5">
        <v>2</v>
      </c>
      <c r="J1705" s="3" t="s">
        <v>29</v>
      </c>
      <c r="K1705" s="9">
        <v>42483.625740740739</v>
      </c>
    </row>
    <row r="1706" spans="3:11" x14ac:dyDescent="0.25">
      <c r="C1706" t="str">
        <f>IF(COUNTBLANK(E1706:K1706) = 7,"",IF(AND(NOT(ISBLANK(E1706)),COUNTBLANK(E1706:K1706) = 6),"3 Delete",IF(ISBLANK(E1706),"2 Add",IF(SHA1Range(E1706:K1706) = "809a176e702d6a843d71d323e82b09ce8d77fc4c","0 Original","1 Modify"))))</f>
        <v>0 Original</v>
      </c>
      <c r="D1706" s="3" t="s">
        <v>2330</v>
      </c>
      <c r="E1706" s="5">
        <v>1709</v>
      </c>
      <c r="F1706">
        <v>508</v>
      </c>
      <c r="G1706" t="s">
        <v>136</v>
      </c>
      <c r="H1706" s="7">
        <v>8.99</v>
      </c>
      <c r="I1706" s="5">
        <v>1</v>
      </c>
      <c r="J1706" s="3" t="s">
        <v>29</v>
      </c>
      <c r="K1706" s="9">
        <v>42483.625740740739</v>
      </c>
    </row>
    <row r="1707" spans="3:11" x14ac:dyDescent="0.25">
      <c r="C1707" t="str">
        <f>IF(COUNTBLANK(E1707:K1707) = 7,"",IF(AND(NOT(ISBLANK(E1707)),COUNTBLANK(E1707:K1707) = 6),"3 Delete",IF(ISBLANK(E1707),"2 Add",IF(SHA1Range(E1707:K1707) = "762deaa3c4412a6e681629a7a714496324048f74","0 Original","1 Modify"))))</f>
        <v>0 Original</v>
      </c>
      <c r="D1707" s="3" t="s">
        <v>2331</v>
      </c>
      <c r="E1707" s="5">
        <v>1710</v>
      </c>
      <c r="F1707">
        <v>508</v>
      </c>
      <c r="G1707" t="s">
        <v>126</v>
      </c>
      <c r="H1707" s="7">
        <v>6.99</v>
      </c>
      <c r="I1707" s="5">
        <v>2</v>
      </c>
      <c r="J1707" s="3" t="s">
        <v>29</v>
      </c>
      <c r="K1707" s="9">
        <v>42483.625740740739</v>
      </c>
    </row>
    <row r="1708" spans="3:11" x14ac:dyDescent="0.25">
      <c r="C1708" t="str">
        <f>IF(COUNTBLANK(E1708:K1708) = 7,"",IF(AND(NOT(ISBLANK(E1708)),COUNTBLANK(E1708:K1708) = 6),"3 Delete",IF(ISBLANK(E1708),"2 Add",IF(SHA1Range(E1708:K1708) = "fdabc03142d548ef17d924fb05b14d89dbf8f748","0 Original","1 Modify"))))</f>
        <v>0 Original</v>
      </c>
      <c r="D1708" s="3" t="s">
        <v>2332</v>
      </c>
      <c r="E1708" s="5">
        <v>1711</v>
      </c>
      <c r="F1708">
        <v>509</v>
      </c>
      <c r="G1708" t="s">
        <v>448</v>
      </c>
      <c r="H1708" s="7">
        <v>8.99</v>
      </c>
      <c r="I1708" s="5">
        <v>2</v>
      </c>
      <c r="J1708" s="3" t="s">
        <v>29</v>
      </c>
      <c r="K1708" s="9">
        <v>42483.625740740739</v>
      </c>
    </row>
    <row r="1709" spans="3:11" x14ac:dyDescent="0.25">
      <c r="C1709" t="str">
        <f>IF(COUNTBLANK(E1709:K1709) = 7,"",IF(AND(NOT(ISBLANK(E1709)),COUNTBLANK(E1709:K1709) = 6),"3 Delete",IF(ISBLANK(E1709),"2 Add",IF(SHA1Range(E1709:K1709) = "51249536870f4064b5f4101e29db05958dad46c5","0 Original","1 Modify"))))</f>
        <v>0 Original</v>
      </c>
      <c r="D1709" s="3" t="s">
        <v>2333</v>
      </c>
      <c r="E1709" s="5">
        <v>1712</v>
      </c>
      <c r="F1709">
        <v>509</v>
      </c>
      <c r="G1709" t="s">
        <v>459</v>
      </c>
      <c r="H1709" s="7">
        <v>5.99</v>
      </c>
      <c r="I1709" s="5">
        <v>2</v>
      </c>
      <c r="J1709" s="3" t="s">
        <v>29</v>
      </c>
      <c r="K1709" s="9">
        <v>42483.625740740739</v>
      </c>
    </row>
    <row r="1710" spans="3:11" x14ac:dyDescent="0.25">
      <c r="C1710" t="str">
        <f>IF(COUNTBLANK(E1710:K1710) = 7,"",IF(AND(NOT(ISBLANK(E1710)),COUNTBLANK(E1710:K1710) = 6),"3 Delete",IF(ISBLANK(E1710),"2 Add",IF(SHA1Range(E1710:K1710) = "cc89acd6d6d28b29d7571c03ab1f297992086017","0 Original","1 Modify"))))</f>
        <v>0 Original</v>
      </c>
      <c r="D1710" s="3" t="s">
        <v>2334</v>
      </c>
      <c r="E1710" s="5">
        <v>1713</v>
      </c>
      <c r="F1710">
        <v>510</v>
      </c>
      <c r="G1710" t="s">
        <v>573</v>
      </c>
      <c r="H1710" s="7">
        <v>9.99</v>
      </c>
      <c r="I1710" s="5">
        <v>2</v>
      </c>
      <c r="J1710" s="3" t="s">
        <v>29</v>
      </c>
      <c r="K1710" s="9">
        <v>42483.625740740739</v>
      </c>
    </row>
    <row r="1711" spans="3:11" x14ac:dyDescent="0.25">
      <c r="C1711" t="str">
        <f>IF(COUNTBLANK(E1711:K1711) = 7,"",IF(AND(NOT(ISBLANK(E1711)),COUNTBLANK(E1711:K1711) = 6),"3 Delete",IF(ISBLANK(E1711),"2 Add",IF(SHA1Range(E1711:K1711) = "a7a5704a4f367cced2e4614c6d9a3f3dcfde55d6","0 Original","1 Modify"))))</f>
        <v>0 Original</v>
      </c>
      <c r="D1711" s="3" t="s">
        <v>2335</v>
      </c>
      <c r="E1711" s="5">
        <v>1714</v>
      </c>
      <c r="F1711">
        <v>510</v>
      </c>
      <c r="G1711" t="s">
        <v>109</v>
      </c>
      <c r="H1711" s="7">
        <v>8.99</v>
      </c>
      <c r="I1711" s="5">
        <v>1</v>
      </c>
      <c r="J1711" s="3" t="s">
        <v>29</v>
      </c>
      <c r="K1711" s="9">
        <v>42483.625740740739</v>
      </c>
    </row>
    <row r="1712" spans="3:11" x14ac:dyDescent="0.25">
      <c r="C1712" t="str">
        <f>IF(COUNTBLANK(E1712:K1712) = 7,"",IF(AND(NOT(ISBLANK(E1712)),COUNTBLANK(E1712:K1712) = 6),"3 Delete",IF(ISBLANK(E1712),"2 Add",IF(SHA1Range(E1712:K1712) = "050a91a722f55c4977c1db922f5b58e107122180","0 Original","1 Modify"))))</f>
        <v>0 Original</v>
      </c>
      <c r="D1712" s="3" t="s">
        <v>2336</v>
      </c>
      <c r="E1712" s="5">
        <v>1715</v>
      </c>
      <c r="F1712">
        <v>511</v>
      </c>
      <c r="G1712" t="s">
        <v>149</v>
      </c>
      <c r="H1712" s="7">
        <v>7.99</v>
      </c>
      <c r="I1712" s="5">
        <v>2</v>
      </c>
      <c r="J1712" s="3" t="s">
        <v>29</v>
      </c>
      <c r="K1712" s="9">
        <v>42483.625740740739</v>
      </c>
    </row>
    <row r="1713" spans="3:11" x14ac:dyDescent="0.25">
      <c r="C1713" t="str">
        <f>IF(COUNTBLANK(E1713:K1713) = 7,"",IF(AND(NOT(ISBLANK(E1713)),COUNTBLANK(E1713:K1713) = 6),"3 Delete",IF(ISBLANK(E1713),"2 Add",IF(SHA1Range(E1713:K1713) = "0d04f375060f79994243f02e0f385de8b633045a","0 Original","1 Modify"))))</f>
        <v>0 Original</v>
      </c>
      <c r="D1713" s="3" t="s">
        <v>2337</v>
      </c>
      <c r="E1713" s="5">
        <v>1716</v>
      </c>
      <c r="F1713">
        <v>511</v>
      </c>
      <c r="G1713" t="s">
        <v>246</v>
      </c>
      <c r="H1713" s="7">
        <v>7.99</v>
      </c>
      <c r="I1713" s="5">
        <v>1</v>
      </c>
      <c r="J1713" s="3" t="s">
        <v>29</v>
      </c>
      <c r="K1713" s="9">
        <v>42483.625740740739</v>
      </c>
    </row>
    <row r="1714" spans="3:11" x14ac:dyDescent="0.25">
      <c r="C1714" t="str">
        <f>IF(COUNTBLANK(E1714:K1714) = 7,"",IF(AND(NOT(ISBLANK(E1714)),COUNTBLANK(E1714:K1714) = 6),"3 Delete",IF(ISBLANK(E1714),"2 Add",IF(SHA1Range(E1714:K1714) = "10fbddd356aa8d5e0c11383f1c4f0c0d772d3161","0 Original","1 Modify"))))</f>
        <v>0 Original</v>
      </c>
      <c r="D1714" s="3" t="s">
        <v>2338</v>
      </c>
      <c r="E1714" s="5">
        <v>1717</v>
      </c>
      <c r="F1714">
        <v>512</v>
      </c>
      <c r="G1714" t="s">
        <v>573</v>
      </c>
      <c r="H1714" s="7">
        <v>9.99</v>
      </c>
      <c r="I1714" s="5">
        <v>2</v>
      </c>
      <c r="J1714" s="3" t="s">
        <v>29</v>
      </c>
      <c r="K1714" s="9">
        <v>42483.625740740739</v>
      </c>
    </row>
    <row r="1715" spans="3:11" x14ac:dyDescent="0.25">
      <c r="C1715" t="str">
        <f>IF(COUNTBLANK(E1715:K1715) = 7,"",IF(AND(NOT(ISBLANK(E1715)),COUNTBLANK(E1715:K1715) = 6),"3 Delete",IF(ISBLANK(E1715),"2 Add",IF(SHA1Range(E1715:K1715) = "6712a18accf15ce4276e38a382ead05aa7653f6d","0 Original","1 Modify"))))</f>
        <v>0 Original</v>
      </c>
      <c r="D1715" s="3" t="s">
        <v>2339</v>
      </c>
      <c r="E1715" s="5">
        <v>1718</v>
      </c>
      <c r="F1715">
        <v>512</v>
      </c>
      <c r="G1715" t="s">
        <v>238</v>
      </c>
      <c r="H1715" s="7">
        <v>5.99</v>
      </c>
      <c r="I1715" s="5">
        <v>1</v>
      </c>
      <c r="J1715" s="3" t="s">
        <v>29</v>
      </c>
      <c r="K1715" s="9">
        <v>42483.625740740739</v>
      </c>
    </row>
    <row r="1716" spans="3:11" x14ac:dyDescent="0.25">
      <c r="C1716" t="str">
        <f>IF(COUNTBLANK(E1716:K1716) = 7,"",IF(AND(NOT(ISBLANK(E1716)),COUNTBLANK(E1716:K1716) = 6),"3 Delete",IF(ISBLANK(E1716),"2 Add",IF(SHA1Range(E1716:K1716) = "94a22ecbf4a5c706d3a5df9e310f2132bc909c7b","0 Original","1 Modify"))))</f>
        <v>0 Original</v>
      </c>
      <c r="D1716" s="3" t="s">
        <v>2340</v>
      </c>
      <c r="E1716" s="5">
        <v>1719</v>
      </c>
      <c r="F1716">
        <v>512</v>
      </c>
      <c r="G1716" t="s">
        <v>51</v>
      </c>
      <c r="H1716" s="7">
        <v>9.99</v>
      </c>
      <c r="I1716" s="5">
        <v>1</v>
      </c>
      <c r="J1716" s="3" t="s">
        <v>29</v>
      </c>
      <c r="K1716" s="9">
        <v>42483.625740740739</v>
      </c>
    </row>
    <row r="1717" spans="3:11" x14ac:dyDescent="0.25">
      <c r="C1717" t="str">
        <f>IF(COUNTBLANK(E1717:K1717) = 7,"",IF(AND(NOT(ISBLANK(E1717)),COUNTBLANK(E1717:K1717) = 6),"3 Delete",IF(ISBLANK(E1717),"2 Add",IF(SHA1Range(E1717:K1717) = "5a9e6000b56383eb23635b6ca6f6de0fb8635127","0 Original","1 Modify"))))</f>
        <v>0 Original</v>
      </c>
      <c r="D1717" s="3" t="s">
        <v>2341</v>
      </c>
      <c r="E1717" s="5">
        <v>1720</v>
      </c>
      <c r="F1717">
        <v>513</v>
      </c>
      <c r="G1717" t="s">
        <v>109</v>
      </c>
      <c r="H1717" s="7">
        <v>8.99</v>
      </c>
      <c r="I1717" s="5">
        <v>1</v>
      </c>
      <c r="J1717" s="3" t="s">
        <v>29</v>
      </c>
      <c r="K1717" s="9">
        <v>42483.625740740739</v>
      </c>
    </row>
    <row r="1718" spans="3:11" x14ac:dyDescent="0.25">
      <c r="C1718" t="str">
        <f>IF(COUNTBLANK(E1718:K1718) = 7,"",IF(AND(NOT(ISBLANK(E1718)),COUNTBLANK(E1718:K1718) = 6),"3 Delete",IF(ISBLANK(E1718),"2 Add",IF(SHA1Range(E1718:K1718) = "1791682aef88d5a731f1967f57e678bad94e1d76","0 Original","1 Modify"))))</f>
        <v>0 Original</v>
      </c>
      <c r="D1718" s="3" t="s">
        <v>2342</v>
      </c>
      <c r="E1718" s="5">
        <v>1721</v>
      </c>
      <c r="F1718">
        <v>513</v>
      </c>
      <c r="G1718" t="s">
        <v>573</v>
      </c>
      <c r="H1718" s="7">
        <v>9.99</v>
      </c>
      <c r="I1718" s="5">
        <v>1</v>
      </c>
      <c r="J1718" s="3" t="s">
        <v>29</v>
      </c>
      <c r="K1718" s="9">
        <v>42483.625740740739</v>
      </c>
    </row>
    <row r="1719" spans="3:11" x14ac:dyDescent="0.25">
      <c r="C1719" t="str">
        <f>IF(COUNTBLANK(E1719:K1719) = 7,"",IF(AND(NOT(ISBLANK(E1719)),COUNTBLANK(E1719:K1719) = 6),"3 Delete",IF(ISBLANK(E1719),"2 Add",IF(SHA1Range(E1719:K1719) = "aa232418072b1ae4e34ab00f719c9112253a6f64","0 Original","1 Modify"))))</f>
        <v>0 Original</v>
      </c>
      <c r="D1719" s="3" t="s">
        <v>2343</v>
      </c>
      <c r="E1719" s="5">
        <v>1722</v>
      </c>
      <c r="F1719">
        <v>513</v>
      </c>
      <c r="G1719" t="s">
        <v>126</v>
      </c>
      <c r="H1719" s="7">
        <v>6.99</v>
      </c>
      <c r="I1719" s="5">
        <v>2</v>
      </c>
      <c r="J1719" s="3" t="s">
        <v>29</v>
      </c>
      <c r="K1719" s="9">
        <v>42483.625740740739</v>
      </c>
    </row>
    <row r="1720" spans="3:11" x14ac:dyDescent="0.25">
      <c r="C1720" t="str">
        <f>IF(COUNTBLANK(E1720:K1720) = 7,"",IF(AND(NOT(ISBLANK(E1720)),COUNTBLANK(E1720:K1720) = 6),"3 Delete",IF(ISBLANK(E1720),"2 Add",IF(SHA1Range(E1720:K1720) = "3895d8f58e0eb2bb8cbadf15887d2fed723b4e8a","0 Original","1 Modify"))))</f>
        <v>0 Original</v>
      </c>
      <c r="D1720" s="3" t="s">
        <v>2344</v>
      </c>
      <c r="E1720" s="5">
        <v>1723</v>
      </c>
      <c r="F1720">
        <v>513</v>
      </c>
      <c r="G1720" t="s">
        <v>273</v>
      </c>
      <c r="H1720" s="7">
        <v>8.99</v>
      </c>
      <c r="I1720" s="5">
        <v>1</v>
      </c>
      <c r="J1720" s="3" t="s">
        <v>29</v>
      </c>
      <c r="K1720" s="9">
        <v>42483.625740740739</v>
      </c>
    </row>
    <row r="1721" spans="3:11" x14ac:dyDescent="0.25">
      <c r="C1721" t="str">
        <f>IF(COUNTBLANK(E1721:K1721) = 7,"",IF(AND(NOT(ISBLANK(E1721)),COUNTBLANK(E1721:K1721) = 6),"3 Delete",IF(ISBLANK(E1721),"2 Add",IF(SHA1Range(E1721:K1721) = "0097fff8ba06c0cf3c86eda35642e6f520afaba4","0 Original","1 Modify"))))</f>
        <v>0 Original</v>
      </c>
      <c r="D1721" s="3" t="s">
        <v>2345</v>
      </c>
      <c r="E1721" s="5">
        <v>1724</v>
      </c>
      <c r="F1721">
        <v>514</v>
      </c>
      <c r="G1721" t="s">
        <v>142</v>
      </c>
      <c r="H1721" s="7">
        <v>4.99</v>
      </c>
      <c r="I1721" s="5">
        <v>1</v>
      </c>
      <c r="J1721" s="3" t="s">
        <v>29</v>
      </c>
      <c r="K1721" s="9">
        <v>42483.625740740739</v>
      </c>
    </row>
    <row r="1722" spans="3:11" x14ac:dyDescent="0.25">
      <c r="C1722" t="str">
        <f>IF(COUNTBLANK(E1722:K1722) = 7,"",IF(AND(NOT(ISBLANK(E1722)),COUNTBLANK(E1722:K1722) = 6),"3 Delete",IF(ISBLANK(E1722),"2 Add",IF(SHA1Range(E1722:K1722) = "03989b0b6fe7eb99d6b319730031beaa7017033b","0 Original","1 Modify"))))</f>
        <v>0 Original</v>
      </c>
      <c r="D1722" s="3" t="s">
        <v>2346</v>
      </c>
      <c r="E1722" s="5">
        <v>1725</v>
      </c>
      <c r="F1722">
        <v>514</v>
      </c>
      <c r="G1722" t="s">
        <v>217</v>
      </c>
      <c r="H1722" s="7">
        <v>9.99</v>
      </c>
      <c r="I1722" s="5">
        <v>1</v>
      </c>
      <c r="J1722" s="3" t="s">
        <v>29</v>
      </c>
      <c r="K1722" s="9">
        <v>42483.625740740739</v>
      </c>
    </row>
    <row r="1723" spans="3:11" x14ac:dyDescent="0.25">
      <c r="C1723" t="str">
        <f>IF(COUNTBLANK(E1723:K1723) = 7,"",IF(AND(NOT(ISBLANK(E1723)),COUNTBLANK(E1723:K1723) = 6),"3 Delete",IF(ISBLANK(E1723),"2 Add",IF(SHA1Range(E1723:K1723) = "225e7a1b4bc7dcbd25706c9497010272201ccec9","0 Original","1 Modify"))))</f>
        <v>0 Original</v>
      </c>
      <c r="D1723" s="3" t="s">
        <v>2347</v>
      </c>
      <c r="E1723" s="5">
        <v>1726</v>
      </c>
      <c r="F1723">
        <v>514</v>
      </c>
      <c r="G1723" t="s">
        <v>250</v>
      </c>
      <c r="H1723" s="7">
        <v>8.99</v>
      </c>
      <c r="I1723" s="5">
        <v>2</v>
      </c>
      <c r="J1723" s="3" t="s">
        <v>29</v>
      </c>
      <c r="K1723" s="9">
        <v>42483.625740740739</v>
      </c>
    </row>
    <row r="1724" spans="3:11" x14ac:dyDescent="0.25">
      <c r="C1724" t="str">
        <f>IF(COUNTBLANK(E1724:K1724) = 7,"",IF(AND(NOT(ISBLANK(E1724)),COUNTBLANK(E1724:K1724) = 6),"3 Delete",IF(ISBLANK(E1724),"2 Add",IF(SHA1Range(E1724:K1724) = "d630474f13d812b71430745ffb300d8a1d1aeb45","0 Original","1 Modify"))))</f>
        <v>0 Original</v>
      </c>
      <c r="D1724" s="3" t="s">
        <v>2348</v>
      </c>
      <c r="E1724" s="5">
        <v>1727</v>
      </c>
      <c r="F1724">
        <v>515</v>
      </c>
      <c r="G1724" t="s">
        <v>364</v>
      </c>
      <c r="H1724" s="7">
        <v>9.99</v>
      </c>
      <c r="I1724" s="5">
        <v>1</v>
      </c>
      <c r="J1724" s="3" t="s">
        <v>29</v>
      </c>
      <c r="K1724" s="9">
        <v>42483.625740740739</v>
      </c>
    </row>
    <row r="1725" spans="3:11" x14ac:dyDescent="0.25">
      <c r="C1725" t="str">
        <f>IF(COUNTBLANK(E1725:K1725) = 7,"",IF(AND(NOT(ISBLANK(E1725)),COUNTBLANK(E1725:K1725) = 6),"3 Delete",IF(ISBLANK(E1725),"2 Add",IF(SHA1Range(E1725:K1725) = "f634c557caa71c78c7a2c261265f71dc55db7527","0 Original","1 Modify"))))</f>
        <v>0 Original</v>
      </c>
      <c r="D1725" s="3" t="s">
        <v>2349</v>
      </c>
      <c r="E1725" s="5">
        <v>1728</v>
      </c>
      <c r="F1725">
        <v>515</v>
      </c>
      <c r="G1725" t="s">
        <v>142</v>
      </c>
      <c r="H1725" s="7">
        <v>4.99</v>
      </c>
      <c r="I1725" s="5">
        <v>1</v>
      </c>
      <c r="J1725" s="3" t="s">
        <v>29</v>
      </c>
      <c r="K1725" s="9">
        <v>42483.625740740739</v>
      </c>
    </row>
    <row r="1726" spans="3:11" x14ac:dyDescent="0.25">
      <c r="C1726" t="str">
        <f>IF(COUNTBLANK(E1726:K1726) = 7,"",IF(AND(NOT(ISBLANK(E1726)),COUNTBLANK(E1726:K1726) = 6),"3 Delete",IF(ISBLANK(E1726),"2 Add",IF(SHA1Range(E1726:K1726) = "7d052afc69a49e374003256b97d2fb472ce5a973","0 Original","1 Modify"))))</f>
        <v>0 Original</v>
      </c>
      <c r="D1726" s="3" t="s">
        <v>2350</v>
      </c>
      <c r="E1726" s="5">
        <v>1729</v>
      </c>
      <c r="F1726">
        <v>516</v>
      </c>
      <c r="G1726" t="s">
        <v>230</v>
      </c>
      <c r="H1726" s="7">
        <v>5.99</v>
      </c>
      <c r="I1726" s="5">
        <v>1</v>
      </c>
      <c r="J1726" s="3" t="s">
        <v>29</v>
      </c>
      <c r="K1726" s="9">
        <v>42483.625740740739</v>
      </c>
    </row>
    <row r="1727" spans="3:11" x14ac:dyDescent="0.25">
      <c r="C1727" t="str">
        <f>IF(COUNTBLANK(E1727:K1727) = 7,"",IF(AND(NOT(ISBLANK(E1727)),COUNTBLANK(E1727:K1727) = 6),"3 Delete",IF(ISBLANK(E1727),"2 Add",IF(SHA1Range(E1727:K1727) = "91992e8c6b3d2e881c82258383947bd3f16e48f9","0 Original","1 Modify"))))</f>
        <v>0 Original</v>
      </c>
      <c r="D1727" s="3" t="s">
        <v>2351</v>
      </c>
      <c r="E1727" s="5">
        <v>1730</v>
      </c>
      <c r="F1727">
        <v>516</v>
      </c>
      <c r="G1727" t="s">
        <v>217</v>
      </c>
      <c r="H1727" s="7">
        <v>9.99</v>
      </c>
      <c r="I1727" s="5">
        <v>1</v>
      </c>
      <c r="J1727" s="3" t="s">
        <v>29</v>
      </c>
      <c r="K1727" s="9">
        <v>42483.625740740739</v>
      </c>
    </row>
    <row r="1728" spans="3:11" x14ac:dyDescent="0.25">
      <c r="C1728" t="str">
        <f>IF(COUNTBLANK(E1728:K1728) = 7,"",IF(AND(NOT(ISBLANK(E1728)),COUNTBLANK(E1728:K1728) = 6),"3 Delete",IF(ISBLANK(E1728),"2 Add",IF(SHA1Range(E1728:K1728) = "f962a1d51eb60e4a4aa587ae588fce712c00b712","0 Original","1 Modify"))))</f>
        <v>0 Original</v>
      </c>
      <c r="D1728" s="3" t="s">
        <v>2352</v>
      </c>
      <c r="E1728" s="5">
        <v>1731</v>
      </c>
      <c r="F1728">
        <v>517</v>
      </c>
      <c r="G1728" t="s">
        <v>109</v>
      </c>
      <c r="H1728" s="7">
        <v>8.99</v>
      </c>
      <c r="I1728" s="5">
        <v>1</v>
      </c>
      <c r="J1728" s="3" t="s">
        <v>29</v>
      </c>
      <c r="K1728" s="9">
        <v>42483.625740740739</v>
      </c>
    </row>
    <row r="1729" spans="3:11" x14ac:dyDescent="0.25">
      <c r="C1729" t="str">
        <f>IF(COUNTBLANK(E1729:K1729) = 7,"",IF(AND(NOT(ISBLANK(E1729)),COUNTBLANK(E1729:K1729) = 6),"3 Delete",IF(ISBLANK(E1729),"2 Add",IF(SHA1Range(E1729:K1729) = "0c160063bc973e0a8c2dc90f1d7af2a6fde6c993","0 Original","1 Modify"))))</f>
        <v>0 Original</v>
      </c>
      <c r="D1729" s="3" t="s">
        <v>2353</v>
      </c>
      <c r="E1729" s="5">
        <v>1732</v>
      </c>
      <c r="F1729">
        <v>517</v>
      </c>
      <c r="G1729" t="s">
        <v>448</v>
      </c>
      <c r="H1729" s="7">
        <v>8.99</v>
      </c>
      <c r="I1729" s="5">
        <v>2</v>
      </c>
      <c r="J1729" s="3" t="s">
        <v>29</v>
      </c>
      <c r="K1729" s="9">
        <v>42483.625740740739</v>
      </c>
    </row>
    <row r="1730" spans="3:11" x14ac:dyDescent="0.25">
      <c r="C1730" t="str">
        <f>IF(COUNTBLANK(E1730:K1730) = 7,"",IF(AND(NOT(ISBLANK(E1730)),COUNTBLANK(E1730:K1730) = 6),"3 Delete",IF(ISBLANK(E1730),"2 Add",IF(SHA1Range(E1730:K1730) = "80e97efe575abccbf1a1404f27c22f0d8bda8a59","0 Original","1 Modify"))))</f>
        <v>0 Original</v>
      </c>
      <c r="D1730" s="3" t="s">
        <v>2354</v>
      </c>
      <c r="E1730" s="5">
        <v>1733</v>
      </c>
      <c r="F1730">
        <v>518</v>
      </c>
      <c r="G1730" t="s">
        <v>246</v>
      </c>
      <c r="H1730" s="7">
        <v>7.99</v>
      </c>
      <c r="I1730" s="5">
        <v>1</v>
      </c>
      <c r="J1730" s="3" t="s">
        <v>29</v>
      </c>
      <c r="K1730" s="9">
        <v>42483.625740740739</v>
      </c>
    </row>
    <row r="1731" spans="3:11" x14ac:dyDescent="0.25">
      <c r="C1731" t="str">
        <f>IF(COUNTBLANK(E1731:K1731) = 7,"",IF(AND(NOT(ISBLANK(E1731)),COUNTBLANK(E1731:K1731) = 6),"3 Delete",IF(ISBLANK(E1731),"2 Add",IF(SHA1Range(E1731:K1731) = "5ee640d0fd6fdf495b1bb80105e96394689fd1a5","0 Original","1 Modify"))))</f>
        <v>0 Original</v>
      </c>
      <c r="D1731" s="3" t="s">
        <v>2355</v>
      </c>
      <c r="E1731" s="5">
        <v>1734</v>
      </c>
      <c r="F1731">
        <v>518</v>
      </c>
      <c r="G1731" t="s">
        <v>537</v>
      </c>
      <c r="H1731" s="7">
        <v>7.99</v>
      </c>
      <c r="I1731" s="5">
        <v>1</v>
      </c>
      <c r="J1731" s="3" t="s">
        <v>29</v>
      </c>
      <c r="K1731" s="9">
        <v>42483.625740740739</v>
      </c>
    </row>
    <row r="1732" spans="3:11" x14ac:dyDescent="0.25">
      <c r="C1732" t="str">
        <f>IF(COUNTBLANK(E1732:K1732) = 7,"",IF(AND(NOT(ISBLANK(E1732)),COUNTBLANK(E1732:K1732) = 6),"3 Delete",IF(ISBLANK(E1732),"2 Add",IF(SHA1Range(E1732:K1732) = "0e032058a1c4c297644efb12b20b21e3541a36bd","0 Original","1 Modify"))))</f>
        <v>0 Original</v>
      </c>
      <c r="D1732" s="3" t="s">
        <v>2356</v>
      </c>
      <c r="E1732" s="5">
        <v>1735</v>
      </c>
      <c r="F1732">
        <v>518</v>
      </c>
      <c r="G1732" t="s">
        <v>407</v>
      </c>
      <c r="H1732" s="7">
        <v>9.99</v>
      </c>
      <c r="I1732" s="5">
        <v>2</v>
      </c>
      <c r="J1732" s="3" t="s">
        <v>29</v>
      </c>
      <c r="K1732" s="9">
        <v>42483.625740740739</v>
      </c>
    </row>
    <row r="1733" spans="3:11" x14ac:dyDescent="0.25">
      <c r="C1733" t="str">
        <f>IF(COUNTBLANK(E1733:K1733) = 7,"",IF(AND(NOT(ISBLANK(E1733)),COUNTBLANK(E1733:K1733) = 6),"3 Delete",IF(ISBLANK(E1733),"2 Add",IF(SHA1Range(E1733:K1733) = "f68928ce8117b2ac5a39c760544c991e6842dfd3","0 Original","1 Modify"))))</f>
        <v>0 Original</v>
      </c>
      <c r="D1733" s="3" t="s">
        <v>2357</v>
      </c>
      <c r="E1733" s="5">
        <v>1736</v>
      </c>
      <c r="F1733">
        <v>518</v>
      </c>
      <c r="G1733" t="s">
        <v>407</v>
      </c>
      <c r="H1733" s="7">
        <v>9.99</v>
      </c>
      <c r="I1733" s="5">
        <v>2</v>
      </c>
      <c r="J1733" s="3" t="s">
        <v>29</v>
      </c>
      <c r="K1733" s="9">
        <v>42483.625740740739</v>
      </c>
    </row>
    <row r="1734" spans="3:11" x14ac:dyDescent="0.25">
      <c r="C1734" t="str">
        <f>IF(COUNTBLANK(E1734:K1734) = 7,"",IF(AND(NOT(ISBLANK(E1734)),COUNTBLANK(E1734:K1734) = 6),"3 Delete",IF(ISBLANK(E1734),"2 Add",IF(SHA1Range(E1734:K1734) = "96de37bc65655c2a60e41c378f332c89fad6ca41","0 Original","1 Modify"))))</f>
        <v>0 Original</v>
      </c>
      <c r="D1734" s="3" t="s">
        <v>2358</v>
      </c>
      <c r="E1734" s="5">
        <v>1737</v>
      </c>
      <c r="F1734">
        <v>518</v>
      </c>
      <c r="G1734" t="s">
        <v>448</v>
      </c>
      <c r="H1734" s="7">
        <v>8.99</v>
      </c>
      <c r="I1734" s="5">
        <v>2</v>
      </c>
      <c r="J1734" s="3" t="s">
        <v>29</v>
      </c>
      <c r="K1734" s="9">
        <v>42483.625740740739</v>
      </c>
    </row>
    <row r="1735" spans="3:11" x14ac:dyDescent="0.25">
      <c r="C1735" t="str">
        <f>IF(COUNTBLANK(E1735:K1735) = 7,"",IF(AND(NOT(ISBLANK(E1735)),COUNTBLANK(E1735:K1735) = 6),"3 Delete",IF(ISBLANK(E1735),"2 Add",IF(SHA1Range(E1735:K1735) = "23f72f0927a74cb559120bae62cd3381f917dff9","0 Original","1 Modify"))))</f>
        <v>0 Original</v>
      </c>
      <c r="D1735" s="3" t="s">
        <v>2359</v>
      </c>
      <c r="E1735" s="5">
        <v>1738</v>
      </c>
      <c r="F1735">
        <v>518</v>
      </c>
      <c r="G1735" t="s">
        <v>126</v>
      </c>
      <c r="H1735" s="7">
        <v>6.99</v>
      </c>
      <c r="I1735" s="5">
        <v>1</v>
      </c>
      <c r="J1735" s="3" t="s">
        <v>29</v>
      </c>
      <c r="K1735" s="9">
        <v>42483.625740740739</v>
      </c>
    </row>
    <row r="1736" spans="3:11" x14ac:dyDescent="0.25">
      <c r="C1736" t="str">
        <f>IF(COUNTBLANK(E1736:K1736) = 7,"",IF(AND(NOT(ISBLANK(E1736)),COUNTBLANK(E1736:K1736) = 6),"3 Delete",IF(ISBLANK(E1736),"2 Add",IF(SHA1Range(E1736:K1736) = "948290483e08d985e300c242b08a98ab43d66bd7","0 Original","1 Modify"))))</f>
        <v>0 Original</v>
      </c>
      <c r="D1736" s="3" t="s">
        <v>2360</v>
      </c>
      <c r="E1736" s="5">
        <v>1739</v>
      </c>
      <c r="F1736">
        <v>519</v>
      </c>
      <c r="G1736" t="s">
        <v>246</v>
      </c>
      <c r="H1736" s="7">
        <v>7.99</v>
      </c>
      <c r="I1736" s="5">
        <v>1</v>
      </c>
      <c r="J1736" s="3" t="s">
        <v>29</v>
      </c>
      <c r="K1736" s="9">
        <v>42483.625740740739</v>
      </c>
    </row>
    <row r="1737" spans="3:11" x14ac:dyDescent="0.25">
      <c r="C1737" t="str">
        <f>IF(COUNTBLANK(E1737:K1737) = 7,"",IF(AND(NOT(ISBLANK(E1737)),COUNTBLANK(E1737:K1737) = 6),"3 Delete",IF(ISBLANK(E1737),"2 Add",IF(SHA1Range(E1737:K1737) = "2a47445d28f1d862c03da8a80ef9984bfb8501aa","0 Original","1 Modify"))))</f>
        <v>0 Original</v>
      </c>
      <c r="D1737" s="3" t="s">
        <v>2361</v>
      </c>
      <c r="E1737" s="5">
        <v>1740</v>
      </c>
      <c r="F1737">
        <v>519</v>
      </c>
      <c r="G1737" t="s">
        <v>448</v>
      </c>
      <c r="H1737" s="7">
        <v>8.99</v>
      </c>
      <c r="I1737" s="5">
        <v>1</v>
      </c>
      <c r="J1737" s="3" t="s">
        <v>29</v>
      </c>
      <c r="K1737" s="9">
        <v>42483.625740740739</v>
      </c>
    </row>
    <row r="1738" spans="3:11" x14ac:dyDescent="0.25">
      <c r="C1738" t="str">
        <f>IF(COUNTBLANK(E1738:K1738) = 7,"",IF(AND(NOT(ISBLANK(E1738)),COUNTBLANK(E1738:K1738) = 6),"3 Delete",IF(ISBLANK(E1738),"2 Add",IF(SHA1Range(E1738:K1738) = "d602c9c33d3c8cfce1c3aa94c3bc06df0c14bc41","0 Original","1 Modify"))))</f>
        <v>0 Original</v>
      </c>
      <c r="D1738" s="3" t="s">
        <v>2362</v>
      </c>
      <c r="E1738" s="5">
        <v>1741</v>
      </c>
      <c r="F1738">
        <v>519</v>
      </c>
      <c r="G1738" t="s">
        <v>425</v>
      </c>
      <c r="H1738" s="7">
        <v>6.99</v>
      </c>
      <c r="I1738" s="5">
        <v>1</v>
      </c>
      <c r="J1738" s="3" t="s">
        <v>29</v>
      </c>
      <c r="K1738" s="9">
        <v>42483.625740740739</v>
      </c>
    </row>
    <row r="1739" spans="3:11" x14ac:dyDescent="0.25">
      <c r="C1739" t="str">
        <f>IF(COUNTBLANK(E1739:K1739) = 7,"",IF(AND(NOT(ISBLANK(E1739)),COUNTBLANK(E1739:K1739) = 6),"3 Delete",IF(ISBLANK(E1739),"2 Add",IF(SHA1Range(E1739:K1739) = "4f7a8b1f63ee50b2e52f10ef5f1ba51c0ec1df74","0 Original","1 Modify"))))</f>
        <v>0 Original</v>
      </c>
      <c r="D1739" s="3" t="s">
        <v>2363</v>
      </c>
      <c r="E1739" s="5">
        <v>1742</v>
      </c>
      <c r="F1739">
        <v>520</v>
      </c>
      <c r="G1739" t="s">
        <v>295</v>
      </c>
      <c r="H1739" s="7">
        <v>7.99</v>
      </c>
      <c r="I1739" s="5">
        <v>1</v>
      </c>
      <c r="J1739" s="3" t="s">
        <v>29</v>
      </c>
      <c r="K1739" s="9">
        <v>42483.625740740739</v>
      </c>
    </row>
    <row r="1740" spans="3:11" x14ac:dyDescent="0.25">
      <c r="C1740" t="str">
        <f>IF(COUNTBLANK(E1740:K1740) = 7,"",IF(AND(NOT(ISBLANK(E1740)),COUNTBLANK(E1740:K1740) = 6),"3 Delete",IF(ISBLANK(E1740),"2 Add",IF(SHA1Range(E1740:K1740) = "4cc7230776cb18247d71a4a1d6ec4fd1b94c1834","0 Original","1 Modify"))))</f>
        <v>0 Original</v>
      </c>
      <c r="D1740" s="3" t="s">
        <v>2364</v>
      </c>
      <c r="E1740" s="5">
        <v>1743</v>
      </c>
      <c r="F1740">
        <v>520</v>
      </c>
      <c r="G1740" t="s">
        <v>599</v>
      </c>
      <c r="H1740" s="7">
        <v>5.99</v>
      </c>
      <c r="I1740" s="5">
        <v>2</v>
      </c>
      <c r="J1740" s="3" t="s">
        <v>29</v>
      </c>
      <c r="K1740" s="9">
        <v>42483.625740740739</v>
      </c>
    </row>
    <row r="1741" spans="3:11" x14ac:dyDescent="0.25">
      <c r="C1741" t="str">
        <f>IF(COUNTBLANK(E1741:K1741) = 7,"",IF(AND(NOT(ISBLANK(E1741)),COUNTBLANK(E1741:K1741) = 6),"3 Delete",IF(ISBLANK(E1741),"2 Add",IF(SHA1Range(E1741:K1741) = "5c4fa78ecd92d5688733849c65282a2739de5501","0 Original","1 Modify"))))</f>
        <v>0 Original</v>
      </c>
      <c r="D1741" s="3" t="s">
        <v>2365</v>
      </c>
      <c r="E1741" s="5">
        <v>1744</v>
      </c>
      <c r="F1741">
        <v>521</v>
      </c>
      <c r="G1741" t="s">
        <v>142</v>
      </c>
      <c r="H1741" s="7">
        <v>4.99</v>
      </c>
      <c r="I1741" s="5">
        <v>1</v>
      </c>
      <c r="J1741" s="3" t="s">
        <v>29</v>
      </c>
      <c r="K1741" s="9">
        <v>42483.625740740739</v>
      </c>
    </row>
    <row r="1742" spans="3:11" x14ac:dyDescent="0.25">
      <c r="C1742" t="str">
        <f>IF(COUNTBLANK(E1742:K1742) = 7,"",IF(AND(NOT(ISBLANK(E1742)),COUNTBLANK(E1742:K1742) = 6),"3 Delete",IF(ISBLANK(E1742),"2 Add",IF(SHA1Range(E1742:K1742) = "157e27b3d6fdd126e2ef47c871b00a6e23ab4548","0 Original","1 Modify"))))</f>
        <v>0 Original</v>
      </c>
      <c r="D1742" s="3" t="s">
        <v>2366</v>
      </c>
      <c r="E1742" s="5">
        <v>1745</v>
      </c>
      <c r="F1742">
        <v>522</v>
      </c>
      <c r="G1742" t="s">
        <v>364</v>
      </c>
      <c r="H1742" s="7">
        <v>9.99</v>
      </c>
      <c r="I1742" s="5">
        <v>1</v>
      </c>
      <c r="J1742" s="3" t="s">
        <v>29</v>
      </c>
      <c r="K1742" s="9">
        <v>42483.625740740739</v>
      </c>
    </row>
    <row r="1743" spans="3:11" x14ac:dyDescent="0.25">
      <c r="C1743" t="str">
        <f>IF(COUNTBLANK(E1743:K1743) = 7,"",IF(AND(NOT(ISBLANK(E1743)),COUNTBLANK(E1743:K1743) = 6),"3 Delete",IF(ISBLANK(E1743),"2 Add",IF(SHA1Range(E1743:K1743) = "dbc9550ca802a666b63b595d1a40fa0508c6ec44","0 Original","1 Modify"))))</f>
        <v>0 Original</v>
      </c>
      <c r="D1743" s="3" t="s">
        <v>2367</v>
      </c>
      <c r="E1743" s="5">
        <v>1746</v>
      </c>
      <c r="F1743">
        <v>522</v>
      </c>
      <c r="G1743" t="s">
        <v>130</v>
      </c>
      <c r="H1743" s="7">
        <v>8.99</v>
      </c>
      <c r="I1743" s="5">
        <v>1</v>
      </c>
      <c r="J1743" s="3" t="s">
        <v>29</v>
      </c>
      <c r="K1743" s="9">
        <v>42483.625740740739</v>
      </c>
    </row>
    <row r="1744" spans="3:11" x14ac:dyDescent="0.25">
      <c r="C1744" t="str">
        <f>IF(COUNTBLANK(E1744:K1744) = 7,"",IF(AND(NOT(ISBLANK(E1744)),COUNTBLANK(E1744:K1744) = 6),"3 Delete",IF(ISBLANK(E1744),"2 Add",IF(SHA1Range(E1744:K1744) = "ffcb1b54691eb13f7b9a1afc26d618da83a98437","0 Original","1 Modify"))))</f>
        <v>0 Original</v>
      </c>
      <c r="D1744" s="3" t="s">
        <v>2368</v>
      </c>
      <c r="E1744" s="5">
        <v>1747</v>
      </c>
      <c r="F1744">
        <v>522</v>
      </c>
      <c r="G1744" t="s">
        <v>273</v>
      </c>
      <c r="H1744" s="7">
        <v>8.99</v>
      </c>
      <c r="I1744" s="5">
        <v>1</v>
      </c>
      <c r="J1744" s="3" t="s">
        <v>29</v>
      </c>
      <c r="K1744" s="9">
        <v>42483.625740740739</v>
      </c>
    </row>
    <row r="1745" spans="3:11" x14ac:dyDescent="0.25">
      <c r="C1745" t="str">
        <f>IF(COUNTBLANK(E1745:K1745) = 7,"",IF(AND(NOT(ISBLANK(E1745)),COUNTBLANK(E1745:K1745) = 6),"3 Delete",IF(ISBLANK(E1745),"2 Add",IF(SHA1Range(E1745:K1745) = "78b7de7b52d4063f41247fc378f1a9b629fddf2f","0 Original","1 Modify"))))</f>
        <v>0 Original</v>
      </c>
      <c r="D1745" s="3" t="s">
        <v>2369</v>
      </c>
      <c r="E1745" s="5">
        <v>1748</v>
      </c>
      <c r="F1745">
        <v>522</v>
      </c>
      <c r="G1745" t="s">
        <v>602</v>
      </c>
      <c r="H1745" s="7">
        <v>7.99</v>
      </c>
      <c r="I1745" s="5">
        <v>1</v>
      </c>
      <c r="J1745" s="3" t="s">
        <v>29</v>
      </c>
      <c r="K1745" s="9">
        <v>42483.625740740739</v>
      </c>
    </row>
    <row r="1746" spans="3:11" x14ac:dyDescent="0.25">
      <c r="C1746" t="str">
        <f>IF(COUNTBLANK(E1746:K1746) = 7,"",IF(AND(NOT(ISBLANK(E1746)),COUNTBLANK(E1746:K1746) = 6),"3 Delete",IF(ISBLANK(E1746),"2 Add",IF(SHA1Range(E1746:K1746) = "f949e5fd3f9499d51ffe65cb8d3ceb7052df3da8","0 Original","1 Modify"))))</f>
        <v>0 Original</v>
      </c>
      <c r="D1746" s="3" t="s">
        <v>2370</v>
      </c>
      <c r="E1746" s="5">
        <v>1749</v>
      </c>
      <c r="F1746">
        <v>523</v>
      </c>
      <c r="G1746" t="s">
        <v>44</v>
      </c>
      <c r="H1746" s="7">
        <v>6.99</v>
      </c>
      <c r="I1746" s="5">
        <v>1</v>
      </c>
      <c r="J1746" s="3" t="s">
        <v>29</v>
      </c>
      <c r="K1746" s="9">
        <v>42483.625740740739</v>
      </c>
    </row>
    <row r="1747" spans="3:11" x14ac:dyDescent="0.25">
      <c r="C1747" t="str">
        <f>IF(COUNTBLANK(E1747:K1747) = 7,"",IF(AND(NOT(ISBLANK(E1747)),COUNTBLANK(E1747:K1747) = 6),"3 Delete",IF(ISBLANK(E1747),"2 Add",IF(SHA1Range(E1747:K1747) = "e80c83c878a67e855cc4769f2480e534ba332f5c","0 Original","1 Modify"))))</f>
        <v>0 Original</v>
      </c>
      <c r="D1747" s="3" t="s">
        <v>2371</v>
      </c>
      <c r="E1747" s="5">
        <v>1750</v>
      </c>
      <c r="F1747">
        <v>523</v>
      </c>
      <c r="G1747" t="s">
        <v>133</v>
      </c>
      <c r="H1747" s="7">
        <v>7.99</v>
      </c>
      <c r="I1747" s="5">
        <v>2</v>
      </c>
      <c r="J1747" s="3" t="s">
        <v>29</v>
      </c>
      <c r="K1747" s="9">
        <v>42483.625740740739</v>
      </c>
    </row>
    <row r="1748" spans="3:11" x14ac:dyDescent="0.25">
      <c r="C1748" t="str">
        <f>IF(COUNTBLANK(E1748:K1748) = 7,"",IF(AND(NOT(ISBLANK(E1748)),COUNTBLANK(E1748:K1748) = 6),"3 Delete",IF(ISBLANK(E1748),"2 Add",IF(SHA1Range(E1748:K1748) = "3e11659c7c7b320cf8ec568ffdc4cd057aa16120","0 Original","1 Modify"))))</f>
        <v>0 Original</v>
      </c>
      <c r="D1748" s="3" t="s">
        <v>2372</v>
      </c>
      <c r="E1748" s="5">
        <v>1751</v>
      </c>
      <c r="F1748">
        <v>524</v>
      </c>
      <c r="G1748" t="s">
        <v>295</v>
      </c>
      <c r="H1748" s="7">
        <v>7.99</v>
      </c>
      <c r="I1748" s="5">
        <v>1</v>
      </c>
      <c r="J1748" s="3" t="s">
        <v>29</v>
      </c>
      <c r="K1748" s="9">
        <v>42483.625740740739</v>
      </c>
    </row>
    <row r="1749" spans="3:11" x14ac:dyDescent="0.25">
      <c r="C1749" t="str">
        <f>IF(COUNTBLANK(E1749:K1749) = 7,"",IF(AND(NOT(ISBLANK(E1749)),COUNTBLANK(E1749:K1749) = 6),"3 Delete",IF(ISBLANK(E1749),"2 Add",IF(SHA1Range(E1749:K1749) = "88281304216579e7fd184a27ac8e0d91c3618018","0 Original","1 Modify"))))</f>
        <v>0 Original</v>
      </c>
      <c r="D1749" s="3" t="s">
        <v>2373</v>
      </c>
      <c r="E1749" s="5">
        <v>1752</v>
      </c>
      <c r="F1749">
        <v>524</v>
      </c>
      <c r="G1749" t="s">
        <v>599</v>
      </c>
      <c r="H1749" s="7">
        <v>5.99</v>
      </c>
      <c r="I1749" s="5">
        <v>1</v>
      </c>
      <c r="J1749" s="3" t="s">
        <v>29</v>
      </c>
      <c r="K1749" s="9">
        <v>42483.625740740739</v>
      </c>
    </row>
    <row r="1750" spans="3:11" x14ac:dyDescent="0.25">
      <c r="C1750" t="str">
        <f>IF(COUNTBLANK(E1750:K1750) = 7,"",IF(AND(NOT(ISBLANK(E1750)),COUNTBLANK(E1750:K1750) = 6),"3 Delete",IF(ISBLANK(E1750),"2 Add",IF(SHA1Range(E1750:K1750) = "5f87b49a7ad5b079fb41f360ccc5d46648a7ad0c","0 Original","1 Modify"))))</f>
        <v>0 Original</v>
      </c>
      <c r="D1750" s="3" t="s">
        <v>2374</v>
      </c>
      <c r="E1750" s="5">
        <v>1753</v>
      </c>
      <c r="F1750">
        <v>524</v>
      </c>
      <c r="G1750" t="s">
        <v>136</v>
      </c>
      <c r="H1750" s="7">
        <v>8.99</v>
      </c>
      <c r="I1750" s="5">
        <v>2</v>
      </c>
      <c r="J1750" s="3" t="s">
        <v>29</v>
      </c>
      <c r="K1750" s="9">
        <v>42483.625740740739</v>
      </c>
    </row>
    <row r="1751" spans="3:11" x14ac:dyDescent="0.25">
      <c r="C1751" t="str">
        <f>IF(COUNTBLANK(E1751:K1751) = 7,"",IF(AND(NOT(ISBLANK(E1751)),COUNTBLANK(E1751:K1751) = 6),"3 Delete",IF(ISBLANK(E1751),"2 Add",IF(SHA1Range(E1751:K1751) = "ecc69278315ecdd7befbe70f02976986298a0e22","0 Original","1 Modify"))))</f>
        <v>0 Original</v>
      </c>
      <c r="D1751" s="3" t="s">
        <v>2375</v>
      </c>
      <c r="E1751" s="5">
        <v>1754</v>
      </c>
      <c r="F1751">
        <v>524</v>
      </c>
      <c r="G1751" t="s">
        <v>152</v>
      </c>
      <c r="H1751" s="7">
        <v>5.99</v>
      </c>
      <c r="I1751" s="5">
        <v>1</v>
      </c>
      <c r="J1751" s="3" t="s">
        <v>29</v>
      </c>
      <c r="K1751" s="9">
        <v>42483.625740740739</v>
      </c>
    </row>
    <row r="1752" spans="3:11" x14ac:dyDescent="0.25">
      <c r="C1752" t="str">
        <f>IF(COUNTBLANK(E1752:K1752) = 7,"",IF(AND(NOT(ISBLANK(E1752)),COUNTBLANK(E1752:K1752) = 6),"3 Delete",IF(ISBLANK(E1752),"2 Add",IF(SHA1Range(E1752:K1752) = "16e4bcde3c6abc54867fecdcdc30ea576b9d542f","0 Original","1 Modify"))))</f>
        <v>0 Original</v>
      </c>
      <c r="D1752" s="3" t="s">
        <v>2376</v>
      </c>
      <c r="E1752" s="5">
        <v>1755</v>
      </c>
      <c r="F1752">
        <v>524</v>
      </c>
      <c r="G1752" t="s">
        <v>149</v>
      </c>
      <c r="H1752" s="7">
        <v>7.99</v>
      </c>
      <c r="I1752" s="5">
        <v>1</v>
      </c>
      <c r="J1752" s="3" t="s">
        <v>29</v>
      </c>
      <c r="K1752" s="9">
        <v>42483.625740740739</v>
      </c>
    </row>
    <row r="1753" spans="3:11" x14ac:dyDescent="0.25">
      <c r="C1753" t="str">
        <f>IF(COUNTBLANK(E1753:K1753) = 7,"",IF(AND(NOT(ISBLANK(E1753)),COUNTBLANK(E1753:K1753) = 6),"3 Delete",IF(ISBLANK(E1753),"2 Add",IF(SHA1Range(E1753:K1753) = "3a4fe5fbcb46c58c1db7a780668b730afa708199","0 Original","1 Modify"))))</f>
        <v>0 Original</v>
      </c>
      <c r="D1753" s="3" t="s">
        <v>2377</v>
      </c>
      <c r="E1753" s="5">
        <v>1756</v>
      </c>
      <c r="F1753">
        <v>524</v>
      </c>
      <c r="G1753" t="s">
        <v>459</v>
      </c>
      <c r="H1753" s="7">
        <v>5.99</v>
      </c>
      <c r="I1753" s="5">
        <v>1</v>
      </c>
      <c r="J1753" s="3" t="s">
        <v>29</v>
      </c>
      <c r="K1753" s="9">
        <v>42483.625740740739</v>
      </c>
    </row>
    <row r="1754" spans="3:11" x14ac:dyDescent="0.25">
      <c r="C1754" t="str">
        <f>IF(COUNTBLANK(E1754:K1754) = 7,"",IF(AND(NOT(ISBLANK(E1754)),COUNTBLANK(E1754:K1754) = 6),"3 Delete",IF(ISBLANK(E1754),"2 Add",IF(SHA1Range(E1754:K1754) = "068e88f05f75f85596bbeb8af0fcb49dac30b695","0 Original","1 Modify"))))</f>
        <v>0 Original</v>
      </c>
      <c r="D1754" s="3" t="s">
        <v>2378</v>
      </c>
      <c r="E1754" s="5">
        <v>1757</v>
      </c>
      <c r="F1754">
        <v>525</v>
      </c>
      <c r="G1754" t="s">
        <v>257</v>
      </c>
      <c r="H1754" s="7">
        <v>9.99</v>
      </c>
      <c r="I1754" s="5">
        <v>2</v>
      </c>
      <c r="J1754" s="3" t="s">
        <v>29</v>
      </c>
      <c r="K1754" s="9">
        <v>42483.625740740739</v>
      </c>
    </row>
    <row r="1755" spans="3:11" x14ac:dyDescent="0.25">
      <c r="C1755" t="str">
        <f>IF(COUNTBLANK(E1755:K1755) = 7,"",IF(AND(NOT(ISBLANK(E1755)),COUNTBLANK(E1755:K1755) = 6),"3 Delete",IF(ISBLANK(E1755),"2 Add",IF(SHA1Range(E1755:K1755) = "67369929dfb500fed28db84bf49f5633bd14cfa8","0 Original","1 Modify"))))</f>
        <v>0 Original</v>
      </c>
      <c r="D1755" s="3" t="s">
        <v>2379</v>
      </c>
      <c r="E1755" s="5">
        <v>1758</v>
      </c>
      <c r="F1755">
        <v>525</v>
      </c>
      <c r="G1755" t="s">
        <v>421</v>
      </c>
      <c r="H1755" s="7">
        <v>6.99</v>
      </c>
      <c r="I1755" s="5">
        <v>2</v>
      </c>
      <c r="J1755" s="3" t="s">
        <v>29</v>
      </c>
      <c r="K1755" s="9">
        <v>42483.625740740739</v>
      </c>
    </row>
    <row r="1756" spans="3:11" x14ac:dyDescent="0.25">
      <c r="C1756" t="str">
        <f>IF(COUNTBLANK(E1756:K1756) = 7,"",IF(AND(NOT(ISBLANK(E1756)),COUNTBLANK(E1756:K1756) = 6),"3 Delete",IF(ISBLANK(E1756),"2 Add",IF(SHA1Range(E1756:K1756) = "cd286573ea813e39b84c5787b608e3d265e41101","0 Original","1 Modify"))))</f>
        <v>0 Original</v>
      </c>
      <c r="D1756" s="3" t="s">
        <v>2380</v>
      </c>
      <c r="E1756" s="5">
        <v>1759</v>
      </c>
      <c r="F1756">
        <v>526</v>
      </c>
      <c r="G1756" t="s">
        <v>295</v>
      </c>
      <c r="H1756" s="7">
        <v>7.99</v>
      </c>
      <c r="I1756" s="5">
        <v>1</v>
      </c>
      <c r="J1756" s="3" t="s">
        <v>29</v>
      </c>
      <c r="K1756" s="9">
        <v>42483.625740740739</v>
      </c>
    </row>
    <row r="1757" spans="3:11" x14ac:dyDescent="0.25">
      <c r="C1757" t="str">
        <f>IF(COUNTBLANK(E1757:K1757) = 7,"",IF(AND(NOT(ISBLANK(E1757)),COUNTBLANK(E1757:K1757) = 6),"3 Delete",IF(ISBLANK(E1757),"2 Add",IF(SHA1Range(E1757:K1757) = "a7f3832359b370ff454380cff059f83d8e49f4dd","0 Original","1 Modify"))))</f>
        <v>0 Original</v>
      </c>
      <c r="D1757" s="3" t="s">
        <v>2381</v>
      </c>
      <c r="E1757" s="5">
        <v>1760</v>
      </c>
      <c r="F1757">
        <v>526</v>
      </c>
      <c r="G1757" t="s">
        <v>418</v>
      </c>
      <c r="H1757" s="7">
        <v>6.99</v>
      </c>
      <c r="I1757" s="5">
        <v>1</v>
      </c>
      <c r="J1757" s="3" t="s">
        <v>29</v>
      </c>
      <c r="K1757" s="9">
        <v>42483.625740740739</v>
      </c>
    </row>
    <row r="1758" spans="3:11" x14ac:dyDescent="0.25">
      <c r="C1758" t="str">
        <f>IF(COUNTBLANK(E1758:K1758) = 7,"",IF(AND(NOT(ISBLANK(E1758)),COUNTBLANK(E1758:K1758) = 6),"3 Delete",IF(ISBLANK(E1758),"2 Add",IF(SHA1Range(E1758:K1758) = "7daabaf878e11a34c175507bf8e3074b944cfc3a","0 Original","1 Modify"))))</f>
        <v>0 Original</v>
      </c>
      <c r="D1758" s="3" t="s">
        <v>2382</v>
      </c>
      <c r="E1758" s="5">
        <v>1761</v>
      </c>
      <c r="F1758">
        <v>527</v>
      </c>
      <c r="G1758" t="s">
        <v>136</v>
      </c>
      <c r="H1758" s="7">
        <v>8.99</v>
      </c>
      <c r="I1758" s="5">
        <v>2</v>
      </c>
      <c r="J1758" s="3" t="s">
        <v>29</v>
      </c>
      <c r="K1758" s="9">
        <v>42483.625740740739</v>
      </c>
    </row>
    <row r="1759" spans="3:11" x14ac:dyDescent="0.25">
      <c r="C1759" t="str">
        <f>IF(COUNTBLANK(E1759:K1759) = 7,"",IF(AND(NOT(ISBLANK(E1759)),COUNTBLANK(E1759:K1759) = 6),"3 Delete",IF(ISBLANK(E1759),"2 Add",IF(SHA1Range(E1759:K1759) = "8a75906b77668d2c60ef84996be9994a33354397","0 Original","1 Modify"))))</f>
        <v>0 Original</v>
      </c>
      <c r="D1759" s="3" t="s">
        <v>2383</v>
      </c>
      <c r="E1759" s="5">
        <v>1762</v>
      </c>
      <c r="F1759">
        <v>527</v>
      </c>
      <c r="G1759" t="s">
        <v>217</v>
      </c>
      <c r="H1759" s="7">
        <v>9.99</v>
      </c>
      <c r="I1759" s="5">
        <v>1</v>
      </c>
      <c r="J1759" s="3" t="s">
        <v>29</v>
      </c>
      <c r="K1759" s="9">
        <v>42483.625740740739</v>
      </c>
    </row>
    <row r="1760" spans="3:11" x14ac:dyDescent="0.25">
      <c r="C1760" t="str">
        <f>IF(COUNTBLANK(E1760:K1760) = 7,"",IF(AND(NOT(ISBLANK(E1760)),COUNTBLANK(E1760:K1760) = 6),"3 Delete",IF(ISBLANK(E1760),"2 Add",IF(SHA1Range(E1760:K1760) = "623b42a6759593018cdc0c9f918964745f5db417","0 Original","1 Modify"))))</f>
        <v>0 Original</v>
      </c>
      <c r="D1760" s="3" t="s">
        <v>2384</v>
      </c>
      <c r="E1760" s="5">
        <v>1763</v>
      </c>
      <c r="F1760">
        <v>528</v>
      </c>
      <c r="G1760" t="s">
        <v>335</v>
      </c>
      <c r="H1760" s="7">
        <v>5.99</v>
      </c>
      <c r="I1760" s="5">
        <v>1</v>
      </c>
      <c r="J1760" s="3" t="s">
        <v>29</v>
      </c>
      <c r="K1760" s="9">
        <v>42483.625740740739</v>
      </c>
    </row>
    <row r="1761" spans="3:11" x14ac:dyDescent="0.25">
      <c r="C1761" t="str">
        <f>IF(COUNTBLANK(E1761:K1761) = 7,"",IF(AND(NOT(ISBLANK(E1761)),COUNTBLANK(E1761:K1761) = 6),"3 Delete",IF(ISBLANK(E1761),"2 Add",IF(SHA1Range(E1761:K1761) = "5007f32ea48f162fb2addb47b374b75e95041359","0 Original","1 Modify"))))</f>
        <v>0 Original</v>
      </c>
      <c r="D1761" s="3" t="s">
        <v>2385</v>
      </c>
      <c r="E1761" s="5">
        <v>1764</v>
      </c>
      <c r="F1761">
        <v>528</v>
      </c>
      <c r="G1761" t="s">
        <v>184</v>
      </c>
      <c r="H1761" s="7">
        <v>8.99</v>
      </c>
      <c r="I1761" s="5">
        <v>2</v>
      </c>
      <c r="J1761" s="3" t="s">
        <v>29</v>
      </c>
      <c r="K1761" s="9">
        <v>42483.625740740739</v>
      </c>
    </row>
    <row r="1762" spans="3:11" x14ac:dyDescent="0.25">
      <c r="C1762" t="str">
        <f>IF(COUNTBLANK(E1762:K1762) = 7,"",IF(AND(NOT(ISBLANK(E1762)),COUNTBLANK(E1762:K1762) = 6),"3 Delete",IF(ISBLANK(E1762),"2 Add",IF(SHA1Range(E1762:K1762) = "544b3f50c11936ca076cddf1fca1a22539055296","0 Original","1 Modify"))))</f>
        <v>0 Original</v>
      </c>
      <c r="D1762" s="3" t="s">
        <v>2386</v>
      </c>
      <c r="E1762" s="5">
        <v>1765</v>
      </c>
      <c r="F1762">
        <v>528</v>
      </c>
      <c r="G1762" t="s">
        <v>472</v>
      </c>
      <c r="H1762" s="7">
        <v>6.99</v>
      </c>
      <c r="I1762" s="5">
        <v>1</v>
      </c>
      <c r="J1762" s="3" t="s">
        <v>29</v>
      </c>
      <c r="K1762" s="9">
        <v>42483.625740740739</v>
      </c>
    </row>
    <row r="1763" spans="3:11" x14ac:dyDescent="0.25">
      <c r="C1763" t="str">
        <f>IF(COUNTBLANK(E1763:K1763) = 7,"",IF(AND(NOT(ISBLANK(E1763)),COUNTBLANK(E1763:K1763) = 6),"3 Delete",IF(ISBLANK(E1763),"2 Add",IF(SHA1Range(E1763:K1763) = "f57b1d18b2aea1fc7c5011c26e3e5a714fb9cf1c","0 Original","1 Modify"))))</f>
        <v>0 Original</v>
      </c>
      <c r="D1763" s="3" t="s">
        <v>2387</v>
      </c>
      <c r="E1763" s="5">
        <v>1766</v>
      </c>
      <c r="F1763">
        <v>528</v>
      </c>
      <c r="G1763" t="s">
        <v>398</v>
      </c>
      <c r="H1763" s="7">
        <v>4.99</v>
      </c>
      <c r="I1763" s="5">
        <v>1</v>
      </c>
      <c r="J1763" s="3" t="s">
        <v>29</v>
      </c>
      <c r="K1763" s="9">
        <v>42483.625740740739</v>
      </c>
    </row>
    <row r="1764" spans="3:11" x14ac:dyDescent="0.25">
      <c r="C1764" t="str">
        <f>IF(COUNTBLANK(E1764:K1764) = 7,"",IF(AND(NOT(ISBLANK(E1764)),COUNTBLANK(E1764:K1764) = 6),"3 Delete",IF(ISBLANK(E1764),"2 Add",IF(SHA1Range(E1764:K1764) = "5f0a4ce6bd744ce5c7265260221c73d123ad3733","0 Original","1 Modify"))))</f>
        <v>0 Original</v>
      </c>
      <c r="D1764" s="3" t="s">
        <v>2388</v>
      </c>
      <c r="E1764" s="5">
        <v>1767</v>
      </c>
      <c r="F1764">
        <v>529</v>
      </c>
      <c r="G1764" t="s">
        <v>217</v>
      </c>
      <c r="H1764" s="7">
        <v>9.99</v>
      </c>
      <c r="I1764" s="5">
        <v>1</v>
      </c>
      <c r="J1764" s="3" t="s">
        <v>29</v>
      </c>
      <c r="K1764" s="9">
        <v>42483.625740740739</v>
      </c>
    </row>
    <row r="1765" spans="3:11" x14ac:dyDescent="0.25">
      <c r="C1765" t="str">
        <f>IF(COUNTBLANK(E1765:K1765) = 7,"",IF(AND(NOT(ISBLANK(E1765)),COUNTBLANK(E1765:K1765) = 6),"3 Delete",IF(ISBLANK(E1765),"2 Add",IF(SHA1Range(E1765:K1765) = "25ed9ba6ba720307e139cc2cbe47e299b6567183","0 Original","1 Modify"))))</f>
        <v>0 Original</v>
      </c>
      <c r="D1765" s="3" t="s">
        <v>2389</v>
      </c>
      <c r="E1765" s="5">
        <v>1768</v>
      </c>
      <c r="F1765">
        <v>529</v>
      </c>
      <c r="G1765" t="s">
        <v>364</v>
      </c>
      <c r="H1765" s="7">
        <v>9.99</v>
      </c>
      <c r="I1765" s="5">
        <v>2</v>
      </c>
      <c r="J1765" s="3" t="s">
        <v>29</v>
      </c>
      <c r="K1765" s="9">
        <v>42483.625740740739</v>
      </c>
    </row>
    <row r="1766" spans="3:11" x14ac:dyDescent="0.25">
      <c r="C1766" t="str">
        <f>IF(COUNTBLANK(E1766:K1766) = 7,"",IF(AND(NOT(ISBLANK(E1766)),COUNTBLANK(E1766:K1766) = 6),"3 Delete",IF(ISBLANK(E1766),"2 Add",IF(SHA1Range(E1766:K1766) = "c3ee27feeff191c0b16bad4544072fa5569c356c","0 Original","1 Modify"))))</f>
        <v>0 Original</v>
      </c>
      <c r="D1766" s="3" t="s">
        <v>2390</v>
      </c>
      <c r="E1766" s="5">
        <v>1769</v>
      </c>
      <c r="F1766">
        <v>529</v>
      </c>
      <c r="G1766" t="s">
        <v>537</v>
      </c>
      <c r="H1766" s="7">
        <v>7.99</v>
      </c>
      <c r="I1766" s="5">
        <v>1</v>
      </c>
      <c r="J1766" s="3" t="s">
        <v>29</v>
      </c>
      <c r="K1766" s="9">
        <v>42483.625740740739</v>
      </c>
    </row>
    <row r="1767" spans="3:11" x14ac:dyDescent="0.25">
      <c r="C1767" t="str">
        <f>IF(COUNTBLANK(E1767:K1767) = 7,"",IF(AND(NOT(ISBLANK(E1767)),COUNTBLANK(E1767:K1767) = 6),"3 Delete",IF(ISBLANK(E1767),"2 Add",IF(SHA1Range(E1767:K1767) = "784255bced8b2d8090505129b9175679bfbe94be","0 Original","1 Modify"))))</f>
        <v>0 Original</v>
      </c>
      <c r="D1767" s="3" t="s">
        <v>2391</v>
      </c>
      <c r="E1767" s="5">
        <v>1770</v>
      </c>
      <c r="F1767">
        <v>529</v>
      </c>
      <c r="G1767" t="s">
        <v>576</v>
      </c>
      <c r="H1767" s="7">
        <v>5.99</v>
      </c>
      <c r="I1767" s="5">
        <v>1</v>
      </c>
      <c r="J1767" s="3" t="s">
        <v>29</v>
      </c>
      <c r="K1767" s="9">
        <v>42483.625740740739</v>
      </c>
    </row>
    <row r="1768" spans="3:11" x14ac:dyDescent="0.25">
      <c r="C1768" t="str">
        <f>IF(COUNTBLANK(E1768:K1768) = 7,"",IF(AND(NOT(ISBLANK(E1768)),COUNTBLANK(E1768:K1768) = 6),"3 Delete",IF(ISBLANK(E1768),"2 Add",IF(SHA1Range(E1768:K1768) = "eedf287fc62d1245e334031dfbdb4ba8111c909b","0 Original","1 Modify"))))</f>
        <v>0 Original</v>
      </c>
      <c r="D1768" s="3" t="s">
        <v>2392</v>
      </c>
      <c r="E1768" s="5">
        <v>1771</v>
      </c>
      <c r="F1768">
        <v>529</v>
      </c>
      <c r="G1768" t="s">
        <v>576</v>
      </c>
      <c r="H1768" s="7">
        <v>5.99</v>
      </c>
      <c r="I1768" s="5">
        <v>1</v>
      </c>
      <c r="J1768" s="3" t="s">
        <v>29</v>
      </c>
      <c r="K1768" s="9">
        <v>42483.625740740739</v>
      </c>
    </row>
    <row r="1769" spans="3:11" x14ac:dyDescent="0.25">
      <c r="C1769" t="str">
        <f>IF(COUNTBLANK(E1769:K1769) = 7,"",IF(AND(NOT(ISBLANK(E1769)),COUNTBLANK(E1769:K1769) = 6),"3 Delete",IF(ISBLANK(E1769),"2 Add",IF(SHA1Range(E1769:K1769) = "9acf3abffbdf4a3cf0d15ab5c9d03ed6e636890b","0 Original","1 Modify"))))</f>
        <v>0 Original</v>
      </c>
      <c r="D1769" s="3" t="s">
        <v>2393</v>
      </c>
      <c r="E1769" s="5">
        <v>1772</v>
      </c>
      <c r="F1769">
        <v>530</v>
      </c>
      <c r="G1769" t="s">
        <v>133</v>
      </c>
      <c r="H1769" s="7">
        <v>7.99</v>
      </c>
      <c r="I1769" s="5">
        <v>2</v>
      </c>
      <c r="J1769" s="3" t="s">
        <v>29</v>
      </c>
      <c r="K1769" s="9">
        <v>42483.625740740739</v>
      </c>
    </row>
    <row r="1770" spans="3:11" x14ac:dyDescent="0.25">
      <c r="C1770" t="str">
        <f>IF(COUNTBLANK(E1770:K1770) = 7,"",IF(AND(NOT(ISBLANK(E1770)),COUNTBLANK(E1770:K1770) = 6),"3 Delete",IF(ISBLANK(E1770),"2 Add",IF(SHA1Range(E1770:K1770) = "1a0d8e56f909fe7853e710adb75ca2c10b990f47","0 Original","1 Modify"))))</f>
        <v>0 Original</v>
      </c>
      <c r="D1770" s="3" t="s">
        <v>2394</v>
      </c>
      <c r="E1770" s="5">
        <v>1773</v>
      </c>
      <c r="F1770">
        <v>530</v>
      </c>
      <c r="G1770" t="s">
        <v>472</v>
      </c>
      <c r="H1770" s="7">
        <v>6.99</v>
      </c>
      <c r="I1770" s="5">
        <v>1</v>
      </c>
      <c r="J1770" s="3" t="s">
        <v>29</v>
      </c>
      <c r="K1770" s="9">
        <v>42483.625740740739</v>
      </c>
    </row>
    <row r="1771" spans="3:11" x14ac:dyDescent="0.25">
      <c r="C1771" t="str">
        <f>IF(COUNTBLANK(E1771:K1771) = 7,"",IF(AND(NOT(ISBLANK(E1771)),COUNTBLANK(E1771:K1771) = 6),"3 Delete",IF(ISBLANK(E1771),"2 Add",IF(SHA1Range(E1771:K1771) = "98c50eacdb8272ec72f2bfb2a65eb75a01949e88","0 Original","1 Modify"))))</f>
        <v>0 Original</v>
      </c>
      <c r="D1771" s="3" t="s">
        <v>2395</v>
      </c>
      <c r="E1771" s="5">
        <v>1774</v>
      </c>
      <c r="F1771">
        <v>530</v>
      </c>
      <c r="G1771" t="s">
        <v>142</v>
      </c>
      <c r="H1771" s="7">
        <v>4.99</v>
      </c>
      <c r="I1771" s="5">
        <v>1</v>
      </c>
      <c r="J1771" s="3" t="s">
        <v>29</v>
      </c>
      <c r="K1771" s="9">
        <v>42483.625740740739</v>
      </c>
    </row>
    <row r="1772" spans="3:11" x14ac:dyDescent="0.25">
      <c r="C1772" t="str">
        <f>IF(COUNTBLANK(E1772:K1772) = 7,"",IF(AND(NOT(ISBLANK(E1772)),COUNTBLANK(E1772:K1772) = 6),"3 Delete",IF(ISBLANK(E1772),"2 Add",IF(SHA1Range(E1772:K1772) = "396d43b78ed3d4ca5171fb850c303ae5c6409348","0 Original","1 Modify"))))</f>
        <v>0 Original</v>
      </c>
      <c r="D1772" s="3" t="s">
        <v>2396</v>
      </c>
      <c r="E1772" s="5">
        <v>1775</v>
      </c>
      <c r="F1772">
        <v>530</v>
      </c>
      <c r="G1772" t="s">
        <v>149</v>
      </c>
      <c r="H1772" s="7">
        <v>7.99</v>
      </c>
      <c r="I1772" s="5">
        <v>1</v>
      </c>
      <c r="J1772" s="3" t="s">
        <v>29</v>
      </c>
      <c r="K1772" s="9">
        <v>42483.625740740739</v>
      </c>
    </row>
    <row r="1773" spans="3:11" x14ac:dyDescent="0.25">
      <c r="C1773" t="str">
        <f>IF(COUNTBLANK(E1773:K1773) = 7,"",IF(AND(NOT(ISBLANK(E1773)),COUNTBLANK(E1773:K1773) = 6),"3 Delete",IF(ISBLANK(E1773),"2 Add",IF(SHA1Range(E1773:K1773) = "61873ddd9451dc7846cb85442d20e3e463ec7bdc","0 Original","1 Modify"))))</f>
        <v>0 Original</v>
      </c>
      <c r="D1773" s="3" t="s">
        <v>2397</v>
      </c>
      <c r="E1773" s="5">
        <v>1776</v>
      </c>
      <c r="F1773">
        <v>530</v>
      </c>
      <c r="G1773" t="s">
        <v>459</v>
      </c>
      <c r="H1773" s="7">
        <v>5.99</v>
      </c>
      <c r="I1773" s="5">
        <v>1</v>
      </c>
      <c r="J1773" s="3" t="s">
        <v>29</v>
      </c>
      <c r="K1773" s="9">
        <v>42483.625740740739</v>
      </c>
    </row>
    <row r="1774" spans="3:11" x14ac:dyDescent="0.25">
      <c r="C1774" t="str">
        <f>IF(COUNTBLANK(E1774:K1774) = 7,"",IF(AND(NOT(ISBLANK(E1774)),COUNTBLANK(E1774:K1774) = 6),"3 Delete",IF(ISBLANK(E1774),"2 Add",IF(SHA1Range(E1774:K1774) = "e9094a22e598849b90c3bedf0e6f463ab64de49f","0 Original","1 Modify"))))</f>
        <v>0 Original</v>
      </c>
      <c r="D1774" s="3" t="s">
        <v>2398</v>
      </c>
      <c r="E1774" s="5">
        <v>1777</v>
      </c>
      <c r="F1774">
        <v>530</v>
      </c>
      <c r="G1774" t="s">
        <v>30</v>
      </c>
      <c r="H1774" s="7">
        <v>9.99</v>
      </c>
      <c r="I1774" s="5">
        <v>1</v>
      </c>
      <c r="J1774" s="3" t="s">
        <v>29</v>
      </c>
      <c r="K1774" s="9">
        <v>42483.625740740739</v>
      </c>
    </row>
    <row r="1775" spans="3:11" x14ac:dyDescent="0.25">
      <c r="C1775" t="str">
        <f>IF(COUNTBLANK(E1775:K1775) = 7,"",IF(AND(NOT(ISBLANK(E1775)),COUNTBLANK(E1775:K1775) = 6),"3 Delete",IF(ISBLANK(E1775),"2 Add",IF(SHA1Range(E1775:K1775) = "16f5962d0470ccd16f960bc30924229041a0378e","0 Original","1 Modify"))))</f>
        <v>0 Original</v>
      </c>
      <c r="D1775" s="3" t="s">
        <v>2399</v>
      </c>
      <c r="E1775" s="5">
        <v>1778</v>
      </c>
      <c r="F1775">
        <v>531</v>
      </c>
      <c r="G1775" t="s">
        <v>599</v>
      </c>
      <c r="H1775" s="7">
        <v>5.99</v>
      </c>
      <c r="I1775" s="5">
        <v>1</v>
      </c>
      <c r="J1775" s="3" t="s">
        <v>29</v>
      </c>
      <c r="K1775" s="9">
        <v>42483.625740740739</v>
      </c>
    </row>
    <row r="1776" spans="3:11" x14ac:dyDescent="0.25">
      <c r="C1776" t="str">
        <f>IF(COUNTBLANK(E1776:K1776) = 7,"",IF(AND(NOT(ISBLANK(E1776)),COUNTBLANK(E1776:K1776) = 6),"3 Delete",IF(ISBLANK(E1776),"2 Add",IF(SHA1Range(E1776:K1776) = "64c4b1965ca18f378fbfccaa7621c3c2034522cf","0 Original","1 Modify"))))</f>
        <v>0 Original</v>
      </c>
      <c r="D1776" s="3" t="s">
        <v>2400</v>
      </c>
      <c r="E1776" s="5">
        <v>1779</v>
      </c>
      <c r="F1776">
        <v>532</v>
      </c>
      <c r="G1776" t="s">
        <v>472</v>
      </c>
      <c r="H1776" s="7">
        <v>6.99</v>
      </c>
      <c r="I1776" s="5">
        <v>1</v>
      </c>
      <c r="J1776" s="3" t="s">
        <v>29</v>
      </c>
      <c r="K1776" s="9">
        <v>42483.625740740739</v>
      </c>
    </row>
    <row r="1777" spans="3:11" x14ac:dyDescent="0.25">
      <c r="C1777" t="str">
        <f>IF(COUNTBLANK(E1777:K1777) = 7,"",IF(AND(NOT(ISBLANK(E1777)),COUNTBLANK(E1777:K1777) = 6),"3 Delete",IF(ISBLANK(E1777),"2 Add",IF(SHA1Range(E1777:K1777) = "5ea47de10a23897b1d3678863f2a5cde41c8ee7e","0 Original","1 Modify"))))</f>
        <v>0 Original</v>
      </c>
      <c r="D1777" s="3" t="s">
        <v>2401</v>
      </c>
      <c r="E1777" s="5">
        <v>1780</v>
      </c>
      <c r="F1777">
        <v>532</v>
      </c>
      <c r="G1777" t="s">
        <v>418</v>
      </c>
      <c r="H1777" s="7">
        <v>6.99</v>
      </c>
      <c r="I1777" s="5">
        <v>2</v>
      </c>
      <c r="J1777" s="3" t="s">
        <v>29</v>
      </c>
      <c r="K1777" s="9">
        <v>42483.625740740739</v>
      </c>
    </row>
    <row r="1778" spans="3:11" x14ac:dyDescent="0.25">
      <c r="C1778" t="str">
        <f>IF(COUNTBLANK(E1778:K1778) = 7,"",IF(AND(NOT(ISBLANK(E1778)),COUNTBLANK(E1778:K1778) = 6),"3 Delete",IF(ISBLANK(E1778),"2 Add",IF(SHA1Range(E1778:K1778) = "8cb55d11eb4ad227c06c393f243fbfb2ae1b1311","0 Original","1 Modify"))))</f>
        <v>0 Original</v>
      </c>
      <c r="D1778" s="3" t="s">
        <v>2402</v>
      </c>
      <c r="E1778" s="5">
        <v>1781</v>
      </c>
      <c r="F1778">
        <v>532</v>
      </c>
      <c r="G1778" t="s">
        <v>418</v>
      </c>
      <c r="H1778" s="7">
        <v>6.99</v>
      </c>
      <c r="I1778" s="5">
        <v>2</v>
      </c>
      <c r="J1778" s="3" t="s">
        <v>29</v>
      </c>
      <c r="K1778" s="9">
        <v>42483.625740740739</v>
      </c>
    </row>
    <row r="1779" spans="3:11" x14ac:dyDescent="0.25">
      <c r="C1779" t="str">
        <f>IF(COUNTBLANK(E1779:K1779) = 7,"",IF(AND(NOT(ISBLANK(E1779)),COUNTBLANK(E1779:K1779) = 6),"3 Delete",IF(ISBLANK(E1779),"2 Add",IF(SHA1Range(E1779:K1779) = "9a9f26b2e924ca9f3c291ffe1b524f74f7659811","0 Original","1 Modify"))))</f>
        <v>0 Original</v>
      </c>
      <c r="D1779" s="3" t="s">
        <v>2403</v>
      </c>
      <c r="E1779" s="5">
        <v>1782</v>
      </c>
      <c r="F1779">
        <v>532</v>
      </c>
      <c r="G1779" t="s">
        <v>254</v>
      </c>
      <c r="H1779" s="7">
        <v>4.99</v>
      </c>
      <c r="I1779" s="5">
        <v>1</v>
      </c>
      <c r="J1779" s="3" t="s">
        <v>29</v>
      </c>
      <c r="K1779" s="9">
        <v>42483.625740740739</v>
      </c>
    </row>
    <row r="1780" spans="3:11" x14ac:dyDescent="0.25">
      <c r="C1780" t="str">
        <f>IF(COUNTBLANK(E1780:K1780) = 7,"",IF(AND(NOT(ISBLANK(E1780)),COUNTBLANK(E1780:K1780) = 6),"3 Delete",IF(ISBLANK(E1780),"2 Add",IF(SHA1Range(E1780:K1780) = "b685f302482bb66977c118e6e12b2b1f93204378","0 Original","1 Modify"))))</f>
        <v>0 Original</v>
      </c>
      <c r="D1780" s="3" t="s">
        <v>2404</v>
      </c>
      <c r="E1780" s="5">
        <v>1783</v>
      </c>
      <c r="F1780">
        <v>532</v>
      </c>
      <c r="G1780" t="s">
        <v>136</v>
      </c>
      <c r="H1780" s="7">
        <v>8.99</v>
      </c>
      <c r="I1780" s="5">
        <v>2</v>
      </c>
      <c r="J1780" s="3" t="s">
        <v>29</v>
      </c>
      <c r="K1780" s="9">
        <v>42483.625740740739</v>
      </c>
    </row>
    <row r="1781" spans="3:11" x14ac:dyDescent="0.25">
      <c r="C1781" t="str">
        <f>IF(COUNTBLANK(E1781:K1781) = 7,"",IF(AND(NOT(ISBLANK(E1781)),COUNTBLANK(E1781:K1781) = 6),"3 Delete",IF(ISBLANK(E1781),"2 Add",IF(SHA1Range(E1781:K1781) = "de320157aa8892ec96a444eb427999785e82eb51","0 Original","1 Modify"))))</f>
        <v>0 Original</v>
      </c>
      <c r="D1781" s="3" t="s">
        <v>2405</v>
      </c>
      <c r="E1781" s="5">
        <v>1784</v>
      </c>
      <c r="F1781">
        <v>533</v>
      </c>
      <c r="G1781" t="s">
        <v>391</v>
      </c>
      <c r="H1781" s="7">
        <v>7.99</v>
      </c>
      <c r="I1781" s="5">
        <v>2</v>
      </c>
      <c r="J1781" s="3" t="s">
        <v>29</v>
      </c>
      <c r="K1781" s="9">
        <v>42483.625740740739</v>
      </c>
    </row>
    <row r="1782" spans="3:11" x14ac:dyDescent="0.25">
      <c r="C1782" t="str">
        <f>IF(COUNTBLANK(E1782:K1782) = 7,"",IF(AND(NOT(ISBLANK(E1782)),COUNTBLANK(E1782:K1782) = 6),"3 Delete",IF(ISBLANK(E1782),"2 Add",IF(SHA1Range(E1782:K1782) = "263a28602c63f3126e6f27aa972069b634e9ad76","0 Original","1 Modify"))))</f>
        <v>0 Original</v>
      </c>
      <c r="D1782" s="3" t="s">
        <v>2406</v>
      </c>
      <c r="E1782" s="5">
        <v>1785</v>
      </c>
      <c r="F1782">
        <v>533</v>
      </c>
      <c r="G1782" t="s">
        <v>136</v>
      </c>
      <c r="H1782" s="7">
        <v>8.99</v>
      </c>
      <c r="I1782" s="5">
        <v>1</v>
      </c>
      <c r="J1782" s="3" t="s">
        <v>29</v>
      </c>
      <c r="K1782" s="9">
        <v>42483.625740740739</v>
      </c>
    </row>
    <row r="1783" spans="3:11" x14ac:dyDescent="0.25">
      <c r="C1783" t="str">
        <f>IF(COUNTBLANK(E1783:K1783) = 7,"",IF(AND(NOT(ISBLANK(E1783)),COUNTBLANK(E1783:K1783) = 6),"3 Delete",IF(ISBLANK(E1783),"2 Add",IF(SHA1Range(E1783:K1783) = "744be98abcd2562905da466a9f243799b9d9341e","0 Original","1 Modify"))))</f>
        <v>0 Original</v>
      </c>
      <c r="D1783" s="3" t="s">
        <v>2407</v>
      </c>
      <c r="E1783" s="5">
        <v>1786</v>
      </c>
      <c r="F1783">
        <v>533</v>
      </c>
      <c r="G1783" t="s">
        <v>58</v>
      </c>
      <c r="H1783" s="7">
        <v>8.99</v>
      </c>
      <c r="I1783" s="5">
        <v>1</v>
      </c>
      <c r="J1783" s="3" t="s">
        <v>29</v>
      </c>
      <c r="K1783" s="9">
        <v>42483.625740740739</v>
      </c>
    </row>
    <row r="1784" spans="3:11" x14ac:dyDescent="0.25">
      <c r="C1784" t="str">
        <f>IF(COUNTBLANK(E1784:K1784) = 7,"",IF(AND(NOT(ISBLANK(E1784)),COUNTBLANK(E1784:K1784) = 6),"3 Delete",IF(ISBLANK(E1784),"2 Add",IF(SHA1Range(E1784:K1784) = "bf649347ae248b5c062650d2f641fc3bf24a0af3","0 Original","1 Modify"))))</f>
        <v>0 Original</v>
      </c>
      <c r="D1784" s="3" t="s">
        <v>2408</v>
      </c>
      <c r="E1784" s="5">
        <v>1787</v>
      </c>
      <c r="F1784">
        <v>534</v>
      </c>
      <c r="G1784" t="s">
        <v>599</v>
      </c>
      <c r="H1784" s="7">
        <v>5.99</v>
      </c>
      <c r="I1784" s="5">
        <v>2</v>
      </c>
      <c r="J1784" s="3" t="s">
        <v>29</v>
      </c>
      <c r="K1784" s="9">
        <v>42483.625740740739</v>
      </c>
    </row>
    <row r="1785" spans="3:11" x14ac:dyDescent="0.25">
      <c r="C1785" t="str">
        <f>IF(COUNTBLANK(E1785:K1785) = 7,"",IF(AND(NOT(ISBLANK(E1785)),COUNTBLANK(E1785:K1785) = 6),"3 Delete",IF(ISBLANK(E1785),"2 Add",IF(SHA1Range(E1785:K1785) = "86ff43980a178a1b826fcf64ef4e0b43b1a2b7b9","0 Original","1 Modify"))))</f>
        <v>0 Original</v>
      </c>
      <c r="D1785" s="3" t="s">
        <v>2409</v>
      </c>
      <c r="E1785" s="5">
        <v>1788</v>
      </c>
      <c r="F1785">
        <v>534</v>
      </c>
      <c r="G1785" t="s">
        <v>456</v>
      </c>
      <c r="H1785" s="7">
        <v>9.99</v>
      </c>
      <c r="I1785" s="5">
        <v>2</v>
      </c>
      <c r="J1785" s="3" t="s">
        <v>29</v>
      </c>
      <c r="K1785" s="9">
        <v>42483.625740740739</v>
      </c>
    </row>
    <row r="1786" spans="3:11" x14ac:dyDescent="0.25">
      <c r="C1786" t="str">
        <f>IF(COUNTBLANK(E1786:K1786) = 7,"",IF(AND(NOT(ISBLANK(E1786)),COUNTBLANK(E1786:K1786) = 6),"3 Delete",IF(ISBLANK(E1786),"2 Add",IF(SHA1Range(E1786:K1786) = "4d79f6b16090b3e9d55e5f2db38b2640ac51d32e","0 Original","1 Modify"))))</f>
        <v>0 Original</v>
      </c>
      <c r="D1786" s="3" t="s">
        <v>2410</v>
      </c>
      <c r="E1786" s="5">
        <v>1789</v>
      </c>
      <c r="F1786">
        <v>534</v>
      </c>
      <c r="G1786" t="s">
        <v>503</v>
      </c>
      <c r="H1786" s="7">
        <v>8.99</v>
      </c>
      <c r="I1786" s="5">
        <v>1</v>
      </c>
      <c r="J1786" s="3" t="s">
        <v>29</v>
      </c>
      <c r="K1786" s="9">
        <v>42483.625740740739</v>
      </c>
    </row>
    <row r="1787" spans="3:11" x14ac:dyDescent="0.25">
      <c r="C1787" t="str">
        <f>IF(COUNTBLANK(E1787:K1787) = 7,"",IF(AND(NOT(ISBLANK(E1787)),COUNTBLANK(E1787:K1787) = 6),"3 Delete",IF(ISBLANK(E1787),"2 Add",IF(SHA1Range(E1787:K1787) = "2bae3ecd9ad4b254b65a51715c32a27288a61b14","0 Original","1 Modify"))))</f>
        <v>0 Original</v>
      </c>
      <c r="D1787" s="3" t="s">
        <v>2411</v>
      </c>
      <c r="E1787" s="5">
        <v>1790</v>
      </c>
      <c r="F1787">
        <v>534</v>
      </c>
      <c r="G1787" t="s">
        <v>30</v>
      </c>
      <c r="H1787" s="7">
        <v>9.99</v>
      </c>
      <c r="I1787" s="5">
        <v>1</v>
      </c>
      <c r="J1787" s="3" t="s">
        <v>29</v>
      </c>
      <c r="K1787" s="9">
        <v>42483.625740740739</v>
      </c>
    </row>
    <row r="1788" spans="3:11" x14ac:dyDescent="0.25">
      <c r="C1788" t="str">
        <f>IF(COUNTBLANK(E1788:K1788) = 7,"",IF(AND(NOT(ISBLANK(E1788)),COUNTBLANK(E1788:K1788) = 6),"3 Delete",IF(ISBLANK(E1788),"2 Add",IF(SHA1Range(E1788:K1788) = "a0905f1ad719351f876cfdecfeec2eb43a6ba737","0 Original","1 Modify"))))</f>
        <v>0 Original</v>
      </c>
      <c r="D1788" s="3" t="s">
        <v>2412</v>
      </c>
      <c r="E1788" s="5">
        <v>1791</v>
      </c>
      <c r="F1788">
        <v>534</v>
      </c>
      <c r="G1788" t="s">
        <v>295</v>
      </c>
      <c r="H1788" s="7">
        <v>7.99</v>
      </c>
      <c r="I1788" s="5">
        <v>2</v>
      </c>
      <c r="J1788" s="3" t="s">
        <v>29</v>
      </c>
      <c r="K1788" s="9">
        <v>42483.625740740739</v>
      </c>
    </row>
    <row r="1789" spans="3:11" x14ac:dyDescent="0.25">
      <c r="C1789" t="str">
        <f>IF(COUNTBLANK(E1789:K1789) = 7,"",IF(AND(NOT(ISBLANK(E1789)),COUNTBLANK(E1789:K1789) = 6),"3 Delete",IF(ISBLANK(E1789),"2 Add",IF(SHA1Range(E1789:K1789) = "9f5cc0696c22d105670122ae687aa6a21415bad3","0 Original","1 Modify"))))</f>
        <v>0 Original</v>
      </c>
      <c r="D1789" s="3" t="s">
        <v>2413</v>
      </c>
      <c r="E1789" s="5">
        <v>1792</v>
      </c>
      <c r="F1789">
        <v>534</v>
      </c>
      <c r="G1789" t="s">
        <v>456</v>
      </c>
      <c r="H1789" s="7">
        <v>9.99</v>
      </c>
      <c r="I1789" s="5">
        <v>2</v>
      </c>
      <c r="J1789" s="3" t="s">
        <v>29</v>
      </c>
      <c r="K1789" s="9">
        <v>42483.625740740739</v>
      </c>
    </row>
    <row r="1790" spans="3:11" x14ac:dyDescent="0.25">
      <c r="C1790" t="str">
        <f>IF(COUNTBLANK(E1790:K1790) = 7,"",IF(AND(NOT(ISBLANK(E1790)),COUNTBLANK(E1790:K1790) = 6),"3 Delete",IF(ISBLANK(E1790),"2 Add",IF(SHA1Range(E1790:K1790) = "12b482e3c7b0494d9943a1527cdad493c1d21de1","0 Original","1 Modify"))))</f>
        <v>0 Original</v>
      </c>
      <c r="D1790" s="3" t="s">
        <v>2414</v>
      </c>
      <c r="E1790" s="5">
        <v>1793</v>
      </c>
      <c r="F1790">
        <v>535</v>
      </c>
      <c r="G1790" t="s">
        <v>51</v>
      </c>
      <c r="H1790" s="7">
        <v>9.99</v>
      </c>
      <c r="I1790" s="5">
        <v>2</v>
      </c>
      <c r="J1790" s="3" t="s">
        <v>29</v>
      </c>
      <c r="K1790" s="9">
        <v>42483.625740740739</v>
      </c>
    </row>
    <row r="1791" spans="3:11" x14ac:dyDescent="0.25">
      <c r="C1791" t="str">
        <f>IF(COUNTBLANK(E1791:K1791) = 7,"",IF(AND(NOT(ISBLANK(E1791)),COUNTBLANK(E1791:K1791) = 6),"3 Delete",IF(ISBLANK(E1791),"2 Add",IF(SHA1Range(E1791:K1791) = "1f85bce5fe97e5795694ca7fe544f4e9632554c0","0 Original","1 Modify"))))</f>
        <v>0 Original</v>
      </c>
      <c r="D1791" s="3" t="s">
        <v>2415</v>
      </c>
      <c r="E1791" s="5">
        <v>1794</v>
      </c>
      <c r="F1791">
        <v>535</v>
      </c>
      <c r="G1791" t="s">
        <v>388</v>
      </c>
      <c r="H1791" s="7">
        <v>5.99</v>
      </c>
      <c r="I1791" s="5">
        <v>1</v>
      </c>
      <c r="J1791" s="3" t="s">
        <v>29</v>
      </c>
      <c r="K1791" s="9">
        <v>42483.625740740739</v>
      </c>
    </row>
    <row r="1792" spans="3:11" x14ac:dyDescent="0.25">
      <c r="C1792" t="str">
        <f>IF(COUNTBLANK(E1792:K1792) = 7,"",IF(AND(NOT(ISBLANK(E1792)),COUNTBLANK(E1792:K1792) = 6),"3 Delete",IF(ISBLANK(E1792),"2 Add",IF(SHA1Range(E1792:K1792) = "e99641d0958b950922f9b7cd0b4a75803d3b1de6","0 Original","1 Modify"))))</f>
        <v>0 Original</v>
      </c>
      <c r="D1792" s="3" t="s">
        <v>2416</v>
      </c>
      <c r="E1792" s="5">
        <v>1795</v>
      </c>
      <c r="F1792">
        <v>535</v>
      </c>
      <c r="G1792" t="s">
        <v>388</v>
      </c>
      <c r="H1792" s="7">
        <v>5.99</v>
      </c>
      <c r="I1792" s="5">
        <v>1</v>
      </c>
      <c r="J1792" s="3" t="s">
        <v>29</v>
      </c>
      <c r="K1792" s="9">
        <v>42483.625740740739</v>
      </c>
    </row>
    <row r="1793" spans="3:11" x14ac:dyDescent="0.25">
      <c r="C1793" t="str">
        <f>IF(COUNTBLANK(E1793:K1793) = 7,"",IF(AND(NOT(ISBLANK(E1793)),COUNTBLANK(E1793:K1793) = 6),"3 Delete",IF(ISBLANK(E1793),"2 Add",IF(SHA1Range(E1793:K1793) = "f2acad44a732219b018cc99d3d7f7f5ef615debf","0 Original","1 Modify"))))</f>
        <v>0 Original</v>
      </c>
      <c r="D1793" s="3" t="s">
        <v>2417</v>
      </c>
      <c r="E1793" s="5">
        <v>1796</v>
      </c>
      <c r="F1793">
        <v>535</v>
      </c>
      <c r="G1793" t="s">
        <v>525</v>
      </c>
      <c r="H1793" s="7">
        <v>4.99</v>
      </c>
      <c r="I1793" s="5">
        <v>1</v>
      </c>
      <c r="J1793" s="3" t="s">
        <v>29</v>
      </c>
      <c r="K1793" s="9">
        <v>42483.625740740739</v>
      </c>
    </row>
    <row r="1794" spans="3:11" x14ac:dyDescent="0.25">
      <c r="C1794" t="str">
        <f>IF(COUNTBLANK(E1794:K1794) = 7,"",IF(AND(NOT(ISBLANK(E1794)),COUNTBLANK(E1794:K1794) = 6),"3 Delete",IF(ISBLANK(E1794),"2 Add",IF(SHA1Range(E1794:K1794) = "c84b54fbeea35dbdc8093481f8dccf881b112211","0 Original","1 Modify"))))</f>
        <v>0 Original</v>
      </c>
      <c r="D1794" s="3" t="s">
        <v>2418</v>
      </c>
      <c r="E1794" s="5">
        <v>1797</v>
      </c>
      <c r="F1794">
        <v>535</v>
      </c>
      <c r="G1794" t="s">
        <v>602</v>
      </c>
      <c r="H1794" s="7">
        <v>7.99</v>
      </c>
      <c r="I1794" s="5">
        <v>2</v>
      </c>
      <c r="J1794" s="3" t="s">
        <v>29</v>
      </c>
      <c r="K1794" s="9">
        <v>42483.625740740739</v>
      </c>
    </row>
    <row r="1795" spans="3:11" x14ac:dyDescent="0.25">
      <c r="C1795" t="str">
        <f>IF(COUNTBLANK(E1795:K1795) = 7,"",IF(AND(NOT(ISBLANK(E1795)),COUNTBLANK(E1795:K1795) = 6),"3 Delete",IF(ISBLANK(E1795),"2 Add",IF(SHA1Range(E1795:K1795) = "62452b47f7af2cf4c18845c6b6eb6dab67d7fcb0","0 Original","1 Modify"))))</f>
        <v>0 Original</v>
      </c>
      <c r="D1795" s="3" t="s">
        <v>2419</v>
      </c>
      <c r="E1795" s="5">
        <v>1798</v>
      </c>
      <c r="F1795">
        <v>536</v>
      </c>
      <c r="G1795" t="s">
        <v>503</v>
      </c>
      <c r="H1795" s="7">
        <v>8.99</v>
      </c>
      <c r="I1795" s="5">
        <v>1</v>
      </c>
      <c r="J1795" s="3" t="s">
        <v>29</v>
      </c>
      <c r="K1795" s="9">
        <v>42483.625740740739</v>
      </c>
    </row>
    <row r="1796" spans="3:11" x14ac:dyDescent="0.25">
      <c r="C1796" t="str">
        <f>IF(COUNTBLANK(E1796:K1796) = 7,"",IF(AND(NOT(ISBLANK(E1796)),COUNTBLANK(E1796:K1796) = 6),"3 Delete",IF(ISBLANK(E1796),"2 Add",IF(SHA1Range(E1796:K1796) = "8bc7a50c5bd0da2ea218f31b77d5c4ac4f224661","0 Original","1 Modify"))))</f>
        <v>0 Original</v>
      </c>
      <c r="D1796" s="3" t="s">
        <v>2420</v>
      </c>
      <c r="E1796" s="5">
        <v>1799</v>
      </c>
      <c r="F1796">
        <v>536</v>
      </c>
      <c r="G1796" t="s">
        <v>537</v>
      </c>
      <c r="H1796" s="7">
        <v>7.99</v>
      </c>
      <c r="I1796" s="5">
        <v>1</v>
      </c>
      <c r="J1796" s="3" t="s">
        <v>29</v>
      </c>
      <c r="K1796" s="9">
        <v>42483.625740740739</v>
      </c>
    </row>
    <row r="1797" spans="3:11" x14ac:dyDescent="0.25">
      <c r="C1797" t="str">
        <f>IF(COUNTBLANK(E1797:K1797) = 7,"",IF(AND(NOT(ISBLANK(E1797)),COUNTBLANK(E1797:K1797) = 6),"3 Delete",IF(ISBLANK(E1797),"2 Add",IF(SHA1Range(E1797:K1797) = "33e21a68a418dc36fe9fbf7ca39ae58347bb044f","0 Original","1 Modify"))))</f>
        <v>0 Original</v>
      </c>
      <c r="D1797" s="3" t="s">
        <v>2421</v>
      </c>
      <c r="E1797" s="5">
        <v>1800</v>
      </c>
      <c r="F1797">
        <v>536</v>
      </c>
      <c r="G1797" t="s">
        <v>576</v>
      </c>
      <c r="H1797" s="7">
        <v>5.99</v>
      </c>
      <c r="I1797" s="5">
        <v>1</v>
      </c>
      <c r="J1797" s="3" t="s">
        <v>29</v>
      </c>
      <c r="K1797" s="9">
        <v>42483.625740740739</v>
      </c>
    </row>
    <row r="1798" spans="3:11" x14ac:dyDescent="0.25">
      <c r="C1798" t="str">
        <f>IF(COUNTBLANK(E1798:K1798) = 7,"",IF(AND(NOT(ISBLANK(E1798)),COUNTBLANK(E1798:K1798) = 6),"3 Delete",IF(ISBLANK(E1798),"2 Add",IF(SHA1Range(E1798:K1798) = "73b9bf36c97d31c4f23136a4f70b3d8074675d30","0 Original","1 Modify"))))</f>
        <v>0 Original</v>
      </c>
      <c r="D1798" s="3" t="s">
        <v>2422</v>
      </c>
      <c r="E1798" s="5">
        <v>1801</v>
      </c>
      <c r="F1798">
        <v>536</v>
      </c>
      <c r="G1798" t="s">
        <v>599</v>
      </c>
      <c r="H1798" s="7">
        <v>5.99</v>
      </c>
      <c r="I1798" s="5">
        <v>1</v>
      </c>
      <c r="J1798" s="3" t="s">
        <v>29</v>
      </c>
      <c r="K1798" s="9">
        <v>42483.625740740739</v>
      </c>
    </row>
    <row r="1799" spans="3:11" x14ac:dyDescent="0.25">
      <c r="C1799" t="str">
        <f>IF(COUNTBLANK(E1799:K1799) = 7,"",IF(AND(NOT(ISBLANK(E1799)),COUNTBLANK(E1799:K1799) = 6),"3 Delete",IF(ISBLANK(E1799),"2 Add",IF(SHA1Range(E1799:K1799) = "a1c847dbe13fbe5c01c645ed632acf46740084df","0 Original","1 Modify"))))</f>
        <v>0 Original</v>
      </c>
      <c r="D1799" s="3" t="s">
        <v>2423</v>
      </c>
      <c r="E1799" s="5">
        <v>1802</v>
      </c>
      <c r="F1799">
        <v>537</v>
      </c>
      <c r="G1799" t="s">
        <v>395</v>
      </c>
      <c r="H1799" s="7">
        <v>8.99</v>
      </c>
      <c r="I1799" s="5">
        <v>1</v>
      </c>
      <c r="J1799" s="3" t="s">
        <v>29</v>
      </c>
      <c r="K1799" s="9">
        <v>42483.625740740739</v>
      </c>
    </row>
    <row r="1800" spans="3:11" x14ac:dyDescent="0.25">
      <c r="C1800" t="str">
        <f>IF(COUNTBLANK(E1800:K1800) = 7,"",IF(AND(NOT(ISBLANK(E1800)),COUNTBLANK(E1800:K1800) = 6),"3 Delete",IF(ISBLANK(E1800),"2 Add",IF(SHA1Range(E1800:K1800) = "9d730a9c6ad3563d38567b722d14a0cea2e3a776","0 Original","1 Modify"))))</f>
        <v>0 Original</v>
      </c>
      <c r="D1800" s="3" t="s">
        <v>2424</v>
      </c>
      <c r="E1800" s="5">
        <v>1803</v>
      </c>
      <c r="F1800">
        <v>537</v>
      </c>
      <c r="G1800" t="s">
        <v>58</v>
      </c>
      <c r="H1800" s="7">
        <v>8.99</v>
      </c>
      <c r="I1800" s="5">
        <v>1</v>
      </c>
      <c r="J1800" s="3" t="s">
        <v>29</v>
      </c>
      <c r="K1800" s="9">
        <v>42483.625740740739</v>
      </c>
    </row>
    <row r="1801" spans="3:11" x14ac:dyDescent="0.25">
      <c r="C1801" t="str">
        <f>IF(COUNTBLANK(E1801:K1801) = 7,"",IF(AND(NOT(ISBLANK(E1801)),COUNTBLANK(E1801:K1801) = 6),"3 Delete",IF(ISBLANK(E1801),"2 Add",IF(SHA1Range(E1801:K1801) = "00200cae8048ccb5e449971017ccaf888f2823ce","0 Original","1 Modify"))))</f>
        <v>0 Original</v>
      </c>
      <c r="D1801" s="3" t="s">
        <v>2425</v>
      </c>
      <c r="E1801" s="5">
        <v>1804</v>
      </c>
      <c r="F1801">
        <v>537</v>
      </c>
      <c r="G1801" t="s">
        <v>456</v>
      </c>
      <c r="H1801" s="7">
        <v>9.99</v>
      </c>
      <c r="I1801" s="5">
        <v>1</v>
      </c>
      <c r="J1801" s="3" t="s">
        <v>29</v>
      </c>
      <c r="K1801" s="9">
        <v>42483.625740740739</v>
      </c>
    </row>
    <row r="1802" spans="3:11" x14ac:dyDescent="0.25">
      <c r="C1802" t="str">
        <f>IF(COUNTBLANK(E1802:K1802) = 7,"",IF(AND(NOT(ISBLANK(E1802)),COUNTBLANK(E1802:K1802) = 6),"3 Delete",IF(ISBLANK(E1802),"2 Add",IF(SHA1Range(E1802:K1802) = "a1b7004abd461b642b9a0888cd8687126193fe16","0 Original","1 Modify"))))</f>
        <v>0 Original</v>
      </c>
      <c r="D1802" s="3" t="s">
        <v>2426</v>
      </c>
      <c r="E1802" s="5">
        <v>1805</v>
      </c>
      <c r="F1802">
        <v>538</v>
      </c>
      <c r="G1802" t="s">
        <v>398</v>
      </c>
      <c r="H1802" s="7">
        <v>4.99</v>
      </c>
      <c r="I1802" s="5">
        <v>1</v>
      </c>
      <c r="J1802" s="3" t="s">
        <v>29</v>
      </c>
      <c r="K1802" s="9">
        <v>42483.625740740739</v>
      </c>
    </row>
    <row r="1803" spans="3:11" x14ac:dyDescent="0.25">
      <c r="C1803" t="str">
        <f>IF(COUNTBLANK(E1803:K1803) = 7,"",IF(AND(NOT(ISBLANK(E1803)),COUNTBLANK(E1803:K1803) = 6),"3 Delete",IF(ISBLANK(E1803),"2 Add",IF(SHA1Range(E1803:K1803) = "218c37d0d98e83074c3d5f0a23804a694f870b82","0 Original","1 Modify"))))</f>
        <v>0 Original</v>
      </c>
      <c r="D1803" s="3" t="s">
        <v>2427</v>
      </c>
      <c r="E1803" s="5">
        <v>1806</v>
      </c>
      <c r="F1803">
        <v>539</v>
      </c>
      <c r="G1803" t="s">
        <v>273</v>
      </c>
      <c r="H1803" s="7">
        <v>8.99</v>
      </c>
      <c r="I1803" s="5">
        <v>1</v>
      </c>
      <c r="J1803" s="3" t="s">
        <v>29</v>
      </c>
      <c r="K1803" s="9">
        <v>42483.625740740739</v>
      </c>
    </row>
    <row r="1804" spans="3:11" x14ac:dyDescent="0.25">
      <c r="C1804" t="str">
        <f>IF(COUNTBLANK(E1804:K1804) = 7,"",IF(AND(NOT(ISBLANK(E1804)),COUNTBLANK(E1804:K1804) = 6),"3 Delete",IF(ISBLANK(E1804),"2 Add",IF(SHA1Range(E1804:K1804) = "f2143ceda2960d4f0e03b2818dd7ade185b08425","0 Original","1 Modify"))))</f>
        <v>0 Original</v>
      </c>
      <c r="D1804" s="3" t="s">
        <v>2428</v>
      </c>
      <c r="E1804" s="5">
        <v>1807</v>
      </c>
      <c r="F1804">
        <v>539</v>
      </c>
      <c r="G1804" t="s">
        <v>537</v>
      </c>
      <c r="H1804" s="7">
        <v>7.99</v>
      </c>
      <c r="I1804" s="5">
        <v>1</v>
      </c>
      <c r="J1804" s="3" t="s">
        <v>29</v>
      </c>
      <c r="K1804" s="9">
        <v>42483.625740740739</v>
      </c>
    </row>
    <row r="1805" spans="3:11" x14ac:dyDescent="0.25">
      <c r="C1805" t="str">
        <f>IF(COUNTBLANK(E1805:K1805) = 7,"",IF(AND(NOT(ISBLANK(E1805)),COUNTBLANK(E1805:K1805) = 6),"3 Delete",IF(ISBLANK(E1805),"2 Add",IF(SHA1Range(E1805:K1805) = "c4b3c42683348b142f391d11ed6d9e4bdaa3c40b","0 Original","1 Modify"))))</f>
        <v>0 Original</v>
      </c>
      <c r="D1805" s="3" t="s">
        <v>2429</v>
      </c>
      <c r="E1805" s="5">
        <v>1808</v>
      </c>
      <c r="F1805">
        <v>540</v>
      </c>
      <c r="G1805" t="s">
        <v>472</v>
      </c>
      <c r="H1805" s="7">
        <v>6.99</v>
      </c>
      <c r="I1805" s="5">
        <v>1</v>
      </c>
      <c r="J1805" s="3" t="s">
        <v>29</v>
      </c>
      <c r="K1805" s="9">
        <v>42483.625740740739</v>
      </c>
    </row>
    <row r="1806" spans="3:11" x14ac:dyDescent="0.25">
      <c r="C1806" t="str">
        <f>IF(COUNTBLANK(E1806:K1806) = 7,"",IF(AND(NOT(ISBLANK(E1806)),COUNTBLANK(E1806:K1806) = 6),"3 Delete",IF(ISBLANK(E1806),"2 Add",IF(SHA1Range(E1806:K1806) = "513c8f50780153f24db35fb7b537489985c77ce9","0 Original","1 Modify"))))</f>
        <v>0 Original</v>
      </c>
      <c r="D1806" s="3" t="s">
        <v>2430</v>
      </c>
      <c r="E1806" s="5">
        <v>1809</v>
      </c>
      <c r="F1806">
        <v>540</v>
      </c>
      <c r="G1806" t="s">
        <v>44</v>
      </c>
      <c r="H1806" s="7">
        <v>6.99</v>
      </c>
      <c r="I1806" s="5">
        <v>1</v>
      </c>
      <c r="J1806" s="3" t="s">
        <v>29</v>
      </c>
      <c r="K1806" s="9">
        <v>42483.625740740739</v>
      </c>
    </row>
    <row r="1807" spans="3:11" x14ac:dyDescent="0.25">
      <c r="C1807" t="str">
        <f>IF(COUNTBLANK(E1807:K1807) = 7,"",IF(AND(NOT(ISBLANK(E1807)),COUNTBLANK(E1807:K1807) = 6),"3 Delete",IF(ISBLANK(E1807),"2 Add",IF(SHA1Range(E1807:K1807) = "c6e32e691eb39a9b3ae21cd8d1086b418ff531b3","0 Original","1 Modify"))))</f>
        <v>0 Original</v>
      </c>
      <c r="D1807" s="3" t="s">
        <v>2431</v>
      </c>
      <c r="E1807" s="5">
        <v>1810</v>
      </c>
      <c r="F1807">
        <v>540</v>
      </c>
      <c r="G1807" t="s">
        <v>37</v>
      </c>
      <c r="H1807" s="7">
        <v>6.99</v>
      </c>
      <c r="I1807" s="5">
        <v>2</v>
      </c>
      <c r="J1807" s="3" t="s">
        <v>29</v>
      </c>
      <c r="K1807" s="9">
        <v>42483.625740740739</v>
      </c>
    </row>
    <row r="1808" spans="3:11" x14ac:dyDescent="0.25">
      <c r="C1808" t="str">
        <f>IF(COUNTBLANK(E1808:K1808) = 7,"",IF(AND(NOT(ISBLANK(E1808)),COUNTBLANK(E1808:K1808) = 6),"3 Delete",IF(ISBLANK(E1808),"2 Add",IF(SHA1Range(E1808:K1808) = "081f9d14081a5a7b4d34955196a20906907c7d28","0 Original","1 Modify"))))</f>
        <v>0 Original</v>
      </c>
      <c r="D1808" s="3" t="s">
        <v>2432</v>
      </c>
      <c r="E1808" s="5">
        <v>1811</v>
      </c>
      <c r="F1808">
        <v>540</v>
      </c>
      <c r="G1808" t="s">
        <v>573</v>
      </c>
      <c r="H1808" s="7">
        <v>9.99</v>
      </c>
      <c r="I1808" s="5">
        <v>2</v>
      </c>
      <c r="J1808" s="3" t="s">
        <v>29</v>
      </c>
      <c r="K1808" s="9">
        <v>42483.625740740739</v>
      </c>
    </row>
    <row r="1809" spans="3:11" x14ac:dyDescent="0.25">
      <c r="C1809" t="str">
        <f>IF(COUNTBLANK(E1809:K1809) = 7,"",IF(AND(NOT(ISBLANK(E1809)),COUNTBLANK(E1809:K1809) = 6),"3 Delete",IF(ISBLANK(E1809),"2 Add",IF(SHA1Range(E1809:K1809) = "fda0662249e4cd32707c6cfc6e50df5789963e3b","0 Original","1 Modify"))))</f>
        <v>0 Original</v>
      </c>
      <c r="D1809" s="3" t="s">
        <v>2433</v>
      </c>
      <c r="E1809" s="5">
        <v>1812</v>
      </c>
      <c r="F1809">
        <v>541</v>
      </c>
      <c r="G1809" t="s">
        <v>537</v>
      </c>
      <c r="H1809" s="7">
        <v>7.99</v>
      </c>
      <c r="I1809" s="5">
        <v>2</v>
      </c>
      <c r="J1809" s="3" t="s">
        <v>29</v>
      </c>
      <c r="K1809" s="9">
        <v>42483.625740740739</v>
      </c>
    </row>
    <row r="1810" spans="3:11" x14ac:dyDescent="0.25">
      <c r="C1810" t="str">
        <f>IF(COUNTBLANK(E1810:K1810) = 7,"",IF(AND(NOT(ISBLANK(E1810)),COUNTBLANK(E1810:K1810) = 6),"3 Delete",IF(ISBLANK(E1810),"2 Add",IF(SHA1Range(E1810:K1810) = "823cad0ab84d8528f3113c48953a02d97baf3945","0 Original","1 Modify"))))</f>
        <v>0 Original</v>
      </c>
      <c r="D1810" s="3" t="s">
        <v>2434</v>
      </c>
      <c r="E1810" s="5">
        <v>1813</v>
      </c>
      <c r="F1810">
        <v>541</v>
      </c>
      <c r="G1810" t="s">
        <v>425</v>
      </c>
      <c r="H1810" s="7">
        <v>6.99</v>
      </c>
      <c r="I1810" s="5">
        <v>2</v>
      </c>
      <c r="J1810" s="3" t="s">
        <v>29</v>
      </c>
      <c r="K1810" s="9">
        <v>42483.625740740739</v>
      </c>
    </row>
    <row r="1811" spans="3:11" x14ac:dyDescent="0.25">
      <c r="C1811" t="str">
        <f>IF(COUNTBLANK(E1811:K1811) = 7,"",IF(AND(NOT(ISBLANK(E1811)),COUNTBLANK(E1811:K1811) = 6),"3 Delete",IF(ISBLANK(E1811),"2 Add",IF(SHA1Range(E1811:K1811) = "2ef5073b9f88f97beac8e1943b0d59430dcd8bf9","0 Original","1 Modify"))))</f>
        <v>0 Original</v>
      </c>
      <c r="D1811" s="3" t="s">
        <v>2435</v>
      </c>
      <c r="E1811" s="5">
        <v>1814</v>
      </c>
      <c r="F1811">
        <v>541</v>
      </c>
      <c r="G1811" t="s">
        <v>149</v>
      </c>
      <c r="H1811" s="7">
        <v>7.99</v>
      </c>
      <c r="I1811" s="5">
        <v>1</v>
      </c>
      <c r="J1811" s="3" t="s">
        <v>29</v>
      </c>
      <c r="K1811" s="9">
        <v>42483.625740740739</v>
      </c>
    </row>
    <row r="1812" spans="3:11" x14ac:dyDescent="0.25">
      <c r="C1812" t="str">
        <f>IF(COUNTBLANK(E1812:K1812) = 7,"",IF(AND(NOT(ISBLANK(E1812)),COUNTBLANK(E1812:K1812) = 6),"3 Delete",IF(ISBLANK(E1812),"2 Add",IF(SHA1Range(E1812:K1812) = "5a6b5c78595f6c05523a6bea92181811edcf2b6c","0 Original","1 Modify"))))</f>
        <v>0 Original</v>
      </c>
      <c r="D1812" s="3" t="s">
        <v>2436</v>
      </c>
      <c r="E1812" s="5">
        <v>1815</v>
      </c>
      <c r="F1812">
        <v>542</v>
      </c>
      <c r="G1812" t="s">
        <v>525</v>
      </c>
      <c r="H1812" s="7">
        <v>4.99</v>
      </c>
      <c r="I1812" s="5">
        <v>1</v>
      </c>
      <c r="J1812" s="3" t="s">
        <v>29</v>
      </c>
      <c r="K1812" s="9">
        <v>42483.625740740739</v>
      </c>
    </row>
    <row r="1813" spans="3:11" x14ac:dyDescent="0.25">
      <c r="C1813" t="str">
        <f>IF(COUNTBLANK(E1813:K1813) = 7,"",IF(AND(NOT(ISBLANK(E1813)),COUNTBLANK(E1813:K1813) = 6),"3 Delete",IF(ISBLANK(E1813),"2 Add",IF(SHA1Range(E1813:K1813) = "84773d94b11e082fc6cd3fef990fdcbe10dcdbc3","0 Original","1 Modify"))))</f>
        <v>0 Original</v>
      </c>
      <c r="D1813" s="3" t="s">
        <v>2437</v>
      </c>
      <c r="E1813" s="5">
        <v>1816</v>
      </c>
      <c r="F1813">
        <v>543</v>
      </c>
      <c r="G1813" t="s">
        <v>388</v>
      </c>
      <c r="H1813" s="7">
        <v>5.99</v>
      </c>
      <c r="I1813" s="5">
        <v>2</v>
      </c>
      <c r="J1813" s="3" t="s">
        <v>29</v>
      </c>
      <c r="K1813" s="9">
        <v>42483.625740740739</v>
      </c>
    </row>
    <row r="1814" spans="3:11" x14ac:dyDescent="0.25">
      <c r="C1814" t="str">
        <f>IF(COUNTBLANK(E1814:K1814) = 7,"",IF(AND(NOT(ISBLANK(E1814)),COUNTBLANK(E1814:K1814) = 6),"3 Delete",IF(ISBLANK(E1814),"2 Add",IF(SHA1Range(E1814:K1814) = "16ece0adf617a29ca585402a6f654d18311aa247","0 Original","1 Modify"))))</f>
        <v>0 Original</v>
      </c>
      <c r="D1814" s="3" t="s">
        <v>2438</v>
      </c>
      <c r="E1814" s="5">
        <v>1817</v>
      </c>
      <c r="F1814">
        <v>543</v>
      </c>
      <c r="G1814" t="s">
        <v>421</v>
      </c>
      <c r="H1814" s="7">
        <v>6.99</v>
      </c>
      <c r="I1814" s="5">
        <v>2</v>
      </c>
      <c r="J1814" s="3" t="s">
        <v>29</v>
      </c>
      <c r="K1814" s="9">
        <v>42483.625740740739</v>
      </c>
    </row>
    <row r="1815" spans="3:11" x14ac:dyDescent="0.25">
      <c r="C1815" t="str">
        <f>IF(COUNTBLANK(E1815:K1815) = 7,"",IF(AND(NOT(ISBLANK(E1815)),COUNTBLANK(E1815:K1815) = 6),"3 Delete",IF(ISBLANK(E1815),"2 Add",IF(SHA1Range(E1815:K1815) = "3322179e5604535f1808e7a4a9d434c9bed1f427","0 Original","1 Modify"))))</f>
        <v>0 Original</v>
      </c>
      <c r="D1815" s="3" t="s">
        <v>2439</v>
      </c>
      <c r="E1815" s="5">
        <v>1818</v>
      </c>
      <c r="F1815">
        <v>543</v>
      </c>
      <c r="G1815" t="s">
        <v>30</v>
      </c>
      <c r="H1815" s="7">
        <v>9.99</v>
      </c>
      <c r="I1815" s="5">
        <v>2</v>
      </c>
      <c r="J1815" s="3" t="s">
        <v>29</v>
      </c>
      <c r="K1815" s="9">
        <v>42483.625740740739</v>
      </c>
    </row>
    <row r="1816" spans="3:11" x14ac:dyDescent="0.25">
      <c r="C1816" t="str">
        <f>IF(COUNTBLANK(E1816:K1816) = 7,"",IF(AND(NOT(ISBLANK(E1816)),COUNTBLANK(E1816:K1816) = 6),"3 Delete",IF(ISBLANK(E1816),"2 Add",IF(SHA1Range(E1816:K1816) = "bab1a64398a7df8ebf6c925b8207780bee3879bf","0 Original","1 Modify"))))</f>
        <v>0 Original</v>
      </c>
      <c r="D1816" s="3" t="s">
        <v>2440</v>
      </c>
      <c r="E1816" s="5">
        <v>1819</v>
      </c>
      <c r="F1816">
        <v>544</v>
      </c>
      <c r="G1816" t="s">
        <v>388</v>
      </c>
      <c r="H1816" s="7">
        <v>5.99</v>
      </c>
      <c r="I1816" s="5">
        <v>1</v>
      </c>
      <c r="J1816" s="3" t="s">
        <v>29</v>
      </c>
      <c r="K1816" s="9">
        <v>42483.625740740739</v>
      </c>
    </row>
    <row r="1817" spans="3:11" x14ac:dyDescent="0.25">
      <c r="C1817" t="str">
        <f>IF(COUNTBLANK(E1817:K1817) = 7,"",IF(AND(NOT(ISBLANK(E1817)),COUNTBLANK(E1817:K1817) = 6),"3 Delete",IF(ISBLANK(E1817),"2 Add",IF(SHA1Range(E1817:K1817) = "eee9138aa5b4c10d5d6ae86775a04ed973404786","0 Original","1 Modify"))))</f>
        <v>0 Original</v>
      </c>
      <c r="D1817" s="3" t="s">
        <v>2441</v>
      </c>
      <c r="E1817" s="5">
        <v>1820</v>
      </c>
      <c r="F1817">
        <v>544</v>
      </c>
      <c r="G1817" t="s">
        <v>295</v>
      </c>
      <c r="H1817" s="7">
        <v>7.99</v>
      </c>
      <c r="I1817" s="5">
        <v>2</v>
      </c>
      <c r="J1817" s="3" t="s">
        <v>29</v>
      </c>
      <c r="K1817" s="9">
        <v>42483.625740740739</v>
      </c>
    </row>
    <row r="1818" spans="3:11" x14ac:dyDescent="0.25">
      <c r="C1818" t="str">
        <f>IF(COUNTBLANK(E1818:K1818) = 7,"",IF(AND(NOT(ISBLANK(E1818)),COUNTBLANK(E1818:K1818) = 6),"3 Delete",IF(ISBLANK(E1818),"2 Add",IF(SHA1Range(E1818:K1818) = "8245d13204ff4b9f8b71e61108d1a75b24d8339b","0 Original","1 Modify"))))</f>
        <v>0 Original</v>
      </c>
      <c r="D1818" s="3" t="s">
        <v>2442</v>
      </c>
      <c r="E1818" s="5">
        <v>1821</v>
      </c>
      <c r="F1818">
        <v>544</v>
      </c>
      <c r="G1818" t="s">
        <v>273</v>
      </c>
      <c r="H1818" s="7">
        <v>8.99</v>
      </c>
      <c r="I1818" s="5">
        <v>2</v>
      </c>
      <c r="J1818" s="3" t="s">
        <v>29</v>
      </c>
      <c r="K1818" s="9">
        <v>42483.625740740739</v>
      </c>
    </row>
    <row r="1819" spans="3:11" x14ac:dyDescent="0.25">
      <c r="C1819" t="str">
        <f>IF(COUNTBLANK(E1819:K1819) = 7,"",IF(AND(NOT(ISBLANK(E1819)),COUNTBLANK(E1819:K1819) = 6),"3 Delete",IF(ISBLANK(E1819),"2 Add",IF(SHA1Range(E1819:K1819) = "fda671f2a28d1f3d77eba554a3a31624ec74cdf6","0 Original","1 Modify"))))</f>
        <v>0 Original</v>
      </c>
      <c r="D1819" s="3" t="s">
        <v>2443</v>
      </c>
      <c r="E1819" s="5">
        <v>1822</v>
      </c>
      <c r="F1819">
        <v>544</v>
      </c>
      <c r="G1819" t="s">
        <v>503</v>
      </c>
      <c r="H1819" s="7">
        <v>8.99</v>
      </c>
      <c r="I1819" s="5">
        <v>2</v>
      </c>
      <c r="J1819" s="3" t="s">
        <v>29</v>
      </c>
      <c r="K1819" s="9">
        <v>42483.625740740739</v>
      </c>
    </row>
    <row r="1820" spans="3:11" x14ac:dyDescent="0.25">
      <c r="C1820" t="str">
        <f>IF(COUNTBLANK(E1820:K1820) = 7,"",IF(AND(NOT(ISBLANK(E1820)),COUNTBLANK(E1820:K1820) = 6),"3 Delete",IF(ISBLANK(E1820),"2 Add",IF(SHA1Range(E1820:K1820) = "2b07627e06bbac804d2d2346bde2f0816e929847","0 Original","1 Modify"))))</f>
        <v>0 Original</v>
      </c>
      <c r="D1820" s="3" t="s">
        <v>2444</v>
      </c>
      <c r="E1820" s="5">
        <v>1823</v>
      </c>
      <c r="F1820">
        <v>544</v>
      </c>
      <c r="G1820" t="s">
        <v>254</v>
      </c>
      <c r="H1820" s="7">
        <v>4.99</v>
      </c>
      <c r="I1820" s="5">
        <v>1</v>
      </c>
      <c r="J1820" s="3" t="s">
        <v>29</v>
      </c>
      <c r="K1820" s="9">
        <v>42483.625740740739</v>
      </c>
    </row>
    <row r="1821" spans="3:11" x14ac:dyDescent="0.25">
      <c r="C1821" t="str">
        <f>IF(COUNTBLANK(E1821:K1821) = 7,"",IF(AND(NOT(ISBLANK(E1821)),COUNTBLANK(E1821:K1821) = 6),"3 Delete",IF(ISBLANK(E1821),"2 Add",IF(SHA1Range(E1821:K1821) = "2a892e71418007c3e9b819ced2fb0459c83d2130","0 Original","1 Modify"))))</f>
        <v>0 Original</v>
      </c>
      <c r="D1821" s="3" t="s">
        <v>2445</v>
      </c>
      <c r="E1821" s="5">
        <v>1824</v>
      </c>
      <c r="F1821">
        <v>545</v>
      </c>
      <c r="G1821" t="s">
        <v>599</v>
      </c>
      <c r="H1821" s="7">
        <v>5.99</v>
      </c>
      <c r="I1821" s="5">
        <v>1</v>
      </c>
      <c r="J1821" s="3" t="s">
        <v>29</v>
      </c>
      <c r="K1821" s="9">
        <v>42483.625740740739</v>
      </c>
    </row>
    <row r="1822" spans="3:11" x14ac:dyDescent="0.25">
      <c r="C1822" t="str">
        <f>IF(COUNTBLANK(E1822:K1822) = 7,"",IF(AND(NOT(ISBLANK(E1822)),COUNTBLANK(E1822:K1822) = 6),"3 Delete",IF(ISBLANK(E1822),"2 Add",IF(SHA1Range(E1822:K1822) = "4a59ee902141cff4d58d1873a4fbd4bef55814c0","0 Original","1 Modify"))))</f>
        <v>0 Original</v>
      </c>
      <c r="D1822" s="3" t="s">
        <v>2446</v>
      </c>
      <c r="E1822" s="5">
        <v>1825</v>
      </c>
      <c r="F1822">
        <v>545</v>
      </c>
      <c r="G1822" t="s">
        <v>364</v>
      </c>
      <c r="H1822" s="7">
        <v>9.99</v>
      </c>
      <c r="I1822" s="5">
        <v>1</v>
      </c>
      <c r="J1822" s="3" t="s">
        <v>29</v>
      </c>
      <c r="K1822" s="9">
        <v>42483.625740740739</v>
      </c>
    </row>
    <row r="1823" spans="3:11" x14ac:dyDescent="0.25">
      <c r="C1823" t="str">
        <f>IF(COUNTBLANK(E1823:K1823) = 7,"",IF(AND(NOT(ISBLANK(E1823)),COUNTBLANK(E1823:K1823) = 6),"3 Delete",IF(ISBLANK(E1823),"2 Add",IF(SHA1Range(E1823:K1823) = "6ca32e294c1caab100ebc99f534e02e3c315beac","0 Original","1 Modify"))))</f>
        <v>0 Original</v>
      </c>
      <c r="D1823" s="3" t="s">
        <v>2447</v>
      </c>
      <c r="E1823" s="5">
        <v>1826</v>
      </c>
      <c r="F1823">
        <v>545</v>
      </c>
      <c r="G1823" t="s">
        <v>407</v>
      </c>
      <c r="H1823" s="7">
        <v>9.99</v>
      </c>
      <c r="I1823" s="5">
        <v>1</v>
      </c>
      <c r="J1823" s="3" t="s">
        <v>29</v>
      </c>
      <c r="K1823" s="9">
        <v>42483.625740740739</v>
      </c>
    </row>
    <row r="1824" spans="3:11" x14ac:dyDescent="0.25">
      <c r="C1824" t="str">
        <f>IF(COUNTBLANK(E1824:K1824) = 7,"",IF(AND(NOT(ISBLANK(E1824)),COUNTBLANK(E1824:K1824) = 6),"3 Delete",IF(ISBLANK(E1824),"2 Add",IF(SHA1Range(E1824:K1824) = "6e5ed421261b0dcf53c89db765067b594e9a4538","0 Original","1 Modify"))))</f>
        <v>0 Original</v>
      </c>
      <c r="D1824" s="3" t="s">
        <v>2448</v>
      </c>
      <c r="E1824" s="5">
        <v>1827</v>
      </c>
      <c r="F1824">
        <v>546</v>
      </c>
      <c r="G1824" t="s">
        <v>273</v>
      </c>
      <c r="H1824" s="7">
        <v>8.99</v>
      </c>
      <c r="I1824" s="5">
        <v>1</v>
      </c>
      <c r="J1824" s="3" t="s">
        <v>29</v>
      </c>
      <c r="K1824" s="9">
        <v>42483.625740740739</v>
      </c>
    </row>
    <row r="1825" spans="3:11" x14ac:dyDescent="0.25">
      <c r="C1825" t="str">
        <f>IF(COUNTBLANK(E1825:K1825) = 7,"",IF(AND(NOT(ISBLANK(E1825)),COUNTBLANK(E1825:K1825) = 6),"3 Delete",IF(ISBLANK(E1825),"2 Add",IF(SHA1Range(E1825:K1825) = "f4f55c86ccbaebcf5080e1924a1e722487d56670","0 Original","1 Modify"))))</f>
        <v>0 Original</v>
      </c>
      <c r="D1825" s="3" t="s">
        <v>2449</v>
      </c>
      <c r="E1825" s="5">
        <v>1828</v>
      </c>
      <c r="F1825">
        <v>546</v>
      </c>
      <c r="G1825" t="s">
        <v>281</v>
      </c>
      <c r="H1825" s="7">
        <v>7.99</v>
      </c>
      <c r="I1825" s="5">
        <v>1</v>
      </c>
      <c r="J1825" s="3" t="s">
        <v>29</v>
      </c>
      <c r="K1825" s="9">
        <v>42483.625740740739</v>
      </c>
    </row>
    <row r="1826" spans="3:11" x14ac:dyDescent="0.25">
      <c r="C1826" t="str">
        <f>IF(COUNTBLANK(E1826:K1826) = 7,"",IF(AND(NOT(ISBLANK(E1826)),COUNTBLANK(E1826:K1826) = 6),"3 Delete",IF(ISBLANK(E1826),"2 Add",IF(SHA1Range(E1826:K1826) = "772330391165a2385427292e918a701a71c47220","0 Original","1 Modify"))))</f>
        <v>0 Original</v>
      </c>
      <c r="D1826" s="3" t="s">
        <v>2450</v>
      </c>
      <c r="E1826" s="5">
        <v>1829</v>
      </c>
      <c r="F1826">
        <v>546</v>
      </c>
      <c r="G1826" t="s">
        <v>44</v>
      </c>
      <c r="H1826" s="7">
        <v>6.99</v>
      </c>
      <c r="I1826" s="5">
        <v>2</v>
      </c>
      <c r="J1826" s="3" t="s">
        <v>29</v>
      </c>
      <c r="K1826" s="9">
        <v>42483.625740740739</v>
      </c>
    </row>
    <row r="1827" spans="3:11" x14ac:dyDescent="0.25">
      <c r="C1827" t="str">
        <f>IF(COUNTBLANK(E1827:K1827) = 7,"",IF(AND(NOT(ISBLANK(E1827)),COUNTBLANK(E1827:K1827) = 6),"3 Delete",IF(ISBLANK(E1827),"2 Add",IF(SHA1Range(E1827:K1827) = "32cfb413f49975fceb4192fe6a8deea025ab5cc2","0 Original","1 Modify"))))</f>
        <v>0 Original</v>
      </c>
      <c r="D1827" s="3" t="s">
        <v>2451</v>
      </c>
      <c r="E1827" s="5">
        <v>1830</v>
      </c>
      <c r="F1827">
        <v>546</v>
      </c>
      <c r="G1827" t="s">
        <v>37</v>
      </c>
      <c r="H1827" s="7">
        <v>6.99</v>
      </c>
      <c r="I1827" s="5">
        <v>2</v>
      </c>
      <c r="J1827" s="3" t="s">
        <v>29</v>
      </c>
      <c r="K1827" s="9">
        <v>42483.625740740739</v>
      </c>
    </row>
    <row r="1828" spans="3:11" x14ac:dyDescent="0.25">
      <c r="C1828" t="str">
        <f>IF(COUNTBLANK(E1828:K1828) = 7,"",IF(AND(NOT(ISBLANK(E1828)),COUNTBLANK(E1828:K1828) = 6),"3 Delete",IF(ISBLANK(E1828),"2 Add",IF(SHA1Range(E1828:K1828) = "7d27642a4ba80c759b7d343e7acbcfbcdbb992f3","0 Original","1 Modify"))))</f>
        <v>0 Original</v>
      </c>
      <c r="D1828" s="3" t="s">
        <v>2452</v>
      </c>
      <c r="E1828" s="5">
        <v>1831</v>
      </c>
      <c r="F1828">
        <v>546</v>
      </c>
      <c r="G1828" t="s">
        <v>51</v>
      </c>
      <c r="H1828" s="7">
        <v>9.99</v>
      </c>
      <c r="I1828" s="5">
        <v>1</v>
      </c>
      <c r="J1828" s="3" t="s">
        <v>29</v>
      </c>
      <c r="K1828" s="9">
        <v>42483.625740740739</v>
      </c>
    </row>
    <row r="1829" spans="3:11" x14ac:dyDescent="0.25">
      <c r="C1829" t="str">
        <f>IF(COUNTBLANK(E1829:K1829) = 7,"",IF(AND(NOT(ISBLANK(E1829)),COUNTBLANK(E1829:K1829) = 6),"3 Delete",IF(ISBLANK(E1829),"2 Add",IF(SHA1Range(E1829:K1829) = "1749a6a1827b9d3d3f5f820f93db51b800f82b93","0 Original","1 Modify"))))</f>
        <v>0 Original</v>
      </c>
      <c r="D1829" s="3" t="s">
        <v>2453</v>
      </c>
      <c r="E1829" s="5">
        <v>1832</v>
      </c>
      <c r="F1829">
        <v>547</v>
      </c>
      <c r="G1829" t="s">
        <v>234</v>
      </c>
      <c r="H1829" s="7">
        <v>4.99</v>
      </c>
      <c r="I1829" s="5">
        <v>1</v>
      </c>
      <c r="J1829" s="3" t="s">
        <v>29</v>
      </c>
      <c r="K1829" s="9">
        <v>42483.625740740739</v>
      </c>
    </row>
    <row r="1830" spans="3:11" x14ac:dyDescent="0.25">
      <c r="C1830" t="str">
        <f>IF(COUNTBLANK(E1830:K1830) = 7,"",IF(AND(NOT(ISBLANK(E1830)),COUNTBLANK(E1830:K1830) = 6),"3 Delete",IF(ISBLANK(E1830),"2 Add",IF(SHA1Range(E1830:K1830) = "1a3e5087e9a3e1511da084e445dac7aad8940e2b","0 Original","1 Modify"))))</f>
        <v>0 Original</v>
      </c>
      <c r="D1830" s="3" t="s">
        <v>2454</v>
      </c>
      <c r="E1830" s="5">
        <v>1833</v>
      </c>
      <c r="F1830">
        <v>547</v>
      </c>
      <c r="G1830" t="s">
        <v>418</v>
      </c>
      <c r="H1830" s="7">
        <v>6.99</v>
      </c>
      <c r="I1830" s="5">
        <v>1</v>
      </c>
      <c r="J1830" s="3" t="s">
        <v>29</v>
      </c>
      <c r="K1830" s="9">
        <v>42483.625740740739</v>
      </c>
    </row>
    <row r="1831" spans="3:11" x14ac:dyDescent="0.25">
      <c r="C1831" t="str">
        <f>IF(COUNTBLANK(E1831:K1831) = 7,"",IF(AND(NOT(ISBLANK(E1831)),COUNTBLANK(E1831:K1831) = 6),"3 Delete",IF(ISBLANK(E1831),"2 Add",IF(SHA1Range(E1831:K1831) = "40191f9896d625de2d909e4f4b65567f1c5e092b","0 Original","1 Modify"))))</f>
        <v>0 Original</v>
      </c>
      <c r="D1831" s="3" t="s">
        <v>2455</v>
      </c>
      <c r="E1831" s="5">
        <v>1834</v>
      </c>
      <c r="F1831">
        <v>547</v>
      </c>
      <c r="G1831" t="s">
        <v>546</v>
      </c>
      <c r="H1831" s="7">
        <v>9.99</v>
      </c>
      <c r="I1831" s="5">
        <v>2</v>
      </c>
      <c r="J1831" s="3" t="s">
        <v>29</v>
      </c>
      <c r="K1831" s="9">
        <v>42483.625740740739</v>
      </c>
    </row>
    <row r="1832" spans="3:11" x14ac:dyDescent="0.25">
      <c r="C1832" t="str">
        <f>IF(COUNTBLANK(E1832:K1832) = 7,"",IF(AND(NOT(ISBLANK(E1832)),COUNTBLANK(E1832:K1832) = 6),"3 Delete",IF(ISBLANK(E1832),"2 Add",IF(SHA1Range(E1832:K1832) = "63b84ff7e360f658ac74023f8f1a61fcadadb539","0 Original","1 Modify"))))</f>
        <v>0 Original</v>
      </c>
      <c r="D1832" s="3" t="s">
        <v>2456</v>
      </c>
      <c r="E1832" s="5">
        <v>1835</v>
      </c>
      <c r="F1832">
        <v>548</v>
      </c>
      <c r="G1832" t="s">
        <v>388</v>
      </c>
      <c r="H1832" s="7">
        <v>5.99</v>
      </c>
      <c r="I1832" s="5">
        <v>1</v>
      </c>
      <c r="J1832" s="3" t="s">
        <v>29</v>
      </c>
      <c r="K1832" s="9">
        <v>42483.625740740739</v>
      </c>
    </row>
    <row r="1833" spans="3:11" x14ac:dyDescent="0.25">
      <c r="C1833" t="str">
        <f>IF(COUNTBLANK(E1833:K1833) = 7,"",IF(AND(NOT(ISBLANK(E1833)),COUNTBLANK(E1833:K1833) = 6),"3 Delete",IF(ISBLANK(E1833),"2 Add",IF(SHA1Range(E1833:K1833) = "1a20e1b7edc25ec18e2427a955b578e6c706c15b","0 Original","1 Modify"))))</f>
        <v>0 Original</v>
      </c>
      <c r="D1833" s="3" t="s">
        <v>2457</v>
      </c>
      <c r="E1833" s="5">
        <v>1836</v>
      </c>
      <c r="F1833">
        <v>548</v>
      </c>
      <c r="G1833" t="s">
        <v>425</v>
      </c>
      <c r="H1833" s="7">
        <v>6.99</v>
      </c>
      <c r="I1833" s="5">
        <v>2</v>
      </c>
      <c r="J1833" s="3" t="s">
        <v>29</v>
      </c>
      <c r="K1833" s="9">
        <v>42483.625740740739</v>
      </c>
    </row>
    <row r="1834" spans="3:11" x14ac:dyDescent="0.25">
      <c r="C1834" t="str">
        <f>IF(COUNTBLANK(E1834:K1834) = 7,"",IF(AND(NOT(ISBLANK(E1834)),COUNTBLANK(E1834:K1834) = 6),"3 Delete",IF(ISBLANK(E1834),"2 Add",IF(SHA1Range(E1834:K1834) = "ab5ca12616b11857d2e909434da4aa2bd5b8c3ee","0 Original","1 Modify"))))</f>
        <v>0 Original</v>
      </c>
      <c r="D1834" s="3" t="s">
        <v>2458</v>
      </c>
      <c r="E1834" s="5">
        <v>1837</v>
      </c>
      <c r="F1834">
        <v>548</v>
      </c>
      <c r="G1834" t="s">
        <v>281</v>
      </c>
      <c r="H1834" s="7">
        <v>7.99</v>
      </c>
      <c r="I1834" s="5">
        <v>1</v>
      </c>
      <c r="J1834" s="3" t="s">
        <v>29</v>
      </c>
      <c r="K1834" s="9">
        <v>42483.625740740739</v>
      </c>
    </row>
    <row r="1835" spans="3:11" x14ac:dyDescent="0.25">
      <c r="C1835" t="str">
        <f>IF(COUNTBLANK(E1835:K1835) = 7,"",IF(AND(NOT(ISBLANK(E1835)),COUNTBLANK(E1835:K1835) = 6),"3 Delete",IF(ISBLANK(E1835),"2 Add",IF(SHA1Range(E1835:K1835) = "9eebececd3b8d347bcc3f7f8af80790168e2a8cb","0 Original","1 Modify"))))</f>
        <v>0 Original</v>
      </c>
      <c r="D1835" s="3" t="s">
        <v>2459</v>
      </c>
      <c r="E1835" s="5">
        <v>1838</v>
      </c>
      <c r="F1835">
        <v>548</v>
      </c>
      <c r="G1835" t="s">
        <v>456</v>
      </c>
      <c r="H1835" s="7">
        <v>9.99</v>
      </c>
      <c r="I1835" s="5">
        <v>1</v>
      </c>
      <c r="J1835" s="3" t="s">
        <v>29</v>
      </c>
      <c r="K1835" s="9">
        <v>42483.625740740739</v>
      </c>
    </row>
    <row r="1836" spans="3:11" x14ac:dyDescent="0.25">
      <c r="C1836" t="str">
        <f>IF(COUNTBLANK(E1836:K1836) = 7,"",IF(AND(NOT(ISBLANK(E1836)),COUNTBLANK(E1836:K1836) = 6),"3 Delete",IF(ISBLANK(E1836),"2 Add",IF(SHA1Range(E1836:K1836) = "12c538bc6f5817b60a2dbc44b4c94db527ec8459","0 Original","1 Modify"))))</f>
        <v>0 Original</v>
      </c>
      <c r="D1836" s="3" t="s">
        <v>2460</v>
      </c>
      <c r="E1836" s="5">
        <v>1839</v>
      </c>
      <c r="F1836">
        <v>548</v>
      </c>
      <c r="G1836" t="s">
        <v>573</v>
      </c>
      <c r="H1836" s="7">
        <v>9.99</v>
      </c>
      <c r="I1836" s="5">
        <v>1</v>
      </c>
      <c r="J1836" s="3" t="s">
        <v>29</v>
      </c>
      <c r="K1836" s="9">
        <v>42483.625740740739</v>
      </c>
    </row>
    <row r="1837" spans="3:11" x14ac:dyDescent="0.25">
      <c r="C1837" t="str">
        <f>IF(COUNTBLANK(E1837:K1837) = 7,"",IF(AND(NOT(ISBLANK(E1837)),COUNTBLANK(E1837:K1837) = 6),"3 Delete",IF(ISBLANK(E1837),"2 Add",IF(SHA1Range(E1837:K1837) = "4ba5569c3ad6cbf355be79fb1b25dfbe20ef97c3","0 Original","1 Modify"))))</f>
        <v>0 Original</v>
      </c>
      <c r="D1837" s="3" t="s">
        <v>2461</v>
      </c>
      <c r="E1837" s="5">
        <v>1840</v>
      </c>
      <c r="F1837">
        <v>548</v>
      </c>
      <c r="G1837" t="s">
        <v>254</v>
      </c>
      <c r="H1837" s="7">
        <v>4.99</v>
      </c>
      <c r="I1837" s="5">
        <v>1</v>
      </c>
      <c r="J1837" s="3" t="s">
        <v>29</v>
      </c>
      <c r="K1837" s="9">
        <v>42483.625740740739</v>
      </c>
    </row>
    <row r="1838" spans="3:11" x14ac:dyDescent="0.25">
      <c r="C1838" t="str">
        <f>IF(COUNTBLANK(E1838:K1838) = 7,"",IF(AND(NOT(ISBLANK(E1838)),COUNTBLANK(E1838:K1838) = 6),"3 Delete",IF(ISBLANK(E1838),"2 Add",IF(SHA1Range(E1838:K1838) = "c2fb5f7a97155d522dbe1623735826f5102edbdf","0 Original","1 Modify"))))</f>
        <v>0 Original</v>
      </c>
      <c r="D1838" s="3" t="s">
        <v>2462</v>
      </c>
      <c r="E1838" s="5">
        <v>1841</v>
      </c>
      <c r="F1838">
        <v>548</v>
      </c>
      <c r="G1838" t="s">
        <v>421</v>
      </c>
      <c r="H1838" s="7">
        <v>6.99</v>
      </c>
      <c r="I1838" s="5">
        <v>1</v>
      </c>
      <c r="J1838" s="3" t="s">
        <v>29</v>
      </c>
      <c r="K1838" s="9">
        <v>42483.625740740739</v>
      </c>
    </row>
    <row r="1839" spans="3:11" x14ac:dyDescent="0.25">
      <c r="C1839" t="str">
        <f>IF(COUNTBLANK(E1839:K1839) = 7,"",IF(AND(NOT(ISBLANK(E1839)),COUNTBLANK(E1839:K1839) = 6),"3 Delete",IF(ISBLANK(E1839),"2 Add",IF(SHA1Range(E1839:K1839) = "5d4411c11f0bccb9a45d88c49d2e7ab6aeb3984a","0 Original","1 Modify"))))</f>
        <v>0 Original</v>
      </c>
      <c r="D1839" s="3" t="s">
        <v>2463</v>
      </c>
      <c r="E1839" s="5">
        <v>1842</v>
      </c>
      <c r="F1839">
        <v>548</v>
      </c>
      <c r="G1839" t="s">
        <v>407</v>
      </c>
      <c r="H1839" s="7">
        <v>9.99</v>
      </c>
      <c r="I1839" s="5">
        <v>1</v>
      </c>
      <c r="J1839" s="3" t="s">
        <v>29</v>
      </c>
      <c r="K1839" s="9">
        <v>42483.625740740739</v>
      </c>
    </row>
    <row r="1840" spans="3:11" x14ac:dyDescent="0.25">
      <c r="C1840" t="str">
        <f>IF(COUNTBLANK(E1840:K1840) = 7,"",IF(AND(NOT(ISBLANK(E1840)),COUNTBLANK(E1840:K1840) = 6),"3 Delete",IF(ISBLANK(E1840),"2 Add",IF(SHA1Range(E1840:K1840) = "24543a36c5f07f23b8e663ec238aa188868b030d","0 Original","1 Modify"))))</f>
        <v>0 Original</v>
      </c>
      <c r="D1840" s="3" t="s">
        <v>2464</v>
      </c>
      <c r="E1840" s="5">
        <v>1843</v>
      </c>
      <c r="F1840">
        <v>549</v>
      </c>
      <c r="G1840" t="s">
        <v>573</v>
      </c>
      <c r="H1840" s="7">
        <v>9.99</v>
      </c>
      <c r="I1840" s="5">
        <v>1</v>
      </c>
      <c r="J1840" s="3" t="s">
        <v>29</v>
      </c>
      <c r="K1840" s="9">
        <v>42483.625740740739</v>
      </c>
    </row>
    <row r="1841" spans="3:11" x14ac:dyDescent="0.25">
      <c r="C1841" t="str">
        <f>IF(COUNTBLANK(E1841:K1841) = 7,"",IF(AND(NOT(ISBLANK(E1841)),COUNTBLANK(E1841:K1841) = 6),"3 Delete",IF(ISBLANK(E1841),"2 Add",IF(SHA1Range(E1841:K1841) = "ee1f298a1ade66036216fc4e5f69ba7b4f815228","0 Original","1 Modify"))))</f>
        <v>0 Original</v>
      </c>
      <c r="D1841" s="3" t="s">
        <v>2465</v>
      </c>
      <c r="E1841" s="5">
        <v>1844</v>
      </c>
      <c r="F1841">
        <v>549</v>
      </c>
      <c r="G1841" t="s">
        <v>250</v>
      </c>
      <c r="H1841" s="7">
        <v>8.99</v>
      </c>
      <c r="I1841" s="5">
        <v>2</v>
      </c>
      <c r="J1841" s="3" t="s">
        <v>29</v>
      </c>
      <c r="K1841" s="9">
        <v>42483.625740740739</v>
      </c>
    </row>
    <row r="1842" spans="3:11" x14ac:dyDescent="0.25">
      <c r="C1842" t="str">
        <f>IF(COUNTBLANK(E1842:K1842) = 7,"",IF(AND(NOT(ISBLANK(E1842)),COUNTBLANK(E1842:K1842) = 6),"3 Delete",IF(ISBLANK(E1842),"2 Add",IF(SHA1Range(E1842:K1842) = "b479f4ec0b3b807df41537d516a25479e7a01d30","0 Original","1 Modify"))))</f>
        <v>0 Original</v>
      </c>
      <c r="D1842" s="3" t="s">
        <v>2466</v>
      </c>
      <c r="E1842" s="5">
        <v>1845</v>
      </c>
      <c r="F1842">
        <v>549</v>
      </c>
      <c r="G1842" t="s">
        <v>126</v>
      </c>
      <c r="H1842" s="7">
        <v>6.99</v>
      </c>
      <c r="I1842" s="5">
        <v>1</v>
      </c>
      <c r="J1842" s="3" t="s">
        <v>29</v>
      </c>
      <c r="K1842" s="9">
        <v>42483.625740740739</v>
      </c>
    </row>
    <row r="1843" spans="3:11" x14ac:dyDescent="0.25">
      <c r="C1843" t="str">
        <f>IF(COUNTBLANK(E1843:K1843) = 7,"",IF(AND(NOT(ISBLANK(E1843)),COUNTBLANK(E1843:K1843) = 6),"3 Delete",IF(ISBLANK(E1843),"2 Add",IF(SHA1Range(E1843:K1843) = "2031e3a51518ed2c76759c4207f5ed2fa18c1c27","0 Original","1 Modify"))))</f>
        <v>0 Original</v>
      </c>
      <c r="D1843" s="3" t="s">
        <v>2467</v>
      </c>
      <c r="E1843" s="5">
        <v>1846</v>
      </c>
      <c r="F1843">
        <v>550</v>
      </c>
      <c r="G1843" t="s">
        <v>246</v>
      </c>
      <c r="H1843" s="7">
        <v>7.99</v>
      </c>
      <c r="I1843" s="5">
        <v>1</v>
      </c>
      <c r="J1843" s="3" t="s">
        <v>29</v>
      </c>
      <c r="K1843" s="9">
        <v>42483.625740740739</v>
      </c>
    </row>
    <row r="1844" spans="3:11" x14ac:dyDescent="0.25">
      <c r="C1844" t="str">
        <f>IF(COUNTBLANK(E1844:K1844) = 7,"",IF(AND(NOT(ISBLANK(E1844)),COUNTBLANK(E1844:K1844) = 6),"3 Delete",IF(ISBLANK(E1844),"2 Add",IF(SHA1Range(E1844:K1844) = "ca9093151350c34c3e1bb147ffe1d084fa0aa78a","0 Original","1 Modify"))))</f>
        <v>0 Original</v>
      </c>
      <c r="D1844" s="3" t="s">
        <v>2468</v>
      </c>
      <c r="E1844" s="5">
        <v>1847</v>
      </c>
      <c r="F1844">
        <v>551</v>
      </c>
      <c r="G1844" t="s">
        <v>456</v>
      </c>
      <c r="H1844" s="7">
        <v>9.99</v>
      </c>
      <c r="I1844" s="5">
        <v>1</v>
      </c>
      <c r="J1844" s="3" t="s">
        <v>29</v>
      </c>
      <c r="K1844" s="9">
        <v>42483.625740740739</v>
      </c>
    </row>
    <row r="1845" spans="3:11" x14ac:dyDescent="0.25">
      <c r="C1845" t="str">
        <f>IF(COUNTBLANK(E1845:K1845) = 7,"",IF(AND(NOT(ISBLANK(E1845)),COUNTBLANK(E1845:K1845) = 6),"3 Delete",IF(ISBLANK(E1845),"2 Add",IF(SHA1Range(E1845:K1845) = "965ef93b42e0dce97c8695ed8321679f8f2817c4","0 Original","1 Modify"))))</f>
        <v>0 Original</v>
      </c>
      <c r="D1845" s="3" t="s">
        <v>2469</v>
      </c>
      <c r="E1845" s="5">
        <v>1848</v>
      </c>
      <c r="F1845">
        <v>552</v>
      </c>
      <c r="G1845" t="s">
        <v>234</v>
      </c>
      <c r="H1845" s="7">
        <v>4.99</v>
      </c>
      <c r="I1845" s="5">
        <v>2</v>
      </c>
      <c r="J1845" s="3" t="s">
        <v>29</v>
      </c>
      <c r="K1845" s="9">
        <v>42483.625740740739</v>
      </c>
    </row>
    <row r="1846" spans="3:11" x14ac:dyDescent="0.25">
      <c r="C1846" t="str">
        <f>IF(COUNTBLANK(E1846:K1846) = 7,"",IF(AND(NOT(ISBLANK(E1846)),COUNTBLANK(E1846:K1846) = 6),"3 Delete",IF(ISBLANK(E1846),"2 Add",IF(SHA1Range(E1846:K1846) = "32d2eff57d7f0ebed02f032aa2e707f9f93618e7","0 Original","1 Modify"))))</f>
        <v>0 Original</v>
      </c>
      <c r="D1846" s="3" t="s">
        <v>2470</v>
      </c>
      <c r="E1846" s="5">
        <v>1849</v>
      </c>
      <c r="F1846">
        <v>552</v>
      </c>
      <c r="G1846" t="s">
        <v>44</v>
      </c>
      <c r="H1846" s="7">
        <v>6.99</v>
      </c>
      <c r="I1846" s="5">
        <v>1</v>
      </c>
      <c r="J1846" s="3" t="s">
        <v>29</v>
      </c>
      <c r="K1846" s="9">
        <v>42483.625740740739</v>
      </c>
    </row>
    <row r="1847" spans="3:11" x14ac:dyDescent="0.25">
      <c r="C1847" t="str">
        <f>IF(COUNTBLANK(E1847:K1847) = 7,"",IF(AND(NOT(ISBLANK(E1847)),COUNTBLANK(E1847:K1847) = 6),"3 Delete",IF(ISBLANK(E1847),"2 Add",IF(SHA1Range(E1847:K1847) = "b4709cccd445f287d7fe3bab73b2f91cc0ac102b","0 Original","1 Modify"))))</f>
        <v>0 Original</v>
      </c>
      <c r="D1847" s="3" t="s">
        <v>2471</v>
      </c>
      <c r="E1847" s="5">
        <v>1850</v>
      </c>
      <c r="F1847">
        <v>552</v>
      </c>
      <c r="G1847" t="s">
        <v>425</v>
      </c>
      <c r="H1847" s="7">
        <v>6.99</v>
      </c>
      <c r="I1847" s="5">
        <v>1</v>
      </c>
      <c r="J1847" s="3" t="s">
        <v>29</v>
      </c>
      <c r="K1847" s="9">
        <v>42483.625740740739</v>
      </c>
    </row>
    <row r="1848" spans="3:11" x14ac:dyDescent="0.25">
      <c r="C1848" t="str">
        <f>IF(COUNTBLANK(E1848:K1848) = 7,"",IF(AND(NOT(ISBLANK(E1848)),COUNTBLANK(E1848:K1848) = 6),"3 Delete",IF(ISBLANK(E1848),"2 Add",IF(SHA1Range(E1848:K1848) = "32fd6988966b6c0409a66feec26f57d9b4127985","0 Original","1 Modify"))))</f>
        <v>0 Original</v>
      </c>
      <c r="D1848" s="3" t="s">
        <v>2472</v>
      </c>
      <c r="E1848" s="5">
        <v>1851</v>
      </c>
      <c r="F1848">
        <v>552</v>
      </c>
      <c r="G1848" t="s">
        <v>37</v>
      </c>
      <c r="H1848" s="7">
        <v>6.99</v>
      </c>
      <c r="I1848" s="5">
        <v>1</v>
      </c>
      <c r="J1848" s="3" t="s">
        <v>29</v>
      </c>
      <c r="K1848" s="9">
        <v>42483.625740740739</v>
      </c>
    </row>
    <row r="1849" spans="3:11" x14ac:dyDescent="0.25">
      <c r="C1849" t="str">
        <f>IF(COUNTBLANK(E1849:K1849) = 7,"",IF(AND(NOT(ISBLANK(E1849)),COUNTBLANK(E1849:K1849) = 6),"3 Delete",IF(ISBLANK(E1849),"2 Add",IF(SHA1Range(E1849:K1849) = "e5310f5604f328cf8559bf78b7d861d4c2cf2bef","0 Original","1 Modify"))))</f>
        <v>0 Original</v>
      </c>
      <c r="D1849" s="3" t="s">
        <v>2473</v>
      </c>
      <c r="E1849" s="5">
        <v>1852</v>
      </c>
      <c r="F1849">
        <v>553</v>
      </c>
      <c r="G1849" t="s">
        <v>537</v>
      </c>
      <c r="H1849" s="7">
        <v>7.99</v>
      </c>
      <c r="I1849" s="5">
        <v>1</v>
      </c>
      <c r="J1849" s="3" t="s">
        <v>29</v>
      </c>
      <c r="K1849" s="9">
        <v>42483.625740740739</v>
      </c>
    </row>
    <row r="1850" spans="3:11" x14ac:dyDescent="0.25">
      <c r="C1850" t="str">
        <f>IF(COUNTBLANK(E1850:K1850) = 7,"",IF(AND(NOT(ISBLANK(E1850)),COUNTBLANK(E1850:K1850) = 6),"3 Delete",IF(ISBLANK(E1850),"2 Add",IF(SHA1Range(E1850:K1850) = "1c504ceb385730761d93d3804dbac25b633634fa","0 Original","1 Modify"))))</f>
        <v>0 Original</v>
      </c>
      <c r="D1850" s="3" t="s">
        <v>2474</v>
      </c>
      <c r="E1850" s="5">
        <v>1853</v>
      </c>
      <c r="F1850">
        <v>553</v>
      </c>
      <c r="G1850" t="s">
        <v>448</v>
      </c>
      <c r="H1850" s="7">
        <v>8.99</v>
      </c>
      <c r="I1850" s="5">
        <v>1</v>
      </c>
      <c r="J1850" s="3" t="s">
        <v>29</v>
      </c>
      <c r="K1850" s="9">
        <v>42483.625740740739</v>
      </c>
    </row>
    <row r="1851" spans="3:11" x14ac:dyDescent="0.25">
      <c r="C1851" t="str">
        <f>IF(COUNTBLANK(E1851:K1851) = 7,"",IF(AND(NOT(ISBLANK(E1851)),COUNTBLANK(E1851:K1851) = 6),"3 Delete",IF(ISBLANK(E1851),"2 Add",IF(SHA1Range(E1851:K1851) = "4136667feda13b542f8e40c41ac9ec4134cef68f","0 Original","1 Modify"))))</f>
        <v>0 Original</v>
      </c>
      <c r="D1851" s="3" t="s">
        <v>2475</v>
      </c>
      <c r="E1851" s="5">
        <v>1854</v>
      </c>
      <c r="F1851">
        <v>553</v>
      </c>
      <c r="G1851" t="s">
        <v>546</v>
      </c>
      <c r="H1851" s="7">
        <v>9.99</v>
      </c>
      <c r="I1851" s="5">
        <v>1</v>
      </c>
      <c r="J1851" s="3" t="s">
        <v>29</v>
      </c>
      <c r="K1851" s="9">
        <v>42483.625740740739</v>
      </c>
    </row>
    <row r="1852" spans="3:11" x14ac:dyDescent="0.25">
      <c r="C1852" t="str">
        <f>IF(COUNTBLANK(E1852:K1852) = 7,"",IF(AND(NOT(ISBLANK(E1852)),COUNTBLANK(E1852:K1852) = 6),"3 Delete",IF(ISBLANK(E1852),"2 Add",IF(SHA1Range(E1852:K1852) = "6d911596fe79ed4627644f36fd7c6733bb55f330","0 Original","1 Modify"))))</f>
        <v>0 Original</v>
      </c>
      <c r="D1852" s="3" t="s">
        <v>2476</v>
      </c>
      <c r="E1852" s="5">
        <v>1855</v>
      </c>
      <c r="F1852">
        <v>553</v>
      </c>
      <c r="G1852" t="s">
        <v>136</v>
      </c>
      <c r="H1852" s="7">
        <v>8.99</v>
      </c>
      <c r="I1852" s="5">
        <v>1</v>
      </c>
      <c r="J1852" s="3" t="s">
        <v>29</v>
      </c>
      <c r="K1852" s="9">
        <v>42483.625740740739</v>
      </c>
    </row>
    <row r="1853" spans="3:11" x14ac:dyDescent="0.25">
      <c r="C1853" t="str">
        <f>IF(COUNTBLANK(E1853:K1853) = 7,"",IF(AND(NOT(ISBLANK(E1853)),COUNTBLANK(E1853:K1853) = 6),"3 Delete",IF(ISBLANK(E1853),"2 Add",IF(SHA1Range(E1853:K1853) = "7a18c782ef8e5385b199fb1fd76b3657026d0bfb","0 Original","1 Modify"))))</f>
        <v>0 Original</v>
      </c>
      <c r="D1853" s="3" t="s">
        <v>2477</v>
      </c>
      <c r="E1853" s="5">
        <v>1856</v>
      </c>
      <c r="F1853">
        <v>553</v>
      </c>
      <c r="G1853" t="s">
        <v>130</v>
      </c>
      <c r="H1853" s="7">
        <v>8.99</v>
      </c>
      <c r="I1853" s="5">
        <v>1</v>
      </c>
      <c r="J1853" s="3" t="s">
        <v>29</v>
      </c>
      <c r="K1853" s="9">
        <v>42483.625740740739</v>
      </c>
    </row>
    <row r="1854" spans="3:11" x14ac:dyDescent="0.25">
      <c r="C1854" t="str">
        <f>IF(COUNTBLANK(E1854:K1854) = 7,"",IF(AND(NOT(ISBLANK(E1854)),COUNTBLANK(E1854:K1854) = 6),"3 Delete",IF(ISBLANK(E1854),"2 Add",IF(SHA1Range(E1854:K1854) = "6f48aeb819474c8483dc83c2f33a61dbd0c74ab8","0 Original","1 Modify"))))</f>
        <v>0 Original</v>
      </c>
      <c r="D1854" s="3" t="s">
        <v>2478</v>
      </c>
      <c r="E1854" s="5">
        <v>1857</v>
      </c>
      <c r="F1854">
        <v>554</v>
      </c>
      <c r="G1854" t="s">
        <v>573</v>
      </c>
      <c r="H1854" s="7">
        <v>9.99</v>
      </c>
      <c r="I1854" s="5">
        <v>1</v>
      </c>
      <c r="J1854" s="3" t="s">
        <v>29</v>
      </c>
      <c r="K1854" s="9">
        <v>42483.625740740739</v>
      </c>
    </row>
    <row r="1855" spans="3:11" x14ac:dyDescent="0.25">
      <c r="C1855" t="str">
        <f>IF(COUNTBLANK(E1855:K1855) = 7,"",IF(AND(NOT(ISBLANK(E1855)),COUNTBLANK(E1855:K1855) = 6),"3 Delete",IF(ISBLANK(E1855),"2 Add",IF(SHA1Range(E1855:K1855) = "f2d273afcbb39e435c33f7495b79e00f962c707b","0 Original","1 Modify"))))</f>
        <v>0 Original</v>
      </c>
      <c r="D1855" s="3" t="s">
        <v>2479</v>
      </c>
      <c r="E1855" s="5">
        <v>1858</v>
      </c>
      <c r="F1855">
        <v>554</v>
      </c>
      <c r="G1855" t="s">
        <v>448</v>
      </c>
      <c r="H1855" s="7">
        <v>8.99</v>
      </c>
      <c r="I1855" s="5">
        <v>2</v>
      </c>
      <c r="J1855" s="3" t="s">
        <v>29</v>
      </c>
      <c r="K1855" s="9">
        <v>42483.625740740739</v>
      </c>
    </row>
    <row r="1856" spans="3:11" x14ac:dyDescent="0.25">
      <c r="C1856" t="str">
        <f>IF(COUNTBLANK(E1856:K1856) = 7,"",IF(AND(NOT(ISBLANK(E1856)),COUNTBLANK(E1856:K1856) = 6),"3 Delete",IF(ISBLANK(E1856),"2 Add",IF(SHA1Range(E1856:K1856) = "32d8604d20939e02ee239540bd6fb20017150174","0 Original","1 Modify"))))</f>
        <v>0 Original</v>
      </c>
      <c r="D1856" s="3" t="s">
        <v>2480</v>
      </c>
      <c r="E1856" s="5">
        <v>1859</v>
      </c>
      <c r="F1856">
        <v>555</v>
      </c>
      <c r="G1856" t="s">
        <v>281</v>
      </c>
      <c r="H1856" s="7">
        <v>7.99</v>
      </c>
      <c r="I1856" s="5">
        <v>1</v>
      </c>
      <c r="J1856" s="3" t="s">
        <v>29</v>
      </c>
      <c r="K1856" s="9">
        <v>42483.625740740739</v>
      </c>
    </row>
    <row r="1857" spans="3:11" x14ac:dyDescent="0.25">
      <c r="C1857" t="str">
        <f>IF(COUNTBLANK(E1857:K1857) = 7,"",IF(AND(NOT(ISBLANK(E1857)),COUNTBLANK(E1857:K1857) = 6),"3 Delete",IF(ISBLANK(E1857),"2 Add",IF(SHA1Range(E1857:K1857) = "6e9149b51277dfb1e92eb2bd72357a467aca1079","0 Original","1 Modify"))))</f>
        <v>0 Original</v>
      </c>
      <c r="D1857" s="3" t="s">
        <v>2481</v>
      </c>
      <c r="E1857" s="5">
        <v>1860</v>
      </c>
      <c r="F1857">
        <v>555</v>
      </c>
      <c r="G1857" t="s">
        <v>459</v>
      </c>
      <c r="H1857" s="7">
        <v>5.99</v>
      </c>
      <c r="I1857" s="5">
        <v>1</v>
      </c>
      <c r="J1857" s="3" t="s">
        <v>29</v>
      </c>
      <c r="K1857" s="9">
        <v>42483.625740740739</v>
      </c>
    </row>
    <row r="1858" spans="3:11" x14ac:dyDescent="0.25">
      <c r="C1858" t="str">
        <f>IF(COUNTBLANK(E1858:K1858) = 7,"",IF(AND(NOT(ISBLANK(E1858)),COUNTBLANK(E1858:K1858) = 6),"3 Delete",IF(ISBLANK(E1858),"2 Add",IF(SHA1Range(E1858:K1858) = "90d06956cecba77e74fe082a5783707acb81a167","0 Original","1 Modify"))))</f>
        <v>0 Original</v>
      </c>
      <c r="D1858" s="3" t="s">
        <v>2482</v>
      </c>
      <c r="E1858" s="5">
        <v>1861</v>
      </c>
      <c r="F1858">
        <v>556</v>
      </c>
      <c r="G1858" t="s">
        <v>44</v>
      </c>
      <c r="H1858" s="7">
        <v>6.99</v>
      </c>
      <c r="I1858" s="5">
        <v>1</v>
      </c>
      <c r="J1858" s="3" t="s">
        <v>29</v>
      </c>
      <c r="K1858" s="9">
        <v>42483.625740740739</v>
      </c>
    </row>
    <row r="1859" spans="3:11" x14ac:dyDescent="0.25">
      <c r="C1859" t="str">
        <f>IF(COUNTBLANK(E1859:K1859) = 7,"",IF(AND(NOT(ISBLANK(E1859)),COUNTBLANK(E1859:K1859) = 6),"3 Delete",IF(ISBLANK(E1859),"2 Add",IF(SHA1Range(E1859:K1859) = "489c149ebc88ddd8f4b906dbf817b09576c076ba","0 Original","1 Modify"))))</f>
        <v>0 Original</v>
      </c>
      <c r="D1859" s="3" t="s">
        <v>2483</v>
      </c>
      <c r="E1859" s="5">
        <v>1862</v>
      </c>
      <c r="F1859">
        <v>556</v>
      </c>
      <c r="G1859" t="s">
        <v>142</v>
      </c>
      <c r="H1859" s="7">
        <v>4.99</v>
      </c>
      <c r="I1859" s="5">
        <v>2</v>
      </c>
      <c r="J1859" s="3" t="s">
        <v>29</v>
      </c>
      <c r="K1859" s="9">
        <v>42483.625740740739</v>
      </c>
    </row>
    <row r="1860" spans="3:11" x14ac:dyDescent="0.25">
      <c r="C1860" t="str">
        <f>IF(COUNTBLANK(E1860:K1860) = 7,"",IF(AND(NOT(ISBLANK(E1860)),COUNTBLANK(E1860:K1860) = 6),"3 Delete",IF(ISBLANK(E1860),"2 Add",IF(SHA1Range(E1860:K1860) = "05f2aa0b73010ccee840c0822712ca9790993199","0 Original","1 Modify"))))</f>
        <v>0 Original</v>
      </c>
      <c r="D1860" s="3" t="s">
        <v>2484</v>
      </c>
      <c r="E1860" s="5">
        <v>1863</v>
      </c>
      <c r="F1860">
        <v>557</v>
      </c>
      <c r="G1860" t="s">
        <v>525</v>
      </c>
      <c r="H1860" s="7">
        <v>4.99</v>
      </c>
      <c r="I1860" s="5">
        <v>1</v>
      </c>
      <c r="J1860" s="3" t="s">
        <v>29</v>
      </c>
      <c r="K1860" s="9">
        <v>42483.625740740739</v>
      </c>
    </row>
    <row r="1861" spans="3:11" x14ac:dyDescent="0.25">
      <c r="C1861" t="str">
        <f>IF(COUNTBLANK(E1861:K1861) = 7,"",IF(AND(NOT(ISBLANK(E1861)),COUNTBLANK(E1861:K1861) = 6),"3 Delete",IF(ISBLANK(E1861),"2 Add",IF(SHA1Range(E1861:K1861) = "8e41419811e51e4908be41981b73261e5afa522c","0 Original","1 Modify"))))</f>
        <v>0 Original</v>
      </c>
      <c r="D1861" s="3" t="s">
        <v>2485</v>
      </c>
      <c r="E1861" s="5">
        <v>1864</v>
      </c>
      <c r="F1861">
        <v>557</v>
      </c>
      <c r="G1861" t="s">
        <v>407</v>
      </c>
      <c r="H1861" s="7">
        <v>9.99</v>
      </c>
      <c r="I1861" s="5">
        <v>1</v>
      </c>
      <c r="J1861" s="3" t="s">
        <v>29</v>
      </c>
      <c r="K1861" s="9">
        <v>42483.625740740739</v>
      </c>
    </row>
    <row r="1862" spans="3:11" x14ac:dyDescent="0.25">
      <c r="C1862" t="str">
        <f>IF(COUNTBLANK(E1862:K1862) = 7,"",IF(AND(NOT(ISBLANK(E1862)),COUNTBLANK(E1862:K1862) = 6),"3 Delete",IF(ISBLANK(E1862),"2 Add",IF(SHA1Range(E1862:K1862) = "edf2ae1532cb64f37bd9ff874a5ebe5774e1a8e7","0 Original","1 Modify"))))</f>
        <v>0 Original</v>
      </c>
      <c r="D1862" s="3" t="s">
        <v>2486</v>
      </c>
      <c r="E1862" s="5">
        <v>1865</v>
      </c>
      <c r="F1862">
        <v>557</v>
      </c>
      <c r="G1862" t="s">
        <v>109</v>
      </c>
      <c r="H1862" s="7">
        <v>8.99</v>
      </c>
      <c r="I1862" s="5">
        <v>1</v>
      </c>
      <c r="J1862" s="3" t="s">
        <v>29</v>
      </c>
      <c r="K1862" s="9">
        <v>42483.625740740739</v>
      </c>
    </row>
    <row r="1863" spans="3:11" x14ac:dyDescent="0.25">
      <c r="C1863" t="str">
        <f>IF(COUNTBLANK(E1863:K1863) = 7,"",IF(AND(NOT(ISBLANK(E1863)),COUNTBLANK(E1863:K1863) = 6),"3 Delete",IF(ISBLANK(E1863),"2 Add",IF(SHA1Range(E1863:K1863) = "53d2ef1a09bc68689dc066360719e655cf50a47a","0 Original","1 Modify"))))</f>
        <v>0 Original</v>
      </c>
      <c r="D1863" s="3" t="s">
        <v>2487</v>
      </c>
      <c r="E1863" s="5">
        <v>1866</v>
      </c>
      <c r="F1863">
        <v>557</v>
      </c>
      <c r="G1863" t="s">
        <v>418</v>
      </c>
      <c r="H1863" s="7">
        <v>6.99</v>
      </c>
      <c r="I1863" s="5">
        <v>1</v>
      </c>
      <c r="J1863" s="3" t="s">
        <v>29</v>
      </c>
      <c r="K1863" s="9">
        <v>42483.625740740739</v>
      </c>
    </row>
    <row r="1864" spans="3:11" x14ac:dyDescent="0.25">
      <c r="C1864" t="str">
        <f>IF(COUNTBLANK(E1864:K1864) = 7,"",IF(AND(NOT(ISBLANK(E1864)),COUNTBLANK(E1864:K1864) = 6),"3 Delete",IF(ISBLANK(E1864),"2 Add",IF(SHA1Range(E1864:K1864) = "b4a21aac4bf5d92545dca288aff1db59e39dd5ac","0 Original","1 Modify"))))</f>
        <v>0 Original</v>
      </c>
      <c r="D1864" s="3" t="s">
        <v>2488</v>
      </c>
      <c r="E1864" s="5">
        <v>1867</v>
      </c>
      <c r="F1864">
        <v>558</v>
      </c>
      <c r="G1864" t="s">
        <v>472</v>
      </c>
      <c r="H1864" s="7">
        <v>6.99</v>
      </c>
      <c r="I1864" s="5">
        <v>1</v>
      </c>
      <c r="J1864" s="3" t="s">
        <v>29</v>
      </c>
      <c r="K1864" s="9">
        <v>42483.625740740739</v>
      </c>
    </row>
    <row r="1865" spans="3:11" x14ac:dyDescent="0.25">
      <c r="C1865" t="str">
        <f>IF(COUNTBLANK(E1865:K1865) = 7,"",IF(AND(NOT(ISBLANK(E1865)),COUNTBLANK(E1865:K1865) = 6),"3 Delete",IF(ISBLANK(E1865),"2 Add",IF(SHA1Range(E1865:K1865) = "b1e7f4c37cc91cd2156f8861989cc23b59f04139","0 Original","1 Modify"))))</f>
        <v>0 Original</v>
      </c>
      <c r="D1865" s="3" t="s">
        <v>2489</v>
      </c>
      <c r="E1865" s="5">
        <v>1868</v>
      </c>
      <c r="F1865">
        <v>558</v>
      </c>
      <c r="G1865" t="s">
        <v>184</v>
      </c>
      <c r="H1865" s="7">
        <v>8.99</v>
      </c>
      <c r="I1865" s="5">
        <v>2</v>
      </c>
      <c r="J1865" s="3" t="s">
        <v>29</v>
      </c>
      <c r="K1865" s="9">
        <v>42483.625740740739</v>
      </c>
    </row>
    <row r="1866" spans="3:11" x14ac:dyDescent="0.25">
      <c r="C1866" t="str">
        <f>IF(COUNTBLANK(E1866:K1866) = 7,"",IF(AND(NOT(ISBLANK(E1866)),COUNTBLANK(E1866:K1866) = 6),"3 Delete",IF(ISBLANK(E1866),"2 Add",IF(SHA1Range(E1866:K1866) = "ed278835969e65eff16b7d1f2d7d41f4dc44e16e","0 Original","1 Modify"))))</f>
        <v>0 Original</v>
      </c>
      <c r="D1866" s="3" t="s">
        <v>2490</v>
      </c>
      <c r="E1866" s="5">
        <v>1869</v>
      </c>
      <c r="F1866">
        <v>558</v>
      </c>
      <c r="G1866" t="s">
        <v>126</v>
      </c>
      <c r="H1866" s="7">
        <v>6.99</v>
      </c>
      <c r="I1866" s="5">
        <v>1</v>
      </c>
      <c r="J1866" s="3" t="s">
        <v>29</v>
      </c>
      <c r="K1866" s="9">
        <v>42483.625740740739</v>
      </c>
    </row>
    <row r="1867" spans="3:11" x14ac:dyDescent="0.25">
      <c r="C1867" t="str">
        <f>IF(COUNTBLANK(E1867:K1867) = 7,"",IF(AND(NOT(ISBLANK(E1867)),COUNTBLANK(E1867:K1867) = 6),"3 Delete",IF(ISBLANK(E1867),"2 Add",IF(SHA1Range(E1867:K1867) = "376b494ae4fbf4007eb20e280b25061d64c63d2c","0 Original","1 Modify"))))</f>
        <v>0 Original</v>
      </c>
      <c r="D1867" s="3" t="s">
        <v>2491</v>
      </c>
      <c r="E1867" s="5">
        <v>1870</v>
      </c>
      <c r="F1867">
        <v>559</v>
      </c>
      <c r="G1867" t="s">
        <v>425</v>
      </c>
      <c r="H1867" s="7">
        <v>6.99</v>
      </c>
      <c r="I1867" s="5">
        <v>2</v>
      </c>
      <c r="J1867" s="3" t="s">
        <v>29</v>
      </c>
      <c r="K1867" s="9">
        <v>42483.625740740739</v>
      </c>
    </row>
    <row r="1868" spans="3:11" x14ac:dyDescent="0.25">
      <c r="C1868" t="str">
        <f>IF(COUNTBLANK(E1868:K1868) = 7,"",IF(AND(NOT(ISBLANK(E1868)),COUNTBLANK(E1868:K1868) = 6),"3 Delete",IF(ISBLANK(E1868),"2 Add",IF(SHA1Range(E1868:K1868) = "f93bc273dda33c0c8a88a874132d152846eb630a","0 Original","1 Modify"))))</f>
        <v>0 Original</v>
      </c>
      <c r="D1868" s="3" t="s">
        <v>2492</v>
      </c>
      <c r="E1868" s="5">
        <v>1871</v>
      </c>
      <c r="F1868">
        <v>559</v>
      </c>
      <c r="G1868" t="s">
        <v>221</v>
      </c>
      <c r="H1868" s="7">
        <v>6.99</v>
      </c>
      <c r="I1868" s="5">
        <v>1</v>
      </c>
      <c r="J1868" s="3" t="s">
        <v>29</v>
      </c>
      <c r="K1868" s="9">
        <v>42483.625740740739</v>
      </c>
    </row>
    <row r="1869" spans="3:11" x14ac:dyDescent="0.25">
      <c r="C1869" t="str">
        <f>IF(COUNTBLANK(E1869:K1869) = 7,"",IF(AND(NOT(ISBLANK(E1869)),COUNTBLANK(E1869:K1869) = 6),"3 Delete",IF(ISBLANK(E1869),"2 Add",IF(SHA1Range(E1869:K1869) = "26c35429ec8906d22562484d4c59f308ef116122","0 Original","1 Modify"))))</f>
        <v>0 Original</v>
      </c>
      <c r="D1869" s="3" t="s">
        <v>2493</v>
      </c>
      <c r="E1869" s="5">
        <v>1872</v>
      </c>
      <c r="F1869">
        <v>560</v>
      </c>
      <c r="G1869" t="s">
        <v>109</v>
      </c>
      <c r="H1869" s="7">
        <v>8.99</v>
      </c>
      <c r="I1869" s="5">
        <v>1</v>
      </c>
      <c r="J1869" s="3" t="s">
        <v>29</v>
      </c>
      <c r="K1869" s="9">
        <v>42483.625740740739</v>
      </c>
    </row>
    <row r="1870" spans="3:11" x14ac:dyDescent="0.25">
      <c r="C1870" t="str">
        <f>IF(COUNTBLANK(E1870:K1870) = 7,"",IF(AND(NOT(ISBLANK(E1870)),COUNTBLANK(E1870:K1870) = 6),"3 Delete",IF(ISBLANK(E1870),"2 Add",IF(SHA1Range(E1870:K1870) = "0538663cc510cb3c55e0e1f6b9cca11646bfdc91","0 Original","1 Modify"))))</f>
        <v>0 Original</v>
      </c>
      <c r="D1870" s="3" t="s">
        <v>2494</v>
      </c>
      <c r="E1870" s="5">
        <v>1873</v>
      </c>
      <c r="F1870">
        <v>560</v>
      </c>
      <c r="G1870" t="s">
        <v>234</v>
      </c>
      <c r="H1870" s="7">
        <v>4.99</v>
      </c>
      <c r="I1870" s="5">
        <v>1</v>
      </c>
      <c r="J1870" s="3" t="s">
        <v>29</v>
      </c>
      <c r="K1870" s="9">
        <v>42483.625740740739</v>
      </c>
    </row>
    <row r="1871" spans="3:11" x14ac:dyDescent="0.25">
      <c r="C1871" t="str">
        <f>IF(COUNTBLANK(E1871:K1871) = 7,"",IF(AND(NOT(ISBLANK(E1871)),COUNTBLANK(E1871:K1871) = 6),"3 Delete",IF(ISBLANK(E1871),"2 Add",IF(SHA1Range(E1871:K1871) = "0d6f355fadceb98f19b8b29f8e41b3c677994ae0","0 Original","1 Modify"))))</f>
        <v>0 Original</v>
      </c>
      <c r="D1871" s="3" t="s">
        <v>2495</v>
      </c>
      <c r="E1871" s="5">
        <v>1874</v>
      </c>
      <c r="F1871">
        <v>560</v>
      </c>
      <c r="G1871" t="s">
        <v>109</v>
      </c>
      <c r="H1871" s="7">
        <v>8.99</v>
      </c>
      <c r="I1871" s="5">
        <v>1</v>
      </c>
      <c r="J1871" s="3" t="s">
        <v>29</v>
      </c>
      <c r="K1871" s="9">
        <v>42483.625740740739</v>
      </c>
    </row>
    <row r="1872" spans="3:11" x14ac:dyDescent="0.25">
      <c r="C1872" t="str">
        <f>IF(COUNTBLANK(E1872:K1872) = 7,"",IF(AND(NOT(ISBLANK(E1872)),COUNTBLANK(E1872:K1872) = 6),"3 Delete",IF(ISBLANK(E1872),"2 Add",IF(SHA1Range(E1872:K1872) = "562334dc045bc0d85cbe6b8c76df98149e4aed6e","0 Original","1 Modify"))))</f>
        <v>0 Original</v>
      </c>
      <c r="D1872" s="3" t="s">
        <v>2496</v>
      </c>
      <c r="E1872" s="5">
        <v>1875</v>
      </c>
      <c r="F1872">
        <v>561</v>
      </c>
      <c r="G1872" t="s">
        <v>54</v>
      </c>
      <c r="H1872" s="7">
        <v>5.99</v>
      </c>
      <c r="I1872" s="5">
        <v>1</v>
      </c>
      <c r="J1872" s="3" t="s">
        <v>29</v>
      </c>
      <c r="K1872" s="9">
        <v>42483.625740740739</v>
      </c>
    </row>
    <row r="1873" spans="3:11" x14ac:dyDescent="0.25">
      <c r="C1873" t="str">
        <f>IF(COUNTBLANK(E1873:K1873) = 7,"",IF(AND(NOT(ISBLANK(E1873)),COUNTBLANK(E1873:K1873) = 6),"3 Delete",IF(ISBLANK(E1873),"2 Add",IF(SHA1Range(E1873:K1873) = "deab9a27ac3548a11788d8537b1b40630bfa0c1a","0 Original","1 Modify"))))</f>
        <v>0 Original</v>
      </c>
      <c r="D1873" s="3" t="s">
        <v>2497</v>
      </c>
      <c r="E1873" s="5">
        <v>1876</v>
      </c>
      <c r="F1873">
        <v>561</v>
      </c>
      <c r="G1873" t="s">
        <v>250</v>
      </c>
      <c r="H1873" s="7">
        <v>8.99</v>
      </c>
      <c r="I1873" s="5">
        <v>1</v>
      </c>
      <c r="J1873" s="3" t="s">
        <v>29</v>
      </c>
      <c r="K1873" s="9">
        <v>42483.625740740739</v>
      </c>
    </row>
    <row r="1874" spans="3:11" x14ac:dyDescent="0.25">
      <c r="C1874" t="str">
        <f>IF(COUNTBLANK(E1874:K1874) = 7,"",IF(AND(NOT(ISBLANK(E1874)),COUNTBLANK(E1874:K1874) = 6),"3 Delete",IF(ISBLANK(E1874),"2 Add",IF(SHA1Range(E1874:K1874) = "c15ee6edd6162bdf49e8038b05ff7749dd16b19e","0 Original","1 Modify"))))</f>
        <v>0 Original</v>
      </c>
      <c r="D1874" s="3" t="s">
        <v>2498</v>
      </c>
      <c r="E1874" s="5">
        <v>1877</v>
      </c>
      <c r="F1874">
        <v>561</v>
      </c>
      <c r="G1874" t="s">
        <v>525</v>
      </c>
      <c r="H1874" s="7">
        <v>4.99</v>
      </c>
      <c r="I1874" s="5">
        <v>2</v>
      </c>
      <c r="J1874" s="3" t="s">
        <v>29</v>
      </c>
      <c r="K1874" s="9">
        <v>42483.625740740739</v>
      </c>
    </row>
    <row r="1875" spans="3:11" x14ac:dyDescent="0.25">
      <c r="C1875" t="str">
        <f>IF(COUNTBLANK(E1875:K1875) = 7,"",IF(AND(NOT(ISBLANK(E1875)),COUNTBLANK(E1875:K1875) = 6),"3 Delete",IF(ISBLANK(E1875),"2 Add",IF(SHA1Range(E1875:K1875) = "68399fed0f039e672988cdec3863a4c77f3c6e42","0 Original","1 Modify"))))</f>
        <v>0 Original</v>
      </c>
      <c r="D1875" s="3" t="s">
        <v>2499</v>
      </c>
      <c r="E1875" s="5">
        <v>1878</v>
      </c>
      <c r="F1875">
        <v>562</v>
      </c>
      <c r="G1875" t="s">
        <v>152</v>
      </c>
      <c r="H1875" s="7">
        <v>5.99</v>
      </c>
      <c r="I1875" s="5">
        <v>2</v>
      </c>
      <c r="J1875" s="3" t="s">
        <v>29</v>
      </c>
      <c r="K1875" s="9">
        <v>42483.625740740739</v>
      </c>
    </row>
    <row r="1876" spans="3:11" x14ac:dyDescent="0.25">
      <c r="C1876" t="str">
        <f>IF(COUNTBLANK(E1876:K1876) = 7,"",IF(AND(NOT(ISBLANK(E1876)),COUNTBLANK(E1876:K1876) = 6),"3 Delete",IF(ISBLANK(E1876),"2 Add",IF(SHA1Range(E1876:K1876) = "baec9326644364355b4fa3a656d96085748d59d6","0 Original","1 Modify"))))</f>
        <v>0 Original</v>
      </c>
      <c r="D1876" s="3" t="s">
        <v>2500</v>
      </c>
      <c r="E1876" s="5">
        <v>1879</v>
      </c>
      <c r="F1876">
        <v>562</v>
      </c>
      <c r="G1876" t="s">
        <v>418</v>
      </c>
      <c r="H1876" s="7">
        <v>6.99</v>
      </c>
      <c r="I1876" s="5">
        <v>1</v>
      </c>
      <c r="J1876" s="3" t="s">
        <v>29</v>
      </c>
      <c r="K1876" s="9">
        <v>42483.625740740739</v>
      </c>
    </row>
    <row r="1877" spans="3:11" x14ac:dyDescent="0.25">
      <c r="C1877" t="str">
        <f>IF(COUNTBLANK(E1877:K1877) = 7,"",IF(AND(NOT(ISBLANK(E1877)),COUNTBLANK(E1877:K1877) = 6),"3 Delete",IF(ISBLANK(E1877),"2 Add",IF(SHA1Range(E1877:K1877) = "7a7d7a03ad89a1fe8efff7834e3ec856764dc6ec","0 Original","1 Modify"))))</f>
        <v>0 Original</v>
      </c>
      <c r="D1877" s="3" t="s">
        <v>2501</v>
      </c>
      <c r="E1877" s="5">
        <v>1880</v>
      </c>
      <c r="F1877">
        <v>563</v>
      </c>
      <c r="G1877" t="s">
        <v>30</v>
      </c>
      <c r="H1877" s="7">
        <v>9.99</v>
      </c>
      <c r="I1877" s="5">
        <v>1</v>
      </c>
      <c r="J1877" s="3" t="s">
        <v>29</v>
      </c>
      <c r="K1877" s="9">
        <v>42483.625740740739</v>
      </c>
    </row>
    <row r="1878" spans="3:11" x14ac:dyDescent="0.25">
      <c r="C1878" t="str">
        <f>IF(COUNTBLANK(E1878:K1878) = 7,"",IF(AND(NOT(ISBLANK(E1878)),COUNTBLANK(E1878:K1878) = 6),"3 Delete",IF(ISBLANK(E1878),"2 Add",IF(SHA1Range(E1878:K1878) = "57fdc3c7d41fabe458a59b2a2047b84a2cd7f942","0 Original","1 Modify"))))</f>
        <v>0 Original</v>
      </c>
      <c r="D1878" s="3" t="s">
        <v>2502</v>
      </c>
      <c r="E1878" s="5">
        <v>1881</v>
      </c>
      <c r="F1878">
        <v>563</v>
      </c>
      <c r="G1878" t="s">
        <v>234</v>
      </c>
      <c r="H1878" s="7">
        <v>4.99</v>
      </c>
      <c r="I1878" s="5">
        <v>2</v>
      </c>
      <c r="J1878" s="3" t="s">
        <v>29</v>
      </c>
      <c r="K1878" s="9">
        <v>42483.625740740739</v>
      </c>
    </row>
    <row r="1879" spans="3:11" x14ac:dyDescent="0.25">
      <c r="C1879" t="str">
        <f>IF(COUNTBLANK(E1879:K1879) = 7,"",IF(AND(NOT(ISBLANK(E1879)),COUNTBLANK(E1879:K1879) = 6),"3 Delete",IF(ISBLANK(E1879),"2 Add",IF(SHA1Range(E1879:K1879) = "c35185b9c7857889a697400cb5d63bc56a625f79","0 Original","1 Modify"))))</f>
        <v>0 Original</v>
      </c>
      <c r="D1879" s="3" t="s">
        <v>2503</v>
      </c>
      <c r="E1879" s="5">
        <v>1882</v>
      </c>
      <c r="F1879">
        <v>564</v>
      </c>
      <c r="G1879" t="s">
        <v>418</v>
      </c>
      <c r="H1879" s="7">
        <v>6.99</v>
      </c>
      <c r="I1879" s="5">
        <v>1</v>
      </c>
      <c r="J1879" s="3" t="s">
        <v>29</v>
      </c>
      <c r="K1879" s="9">
        <v>42483.625740740739</v>
      </c>
    </row>
    <row r="1880" spans="3:11" x14ac:dyDescent="0.25">
      <c r="C1880" t="str">
        <f>IF(COUNTBLANK(E1880:K1880) = 7,"",IF(AND(NOT(ISBLANK(E1880)),COUNTBLANK(E1880:K1880) = 6),"3 Delete",IF(ISBLANK(E1880),"2 Add",IF(SHA1Range(E1880:K1880) = "9c9f381e3b6f65edfac2202c13c8f4cc1c30f489","0 Original","1 Modify"))))</f>
        <v>0 Original</v>
      </c>
      <c r="D1880" s="3" t="s">
        <v>2504</v>
      </c>
      <c r="E1880" s="5">
        <v>1883</v>
      </c>
      <c r="F1880">
        <v>564</v>
      </c>
      <c r="G1880" t="s">
        <v>58</v>
      </c>
      <c r="H1880" s="7">
        <v>8.99</v>
      </c>
      <c r="I1880" s="5">
        <v>1</v>
      </c>
      <c r="J1880" s="3" t="s">
        <v>29</v>
      </c>
      <c r="K1880" s="9">
        <v>42483.625740740739</v>
      </c>
    </row>
    <row r="1881" spans="3:11" x14ac:dyDescent="0.25">
      <c r="C1881" t="str">
        <f>IF(COUNTBLANK(E1881:K1881) = 7,"",IF(AND(NOT(ISBLANK(E1881)),COUNTBLANK(E1881:K1881) = 6),"3 Delete",IF(ISBLANK(E1881),"2 Add",IF(SHA1Range(E1881:K1881) = "3166ce653355a8e496098387dc009700a365204f","0 Original","1 Modify"))))</f>
        <v>0 Original</v>
      </c>
      <c r="D1881" s="3" t="s">
        <v>2505</v>
      </c>
      <c r="E1881" s="5">
        <v>1884</v>
      </c>
      <c r="F1881">
        <v>565</v>
      </c>
      <c r="G1881" t="s">
        <v>221</v>
      </c>
      <c r="H1881" s="7">
        <v>6.99</v>
      </c>
      <c r="I1881" s="5">
        <v>1</v>
      </c>
      <c r="J1881" s="3" t="s">
        <v>29</v>
      </c>
      <c r="K1881" s="9">
        <v>42483.625740740739</v>
      </c>
    </row>
    <row r="1882" spans="3:11" x14ac:dyDescent="0.25">
      <c r="C1882" t="str">
        <f>IF(COUNTBLANK(E1882:K1882) = 7,"",IF(AND(NOT(ISBLANK(E1882)),COUNTBLANK(E1882:K1882) = 6),"3 Delete",IF(ISBLANK(E1882),"2 Add",IF(SHA1Range(E1882:K1882) = "8c433352c0ba6d5338e59182c536b03b37b3d018","0 Original","1 Modify"))))</f>
        <v>0 Original</v>
      </c>
      <c r="D1882" s="3" t="s">
        <v>2506</v>
      </c>
      <c r="E1882" s="5">
        <v>1885</v>
      </c>
      <c r="F1882">
        <v>565</v>
      </c>
      <c r="G1882" t="s">
        <v>599</v>
      </c>
      <c r="H1882" s="7">
        <v>5.99</v>
      </c>
      <c r="I1882" s="5">
        <v>1</v>
      </c>
      <c r="J1882" s="3" t="s">
        <v>29</v>
      </c>
      <c r="K1882" s="9">
        <v>42483.625740740739</v>
      </c>
    </row>
    <row r="1883" spans="3:11" x14ac:dyDescent="0.25">
      <c r="C1883" t="str">
        <f>IF(COUNTBLANK(E1883:K1883) = 7,"",IF(AND(NOT(ISBLANK(E1883)),COUNTBLANK(E1883:K1883) = 6),"3 Delete",IF(ISBLANK(E1883),"2 Add",IF(SHA1Range(E1883:K1883) = "955cf134d46a5609c7d6799028286e9b7cdb9171","0 Original","1 Modify"))))</f>
        <v>0 Original</v>
      </c>
      <c r="D1883" s="3" t="s">
        <v>2507</v>
      </c>
      <c r="E1883" s="5">
        <v>1886</v>
      </c>
      <c r="F1883">
        <v>565</v>
      </c>
      <c r="G1883" t="s">
        <v>234</v>
      </c>
      <c r="H1883" s="7">
        <v>4.99</v>
      </c>
      <c r="I1883" s="5">
        <v>1</v>
      </c>
      <c r="J1883" s="3" t="s">
        <v>29</v>
      </c>
      <c r="K1883" s="9">
        <v>42483.625740740739</v>
      </c>
    </row>
    <row r="1884" spans="3:11" x14ac:dyDescent="0.25">
      <c r="C1884" t="str">
        <f>IF(COUNTBLANK(E1884:K1884) = 7,"",IF(AND(NOT(ISBLANK(E1884)),COUNTBLANK(E1884:K1884) = 6),"3 Delete",IF(ISBLANK(E1884),"2 Add",IF(SHA1Range(E1884:K1884) = "9a88b25151bd6560d19d932a370181337f907ddb","0 Original","1 Modify"))))</f>
        <v>0 Original</v>
      </c>
      <c r="D1884" s="3" t="s">
        <v>2508</v>
      </c>
      <c r="E1884" s="5">
        <v>1887</v>
      </c>
      <c r="F1884">
        <v>566</v>
      </c>
      <c r="G1884" t="s">
        <v>217</v>
      </c>
      <c r="H1884" s="7">
        <v>9.99</v>
      </c>
      <c r="I1884" s="5">
        <v>2</v>
      </c>
      <c r="J1884" s="3" t="s">
        <v>29</v>
      </c>
      <c r="K1884" s="9">
        <v>42483.625740740739</v>
      </c>
    </row>
    <row r="1885" spans="3:11" x14ac:dyDescent="0.25">
      <c r="C1885" t="str">
        <f>IF(COUNTBLANK(E1885:K1885) = 7,"",IF(AND(NOT(ISBLANK(E1885)),COUNTBLANK(E1885:K1885) = 6),"3 Delete",IF(ISBLANK(E1885),"2 Add",IF(SHA1Range(E1885:K1885) = "47ca7da660a3dd07b5a468756aee1e7fada073f6","0 Original","1 Modify"))))</f>
        <v>0 Original</v>
      </c>
      <c r="D1885" s="3" t="s">
        <v>2509</v>
      </c>
      <c r="E1885" s="5">
        <v>1888</v>
      </c>
      <c r="F1885">
        <v>566</v>
      </c>
      <c r="G1885" t="s">
        <v>217</v>
      </c>
      <c r="H1885" s="7">
        <v>9.99</v>
      </c>
      <c r="I1885" s="5">
        <v>1</v>
      </c>
      <c r="J1885" s="3" t="s">
        <v>29</v>
      </c>
      <c r="K1885" s="9">
        <v>42483.625740740739</v>
      </c>
    </row>
    <row r="1886" spans="3:11" x14ac:dyDescent="0.25">
      <c r="C1886" t="str">
        <f>IF(COUNTBLANK(E1886:K1886) = 7,"",IF(AND(NOT(ISBLANK(E1886)),COUNTBLANK(E1886:K1886) = 6),"3 Delete",IF(ISBLANK(E1886),"2 Add",IF(SHA1Range(E1886:K1886) = "1fff54522757948f89d0b169091d9a2cb45ef2f0","0 Original","1 Modify"))))</f>
        <v>0 Original</v>
      </c>
      <c r="D1886" s="3" t="s">
        <v>2510</v>
      </c>
      <c r="E1886" s="5">
        <v>1889</v>
      </c>
      <c r="F1886">
        <v>566</v>
      </c>
      <c r="G1886" t="s">
        <v>184</v>
      </c>
      <c r="H1886" s="7">
        <v>8.99</v>
      </c>
      <c r="I1886" s="5">
        <v>1</v>
      </c>
      <c r="J1886" s="3" t="s">
        <v>29</v>
      </c>
      <c r="K1886" s="9">
        <v>42483.625740740739</v>
      </c>
    </row>
    <row r="1887" spans="3:11" x14ac:dyDescent="0.25">
      <c r="C1887" t="str">
        <f>IF(COUNTBLANK(E1887:K1887) = 7,"",IF(AND(NOT(ISBLANK(E1887)),COUNTBLANK(E1887:K1887) = 6),"3 Delete",IF(ISBLANK(E1887),"2 Add",IF(SHA1Range(E1887:K1887) = "e0a1afd4bbaf353f6e6de835d5c9bffdedf56b3e","0 Original","1 Modify"))))</f>
        <v>0 Original</v>
      </c>
      <c r="D1887" s="3" t="s">
        <v>2511</v>
      </c>
      <c r="E1887" s="5">
        <v>1890</v>
      </c>
      <c r="F1887">
        <v>566</v>
      </c>
      <c r="G1887" t="s">
        <v>250</v>
      </c>
      <c r="H1887" s="7">
        <v>8.99</v>
      </c>
      <c r="I1887" s="5">
        <v>1</v>
      </c>
      <c r="J1887" s="3" t="s">
        <v>29</v>
      </c>
      <c r="K1887" s="9">
        <v>42483.625740740739</v>
      </c>
    </row>
    <row r="1888" spans="3:11" x14ac:dyDescent="0.25">
      <c r="C1888" t="str">
        <f>IF(COUNTBLANK(E1888:K1888) = 7,"",IF(AND(NOT(ISBLANK(E1888)),COUNTBLANK(E1888:K1888) = 6),"3 Delete",IF(ISBLANK(E1888),"2 Add",IF(SHA1Range(E1888:K1888) = "98e64a8a838ed6d2ed8e7e6adbf9ec981803960e","0 Original","1 Modify"))))</f>
        <v>0 Original</v>
      </c>
      <c r="D1888" s="3" t="s">
        <v>2512</v>
      </c>
      <c r="E1888" s="5">
        <v>1891</v>
      </c>
      <c r="F1888">
        <v>567</v>
      </c>
      <c r="G1888" t="s">
        <v>388</v>
      </c>
      <c r="H1888" s="7">
        <v>5.99</v>
      </c>
      <c r="I1888" s="5">
        <v>1</v>
      </c>
      <c r="J1888" s="3" t="s">
        <v>29</v>
      </c>
      <c r="K1888" s="9">
        <v>42483.625740740739</v>
      </c>
    </row>
    <row r="1889" spans="3:11" x14ac:dyDescent="0.25">
      <c r="C1889" t="str">
        <f>IF(COUNTBLANK(E1889:K1889) = 7,"",IF(AND(NOT(ISBLANK(E1889)),COUNTBLANK(E1889:K1889) = 6),"3 Delete",IF(ISBLANK(E1889),"2 Add",IF(SHA1Range(E1889:K1889) = "65c35e9d29f27c30c9c2fe23faed691476d4972a","0 Original","1 Modify"))))</f>
        <v>0 Original</v>
      </c>
      <c r="D1889" s="3" t="s">
        <v>2513</v>
      </c>
      <c r="E1889" s="5">
        <v>1892</v>
      </c>
      <c r="F1889">
        <v>567</v>
      </c>
      <c r="G1889" t="s">
        <v>391</v>
      </c>
      <c r="H1889" s="7">
        <v>7.99</v>
      </c>
      <c r="I1889" s="5">
        <v>2</v>
      </c>
      <c r="J1889" s="3" t="s">
        <v>29</v>
      </c>
      <c r="K1889" s="9">
        <v>42483.625740740739</v>
      </c>
    </row>
    <row r="1890" spans="3:11" x14ac:dyDescent="0.25">
      <c r="C1890" t="str">
        <f>IF(COUNTBLANK(E1890:K1890) = 7,"",IF(AND(NOT(ISBLANK(E1890)),COUNTBLANK(E1890:K1890) = 6),"3 Delete",IF(ISBLANK(E1890),"2 Add",IF(SHA1Range(E1890:K1890) = "1e95343bfdebc85d7f6105a26cbdaeb398cbed2c","0 Original","1 Modify"))))</f>
        <v>0 Original</v>
      </c>
      <c r="D1890" s="3" t="s">
        <v>2514</v>
      </c>
      <c r="E1890" s="5">
        <v>1893</v>
      </c>
      <c r="F1890">
        <v>567</v>
      </c>
      <c r="G1890" t="s">
        <v>250</v>
      </c>
      <c r="H1890" s="7">
        <v>8.99</v>
      </c>
      <c r="I1890" s="5">
        <v>1</v>
      </c>
      <c r="J1890" s="3" t="s">
        <v>29</v>
      </c>
      <c r="K1890" s="9">
        <v>42483.625740740739</v>
      </c>
    </row>
    <row r="1891" spans="3:11" x14ac:dyDescent="0.25">
      <c r="C1891" t="str">
        <f>IF(COUNTBLANK(E1891:K1891) = 7,"",IF(AND(NOT(ISBLANK(E1891)),COUNTBLANK(E1891:K1891) = 6),"3 Delete",IF(ISBLANK(E1891),"2 Add",IF(SHA1Range(E1891:K1891) = "fc8b1f5bb726ee9a660845c401fac5bf0548fa7a","0 Original","1 Modify"))))</f>
        <v>0 Original</v>
      </c>
      <c r="D1891" s="3" t="s">
        <v>2515</v>
      </c>
      <c r="E1891" s="5">
        <v>1894</v>
      </c>
      <c r="F1891">
        <v>568</v>
      </c>
      <c r="G1891" t="s">
        <v>425</v>
      </c>
      <c r="H1891" s="7">
        <v>6.99</v>
      </c>
      <c r="I1891" s="5">
        <v>2</v>
      </c>
      <c r="J1891" s="3" t="s">
        <v>29</v>
      </c>
      <c r="K1891" s="9">
        <v>42483.625740740739</v>
      </c>
    </row>
    <row r="1892" spans="3:11" x14ac:dyDescent="0.25">
      <c r="C1892" t="str">
        <f>IF(COUNTBLANK(E1892:K1892) = 7,"",IF(AND(NOT(ISBLANK(E1892)),COUNTBLANK(E1892:K1892) = 6),"3 Delete",IF(ISBLANK(E1892),"2 Add",IF(SHA1Range(E1892:K1892) = "51c9b75d2814f82f1a422acff7184191967385f3","0 Original","1 Modify"))))</f>
        <v>0 Original</v>
      </c>
      <c r="D1892" s="3" t="s">
        <v>2516</v>
      </c>
      <c r="E1892" s="5">
        <v>1895</v>
      </c>
      <c r="F1892">
        <v>569</v>
      </c>
      <c r="G1892" t="s">
        <v>152</v>
      </c>
      <c r="H1892" s="7">
        <v>5.99</v>
      </c>
      <c r="I1892" s="5">
        <v>1</v>
      </c>
      <c r="J1892" s="3" t="s">
        <v>29</v>
      </c>
      <c r="K1892" s="9">
        <v>42483.625740740739</v>
      </c>
    </row>
    <row r="1893" spans="3:11" x14ac:dyDescent="0.25">
      <c r="C1893" t="str">
        <f>IF(COUNTBLANK(E1893:K1893) = 7,"",IF(AND(NOT(ISBLANK(E1893)),COUNTBLANK(E1893:K1893) = 6),"3 Delete",IF(ISBLANK(E1893),"2 Add",IF(SHA1Range(E1893:K1893) = "836ca2c078ad0870a8eafcca568bc21fb0036adc","0 Original","1 Modify"))))</f>
        <v>0 Original</v>
      </c>
      <c r="D1893" s="3" t="s">
        <v>2517</v>
      </c>
      <c r="E1893" s="5">
        <v>1896</v>
      </c>
      <c r="F1893">
        <v>569</v>
      </c>
      <c r="G1893" t="s">
        <v>250</v>
      </c>
      <c r="H1893" s="7">
        <v>8.99</v>
      </c>
      <c r="I1893" s="5">
        <v>2</v>
      </c>
      <c r="J1893" s="3" t="s">
        <v>29</v>
      </c>
      <c r="K1893" s="9">
        <v>42483.625740740739</v>
      </c>
    </row>
    <row r="1894" spans="3:11" x14ac:dyDescent="0.25">
      <c r="C1894" t="str">
        <f>IF(COUNTBLANK(E1894:K1894) = 7,"",IF(AND(NOT(ISBLANK(E1894)),COUNTBLANK(E1894:K1894) = 6),"3 Delete",IF(ISBLANK(E1894),"2 Add",IF(SHA1Range(E1894:K1894) = "4b37483053f7ed87c7fb71abfac3e5fe7da94540","0 Original","1 Modify"))))</f>
        <v>0 Original</v>
      </c>
      <c r="D1894" s="3" t="s">
        <v>2518</v>
      </c>
      <c r="E1894" s="5">
        <v>1897</v>
      </c>
      <c r="F1894">
        <v>569</v>
      </c>
      <c r="G1894" t="s">
        <v>573</v>
      </c>
      <c r="H1894" s="7">
        <v>9.99</v>
      </c>
      <c r="I1894" s="5">
        <v>1</v>
      </c>
      <c r="J1894" s="3" t="s">
        <v>29</v>
      </c>
      <c r="K1894" s="9">
        <v>42483.625740740739</v>
      </c>
    </row>
    <row r="1895" spans="3:11" x14ac:dyDescent="0.25">
      <c r="C1895" t="str">
        <f>IF(COUNTBLANK(E1895:K1895) = 7,"",IF(AND(NOT(ISBLANK(E1895)),COUNTBLANK(E1895:K1895) = 6),"3 Delete",IF(ISBLANK(E1895),"2 Add",IF(SHA1Range(E1895:K1895) = "ecc8ee1efdb4cc31113329eb9c69a7e87931e14e","0 Original","1 Modify"))))</f>
        <v>0 Original</v>
      </c>
      <c r="D1895" s="3" t="s">
        <v>2519</v>
      </c>
      <c r="E1895" s="5">
        <v>1898</v>
      </c>
      <c r="F1895">
        <v>569</v>
      </c>
      <c r="G1895" t="s">
        <v>335</v>
      </c>
      <c r="H1895" s="7">
        <v>5.99</v>
      </c>
      <c r="I1895" s="5">
        <v>2</v>
      </c>
      <c r="J1895" s="3" t="s">
        <v>29</v>
      </c>
      <c r="K1895" s="9">
        <v>42483.625740740739</v>
      </c>
    </row>
    <row r="1896" spans="3:11" x14ac:dyDescent="0.25">
      <c r="C1896" t="str">
        <f>IF(COUNTBLANK(E1896:K1896) = 7,"",IF(AND(NOT(ISBLANK(E1896)),COUNTBLANK(E1896:K1896) = 6),"3 Delete",IF(ISBLANK(E1896),"2 Add",IF(SHA1Range(E1896:K1896) = "c4799da0a0169dc0ebcee20e5483ccb1116aab49","0 Original","1 Modify"))))</f>
        <v>0 Original</v>
      </c>
      <c r="D1896" s="3" t="s">
        <v>2520</v>
      </c>
      <c r="E1896" s="5">
        <v>1899</v>
      </c>
      <c r="F1896">
        <v>570</v>
      </c>
      <c r="G1896" t="s">
        <v>602</v>
      </c>
      <c r="H1896" s="7">
        <v>7.99</v>
      </c>
      <c r="I1896" s="5">
        <v>1</v>
      </c>
      <c r="J1896" s="3" t="s">
        <v>29</v>
      </c>
      <c r="K1896" s="9">
        <v>42483.625740740739</v>
      </c>
    </row>
    <row r="1897" spans="3:11" x14ac:dyDescent="0.25">
      <c r="C1897" t="str">
        <f>IF(COUNTBLANK(E1897:K1897) = 7,"",IF(AND(NOT(ISBLANK(E1897)),COUNTBLANK(E1897:K1897) = 6),"3 Delete",IF(ISBLANK(E1897),"2 Add",IF(SHA1Range(E1897:K1897) = "fb166c536146eef483c3496e6466066ddd8db92b","0 Original","1 Modify"))))</f>
        <v>0 Original</v>
      </c>
      <c r="D1897" s="3" t="s">
        <v>2521</v>
      </c>
      <c r="E1897" s="5">
        <v>1900</v>
      </c>
      <c r="F1897">
        <v>570</v>
      </c>
      <c r="G1897" t="s">
        <v>54</v>
      </c>
      <c r="H1897" s="7">
        <v>5.99</v>
      </c>
      <c r="I1897" s="5">
        <v>1</v>
      </c>
      <c r="J1897" s="3" t="s">
        <v>29</v>
      </c>
      <c r="K1897" s="9">
        <v>42483.625740740739</v>
      </c>
    </row>
    <row r="1898" spans="3:11" x14ac:dyDescent="0.25">
      <c r="C1898" t="str">
        <f>IF(COUNTBLANK(E1898:K1898) = 7,"",IF(AND(NOT(ISBLANK(E1898)),COUNTBLANK(E1898:K1898) = 6),"3 Delete",IF(ISBLANK(E1898),"2 Add",IF(SHA1Range(E1898:K1898) = "6a065f24821edf1c4eef2dfe30b48a77849df61a","0 Original","1 Modify"))))</f>
        <v>0 Original</v>
      </c>
      <c r="D1898" s="3" t="s">
        <v>2522</v>
      </c>
      <c r="E1898" s="5">
        <v>1901</v>
      </c>
      <c r="F1898">
        <v>570</v>
      </c>
      <c r="G1898" t="s">
        <v>602</v>
      </c>
      <c r="H1898" s="7">
        <v>7.99</v>
      </c>
      <c r="I1898" s="5">
        <v>1</v>
      </c>
      <c r="J1898" s="3" t="s">
        <v>29</v>
      </c>
      <c r="K1898" s="9">
        <v>42483.625740740739</v>
      </c>
    </row>
    <row r="1899" spans="3:11" x14ac:dyDescent="0.25">
      <c r="C1899" t="str">
        <f>IF(COUNTBLANK(E1899:K1899) = 7,"",IF(AND(NOT(ISBLANK(E1899)),COUNTBLANK(E1899:K1899) = 6),"3 Delete",IF(ISBLANK(E1899),"2 Add",IF(SHA1Range(E1899:K1899) = "972e4f13d8762041e2f5ece0a1dab0810e689659","0 Original","1 Modify"))))</f>
        <v>0 Original</v>
      </c>
      <c r="D1899" s="3" t="s">
        <v>2523</v>
      </c>
      <c r="E1899" s="5">
        <v>1902</v>
      </c>
      <c r="F1899">
        <v>570</v>
      </c>
      <c r="G1899" t="s">
        <v>217</v>
      </c>
      <c r="H1899" s="7">
        <v>9.99</v>
      </c>
      <c r="I1899" s="5">
        <v>1</v>
      </c>
      <c r="J1899" s="3" t="s">
        <v>29</v>
      </c>
      <c r="K1899" s="9">
        <v>42483.625740740739</v>
      </c>
    </row>
    <row r="1900" spans="3:11" x14ac:dyDescent="0.25">
      <c r="C1900" t="str">
        <f>IF(COUNTBLANK(E1900:K1900) = 7,"",IF(AND(NOT(ISBLANK(E1900)),COUNTBLANK(E1900:K1900) = 6),"3 Delete",IF(ISBLANK(E1900),"2 Add",IF(SHA1Range(E1900:K1900) = "df1855a273985c4e61c7b9aae39f99f89f71fa8a","0 Original","1 Modify"))))</f>
        <v>0 Original</v>
      </c>
      <c r="D1900" s="3" t="s">
        <v>2524</v>
      </c>
      <c r="E1900" s="5">
        <v>1903</v>
      </c>
      <c r="F1900">
        <v>570</v>
      </c>
      <c r="G1900" t="s">
        <v>395</v>
      </c>
      <c r="H1900" s="7">
        <v>8.99</v>
      </c>
      <c r="I1900" s="5">
        <v>2</v>
      </c>
      <c r="J1900" s="3" t="s">
        <v>29</v>
      </c>
      <c r="K1900" s="9">
        <v>42483.625740740739</v>
      </c>
    </row>
    <row r="1901" spans="3:11" x14ac:dyDescent="0.25">
      <c r="C1901" t="str">
        <f>IF(COUNTBLANK(E1901:K1901) = 7,"",IF(AND(NOT(ISBLANK(E1901)),COUNTBLANK(E1901:K1901) = 6),"3 Delete",IF(ISBLANK(E1901),"2 Add",IF(SHA1Range(E1901:K1901) = "f4cabb44a08587604e68d5d8815fb160084f76e1","0 Original","1 Modify"))))</f>
        <v>0 Original</v>
      </c>
      <c r="D1901" s="3" t="s">
        <v>2525</v>
      </c>
      <c r="E1901" s="5">
        <v>1904</v>
      </c>
      <c r="F1901">
        <v>571</v>
      </c>
      <c r="G1901" t="s">
        <v>142</v>
      </c>
      <c r="H1901" s="7">
        <v>4.99</v>
      </c>
      <c r="I1901" s="5">
        <v>1</v>
      </c>
      <c r="J1901" s="3" t="s">
        <v>29</v>
      </c>
      <c r="K1901" s="9">
        <v>42483.625740740739</v>
      </c>
    </row>
    <row r="1902" spans="3:11" x14ac:dyDescent="0.25">
      <c r="C1902" t="str">
        <f>IF(COUNTBLANK(E1902:K1902) = 7,"",IF(AND(NOT(ISBLANK(E1902)),COUNTBLANK(E1902:K1902) = 6),"3 Delete",IF(ISBLANK(E1902),"2 Add",IF(SHA1Range(E1902:K1902) = "f779bb3a39ea2ca999bdc7a0f8ee0e4e3eb296f7","0 Original","1 Modify"))))</f>
        <v>0 Original</v>
      </c>
      <c r="D1902" s="3" t="s">
        <v>2526</v>
      </c>
      <c r="E1902" s="5">
        <v>1905</v>
      </c>
      <c r="F1902">
        <v>571</v>
      </c>
      <c r="G1902" t="s">
        <v>281</v>
      </c>
      <c r="H1902" s="7">
        <v>7.99</v>
      </c>
      <c r="I1902" s="5">
        <v>1</v>
      </c>
      <c r="J1902" s="3" t="s">
        <v>29</v>
      </c>
      <c r="K1902" s="9">
        <v>42483.625740740739</v>
      </c>
    </row>
    <row r="1903" spans="3:11" x14ac:dyDescent="0.25">
      <c r="C1903" t="str">
        <f>IF(COUNTBLANK(E1903:K1903) = 7,"",IF(AND(NOT(ISBLANK(E1903)),COUNTBLANK(E1903:K1903) = 6),"3 Delete",IF(ISBLANK(E1903),"2 Add",IF(SHA1Range(E1903:K1903) = "9505b1a8af804f10e8e8b5090184e54cc2b3b0b0","0 Original","1 Modify"))))</f>
        <v>0 Original</v>
      </c>
      <c r="D1903" s="3" t="s">
        <v>2527</v>
      </c>
      <c r="E1903" s="5">
        <v>1906</v>
      </c>
      <c r="F1903">
        <v>571</v>
      </c>
      <c r="G1903" t="s">
        <v>234</v>
      </c>
      <c r="H1903" s="7">
        <v>4.99</v>
      </c>
      <c r="I1903" s="5">
        <v>1</v>
      </c>
      <c r="J1903" s="3" t="s">
        <v>29</v>
      </c>
      <c r="K1903" s="9">
        <v>42483.625740740739</v>
      </c>
    </row>
    <row r="1904" spans="3:11" x14ac:dyDescent="0.25">
      <c r="C1904" t="str">
        <f>IF(COUNTBLANK(E1904:K1904) = 7,"",IF(AND(NOT(ISBLANK(E1904)),COUNTBLANK(E1904:K1904) = 6),"3 Delete",IF(ISBLANK(E1904),"2 Add",IF(SHA1Range(E1904:K1904) = "07783168e8bf1c55298eb3fe956701fc17159c10","0 Original","1 Modify"))))</f>
        <v>0 Original</v>
      </c>
      <c r="D1904" s="3" t="s">
        <v>2528</v>
      </c>
      <c r="E1904" s="5">
        <v>1907</v>
      </c>
      <c r="F1904">
        <v>571</v>
      </c>
      <c r="G1904" t="s">
        <v>335</v>
      </c>
      <c r="H1904" s="7">
        <v>5.99</v>
      </c>
      <c r="I1904" s="5">
        <v>1</v>
      </c>
      <c r="J1904" s="3" t="s">
        <v>29</v>
      </c>
      <c r="K1904" s="9">
        <v>42483.625740740739</v>
      </c>
    </row>
    <row r="1905" spans="3:11" x14ac:dyDescent="0.25">
      <c r="C1905" t="str">
        <f>IF(COUNTBLANK(E1905:K1905) = 7,"",IF(AND(NOT(ISBLANK(E1905)),COUNTBLANK(E1905:K1905) = 6),"3 Delete",IF(ISBLANK(E1905),"2 Add",IF(SHA1Range(E1905:K1905) = "bee87e838ed5447789b40c572811e39309d4db89","0 Original","1 Modify"))))</f>
        <v>0 Original</v>
      </c>
      <c r="D1905" s="3" t="s">
        <v>2529</v>
      </c>
      <c r="E1905" s="5">
        <v>1908</v>
      </c>
      <c r="F1905">
        <v>571</v>
      </c>
      <c r="G1905" t="s">
        <v>304</v>
      </c>
      <c r="H1905" s="7">
        <v>8.99</v>
      </c>
      <c r="I1905" s="5">
        <v>2</v>
      </c>
      <c r="J1905" s="3" t="s">
        <v>29</v>
      </c>
      <c r="K1905" s="9">
        <v>42483.625740740739</v>
      </c>
    </row>
    <row r="1906" spans="3:11" x14ac:dyDescent="0.25">
      <c r="C1906" t="str">
        <f>IF(COUNTBLANK(E1906:K1906) = 7,"",IF(AND(NOT(ISBLANK(E1906)),COUNTBLANK(E1906:K1906) = 6),"3 Delete",IF(ISBLANK(E1906),"2 Add",IF(SHA1Range(E1906:K1906) = "90e7ab83859adf407a3000bf79e20fb562ea24e6","0 Original","1 Modify"))))</f>
        <v>0 Original</v>
      </c>
      <c r="D1906" s="3" t="s">
        <v>2530</v>
      </c>
      <c r="E1906" s="5">
        <v>1909</v>
      </c>
      <c r="F1906">
        <v>571</v>
      </c>
      <c r="G1906" t="s">
        <v>407</v>
      </c>
      <c r="H1906" s="7">
        <v>9.99</v>
      </c>
      <c r="I1906" s="5">
        <v>1</v>
      </c>
      <c r="J1906" s="3" t="s">
        <v>29</v>
      </c>
      <c r="K1906" s="9">
        <v>42483.625740740739</v>
      </c>
    </row>
    <row r="1907" spans="3:11" x14ac:dyDescent="0.25">
      <c r="C1907" t="str">
        <f>IF(COUNTBLANK(E1907:K1907) = 7,"",IF(AND(NOT(ISBLANK(E1907)),COUNTBLANK(E1907:K1907) = 6),"3 Delete",IF(ISBLANK(E1907),"2 Add",IF(SHA1Range(E1907:K1907) = "2bd806718701711c47bacb2f17d0182829287caa","0 Original","1 Modify"))))</f>
        <v>0 Original</v>
      </c>
      <c r="D1907" s="3" t="s">
        <v>2531</v>
      </c>
      <c r="E1907" s="5">
        <v>1910</v>
      </c>
      <c r="F1907">
        <v>572</v>
      </c>
      <c r="G1907" t="s">
        <v>472</v>
      </c>
      <c r="H1907" s="7">
        <v>6.99</v>
      </c>
      <c r="I1907" s="5">
        <v>1</v>
      </c>
      <c r="J1907" s="3" t="s">
        <v>29</v>
      </c>
      <c r="K1907" s="9">
        <v>42483.625740740739</v>
      </c>
    </row>
    <row r="1908" spans="3:11" x14ac:dyDescent="0.25">
      <c r="C1908" t="str">
        <f>IF(COUNTBLANK(E1908:K1908) = 7,"",IF(AND(NOT(ISBLANK(E1908)),COUNTBLANK(E1908:K1908) = 6),"3 Delete",IF(ISBLANK(E1908),"2 Add",IF(SHA1Range(E1908:K1908) = "14ab0c55ba7ebcb0afd923a6584e9f9f9b670d2d","0 Original","1 Modify"))))</f>
        <v>0 Original</v>
      </c>
      <c r="D1908" s="3" t="s">
        <v>2532</v>
      </c>
      <c r="E1908" s="5">
        <v>1911</v>
      </c>
      <c r="F1908">
        <v>572</v>
      </c>
      <c r="G1908" t="s">
        <v>418</v>
      </c>
      <c r="H1908" s="7">
        <v>6.99</v>
      </c>
      <c r="I1908" s="5">
        <v>1</v>
      </c>
      <c r="J1908" s="3" t="s">
        <v>29</v>
      </c>
      <c r="K1908" s="9">
        <v>42483.625740740739</v>
      </c>
    </row>
    <row r="1909" spans="3:11" x14ac:dyDescent="0.25">
      <c r="C1909" t="str">
        <f>IF(COUNTBLANK(E1909:K1909) = 7,"",IF(AND(NOT(ISBLANK(E1909)),COUNTBLANK(E1909:K1909) = 6),"3 Delete",IF(ISBLANK(E1909),"2 Add",IF(SHA1Range(E1909:K1909) = "b7ecb7fe941609fbc9f32d255f8e91228bba4b7a","0 Original","1 Modify"))))</f>
        <v>0 Original</v>
      </c>
      <c r="D1909" s="3" t="s">
        <v>2533</v>
      </c>
      <c r="E1909" s="5">
        <v>1912</v>
      </c>
      <c r="F1909">
        <v>572</v>
      </c>
      <c r="G1909" t="s">
        <v>398</v>
      </c>
      <c r="H1909" s="7">
        <v>4.99</v>
      </c>
      <c r="I1909" s="5">
        <v>1</v>
      </c>
      <c r="J1909" s="3" t="s">
        <v>29</v>
      </c>
      <c r="K1909" s="9">
        <v>42483.625740740739</v>
      </c>
    </row>
    <row r="1910" spans="3:11" x14ac:dyDescent="0.25">
      <c r="C1910" t="str">
        <f>IF(COUNTBLANK(E1910:K1910) = 7,"",IF(AND(NOT(ISBLANK(E1910)),COUNTBLANK(E1910:K1910) = 6),"3 Delete",IF(ISBLANK(E1910),"2 Add",IF(SHA1Range(E1910:K1910) = "ed183a739253d4c57f56cc5fbbb8435d639400e6","0 Original","1 Modify"))))</f>
        <v>0 Original</v>
      </c>
      <c r="D1910" s="3" t="s">
        <v>2534</v>
      </c>
      <c r="E1910" s="5">
        <v>1913</v>
      </c>
      <c r="F1910">
        <v>573</v>
      </c>
      <c r="G1910" t="s">
        <v>217</v>
      </c>
      <c r="H1910" s="7">
        <v>9.99</v>
      </c>
      <c r="I1910" s="5">
        <v>1</v>
      </c>
      <c r="J1910" s="3" t="s">
        <v>29</v>
      </c>
      <c r="K1910" s="9">
        <v>42483.625740740739</v>
      </c>
    </row>
    <row r="1911" spans="3:11" x14ac:dyDescent="0.25">
      <c r="C1911" t="str">
        <f>IF(COUNTBLANK(E1911:K1911) = 7,"",IF(AND(NOT(ISBLANK(E1911)),COUNTBLANK(E1911:K1911) = 6),"3 Delete",IF(ISBLANK(E1911),"2 Add",IF(SHA1Range(E1911:K1911) = "b0828c6e77949b98dbc01b5787214d95db6bdb23","0 Original","1 Modify"))))</f>
        <v>0 Original</v>
      </c>
      <c r="D1911" s="3" t="s">
        <v>2535</v>
      </c>
      <c r="E1911" s="5">
        <v>1914</v>
      </c>
      <c r="F1911">
        <v>573</v>
      </c>
      <c r="G1911" t="s">
        <v>425</v>
      </c>
      <c r="H1911" s="7">
        <v>6.99</v>
      </c>
      <c r="I1911" s="5">
        <v>1</v>
      </c>
      <c r="J1911" s="3" t="s">
        <v>29</v>
      </c>
      <c r="K1911" s="9">
        <v>42483.625740740739</v>
      </c>
    </row>
    <row r="1912" spans="3:11" x14ac:dyDescent="0.25">
      <c r="C1912" t="str">
        <f>IF(COUNTBLANK(E1912:K1912) = 7,"",IF(AND(NOT(ISBLANK(E1912)),COUNTBLANK(E1912:K1912) = 6),"3 Delete",IF(ISBLANK(E1912),"2 Add",IF(SHA1Range(E1912:K1912) = "51fd1d1bc9d403652d0e254e5c7b36d4d9ebcb7a","0 Original","1 Modify"))))</f>
        <v>0 Original</v>
      </c>
      <c r="D1912" s="3" t="s">
        <v>2536</v>
      </c>
      <c r="E1912" s="5">
        <v>1915</v>
      </c>
      <c r="F1912">
        <v>573</v>
      </c>
      <c r="G1912" t="s">
        <v>525</v>
      </c>
      <c r="H1912" s="7">
        <v>4.99</v>
      </c>
      <c r="I1912" s="5">
        <v>1</v>
      </c>
      <c r="J1912" s="3" t="s">
        <v>29</v>
      </c>
      <c r="K1912" s="9">
        <v>42483.625740740739</v>
      </c>
    </row>
    <row r="1913" spans="3:11" x14ac:dyDescent="0.25">
      <c r="C1913" t="str">
        <f>IF(COUNTBLANK(E1913:K1913) = 7,"",IF(AND(NOT(ISBLANK(E1913)),COUNTBLANK(E1913:K1913) = 6),"3 Delete",IF(ISBLANK(E1913),"2 Add",IF(SHA1Range(E1913:K1913) = "7e108e438c65d72cddcdac481624f1a15418b1cb","0 Original","1 Modify"))))</f>
        <v>0 Original</v>
      </c>
      <c r="D1913" s="3" t="s">
        <v>2537</v>
      </c>
      <c r="E1913" s="5">
        <v>1916</v>
      </c>
      <c r="F1913">
        <v>574</v>
      </c>
      <c r="G1913" t="s">
        <v>184</v>
      </c>
      <c r="H1913" s="7">
        <v>8.99</v>
      </c>
      <c r="I1913" s="5">
        <v>1</v>
      </c>
      <c r="J1913" s="3" t="s">
        <v>29</v>
      </c>
      <c r="K1913" s="9">
        <v>42483.625740740739</v>
      </c>
    </row>
    <row r="1914" spans="3:11" x14ac:dyDescent="0.25">
      <c r="C1914" t="str">
        <f>IF(COUNTBLANK(E1914:K1914) = 7,"",IF(AND(NOT(ISBLANK(E1914)),COUNTBLANK(E1914:K1914) = 6),"3 Delete",IF(ISBLANK(E1914),"2 Add",IF(SHA1Range(E1914:K1914) = "301530659f3d5405fdba89e043b2f2cf16c39d95","0 Original","1 Modify"))))</f>
        <v>0 Original</v>
      </c>
      <c r="D1914" s="3" t="s">
        <v>2538</v>
      </c>
      <c r="E1914" s="5">
        <v>1917</v>
      </c>
      <c r="F1914">
        <v>574</v>
      </c>
      <c r="G1914" t="s">
        <v>136</v>
      </c>
      <c r="H1914" s="7">
        <v>8.99</v>
      </c>
      <c r="I1914" s="5">
        <v>2</v>
      </c>
      <c r="J1914" s="3" t="s">
        <v>29</v>
      </c>
      <c r="K1914" s="9">
        <v>42483.625740740739</v>
      </c>
    </row>
    <row r="1915" spans="3:11" x14ac:dyDescent="0.25">
      <c r="C1915" t="str">
        <f>IF(COUNTBLANK(E1915:K1915) = 7,"",IF(AND(NOT(ISBLANK(E1915)),COUNTBLANK(E1915:K1915) = 6),"3 Delete",IF(ISBLANK(E1915),"2 Add",IF(SHA1Range(E1915:K1915) = "37025c20b359332b0099ed7d99ddee87401bfe87","0 Original","1 Modify"))))</f>
        <v>0 Original</v>
      </c>
      <c r="D1915" s="3" t="s">
        <v>2539</v>
      </c>
      <c r="E1915" s="5">
        <v>1918</v>
      </c>
      <c r="F1915">
        <v>575</v>
      </c>
      <c r="G1915" t="s">
        <v>246</v>
      </c>
      <c r="H1915" s="7">
        <v>7.99</v>
      </c>
      <c r="I1915" s="5">
        <v>2</v>
      </c>
      <c r="J1915" s="3" t="s">
        <v>29</v>
      </c>
      <c r="K1915" s="9">
        <v>42483.625740740739</v>
      </c>
    </row>
    <row r="1916" spans="3:11" x14ac:dyDescent="0.25">
      <c r="C1916" t="str">
        <f>IF(COUNTBLANK(E1916:K1916) = 7,"",IF(AND(NOT(ISBLANK(E1916)),COUNTBLANK(E1916:K1916) = 6),"3 Delete",IF(ISBLANK(E1916),"2 Add",IF(SHA1Range(E1916:K1916) = "ad4455ca77afcf0f3eaa24090b0413116379d205","0 Original","1 Modify"))))</f>
        <v>0 Original</v>
      </c>
      <c r="D1916" s="3" t="s">
        <v>2540</v>
      </c>
      <c r="E1916" s="5">
        <v>1919</v>
      </c>
      <c r="F1916">
        <v>575</v>
      </c>
      <c r="G1916" t="s">
        <v>537</v>
      </c>
      <c r="H1916" s="7">
        <v>7.99</v>
      </c>
      <c r="I1916" s="5">
        <v>2</v>
      </c>
      <c r="J1916" s="3" t="s">
        <v>29</v>
      </c>
      <c r="K1916" s="9">
        <v>42483.625740740739</v>
      </c>
    </row>
    <row r="1917" spans="3:11" x14ac:dyDescent="0.25">
      <c r="C1917" t="str">
        <f>IF(COUNTBLANK(E1917:K1917) = 7,"",IF(AND(NOT(ISBLANK(E1917)),COUNTBLANK(E1917:K1917) = 6),"3 Delete",IF(ISBLANK(E1917),"2 Add",IF(SHA1Range(E1917:K1917) = "872c13e57d253b37ac495eb23296d629095f849b","0 Original","1 Modify"))))</f>
        <v>0 Original</v>
      </c>
      <c r="D1917" s="3" t="s">
        <v>2541</v>
      </c>
      <c r="E1917" s="5">
        <v>1920</v>
      </c>
      <c r="F1917">
        <v>576</v>
      </c>
      <c r="G1917" t="s">
        <v>30</v>
      </c>
      <c r="H1917" s="7">
        <v>9.99</v>
      </c>
      <c r="I1917" s="5">
        <v>2</v>
      </c>
      <c r="J1917" s="3" t="s">
        <v>29</v>
      </c>
      <c r="K1917" s="9">
        <v>42483.625740740739</v>
      </c>
    </row>
    <row r="1918" spans="3:11" x14ac:dyDescent="0.25">
      <c r="C1918" t="str">
        <f>IF(COUNTBLANK(E1918:K1918) = 7,"",IF(AND(NOT(ISBLANK(E1918)),COUNTBLANK(E1918:K1918) = 6),"3 Delete",IF(ISBLANK(E1918),"2 Add",IF(SHA1Range(E1918:K1918) = "6aa465bec88b6bd6e166e6650342c28fbafbe4bb","0 Original","1 Modify"))))</f>
        <v>0 Original</v>
      </c>
      <c r="D1918" s="3" t="s">
        <v>2542</v>
      </c>
      <c r="E1918" s="5">
        <v>1921</v>
      </c>
      <c r="F1918">
        <v>576</v>
      </c>
      <c r="G1918" t="s">
        <v>335</v>
      </c>
      <c r="H1918" s="7">
        <v>5.99</v>
      </c>
      <c r="I1918" s="5">
        <v>2</v>
      </c>
      <c r="J1918" s="3" t="s">
        <v>29</v>
      </c>
      <c r="K1918" s="9">
        <v>42483.625740740739</v>
      </c>
    </row>
    <row r="1919" spans="3:11" x14ac:dyDescent="0.25">
      <c r="C1919" t="str">
        <f>IF(COUNTBLANK(E1919:K1919) = 7,"",IF(AND(NOT(ISBLANK(E1919)),COUNTBLANK(E1919:K1919) = 6),"3 Delete",IF(ISBLANK(E1919),"2 Add",IF(SHA1Range(E1919:K1919) = "4f187b7ed4da47a8051683b1e3ca97652b10e731","0 Original","1 Modify"))))</f>
        <v>0 Original</v>
      </c>
      <c r="D1919" s="3" t="s">
        <v>2543</v>
      </c>
      <c r="E1919" s="5">
        <v>1922</v>
      </c>
      <c r="F1919">
        <v>576</v>
      </c>
      <c r="G1919" t="s">
        <v>257</v>
      </c>
      <c r="H1919" s="7">
        <v>9.99</v>
      </c>
      <c r="I1919" s="5">
        <v>2</v>
      </c>
      <c r="J1919" s="3" t="s">
        <v>29</v>
      </c>
      <c r="K1919" s="9">
        <v>42483.625740740739</v>
      </c>
    </row>
    <row r="1920" spans="3:11" x14ac:dyDescent="0.25">
      <c r="C1920" t="str">
        <f>IF(COUNTBLANK(E1920:K1920) = 7,"",IF(AND(NOT(ISBLANK(E1920)),COUNTBLANK(E1920:K1920) = 6),"3 Delete",IF(ISBLANK(E1920),"2 Add",IF(SHA1Range(E1920:K1920) = "5d21ba188531523e04250d5fea0ae276170f4f85","0 Original","1 Modify"))))</f>
        <v>0 Original</v>
      </c>
      <c r="D1920" s="3" t="s">
        <v>2544</v>
      </c>
      <c r="E1920" s="5">
        <v>1923</v>
      </c>
      <c r="F1920">
        <v>577</v>
      </c>
      <c r="G1920" t="s">
        <v>126</v>
      </c>
      <c r="H1920" s="7">
        <v>6.99</v>
      </c>
      <c r="I1920" s="5">
        <v>1</v>
      </c>
      <c r="J1920" s="3" t="s">
        <v>29</v>
      </c>
      <c r="K1920" s="9">
        <v>42483.625740740739</v>
      </c>
    </row>
    <row r="1921" spans="3:11" x14ac:dyDescent="0.25">
      <c r="C1921" t="str">
        <f>IF(COUNTBLANK(E1921:K1921) = 7,"",IF(AND(NOT(ISBLANK(E1921)),COUNTBLANK(E1921:K1921) = 6),"3 Delete",IF(ISBLANK(E1921),"2 Add",IF(SHA1Range(E1921:K1921) = "441b448d25e48f20c5a6814e3acf713b7fb8856a","0 Original","1 Modify"))))</f>
        <v>0 Original</v>
      </c>
      <c r="D1921" s="3" t="s">
        <v>2545</v>
      </c>
      <c r="E1921" s="5">
        <v>1924</v>
      </c>
      <c r="F1921">
        <v>577</v>
      </c>
      <c r="G1921" t="s">
        <v>425</v>
      </c>
      <c r="H1921" s="7">
        <v>6.99</v>
      </c>
      <c r="I1921" s="5">
        <v>1</v>
      </c>
      <c r="J1921" s="3" t="s">
        <v>29</v>
      </c>
      <c r="K1921" s="9">
        <v>42483.625740740739</v>
      </c>
    </row>
    <row r="1922" spans="3:11" x14ac:dyDescent="0.25">
      <c r="C1922" t="str">
        <f>IF(COUNTBLANK(E1922:K1922) = 7,"",IF(AND(NOT(ISBLANK(E1922)),COUNTBLANK(E1922:K1922) = 6),"3 Delete",IF(ISBLANK(E1922),"2 Add",IF(SHA1Range(E1922:K1922) = "8f663546ba63fce71b9aed0532fff445032cb25d","0 Original","1 Modify"))))</f>
        <v>0 Original</v>
      </c>
      <c r="D1922" s="3" t="s">
        <v>2546</v>
      </c>
      <c r="E1922" s="5">
        <v>1925</v>
      </c>
      <c r="F1922">
        <v>577</v>
      </c>
      <c r="G1922" t="s">
        <v>221</v>
      </c>
      <c r="H1922" s="7">
        <v>6.99</v>
      </c>
      <c r="I1922" s="5">
        <v>1</v>
      </c>
      <c r="J1922" s="3" t="s">
        <v>29</v>
      </c>
      <c r="K1922" s="9">
        <v>42483.625740740739</v>
      </c>
    </row>
    <row r="1923" spans="3:11" x14ac:dyDescent="0.25">
      <c r="C1923" t="str">
        <f>IF(COUNTBLANK(E1923:K1923) = 7,"",IF(AND(NOT(ISBLANK(E1923)),COUNTBLANK(E1923:K1923) = 6),"3 Delete",IF(ISBLANK(E1923),"2 Add",IF(SHA1Range(E1923:K1923) = "ff799cf8a31d737343ec5aee41efd6f0e0b677b3","0 Original","1 Modify"))))</f>
        <v>0 Original</v>
      </c>
      <c r="D1923" s="3" t="s">
        <v>2547</v>
      </c>
      <c r="E1923" s="5">
        <v>1926</v>
      </c>
      <c r="F1923">
        <v>578</v>
      </c>
      <c r="G1923" t="s">
        <v>407</v>
      </c>
      <c r="H1923" s="7">
        <v>9.99</v>
      </c>
      <c r="I1923" s="5">
        <v>1</v>
      </c>
      <c r="J1923" s="3" t="s">
        <v>29</v>
      </c>
      <c r="K1923" s="9">
        <v>42483.625740740739</v>
      </c>
    </row>
    <row r="1924" spans="3:11" x14ac:dyDescent="0.25">
      <c r="C1924" t="str">
        <f>IF(COUNTBLANK(E1924:K1924) = 7,"",IF(AND(NOT(ISBLANK(E1924)),COUNTBLANK(E1924:K1924) = 6),"3 Delete",IF(ISBLANK(E1924),"2 Add",IF(SHA1Range(E1924:K1924) = "0c82bfa6e3fe30de9c890422641d7b1e061555a7","0 Original","1 Modify"))))</f>
        <v>0 Original</v>
      </c>
      <c r="D1924" s="3" t="s">
        <v>2548</v>
      </c>
      <c r="E1924" s="5">
        <v>1927</v>
      </c>
      <c r="F1924">
        <v>578</v>
      </c>
      <c r="G1924" t="s">
        <v>602</v>
      </c>
      <c r="H1924" s="7">
        <v>7.99</v>
      </c>
      <c r="I1924" s="5">
        <v>1</v>
      </c>
      <c r="J1924" s="3" t="s">
        <v>29</v>
      </c>
      <c r="K1924" s="9">
        <v>42483.625740740739</v>
      </c>
    </row>
    <row r="1925" spans="3:11" x14ac:dyDescent="0.25">
      <c r="C1925" t="str">
        <f>IF(COUNTBLANK(E1925:K1925) = 7,"",IF(AND(NOT(ISBLANK(E1925)),COUNTBLANK(E1925:K1925) = 6),"3 Delete",IF(ISBLANK(E1925),"2 Add",IF(SHA1Range(E1925:K1925) = "a30828d4de4493be8c8537ab4eea7d167223ab82","0 Original","1 Modify"))))</f>
        <v>0 Original</v>
      </c>
      <c r="D1925" s="3" t="s">
        <v>2549</v>
      </c>
      <c r="E1925" s="5">
        <v>1928</v>
      </c>
      <c r="F1925">
        <v>578</v>
      </c>
      <c r="G1925" t="s">
        <v>602</v>
      </c>
      <c r="H1925" s="7">
        <v>7.99</v>
      </c>
      <c r="I1925" s="5">
        <v>2</v>
      </c>
      <c r="J1925" s="3" t="s">
        <v>29</v>
      </c>
      <c r="K1925" s="9">
        <v>42483.625740740739</v>
      </c>
    </row>
    <row r="1926" spans="3:11" x14ac:dyDescent="0.25">
      <c r="C1926" t="str">
        <f>IF(COUNTBLANK(E1926:K1926) = 7,"",IF(AND(NOT(ISBLANK(E1926)),COUNTBLANK(E1926:K1926) = 6),"3 Delete",IF(ISBLANK(E1926),"2 Add",IF(SHA1Range(E1926:K1926) = "0b5e638902414a92e4bbf771ad8b84dd86d3dcbb","0 Original","1 Modify"))))</f>
        <v>0 Original</v>
      </c>
      <c r="D1926" s="3" t="s">
        <v>2550</v>
      </c>
      <c r="E1926" s="5">
        <v>1929</v>
      </c>
      <c r="F1926">
        <v>578</v>
      </c>
      <c r="G1926" t="s">
        <v>152</v>
      </c>
      <c r="H1926" s="7">
        <v>5.99</v>
      </c>
      <c r="I1926" s="5">
        <v>1</v>
      </c>
      <c r="J1926" s="3" t="s">
        <v>29</v>
      </c>
      <c r="K1926" s="9">
        <v>42483.625740740739</v>
      </c>
    </row>
    <row r="1927" spans="3:11" x14ac:dyDescent="0.25">
      <c r="C1927" t="str">
        <f>IF(COUNTBLANK(E1927:K1927) = 7,"",IF(AND(NOT(ISBLANK(E1927)),COUNTBLANK(E1927:K1927) = 6),"3 Delete",IF(ISBLANK(E1927),"2 Add",IF(SHA1Range(E1927:K1927) = "65d71ee4605f58b544797610b4295316fc439216","0 Original","1 Modify"))))</f>
        <v>0 Original</v>
      </c>
      <c r="D1927" s="3" t="s">
        <v>2551</v>
      </c>
      <c r="E1927" s="5">
        <v>1930</v>
      </c>
      <c r="F1927">
        <v>579</v>
      </c>
      <c r="G1927" t="s">
        <v>391</v>
      </c>
      <c r="H1927" s="7">
        <v>7.99</v>
      </c>
      <c r="I1927" s="5">
        <v>2</v>
      </c>
      <c r="J1927" s="3" t="s">
        <v>29</v>
      </c>
      <c r="K1927" s="9">
        <v>42483.625740740739</v>
      </c>
    </row>
    <row r="1928" spans="3:11" x14ac:dyDescent="0.25">
      <c r="C1928" t="str">
        <f>IF(COUNTBLANK(E1928:K1928) = 7,"",IF(AND(NOT(ISBLANK(E1928)),COUNTBLANK(E1928:K1928) = 6),"3 Delete",IF(ISBLANK(E1928),"2 Add",IF(SHA1Range(E1928:K1928) = "cc2d199a600626832bfa3708ddd34c4de938f6c2","0 Original","1 Modify"))))</f>
        <v>0 Original</v>
      </c>
      <c r="D1928" s="3" t="s">
        <v>2552</v>
      </c>
      <c r="E1928" s="5">
        <v>1931</v>
      </c>
      <c r="F1928">
        <v>579</v>
      </c>
      <c r="G1928" t="s">
        <v>421</v>
      </c>
      <c r="H1928" s="7">
        <v>6.99</v>
      </c>
      <c r="I1928" s="5">
        <v>2</v>
      </c>
      <c r="J1928" s="3" t="s">
        <v>29</v>
      </c>
      <c r="K1928" s="9">
        <v>42483.625740740739</v>
      </c>
    </row>
    <row r="1929" spans="3:11" x14ac:dyDescent="0.25">
      <c r="C1929" t="str">
        <f>IF(COUNTBLANK(E1929:K1929) = 7,"",IF(AND(NOT(ISBLANK(E1929)),COUNTBLANK(E1929:K1929) = 6),"3 Delete",IF(ISBLANK(E1929),"2 Add",IF(SHA1Range(E1929:K1929) = "5111a70dbb4c0932c3ff61b24b798eb08c1a5856","0 Original","1 Modify"))))</f>
        <v>0 Original</v>
      </c>
      <c r="D1929" s="3" t="s">
        <v>2553</v>
      </c>
      <c r="E1929" s="5">
        <v>1932</v>
      </c>
      <c r="F1929">
        <v>580</v>
      </c>
      <c r="G1929" t="s">
        <v>546</v>
      </c>
      <c r="H1929" s="7">
        <v>9.99</v>
      </c>
      <c r="I1929" s="5">
        <v>1</v>
      </c>
      <c r="J1929" s="3" t="s">
        <v>29</v>
      </c>
      <c r="K1929" s="9">
        <v>42483.625740740739</v>
      </c>
    </row>
    <row r="1930" spans="3:11" x14ac:dyDescent="0.25">
      <c r="C1930" t="str">
        <f>IF(COUNTBLANK(E1930:K1930) = 7,"",IF(AND(NOT(ISBLANK(E1930)),COUNTBLANK(E1930:K1930) = 6),"3 Delete",IF(ISBLANK(E1930),"2 Add",IF(SHA1Range(E1930:K1930) = "d24af87a9dfca49f680ad4fedbedac42f57ce9e0","0 Original","1 Modify"))))</f>
        <v>0 Original</v>
      </c>
      <c r="D1930" s="3" t="s">
        <v>2554</v>
      </c>
      <c r="E1930" s="5">
        <v>1933</v>
      </c>
      <c r="F1930">
        <v>580</v>
      </c>
      <c r="G1930" t="s">
        <v>295</v>
      </c>
      <c r="H1930" s="7">
        <v>7.99</v>
      </c>
      <c r="I1930" s="5">
        <v>1</v>
      </c>
      <c r="J1930" s="3" t="s">
        <v>29</v>
      </c>
      <c r="K1930" s="9">
        <v>42483.625740740739</v>
      </c>
    </row>
    <row r="1931" spans="3:11" x14ac:dyDescent="0.25">
      <c r="C1931" t="str">
        <f>IF(COUNTBLANK(E1931:K1931) = 7,"",IF(AND(NOT(ISBLANK(E1931)),COUNTBLANK(E1931:K1931) = 6),"3 Delete",IF(ISBLANK(E1931),"2 Add",IF(SHA1Range(E1931:K1931) = "212ee13fb64f65de9327c73656f5a3f0c408f68b","0 Original","1 Modify"))))</f>
        <v>0 Original</v>
      </c>
      <c r="D1931" s="3" t="s">
        <v>2555</v>
      </c>
      <c r="E1931" s="5">
        <v>1934</v>
      </c>
      <c r="F1931">
        <v>580</v>
      </c>
      <c r="G1931" t="s">
        <v>246</v>
      </c>
      <c r="H1931" s="7">
        <v>7.99</v>
      </c>
      <c r="I1931" s="5">
        <v>1</v>
      </c>
      <c r="J1931" s="3" t="s">
        <v>29</v>
      </c>
      <c r="K1931" s="9">
        <v>42483.625740740739</v>
      </c>
    </row>
    <row r="1932" spans="3:11" x14ac:dyDescent="0.25">
      <c r="C1932" t="str">
        <f>IF(COUNTBLANK(E1932:K1932) = 7,"",IF(AND(NOT(ISBLANK(E1932)),COUNTBLANK(E1932:K1932) = 6),"3 Delete",IF(ISBLANK(E1932),"2 Add",IF(SHA1Range(E1932:K1932) = "7f1e9e189965a50ce29e25623a6ca1b53cf81aa5","0 Original","1 Modify"))))</f>
        <v>0 Original</v>
      </c>
      <c r="D1932" s="3" t="s">
        <v>2556</v>
      </c>
      <c r="E1932" s="5">
        <v>1935</v>
      </c>
      <c r="F1932">
        <v>580</v>
      </c>
      <c r="G1932" t="s">
        <v>388</v>
      </c>
      <c r="H1932" s="7">
        <v>5.99</v>
      </c>
      <c r="I1932" s="5">
        <v>2</v>
      </c>
      <c r="J1932" s="3" t="s">
        <v>29</v>
      </c>
      <c r="K1932" s="9">
        <v>42483.625740740739</v>
      </c>
    </row>
    <row r="1933" spans="3:11" x14ac:dyDescent="0.25">
      <c r="C1933" t="str">
        <f>IF(COUNTBLANK(E1933:K1933) = 7,"",IF(AND(NOT(ISBLANK(E1933)),COUNTBLANK(E1933:K1933) = 6),"3 Delete",IF(ISBLANK(E1933),"2 Add",IF(SHA1Range(E1933:K1933) = "2c1f9f5b436e53c4eddf53b6394a1df69f974e22","0 Original","1 Modify"))))</f>
        <v>0 Original</v>
      </c>
      <c r="D1933" s="3" t="s">
        <v>2557</v>
      </c>
      <c r="E1933" s="5">
        <v>1936</v>
      </c>
      <c r="F1933">
        <v>581</v>
      </c>
      <c r="G1933" t="s">
        <v>459</v>
      </c>
      <c r="H1933" s="7">
        <v>5.99</v>
      </c>
      <c r="I1933" s="5">
        <v>1</v>
      </c>
      <c r="J1933" s="3" t="s">
        <v>29</v>
      </c>
      <c r="K1933" s="9">
        <v>42483.625740740739</v>
      </c>
    </row>
    <row r="1934" spans="3:11" x14ac:dyDescent="0.25">
      <c r="C1934" t="str">
        <f>IF(COUNTBLANK(E1934:K1934) = 7,"",IF(AND(NOT(ISBLANK(E1934)),COUNTBLANK(E1934:K1934) = 6),"3 Delete",IF(ISBLANK(E1934),"2 Add",IF(SHA1Range(E1934:K1934) = "64dfb51f55a6c3a2c231cfe995bb2fb8daac0e07","0 Original","1 Modify"))))</f>
        <v>0 Original</v>
      </c>
      <c r="D1934" s="3" t="s">
        <v>2558</v>
      </c>
      <c r="E1934" s="5">
        <v>1937</v>
      </c>
      <c r="F1934">
        <v>581</v>
      </c>
      <c r="G1934" t="s">
        <v>221</v>
      </c>
      <c r="H1934" s="7">
        <v>6.99</v>
      </c>
      <c r="I1934" s="5">
        <v>1</v>
      </c>
      <c r="J1934" s="3" t="s">
        <v>29</v>
      </c>
      <c r="K1934" s="9">
        <v>42483.625740740739</v>
      </c>
    </row>
    <row r="1935" spans="3:11" x14ac:dyDescent="0.25">
      <c r="C1935" t="str">
        <f>IF(COUNTBLANK(E1935:K1935) = 7,"",IF(AND(NOT(ISBLANK(E1935)),COUNTBLANK(E1935:K1935) = 6),"3 Delete",IF(ISBLANK(E1935),"2 Add",IF(SHA1Range(E1935:K1935) = "79c93978d1614f3e2a12490a2adb306ffaf6d68e","0 Original","1 Modify"))))</f>
        <v>0 Original</v>
      </c>
      <c r="D1935" s="3" t="s">
        <v>2559</v>
      </c>
      <c r="E1935" s="5">
        <v>1938</v>
      </c>
      <c r="F1935">
        <v>582</v>
      </c>
      <c r="G1935" t="s">
        <v>230</v>
      </c>
      <c r="H1935" s="7">
        <v>5.99</v>
      </c>
      <c r="I1935" s="5">
        <v>1</v>
      </c>
      <c r="J1935" s="3" t="s">
        <v>29</v>
      </c>
      <c r="K1935" s="9">
        <v>42483.625740740739</v>
      </c>
    </row>
    <row r="1936" spans="3:11" x14ac:dyDescent="0.25">
      <c r="C1936" t="str">
        <f>IF(COUNTBLANK(E1936:K1936) = 7,"",IF(AND(NOT(ISBLANK(E1936)),COUNTBLANK(E1936:K1936) = 6),"3 Delete",IF(ISBLANK(E1936),"2 Add",IF(SHA1Range(E1936:K1936) = "8f330e11438a0a0e3d5aa20a9aade6397747efb0","0 Original","1 Modify"))))</f>
        <v>0 Original</v>
      </c>
      <c r="D1936" s="3" t="s">
        <v>2560</v>
      </c>
      <c r="E1936" s="5">
        <v>1939</v>
      </c>
      <c r="F1936">
        <v>582</v>
      </c>
      <c r="G1936" t="s">
        <v>398</v>
      </c>
      <c r="H1936" s="7">
        <v>4.99</v>
      </c>
      <c r="I1936" s="5">
        <v>1</v>
      </c>
      <c r="J1936" s="3" t="s">
        <v>29</v>
      </c>
      <c r="K1936" s="9">
        <v>42483.625740740739</v>
      </c>
    </row>
    <row r="1937" spans="3:11" x14ac:dyDescent="0.25">
      <c r="C1937" t="str">
        <f>IF(COUNTBLANK(E1937:K1937) = 7,"",IF(AND(NOT(ISBLANK(E1937)),COUNTBLANK(E1937:K1937) = 6),"3 Delete",IF(ISBLANK(E1937),"2 Add",IF(SHA1Range(E1937:K1937) = "3f1918b167bcb925588656f98e501251d8b78d4d","0 Original","1 Modify"))))</f>
        <v>0 Original</v>
      </c>
      <c r="D1937" s="3" t="s">
        <v>2561</v>
      </c>
      <c r="E1937" s="5">
        <v>1940</v>
      </c>
      <c r="F1937">
        <v>582</v>
      </c>
      <c r="G1937" t="s">
        <v>126</v>
      </c>
      <c r="H1937" s="7">
        <v>6.99</v>
      </c>
      <c r="I1937" s="5">
        <v>1</v>
      </c>
      <c r="J1937" s="3" t="s">
        <v>29</v>
      </c>
      <c r="K1937" s="9">
        <v>42483.625740740739</v>
      </c>
    </row>
    <row r="1938" spans="3:11" x14ac:dyDescent="0.25">
      <c r="C1938" t="str">
        <f>IF(COUNTBLANK(E1938:K1938) = 7,"",IF(AND(NOT(ISBLANK(E1938)),COUNTBLANK(E1938:K1938) = 6),"3 Delete",IF(ISBLANK(E1938),"2 Add",IF(SHA1Range(E1938:K1938) = "f59c09731e94f5de690ccb5b058c187f760168a5","0 Original","1 Modify"))))</f>
        <v>0 Original</v>
      </c>
      <c r="D1938" s="3" t="s">
        <v>2562</v>
      </c>
      <c r="E1938" s="5">
        <v>1941</v>
      </c>
      <c r="F1938">
        <v>582</v>
      </c>
      <c r="G1938" t="s">
        <v>217</v>
      </c>
      <c r="H1938" s="7">
        <v>9.99</v>
      </c>
      <c r="I1938" s="5">
        <v>2</v>
      </c>
      <c r="J1938" s="3" t="s">
        <v>29</v>
      </c>
      <c r="K1938" s="9">
        <v>42483.625740740739</v>
      </c>
    </row>
    <row r="1939" spans="3:11" x14ac:dyDescent="0.25">
      <c r="C1939" t="str">
        <f>IF(COUNTBLANK(E1939:K1939) = 7,"",IF(AND(NOT(ISBLANK(E1939)),COUNTBLANK(E1939:K1939) = 6),"3 Delete",IF(ISBLANK(E1939),"2 Add",IF(SHA1Range(E1939:K1939) = "61b96150a7823b080227d1757c209107de3e3063","0 Original","1 Modify"))))</f>
        <v>0 Original</v>
      </c>
      <c r="D1939" s="3" t="s">
        <v>2563</v>
      </c>
      <c r="E1939" s="5">
        <v>1942</v>
      </c>
      <c r="F1939">
        <v>582</v>
      </c>
      <c r="G1939" t="s">
        <v>335</v>
      </c>
      <c r="H1939" s="7">
        <v>5.99</v>
      </c>
      <c r="I1939" s="5">
        <v>1</v>
      </c>
      <c r="J1939" s="3" t="s">
        <v>29</v>
      </c>
      <c r="K1939" s="9">
        <v>42483.625740740739</v>
      </c>
    </row>
    <row r="1940" spans="3:11" x14ac:dyDescent="0.25">
      <c r="C1940" t="str">
        <f>IF(COUNTBLANK(E1940:K1940) = 7,"",IF(AND(NOT(ISBLANK(E1940)),COUNTBLANK(E1940:K1940) = 6),"3 Delete",IF(ISBLANK(E1940),"2 Add",IF(SHA1Range(E1940:K1940) = "ea87f98c0bdff9cd4dc642a2148e9cb6239b3a4a","0 Original","1 Modify"))))</f>
        <v>0 Original</v>
      </c>
      <c r="D1940" s="3" t="s">
        <v>2564</v>
      </c>
      <c r="E1940" s="5">
        <v>1943</v>
      </c>
      <c r="F1940">
        <v>582</v>
      </c>
      <c r="G1940" t="s">
        <v>142</v>
      </c>
      <c r="H1940" s="7">
        <v>4.99</v>
      </c>
      <c r="I1940" s="5">
        <v>2</v>
      </c>
      <c r="J1940" s="3" t="s">
        <v>29</v>
      </c>
      <c r="K1940" s="9">
        <v>42483.625740740739</v>
      </c>
    </row>
    <row r="1941" spans="3:11" x14ac:dyDescent="0.25">
      <c r="C1941" t="str">
        <f>IF(COUNTBLANK(E1941:K1941) = 7,"",IF(AND(NOT(ISBLANK(E1941)),COUNTBLANK(E1941:K1941) = 6),"3 Delete",IF(ISBLANK(E1941),"2 Add",IF(SHA1Range(E1941:K1941) = "dcd94ae8491da8a4a34d8a64306b8b9d12719a73","0 Original","1 Modify"))))</f>
        <v>0 Original</v>
      </c>
      <c r="D1941" s="3" t="s">
        <v>2565</v>
      </c>
      <c r="E1941" s="5">
        <v>1944</v>
      </c>
      <c r="F1941">
        <v>583</v>
      </c>
      <c r="G1941" t="s">
        <v>388</v>
      </c>
      <c r="H1941" s="7">
        <v>5.99</v>
      </c>
      <c r="I1941" s="5">
        <v>1</v>
      </c>
      <c r="J1941" s="3" t="s">
        <v>29</v>
      </c>
      <c r="K1941" s="9">
        <v>42483.625740740739</v>
      </c>
    </row>
    <row r="1942" spans="3:11" x14ac:dyDescent="0.25">
      <c r="C1942" t="str">
        <f>IF(COUNTBLANK(E1942:K1942) = 7,"",IF(AND(NOT(ISBLANK(E1942)),COUNTBLANK(E1942:K1942) = 6),"3 Delete",IF(ISBLANK(E1942),"2 Add",IF(SHA1Range(E1942:K1942) = "e21126a4e608ca83483cc7522d61f6def3f5e147","0 Original","1 Modify"))))</f>
        <v>0 Original</v>
      </c>
      <c r="D1942" s="3" t="s">
        <v>2566</v>
      </c>
      <c r="E1942" s="5">
        <v>1945</v>
      </c>
      <c r="F1942">
        <v>584</v>
      </c>
      <c r="G1942" t="s">
        <v>425</v>
      </c>
      <c r="H1942" s="7">
        <v>6.99</v>
      </c>
      <c r="I1942" s="5">
        <v>2</v>
      </c>
      <c r="J1942" s="3" t="s">
        <v>29</v>
      </c>
      <c r="K1942" s="9">
        <v>42483.625740740739</v>
      </c>
    </row>
    <row r="1943" spans="3:11" x14ac:dyDescent="0.25">
      <c r="C1943" t="str">
        <f>IF(COUNTBLANK(E1943:K1943) = 7,"",IF(AND(NOT(ISBLANK(E1943)),COUNTBLANK(E1943:K1943) = 6),"3 Delete",IF(ISBLANK(E1943),"2 Add",IF(SHA1Range(E1943:K1943) = "541b3e567b372efe44dc3beaf05d989556259610","0 Original","1 Modify"))))</f>
        <v>0 Original</v>
      </c>
      <c r="D1943" s="3" t="s">
        <v>2567</v>
      </c>
      <c r="E1943" s="5">
        <v>1946</v>
      </c>
      <c r="F1943">
        <v>584</v>
      </c>
      <c r="G1943" t="s">
        <v>234</v>
      </c>
      <c r="H1943" s="7">
        <v>4.99</v>
      </c>
      <c r="I1943" s="5">
        <v>2</v>
      </c>
      <c r="J1943" s="3" t="s">
        <v>29</v>
      </c>
      <c r="K1943" s="9">
        <v>42483.625740740739</v>
      </c>
    </row>
    <row r="1944" spans="3:11" x14ac:dyDescent="0.25">
      <c r="C1944" t="str">
        <f>IF(COUNTBLANK(E1944:K1944) = 7,"",IF(AND(NOT(ISBLANK(E1944)),COUNTBLANK(E1944:K1944) = 6),"3 Delete",IF(ISBLANK(E1944),"2 Add",IF(SHA1Range(E1944:K1944) = "9e18b8ce418137e8789c1f296d438725a9ebeae9","0 Original","1 Modify"))))</f>
        <v>0 Original</v>
      </c>
      <c r="D1944" s="3" t="s">
        <v>2568</v>
      </c>
      <c r="E1944" s="5">
        <v>1947</v>
      </c>
      <c r="F1944">
        <v>584</v>
      </c>
      <c r="G1944" t="s">
        <v>459</v>
      </c>
      <c r="H1944" s="7">
        <v>5.99</v>
      </c>
      <c r="I1944" s="5">
        <v>2</v>
      </c>
      <c r="J1944" s="3" t="s">
        <v>29</v>
      </c>
      <c r="K1944" s="9">
        <v>42483.625740740739</v>
      </c>
    </row>
    <row r="1945" spans="3:11" x14ac:dyDescent="0.25">
      <c r="C1945" t="str">
        <f>IF(COUNTBLANK(E1945:K1945) = 7,"",IF(AND(NOT(ISBLANK(E1945)),COUNTBLANK(E1945:K1945) = 6),"3 Delete",IF(ISBLANK(E1945),"2 Add",IF(SHA1Range(E1945:K1945) = "839ad9e7f77c63c9bb8a151ad5d0f77452019f8f","0 Original","1 Modify"))))</f>
        <v>0 Original</v>
      </c>
      <c r="D1945" s="3" t="s">
        <v>2569</v>
      </c>
      <c r="E1945" s="5">
        <v>1948</v>
      </c>
      <c r="F1945">
        <v>584</v>
      </c>
      <c r="G1945" t="s">
        <v>230</v>
      </c>
      <c r="H1945" s="7">
        <v>5.99</v>
      </c>
      <c r="I1945" s="5">
        <v>1</v>
      </c>
      <c r="J1945" s="3" t="s">
        <v>29</v>
      </c>
      <c r="K1945" s="9">
        <v>42483.625740740739</v>
      </c>
    </row>
    <row r="1946" spans="3:11" x14ac:dyDescent="0.25">
      <c r="C1946" t="str">
        <f>IF(COUNTBLANK(E1946:K1946) = 7,"",IF(AND(NOT(ISBLANK(E1946)),COUNTBLANK(E1946:K1946) = 6),"3 Delete",IF(ISBLANK(E1946),"2 Add",IF(SHA1Range(E1946:K1946) = "354bd2b3b1d2fafdd5053ef42c1e4b7dcc408375","0 Original","1 Modify"))))</f>
        <v>0 Original</v>
      </c>
      <c r="D1946" s="3" t="s">
        <v>2570</v>
      </c>
      <c r="E1946" s="5">
        <v>1949</v>
      </c>
      <c r="F1946">
        <v>585</v>
      </c>
      <c r="G1946" t="s">
        <v>537</v>
      </c>
      <c r="H1946" s="7">
        <v>7.99</v>
      </c>
      <c r="I1946" s="5">
        <v>1</v>
      </c>
      <c r="J1946" s="3" t="s">
        <v>29</v>
      </c>
      <c r="K1946" s="9">
        <v>42483.625740740739</v>
      </c>
    </row>
    <row r="1947" spans="3:11" x14ac:dyDescent="0.25">
      <c r="C1947" t="str">
        <f>IF(COUNTBLANK(E1947:K1947) = 7,"",IF(AND(NOT(ISBLANK(E1947)),COUNTBLANK(E1947:K1947) = 6),"3 Delete",IF(ISBLANK(E1947),"2 Add",IF(SHA1Range(E1947:K1947) = "1aa52b144d7f17e4c8cc647f6d12e4568df04015","0 Original","1 Modify"))))</f>
        <v>0 Original</v>
      </c>
      <c r="D1947" s="3" t="s">
        <v>2571</v>
      </c>
      <c r="E1947" s="5">
        <v>1950</v>
      </c>
      <c r="F1947">
        <v>585</v>
      </c>
      <c r="G1947" t="s">
        <v>152</v>
      </c>
      <c r="H1947" s="7">
        <v>5.99</v>
      </c>
      <c r="I1947" s="5">
        <v>1</v>
      </c>
      <c r="J1947" s="3" t="s">
        <v>29</v>
      </c>
      <c r="K1947" s="9">
        <v>42483.625740740739</v>
      </c>
    </row>
    <row r="1948" spans="3:11" x14ac:dyDescent="0.25">
      <c r="C1948" t="str">
        <f>IF(COUNTBLANK(E1948:K1948) = 7,"",IF(AND(NOT(ISBLANK(E1948)),COUNTBLANK(E1948:K1948) = 6),"3 Delete",IF(ISBLANK(E1948),"2 Add",IF(SHA1Range(E1948:K1948) = "0a24fbd8a1f7488a08f87e035c253874c11c8a3e","0 Original","1 Modify"))))</f>
        <v>0 Original</v>
      </c>
      <c r="D1948" s="3" t="s">
        <v>2572</v>
      </c>
      <c r="E1948" s="5">
        <v>1951</v>
      </c>
      <c r="F1948">
        <v>585</v>
      </c>
      <c r="G1948" t="s">
        <v>54</v>
      </c>
      <c r="H1948" s="7">
        <v>5.99</v>
      </c>
      <c r="I1948" s="5">
        <v>2</v>
      </c>
      <c r="J1948" s="3" t="s">
        <v>29</v>
      </c>
      <c r="K1948" s="9">
        <v>42483.625740740739</v>
      </c>
    </row>
    <row r="1949" spans="3:11" x14ac:dyDescent="0.25">
      <c r="C1949" t="str">
        <f>IF(COUNTBLANK(E1949:K1949) = 7,"",IF(AND(NOT(ISBLANK(E1949)),COUNTBLANK(E1949:K1949) = 6),"3 Delete",IF(ISBLANK(E1949),"2 Add",IF(SHA1Range(E1949:K1949) = "d8635a35d4ae781497afa1552b46a0314da4fce2","0 Original","1 Modify"))))</f>
        <v>0 Original</v>
      </c>
      <c r="D1949" s="3" t="s">
        <v>2573</v>
      </c>
      <c r="E1949" s="5">
        <v>1952</v>
      </c>
      <c r="F1949">
        <v>585</v>
      </c>
      <c r="G1949" t="s">
        <v>281</v>
      </c>
      <c r="H1949" s="7">
        <v>7.99</v>
      </c>
      <c r="I1949" s="5">
        <v>1</v>
      </c>
      <c r="J1949" s="3" t="s">
        <v>29</v>
      </c>
      <c r="K1949" s="9">
        <v>42483.625740740739</v>
      </c>
    </row>
    <row r="1950" spans="3:11" x14ac:dyDescent="0.25">
      <c r="C1950" t="str">
        <f>IF(COUNTBLANK(E1950:K1950) = 7,"",IF(AND(NOT(ISBLANK(E1950)),COUNTBLANK(E1950:K1950) = 6),"3 Delete",IF(ISBLANK(E1950),"2 Add",IF(SHA1Range(E1950:K1950) = "287c5a56d7dd7ead9edba15573d0b75448a839f9","0 Original","1 Modify"))))</f>
        <v>0 Original</v>
      </c>
      <c r="D1950" s="3" t="s">
        <v>2574</v>
      </c>
      <c r="E1950" s="5">
        <v>1953</v>
      </c>
      <c r="F1950">
        <v>585</v>
      </c>
      <c r="G1950" t="s">
        <v>142</v>
      </c>
      <c r="H1950" s="7">
        <v>4.99</v>
      </c>
      <c r="I1950" s="5">
        <v>2</v>
      </c>
      <c r="J1950" s="3" t="s">
        <v>29</v>
      </c>
      <c r="K1950" s="9">
        <v>42483.625740740739</v>
      </c>
    </row>
    <row r="1951" spans="3:11" x14ac:dyDescent="0.25">
      <c r="C1951" t="str">
        <f>IF(COUNTBLANK(E1951:K1951) = 7,"",IF(AND(NOT(ISBLANK(E1951)),COUNTBLANK(E1951:K1951) = 6),"3 Delete",IF(ISBLANK(E1951),"2 Add",IF(SHA1Range(E1951:K1951) = "2cd99616403386b8f939002d9905c4f379308a59","0 Original","1 Modify"))))</f>
        <v>0 Original</v>
      </c>
      <c r="D1951" s="3" t="s">
        <v>2575</v>
      </c>
      <c r="E1951" s="5">
        <v>1954</v>
      </c>
      <c r="F1951">
        <v>586</v>
      </c>
      <c r="G1951" t="s">
        <v>304</v>
      </c>
      <c r="H1951" s="7">
        <v>8.99</v>
      </c>
      <c r="I1951" s="5">
        <v>2</v>
      </c>
      <c r="J1951" s="3" t="s">
        <v>29</v>
      </c>
      <c r="K1951" s="9">
        <v>42483.625740740739</v>
      </c>
    </row>
    <row r="1952" spans="3:11" x14ac:dyDescent="0.25">
      <c r="C1952" t="str">
        <f>IF(COUNTBLANK(E1952:K1952) = 7,"",IF(AND(NOT(ISBLANK(E1952)),COUNTBLANK(E1952:K1952) = 6),"3 Delete",IF(ISBLANK(E1952),"2 Add",IF(SHA1Range(E1952:K1952) = "fb24148d3d23f53420cf871f7d61235b64d3e1ed","0 Original","1 Modify"))))</f>
        <v>0 Original</v>
      </c>
      <c r="D1952" s="3" t="s">
        <v>2576</v>
      </c>
      <c r="E1952" s="5">
        <v>1955</v>
      </c>
      <c r="F1952">
        <v>586</v>
      </c>
      <c r="G1952" t="s">
        <v>257</v>
      </c>
      <c r="H1952" s="7">
        <v>9.99</v>
      </c>
      <c r="I1952" s="5">
        <v>1</v>
      </c>
      <c r="J1952" s="3" t="s">
        <v>29</v>
      </c>
      <c r="K1952" s="9">
        <v>42483.625740740739</v>
      </c>
    </row>
    <row r="1953" spans="3:11" x14ac:dyDescent="0.25">
      <c r="C1953" t="str">
        <f>IF(COUNTBLANK(E1953:K1953) = 7,"",IF(AND(NOT(ISBLANK(E1953)),COUNTBLANK(E1953:K1953) = 6),"3 Delete",IF(ISBLANK(E1953),"2 Add",IF(SHA1Range(E1953:K1953) = "a0efc74ad29d3e0427ddd60cfb66be0c1828fd7a","0 Original","1 Modify"))))</f>
        <v>0 Original</v>
      </c>
      <c r="D1953" s="3" t="s">
        <v>2577</v>
      </c>
      <c r="E1953" s="5">
        <v>1956</v>
      </c>
      <c r="F1953">
        <v>586</v>
      </c>
      <c r="G1953" t="s">
        <v>525</v>
      </c>
      <c r="H1953" s="7">
        <v>4.99</v>
      </c>
      <c r="I1953" s="5">
        <v>2</v>
      </c>
      <c r="J1953" s="3" t="s">
        <v>29</v>
      </c>
      <c r="K1953" s="9">
        <v>42483.625740740739</v>
      </c>
    </row>
    <row r="1954" spans="3:11" x14ac:dyDescent="0.25">
      <c r="C1954" t="str">
        <f>IF(COUNTBLANK(E1954:K1954) = 7,"",IF(AND(NOT(ISBLANK(E1954)),COUNTBLANK(E1954:K1954) = 6),"3 Delete",IF(ISBLANK(E1954),"2 Add",IF(SHA1Range(E1954:K1954) = "be328101467e8b9457ab0f85228134a2c0d58556","0 Original","1 Modify"))))</f>
        <v>0 Original</v>
      </c>
      <c r="D1954" s="3" t="s">
        <v>2578</v>
      </c>
      <c r="E1954" s="5">
        <v>1957</v>
      </c>
      <c r="F1954">
        <v>587</v>
      </c>
      <c r="G1954" t="s">
        <v>335</v>
      </c>
      <c r="H1954" s="7">
        <v>5.99</v>
      </c>
      <c r="I1954" s="5">
        <v>2</v>
      </c>
      <c r="J1954" s="3" t="s">
        <v>29</v>
      </c>
      <c r="K1954" s="9">
        <v>42483.625740740739</v>
      </c>
    </row>
    <row r="1955" spans="3:11" x14ac:dyDescent="0.25">
      <c r="C1955" t="str">
        <f>IF(COUNTBLANK(E1955:K1955) = 7,"",IF(AND(NOT(ISBLANK(E1955)),COUNTBLANK(E1955:K1955) = 6),"3 Delete",IF(ISBLANK(E1955),"2 Add",IF(SHA1Range(E1955:K1955) = "834a18971336170357df8be73b746e7d16a8f1c1","0 Original","1 Modify"))))</f>
        <v>0 Original</v>
      </c>
      <c r="D1955" s="3" t="s">
        <v>2579</v>
      </c>
      <c r="E1955" s="5">
        <v>1958</v>
      </c>
      <c r="F1955">
        <v>587</v>
      </c>
      <c r="G1955" t="s">
        <v>54</v>
      </c>
      <c r="H1955" s="7">
        <v>5.99</v>
      </c>
      <c r="I1955" s="5">
        <v>2</v>
      </c>
      <c r="J1955" s="3" t="s">
        <v>29</v>
      </c>
      <c r="K1955" s="9">
        <v>42483.625740740739</v>
      </c>
    </row>
    <row r="1956" spans="3:11" x14ac:dyDescent="0.25">
      <c r="C1956" t="str">
        <f>IF(COUNTBLANK(E1956:K1956) = 7,"",IF(AND(NOT(ISBLANK(E1956)),COUNTBLANK(E1956:K1956) = 6),"3 Delete",IF(ISBLANK(E1956),"2 Add",IF(SHA1Range(E1956:K1956) = "b8fa0789569080d3433c0edfe4eb9301f9f1272e","0 Original","1 Modify"))))</f>
        <v>0 Original</v>
      </c>
      <c r="D1956" s="3" t="s">
        <v>2580</v>
      </c>
      <c r="E1956" s="5">
        <v>1959</v>
      </c>
      <c r="F1956">
        <v>587</v>
      </c>
      <c r="G1956" t="s">
        <v>51</v>
      </c>
      <c r="H1956" s="7">
        <v>9.99</v>
      </c>
      <c r="I1956" s="5">
        <v>1</v>
      </c>
      <c r="J1956" s="3" t="s">
        <v>29</v>
      </c>
      <c r="K1956" s="9">
        <v>42483.625740740739</v>
      </c>
    </row>
    <row r="1957" spans="3:11" x14ac:dyDescent="0.25">
      <c r="C1957" t="str">
        <f>IF(COUNTBLANK(E1957:K1957) = 7,"",IF(AND(NOT(ISBLANK(E1957)),COUNTBLANK(E1957:K1957) = 6),"3 Delete",IF(ISBLANK(E1957),"2 Add",IF(SHA1Range(E1957:K1957) = "e498343c55f34ffdf4dcaa1883f4f778bfb0dbca","0 Original","1 Modify"))))</f>
        <v>0 Original</v>
      </c>
      <c r="D1957" s="3" t="s">
        <v>2581</v>
      </c>
      <c r="E1957" s="5">
        <v>1960</v>
      </c>
      <c r="F1957">
        <v>588</v>
      </c>
      <c r="G1957" t="s">
        <v>388</v>
      </c>
      <c r="H1957" s="7">
        <v>5.99</v>
      </c>
      <c r="I1957" s="5">
        <v>1</v>
      </c>
      <c r="J1957" s="3" t="s">
        <v>29</v>
      </c>
      <c r="K1957" s="9">
        <v>42483.625740740739</v>
      </c>
    </row>
    <row r="1958" spans="3:11" x14ac:dyDescent="0.25">
      <c r="C1958" t="str">
        <f>IF(COUNTBLANK(E1958:K1958) = 7,"",IF(AND(NOT(ISBLANK(E1958)),COUNTBLANK(E1958:K1958) = 6),"3 Delete",IF(ISBLANK(E1958),"2 Add",IF(SHA1Range(E1958:K1958) = "411fc97629ef4ce79e102f116bcd9332b7eb0e0e","0 Original","1 Modify"))))</f>
        <v>0 Original</v>
      </c>
      <c r="D1958" s="3" t="s">
        <v>2582</v>
      </c>
      <c r="E1958" s="5">
        <v>1961</v>
      </c>
      <c r="F1958">
        <v>588</v>
      </c>
      <c r="G1958" t="s">
        <v>30</v>
      </c>
      <c r="H1958" s="7">
        <v>9.99</v>
      </c>
      <c r="I1958" s="5">
        <v>2</v>
      </c>
      <c r="J1958" s="3" t="s">
        <v>29</v>
      </c>
      <c r="K1958" s="9">
        <v>42483.625740740739</v>
      </c>
    </row>
    <row r="1959" spans="3:11" x14ac:dyDescent="0.25">
      <c r="C1959" t="str">
        <f>IF(COUNTBLANK(E1959:K1959) = 7,"",IF(AND(NOT(ISBLANK(E1959)),COUNTBLANK(E1959:K1959) = 6),"3 Delete",IF(ISBLANK(E1959),"2 Add",IF(SHA1Range(E1959:K1959) = "77a7e95868ced85cce161960f52680875db5ea2c","0 Original","1 Modify"))))</f>
        <v>0 Original</v>
      </c>
      <c r="D1959" s="3" t="s">
        <v>2583</v>
      </c>
      <c r="E1959" s="5">
        <v>1962</v>
      </c>
      <c r="F1959">
        <v>588</v>
      </c>
      <c r="G1959" t="s">
        <v>459</v>
      </c>
      <c r="H1959" s="7">
        <v>5.99</v>
      </c>
      <c r="I1959" s="5">
        <v>2</v>
      </c>
      <c r="J1959" s="3" t="s">
        <v>29</v>
      </c>
      <c r="K1959" s="9">
        <v>42483.625740740739</v>
      </c>
    </row>
    <row r="1960" spans="3:11" x14ac:dyDescent="0.25">
      <c r="C1960" t="str">
        <f>IF(COUNTBLANK(E1960:K1960) = 7,"",IF(AND(NOT(ISBLANK(E1960)),COUNTBLANK(E1960:K1960) = 6),"3 Delete",IF(ISBLANK(E1960),"2 Add",IF(SHA1Range(E1960:K1960) = "76ea44c94420b80e51b2b011669bfe625511081e","0 Original","1 Modify"))))</f>
        <v>0 Original</v>
      </c>
      <c r="D1960" s="3" t="s">
        <v>2584</v>
      </c>
      <c r="E1960" s="5">
        <v>1963</v>
      </c>
      <c r="F1960">
        <v>588</v>
      </c>
      <c r="G1960" t="s">
        <v>130</v>
      </c>
      <c r="H1960" s="7">
        <v>8.99</v>
      </c>
      <c r="I1960" s="5">
        <v>2</v>
      </c>
      <c r="J1960" s="3" t="s">
        <v>29</v>
      </c>
      <c r="K1960" s="9">
        <v>42483.625740740739</v>
      </c>
    </row>
    <row r="1961" spans="3:11" x14ac:dyDescent="0.25">
      <c r="C1961" t="str">
        <f>IF(COUNTBLANK(E1961:K1961) = 7,"",IF(AND(NOT(ISBLANK(E1961)),COUNTBLANK(E1961:K1961) = 6),"3 Delete",IF(ISBLANK(E1961),"2 Add",IF(SHA1Range(E1961:K1961) = "2e1dda9a93184baaffe8b55219e412762325bafb","0 Original","1 Modify"))))</f>
        <v>0 Original</v>
      </c>
      <c r="D1961" s="3" t="s">
        <v>2585</v>
      </c>
      <c r="E1961" s="5">
        <v>1964</v>
      </c>
      <c r="F1961">
        <v>588</v>
      </c>
      <c r="G1961" t="s">
        <v>335</v>
      </c>
      <c r="H1961" s="7">
        <v>5.99</v>
      </c>
      <c r="I1961" s="5">
        <v>1</v>
      </c>
      <c r="J1961" s="3" t="s">
        <v>29</v>
      </c>
      <c r="K1961" s="9">
        <v>42483.625740740739</v>
      </c>
    </row>
    <row r="1962" spans="3:11" x14ac:dyDescent="0.25">
      <c r="C1962" t="str">
        <f>IF(COUNTBLANK(E1962:K1962) = 7,"",IF(AND(NOT(ISBLANK(E1962)),COUNTBLANK(E1962:K1962) = 6),"3 Delete",IF(ISBLANK(E1962),"2 Add",IF(SHA1Range(E1962:K1962) = "afd248efb783df51d2b95abc931770fe90edd8bb","0 Original","1 Modify"))))</f>
        <v>0 Original</v>
      </c>
      <c r="D1962" s="3" t="s">
        <v>2586</v>
      </c>
      <c r="E1962" s="5">
        <v>1965</v>
      </c>
      <c r="F1962">
        <v>588</v>
      </c>
      <c r="G1962" t="s">
        <v>503</v>
      </c>
      <c r="H1962" s="7">
        <v>8.99</v>
      </c>
      <c r="I1962" s="5">
        <v>1</v>
      </c>
      <c r="J1962" s="3" t="s">
        <v>29</v>
      </c>
      <c r="K1962" s="9">
        <v>42483.625740740739</v>
      </c>
    </row>
    <row r="1963" spans="3:11" x14ac:dyDescent="0.25">
      <c r="C1963" t="str">
        <f>IF(COUNTBLANK(E1963:K1963) = 7,"",IF(AND(NOT(ISBLANK(E1963)),COUNTBLANK(E1963:K1963) = 6),"3 Delete",IF(ISBLANK(E1963),"2 Add",IF(SHA1Range(E1963:K1963) = "1711f999aeb5b9bcdba1dbdf82bf4a73fa842608","0 Original","1 Modify"))))</f>
        <v>0 Original</v>
      </c>
      <c r="D1963" s="3" t="s">
        <v>2587</v>
      </c>
      <c r="E1963" s="5">
        <v>1966</v>
      </c>
      <c r="F1963">
        <v>588</v>
      </c>
      <c r="G1963" t="s">
        <v>37</v>
      </c>
      <c r="H1963" s="7">
        <v>6.99</v>
      </c>
      <c r="I1963" s="5">
        <v>1</v>
      </c>
      <c r="J1963" s="3" t="s">
        <v>29</v>
      </c>
      <c r="K1963" s="9">
        <v>42483.625740740739</v>
      </c>
    </row>
    <row r="1964" spans="3:11" x14ac:dyDescent="0.25">
      <c r="C1964" t="str">
        <f>IF(COUNTBLANK(E1964:K1964) = 7,"",IF(AND(NOT(ISBLANK(E1964)),COUNTBLANK(E1964:K1964) = 6),"3 Delete",IF(ISBLANK(E1964),"2 Add",IF(SHA1Range(E1964:K1964) = "0e2f2cbb7ef2aa3c8da7399a90646db641e5198a","0 Original","1 Modify"))))</f>
        <v>0 Original</v>
      </c>
      <c r="D1964" s="3" t="s">
        <v>2588</v>
      </c>
      <c r="E1964" s="5">
        <v>1967</v>
      </c>
      <c r="F1964">
        <v>589</v>
      </c>
      <c r="G1964" t="s">
        <v>425</v>
      </c>
      <c r="H1964" s="7">
        <v>6.99</v>
      </c>
      <c r="I1964" s="5">
        <v>1</v>
      </c>
      <c r="J1964" s="3" t="s">
        <v>29</v>
      </c>
      <c r="K1964" s="9">
        <v>42483.625740740739</v>
      </c>
    </row>
    <row r="1965" spans="3:11" x14ac:dyDescent="0.25">
      <c r="C1965" t="str">
        <f>IF(COUNTBLANK(E1965:K1965) = 7,"",IF(AND(NOT(ISBLANK(E1965)),COUNTBLANK(E1965:K1965) = 6),"3 Delete",IF(ISBLANK(E1965),"2 Add",IF(SHA1Range(E1965:K1965) = "d9e0ea81fc401641a2e18a5d1e7aec6818c709e4","0 Original","1 Modify"))))</f>
        <v>0 Original</v>
      </c>
      <c r="D1965" s="3" t="s">
        <v>2589</v>
      </c>
      <c r="E1965" s="5">
        <v>1968</v>
      </c>
      <c r="F1965">
        <v>590</v>
      </c>
      <c r="G1965" t="s">
        <v>456</v>
      </c>
      <c r="H1965" s="7">
        <v>9.99</v>
      </c>
      <c r="I1965" s="5">
        <v>1</v>
      </c>
      <c r="J1965" s="3" t="s">
        <v>29</v>
      </c>
      <c r="K1965" s="9">
        <v>42483.625740740739</v>
      </c>
    </row>
    <row r="1966" spans="3:11" x14ac:dyDescent="0.25">
      <c r="C1966" t="str">
        <f>IF(COUNTBLANK(E1966:K1966) = 7,"",IF(AND(NOT(ISBLANK(E1966)),COUNTBLANK(E1966:K1966) = 6),"3 Delete",IF(ISBLANK(E1966),"2 Add",IF(SHA1Range(E1966:K1966) = "4a1514aa84ae264e4632e9f177ef1680d94eb77f","0 Original","1 Modify"))))</f>
        <v>0 Original</v>
      </c>
      <c r="D1966" s="3" t="s">
        <v>2590</v>
      </c>
      <c r="E1966" s="5">
        <v>1969</v>
      </c>
      <c r="F1966">
        <v>590</v>
      </c>
      <c r="G1966" t="s">
        <v>221</v>
      </c>
      <c r="H1966" s="7">
        <v>6.99</v>
      </c>
      <c r="I1966" s="5">
        <v>2</v>
      </c>
      <c r="J1966" s="3" t="s">
        <v>29</v>
      </c>
      <c r="K1966" s="9">
        <v>42483.625740740739</v>
      </c>
    </row>
    <row r="1967" spans="3:11" x14ac:dyDescent="0.25">
      <c r="C1967" t="str">
        <f>IF(COUNTBLANK(E1967:K1967) = 7,"",IF(AND(NOT(ISBLANK(E1967)),COUNTBLANK(E1967:K1967) = 6),"3 Delete",IF(ISBLANK(E1967),"2 Add",IF(SHA1Range(E1967:K1967) = "89556dfc15ddeeee0c5c1c062f70c2f32ba17b00","0 Original","1 Modify"))))</f>
        <v>0 Original</v>
      </c>
      <c r="D1967" s="3" t="s">
        <v>2591</v>
      </c>
      <c r="E1967" s="5">
        <v>1970</v>
      </c>
      <c r="F1967">
        <v>591</v>
      </c>
      <c r="G1967" t="s">
        <v>459</v>
      </c>
      <c r="H1967" s="7">
        <v>5.99</v>
      </c>
      <c r="I1967" s="5">
        <v>1</v>
      </c>
      <c r="J1967" s="3" t="s">
        <v>29</v>
      </c>
      <c r="K1967" s="9">
        <v>42483.625740740739</v>
      </c>
    </row>
    <row r="1968" spans="3:11" x14ac:dyDescent="0.25">
      <c r="C1968" t="str">
        <f>IF(COUNTBLANK(E1968:K1968) = 7,"",IF(AND(NOT(ISBLANK(E1968)),COUNTBLANK(E1968:K1968) = 6),"3 Delete",IF(ISBLANK(E1968),"2 Add",IF(SHA1Range(E1968:K1968) = "0f9b9e5a88afcd3996d02003ce9c1fd14c37ce62","0 Original","1 Modify"))))</f>
        <v>0 Original</v>
      </c>
      <c r="D1968" s="3" t="s">
        <v>2592</v>
      </c>
      <c r="E1968" s="5">
        <v>1971</v>
      </c>
      <c r="F1968">
        <v>591</v>
      </c>
      <c r="G1968" t="s">
        <v>238</v>
      </c>
      <c r="H1968" s="7">
        <v>5.99</v>
      </c>
      <c r="I1968" s="5">
        <v>1</v>
      </c>
      <c r="J1968" s="3" t="s">
        <v>29</v>
      </c>
      <c r="K1968" s="9">
        <v>42483.625740740739</v>
      </c>
    </row>
    <row r="1969" spans="3:11" x14ac:dyDescent="0.25">
      <c r="C1969" t="str">
        <f>IF(COUNTBLANK(E1969:K1969) = 7,"",IF(AND(NOT(ISBLANK(E1969)),COUNTBLANK(E1969:K1969) = 6),"3 Delete",IF(ISBLANK(E1969),"2 Add",IF(SHA1Range(E1969:K1969) = "53e5eb422c91dd90227cb0d86475e68bd36fe7ce","0 Original","1 Modify"))))</f>
        <v>0 Original</v>
      </c>
      <c r="D1969" s="3" t="s">
        <v>2593</v>
      </c>
      <c r="E1969" s="5">
        <v>1972</v>
      </c>
      <c r="F1969">
        <v>592</v>
      </c>
      <c r="G1969" t="s">
        <v>273</v>
      </c>
      <c r="H1969" s="7">
        <v>8.99</v>
      </c>
      <c r="I1969" s="5">
        <v>1</v>
      </c>
      <c r="J1969" s="3" t="s">
        <v>29</v>
      </c>
      <c r="K1969" s="9">
        <v>42483.625740740739</v>
      </c>
    </row>
    <row r="1970" spans="3:11" x14ac:dyDescent="0.25">
      <c r="C1970" t="str">
        <f>IF(COUNTBLANK(E1970:K1970) = 7,"",IF(AND(NOT(ISBLANK(E1970)),COUNTBLANK(E1970:K1970) = 6),"3 Delete",IF(ISBLANK(E1970),"2 Add",IF(SHA1Range(E1970:K1970) = "0c733d374b43579821d749f91f5ca06dd64b38b2","0 Original","1 Modify"))))</f>
        <v>0 Original</v>
      </c>
      <c r="D1970" s="3" t="s">
        <v>2594</v>
      </c>
      <c r="E1970" s="5">
        <v>1973</v>
      </c>
      <c r="F1970">
        <v>592</v>
      </c>
      <c r="G1970" t="s">
        <v>142</v>
      </c>
      <c r="H1970" s="7">
        <v>4.99</v>
      </c>
      <c r="I1970" s="5">
        <v>1</v>
      </c>
      <c r="J1970" s="3" t="s">
        <v>29</v>
      </c>
      <c r="K1970" s="9">
        <v>42483.625740740739</v>
      </c>
    </row>
    <row r="1971" spans="3:11" x14ac:dyDescent="0.25">
      <c r="C1971" t="str">
        <f>IF(COUNTBLANK(E1971:K1971) = 7,"",IF(AND(NOT(ISBLANK(E1971)),COUNTBLANK(E1971:K1971) = 6),"3 Delete",IF(ISBLANK(E1971),"2 Add",IF(SHA1Range(E1971:K1971) = "d2bc6d4e05bd590dd3bdea1348a9a97727af4f84","0 Original","1 Modify"))))</f>
        <v>0 Original</v>
      </c>
      <c r="D1971" s="3" t="s">
        <v>2595</v>
      </c>
      <c r="E1971" s="5">
        <v>1974</v>
      </c>
      <c r="F1971">
        <v>593</v>
      </c>
      <c r="G1971" t="s">
        <v>221</v>
      </c>
      <c r="H1971" s="7">
        <v>6.99</v>
      </c>
      <c r="I1971" s="5">
        <v>1</v>
      </c>
      <c r="J1971" s="3" t="s">
        <v>29</v>
      </c>
      <c r="K1971" s="9">
        <v>42483.625740740739</v>
      </c>
    </row>
    <row r="1972" spans="3:11" x14ac:dyDescent="0.25">
      <c r="C1972" t="str">
        <f>IF(COUNTBLANK(E1972:K1972) = 7,"",IF(AND(NOT(ISBLANK(E1972)),COUNTBLANK(E1972:K1972) = 6),"3 Delete",IF(ISBLANK(E1972),"2 Add",IF(SHA1Range(E1972:K1972) = "6e5557395e6c6293f30d1ea624e87cbf2cf8589d","0 Original","1 Modify"))))</f>
        <v>0 Original</v>
      </c>
      <c r="D1972" s="3" t="s">
        <v>2596</v>
      </c>
      <c r="E1972" s="5">
        <v>1975</v>
      </c>
      <c r="F1972">
        <v>593</v>
      </c>
      <c r="G1972" t="s">
        <v>250</v>
      </c>
      <c r="H1972" s="7">
        <v>8.99</v>
      </c>
      <c r="I1972" s="5">
        <v>2</v>
      </c>
      <c r="J1972" s="3" t="s">
        <v>29</v>
      </c>
      <c r="K1972" s="9">
        <v>42483.625740740739</v>
      </c>
    </row>
    <row r="1973" spans="3:11" x14ac:dyDescent="0.25">
      <c r="C1973" t="str">
        <f>IF(COUNTBLANK(E1973:K1973) = 7,"",IF(AND(NOT(ISBLANK(E1973)),COUNTBLANK(E1973:K1973) = 6),"3 Delete",IF(ISBLANK(E1973),"2 Add",IF(SHA1Range(E1973:K1973) = "38f980c000d0c24c560613eaa6a7c70d58684390","0 Original","1 Modify"))))</f>
        <v>0 Original</v>
      </c>
      <c r="D1973" s="3" t="s">
        <v>2597</v>
      </c>
      <c r="E1973" s="5">
        <v>1976</v>
      </c>
      <c r="F1973">
        <v>593</v>
      </c>
      <c r="G1973" t="s">
        <v>109</v>
      </c>
      <c r="H1973" s="7">
        <v>8.99</v>
      </c>
      <c r="I1973" s="5">
        <v>2</v>
      </c>
      <c r="J1973" s="3" t="s">
        <v>29</v>
      </c>
      <c r="K1973" s="9">
        <v>42483.625740740739</v>
      </c>
    </row>
    <row r="1974" spans="3:11" x14ac:dyDescent="0.25">
      <c r="C1974" t="str">
        <f>IF(COUNTBLANK(E1974:K1974) = 7,"",IF(AND(NOT(ISBLANK(E1974)),COUNTBLANK(E1974:K1974) = 6),"3 Delete",IF(ISBLANK(E1974),"2 Add",IF(SHA1Range(E1974:K1974) = "7a065525b2a5735cdb9f97a30e3eb5cbd10cb56a","0 Original","1 Modify"))))</f>
        <v>0 Original</v>
      </c>
      <c r="D1974" s="3" t="s">
        <v>2598</v>
      </c>
      <c r="E1974" s="5">
        <v>1977</v>
      </c>
      <c r="F1974">
        <v>594</v>
      </c>
      <c r="G1974" t="s">
        <v>395</v>
      </c>
      <c r="H1974" s="7">
        <v>8.99</v>
      </c>
      <c r="I1974" s="5">
        <v>1</v>
      </c>
      <c r="J1974" s="3" t="s">
        <v>29</v>
      </c>
      <c r="K1974" s="9">
        <v>42483.625740740739</v>
      </c>
    </row>
    <row r="1975" spans="3:11" x14ac:dyDescent="0.25">
      <c r="C1975" t="str">
        <f>IF(COUNTBLANK(E1975:K1975) = 7,"",IF(AND(NOT(ISBLANK(E1975)),COUNTBLANK(E1975:K1975) = 6),"3 Delete",IF(ISBLANK(E1975),"2 Add",IF(SHA1Range(E1975:K1975) = "3ced8994379a4ec1c7bb0ec5de1b317d891ae105","0 Original","1 Modify"))))</f>
        <v>0 Original</v>
      </c>
      <c r="D1975" s="3" t="s">
        <v>2599</v>
      </c>
      <c r="E1975" s="5">
        <v>1978</v>
      </c>
      <c r="F1975">
        <v>594</v>
      </c>
      <c r="G1975" t="s">
        <v>425</v>
      </c>
      <c r="H1975" s="7">
        <v>6.99</v>
      </c>
      <c r="I1975" s="5">
        <v>2</v>
      </c>
      <c r="J1975" s="3" t="s">
        <v>29</v>
      </c>
      <c r="K1975" s="9">
        <v>42483.625740740739</v>
      </c>
    </row>
    <row r="1976" spans="3:11" x14ac:dyDescent="0.25">
      <c r="C1976" t="str">
        <f>IF(COUNTBLANK(E1976:K1976) = 7,"",IF(AND(NOT(ISBLANK(E1976)),COUNTBLANK(E1976:K1976) = 6),"3 Delete",IF(ISBLANK(E1976),"2 Add",IF(SHA1Range(E1976:K1976) = "7699d6d2ef602f59189457c53bb1b9f151c03b43","0 Original","1 Modify"))))</f>
        <v>0 Original</v>
      </c>
      <c r="D1976" s="3" t="s">
        <v>2600</v>
      </c>
      <c r="E1976" s="5">
        <v>1979</v>
      </c>
      <c r="F1976">
        <v>594</v>
      </c>
      <c r="G1976" t="s">
        <v>407</v>
      </c>
      <c r="H1976" s="7">
        <v>9.99</v>
      </c>
      <c r="I1976" s="5">
        <v>1</v>
      </c>
      <c r="J1976" s="3" t="s">
        <v>29</v>
      </c>
      <c r="K1976" s="9">
        <v>42483.625740740739</v>
      </c>
    </row>
    <row r="1977" spans="3:11" x14ac:dyDescent="0.25">
      <c r="C1977" t="str">
        <f>IF(COUNTBLANK(E1977:K1977) = 7,"",IF(AND(NOT(ISBLANK(E1977)),COUNTBLANK(E1977:K1977) = 6),"3 Delete",IF(ISBLANK(E1977),"2 Add",IF(SHA1Range(E1977:K1977) = "6de3f41e2909a393a03a6579c0d896935530c3b1","0 Original","1 Modify"))))</f>
        <v>0 Original</v>
      </c>
      <c r="D1977" s="3" t="s">
        <v>2601</v>
      </c>
      <c r="E1977" s="5">
        <v>1980</v>
      </c>
      <c r="F1977">
        <v>595</v>
      </c>
      <c r="G1977" t="s">
        <v>246</v>
      </c>
      <c r="H1977" s="7">
        <v>7.99</v>
      </c>
      <c r="I1977" s="5">
        <v>2</v>
      </c>
      <c r="J1977" s="3" t="s">
        <v>29</v>
      </c>
      <c r="K1977" s="9">
        <v>42483.625740740739</v>
      </c>
    </row>
    <row r="1978" spans="3:11" x14ac:dyDescent="0.25">
      <c r="C1978" t="str">
        <f>IF(COUNTBLANK(E1978:K1978) = 7,"",IF(AND(NOT(ISBLANK(E1978)),COUNTBLANK(E1978:K1978) = 6),"3 Delete",IF(ISBLANK(E1978),"2 Add",IF(SHA1Range(E1978:K1978) = "fa05835140f53223eefd1e7bdee381742484212d","0 Original","1 Modify"))))</f>
        <v>0 Original</v>
      </c>
      <c r="D1978" s="3" t="s">
        <v>2602</v>
      </c>
      <c r="E1978" s="5">
        <v>1981</v>
      </c>
      <c r="F1978">
        <v>595</v>
      </c>
      <c r="G1978" t="s">
        <v>51</v>
      </c>
      <c r="H1978" s="7">
        <v>9.99</v>
      </c>
      <c r="I1978" s="5">
        <v>1</v>
      </c>
      <c r="J1978" s="3" t="s">
        <v>29</v>
      </c>
      <c r="K1978" s="9">
        <v>42483.625740740739</v>
      </c>
    </row>
    <row r="1979" spans="3:11" x14ac:dyDescent="0.25">
      <c r="C1979" t="str">
        <f>IF(COUNTBLANK(E1979:K1979) = 7,"",IF(AND(NOT(ISBLANK(E1979)),COUNTBLANK(E1979:K1979) = 6),"3 Delete",IF(ISBLANK(E1979),"2 Add",IF(SHA1Range(E1979:K1979) = "27ab97fc93ee04c8e332c440c761f2565f9ee402","0 Original","1 Modify"))))</f>
        <v>0 Original</v>
      </c>
      <c r="D1979" s="3" t="s">
        <v>2603</v>
      </c>
      <c r="E1979" s="5">
        <v>1982</v>
      </c>
      <c r="F1979">
        <v>595</v>
      </c>
      <c r="G1979" t="s">
        <v>257</v>
      </c>
      <c r="H1979" s="7">
        <v>9.99</v>
      </c>
      <c r="I1979" s="5">
        <v>1</v>
      </c>
      <c r="J1979" s="3" t="s">
        <v>29</v>
      </c>
      <c r="K1979" s="9">
        <v>42483.625740740739</v>
      </c>
    </row>
    <row r="1980" spans="3:11" x14ac:dyDescent="0.25">
      <c r="C1980" t="str">
        <f>IF(COUNTBLANK(E1980:K1980) = 7,"",IF(AND(NOT(ISBLANK(E1980)),COUNTBLANK(E1980:K1980) = 6),"3 Delete",IF(ISBLANK(E1980),"2 Add",IF(SHA1Range(E1980:K1980) = "77ee3832d2265bc57bffe64d975cc95ae1693cda","0 Original","1 Modify"))))</f>
        <v>0 Original</v>
      </c>
      <c r="D1980" s="3" t="s">
        <v>2604</v>
      </c>
      <c r="E1980" s="5">
        <v>1983</v>
      </c>
      <c r="F1980">
        <v>596</v>
      </c>
      <c r="G1980" t="s">
        <v>149</v>
      </c>
      <c r="H1980" s="7">
        <v>7.99</v>
      </c>
      <c r="I1980" s="5">
        <v>2</v>
      </c>
      <c r="J1980" s="3" t="s">
        <v>29</v>
      </c>
      <c r="K1980" s="9">
        <v>42483.625740740739</v>
      </c>
    </row>
    <row r="1981" spans="3:11" x14ac:dyDescent="0.25">
      <c r="C1981" t="str">
        <f>IF(COUNTBLANK(E1981:K1981) = 7,"",IF(AND(NOT(ISBLANK(E1981)),COUNTBLANK(E1981:K1981) = 6),"3 Delete",IF(ISBLANK(E1981),"2 Add",IF(SHA1Range(E1981:K1981) = "14683144ba2cd70c0c5dd461d9b45c5d39365764","0 Original","1 Modify"))))</f>
        <v>0 Original</v>
      </c>
      <c r="D1981" s="3" t="s">
        <v>2605</v>
      </c>
      <c r="E1981" s="5">
        <v>1984</v>
      </c>
      <c r="F1981">
        <v>596</v>
      </c>
      <c r="G1981" t="s">
        <v>537</v>
      </c>
      <c r="H1981" s="7">
        <v>7.99</v>
      </c>
      <c r="I1981" s="5">
        <v>1</v>
      </c>
      <c r="J1981" s="3" t="s">
        <v>29</v>
      </c>
      <c r="K1981" s="9">
        <v>42483.625740740739</v>
      </c>
    </row>
    <row r="1982" spans="3:11" x14ac:dyDescent="0.25">
      <c r="C1982" t="str">
        <f>IF(COUNTBLANK(E1982:K1982) = 7,"",IF(AND(NOT(ISBLANK(E1982)),COUNTBLANK(E1982:K1982) = 6),"3 Delete",IF(ISBLANK(E1982),"2 Add",IF(SHA1Range(E1982:K1982) = "ab42ce22de8cf582ca7d867379e0a77f59fd23d3","0 Original","1 Modify"))))</f>
        <v>0 Original</v>
      </c>
      <c r="D1982" s="3" t="s">
        <v>2606</v>
      </c>
      <c r="E1982" s="5">
        <v>1985</v>
      </c>
      <c r="F1982">
        <v>597</v>
      </c>
      <c r="G1982" t="s">
        <v>421</v>
      </c>
      <c r="H1982" s="7">
        <v>6.99</v>
      </c>
      <c r="I1982" s="5">
        <v>1</v>
      </c>
      <c r="J1982" s="3" t="s">
        <v>29</v>
      </c>
      <c r="K1982" s="9">
        <v>42483.625740740739</v>
      </c>
    </row>
    <row r="1983" spans="3:11" x14ac:dyDescent="0.25">
      <c r="C1983" t="str">
        <f>IF(COUNTBLANK(E1983:K1983) = 7,"",IF(AND(NOT(ISBLANK(E1983)),COUNTBLANK(E1983:K1983) = 6),"3 Delete",IF(ISBLANK(E1983),"2 Add",IF(SHA1Range(E1983:K1983) = "05df5754998b70992476dadc6e198ab9fd4c0603","0 Original","1 Modify"))))</f>
        <v>0 Original</v>
      </c>
      <c r="D1983" s="3" t="s">
        <v>2607</v>
      </c>
      <c r="E1983" s="5">
        <v>1986</v>
      </c>
      <c r="F1983">
        <v>597</v>
      </c>
      <c r="G1983" t="s">
        <v>221</v>
      </c>
      <c r="H1983" s="7">
        <v>6.99</v>
      </c>
      <c r="I1983" s="5">
        <v>1</v>
      </c>
      <c r="J1983" s="3" t="s">
        <v>29</v>
      </c>
      <c r="K1983" s="9">
        <v>42483.625740740739</v>
      </c>
    </row>
    <row r="1984" spans="3:11" x14ac:dyDescent="0.25">
      <c r="C1984" t="str">
        <f>IF(COUNTBLANK(E1984:K1984) = 7,"",IF(AND(NOT(ISBLANK(E1984)),COUNTBLANK(E1984:K1984) = 6),"3 Delete",IF(ISBLANK(E1984),"2 Add",IF(SHA1Range(E1984:K1984) = "d34b60d0fdbf28a3cc5e05249d916321f68f3c09","0 Original","1 Modify"))))</f>
        <v>0 Original</v>
      </c>
      <c r="D1984" s="3" t="s">
        <v>2608</v>
      </c>
      <c r="E1984" s="5">
        <v>1987</v>
      </c>
      <c r="F1984">
        <v>597</v>
      </c>
      <c r="G1984" t="s">
        <v>109</v>
      </c>
      <c r="H1984" s="7">
        <v>8.99</v>
      </c>
      <c r="I1984" s="5">
        <v>1</v>
      </c>
      <c r="J1984" s="3" t="s">
        <v>29</v>
      </c>
      <c r="K1984" s="9">
        <v>42483.625740740739</v>
      </c>
    </row>
    <row r="1985" spans="3:11" x14ac:dyDescent="0.25">
      <c r="C1985" t="str">
        <f>IF(COUNTBLANK(E1985:K1985) = 7,"",IF(AND(NOT(ISBLANK(E1985)),COUNTBLANK(E1985:K1985) = 6),"3 Delete",IF(ISBLANK(E1985),"2 Add",IF(SHA1Range(E1985:K1985) = "d6bc763c17c1464b49c85c2ef7f88e47152d5045","0 Original","1 Modify"))))</f>
        <v>0 Original</v>
      </c>
      <c r="D1985" s="3" t="s">
        <v>2609</v>
      </c>
      <c r="E1985" s="5">
        <v>1988</v>
      </c>
      <c r="F1985">
        <v>597</v>
      </c>
      <c r="G1985" t="s">
        <v>136</v>
      </c>
      <c r="H1985" s="7">
        <v>8.99</v>
      </c>
      <c r="I1985" s="5">
        <v>2</v>
      </c>
      <c r="J1985" s="3" t="s">
        <v>29</v>
      </c>
      <c r="K1985" s="9">
        <v>42483.625740740739</v>
      </c>
    </row>
    <row r="1986" spans="3:11" x14ac:dyDescent="0.25">
      <c r="C1986" t="str">
        <f>IF(COUNTBLANK(E1986:K1986) = 7,"",IF(AND(NOT(ISBLANK(E1986)),COUNTBLANK(E1986:K1986) = 6),"3 Delete",IF(ISBLANK(E1986),"2 Add",IF(SHA1Range(E1986:K1986) = "c897fe9d41c0cccb4f988b6a75a7af1ba9b64400","0 Original","1 Modify"))))</f>
        <v>0 Original</v>
      </c>
      <c r="D1986" s="3" t="s">
        <v>2610</v>
      </c>
      <c r="E1986" s="5">
        <v>1989</v>
      </c>
      <c r="F1986">
        <v>598</v>
      </c>
      <c r="G1986" t="s">
        <v>246</v>
      </c>
      <c r="H1986" s="7">
        <v>7.99</v>
      </c>
      <c r="I1986" s="5">
        <v>1</v>
      </c>
      <c r="J1986" s="3" t="s">
        <v>29</v>
      </c>
      <c r="K1986" s="9">
        <v>42483.625740740739</v>
      </c>
    </row>
    <row r="1987" spans="3:11" x14ac:dyDescent="0.25">
      <c r="C1987" t="str">
        <f>IF(COUNTBLANK(E1987:K1987) = 7,"",IF(AND(NOT(ISBLANK(E1987)),COUNTBLANK(E1987:K1987) = 6),"3 Delete",IF(ISBLANK(E1987),"2 Add",IF(SHA1Range(E1987:K1987) = "eff9df96de089a7dcf1378989a586854b84f5d04","0 Original","1 Modify"))))</f>
        <v>0 Original</v>
      </c>
      <c r="D1987" s="3" t="s">
        <v>2611</v>
      </c>
      <c r="E1987" s="5">
        <v>1990</v>
      </c>
      <c r="F1987">
        <v>598</v>
      </c>
      <c r="G1987" t="s">
        <v>257</v>
      </c>
      <c r="H1987" s="7">
        <v>9.99</v>
      </c>
      <c r="I1987" s="5">
        <v>2</v>
      </c>
      <c r="J1987" s="3" t="s">
        <v>29</v>
      </c>
      <c r="K1987" s="9">
        <v>42483.625740740739</v>
      </c>
    </row>
    <row r="1988" spans="3:11" x14ac:dyDescent="0.25">
      <c r="C1988" t="str">
        <f>IF(COUNTBLANK(E1988:K1988) = 7,"",IF(AND(NOT(ISBLANK(E1988)),COUNTBLANK(E1988:K1988) = 6),"3 Delete",IF(ISBLANK(E1988),"2 Add",IF(SHA1Range(E1988:K1988) = "746f9e64a4bcf109c22880b5b130c1ddcb95f27f","0 Original","1 Modify"))))</f>
        <v>0 Original</v>
      </c>
      <c r="D1988" s="3" t="s">
        <v>2612</v>
      </c>
      <c r="E1988" s="5">
        <v>1991</v>
      </c>
      <c r="F1988">
        <v>599</v>
      </c>
      <c r="G1988" t="s">
        <v>576</v>
      </c>
      <c r="H1988" s="7">
        <v>5.99</v>
      </c>
      <c r="I1988" s="5">
        <v>1</v>
      </c>
      <c r="J1988" s="3" t="s">
        <v>29</v>
      </c>
      <c r="K1988" s="9">
        <v>42483.625740740739</v>
      </c>
    </row>
    <row r="1989" spans="3:11" x14ac:dyDescent="0.25">
      <c r="C1989" t="str">
        <f>IF(COUNTBLANK(E1989:K1989) = 7,"",IF(AND(NOT(ISBLANK(E1989)),COUNTBLANK(E1989:K1989) = 6),"3 Delete",IF(ISBLANK(E1989),"2 Add",IF(SHA1Range(E1989:K1989) = "163a31311a420d39ef8a31d0ec72407abcb96036","0 Original","1 Modify"))))</f>
        <v>0 Original</v>
      </c>
      <c r="D1989" s="3" t="s">
        <v>2613</v>
      </c>
      <c r="E1989" s="5">
        <v>1992</v>
      </c>
      <c r="F1989">
        <v>599</v>
      </c>
      <c r="G1989" t="s">
        <v>364</v>
      </c>
      <c r="H1989" s="7">
        <v>9.99</v>
      </c>
      <c r="I1989" s="5">
        <v>1</v>
      </c>
      <c r="J1989" s="3" t="s">
        <v>29</v>
      </c>
      <c r="K1989" s="9">
        <v>42483.625740740739</v>
      </c>
    </row>
    <row r="1990" spans="3:11" x14ac:dyDescent="0.25">
      <c r="C1990" t="str">
        <f>IF(COUNTBLANK(E1990:K1990) = 7,"",IF(AND(NOT(ISBLANK(E1990)),COUNTBLANK(E1990:K1990) = 6),"3 Delete",IF(ISBLANK(E1990),"2 Add",IF(SHA1Range(E1990:K1990) = "ab7db1f63820e1d342a352134901dfe0d49e0a53","0 Original","1 Modify"))))</f>
        <v>0 Original</v>
      </c>
      <c r="D1990" s="3" t="s">
        <v>2614</v>
      </c>
      <c r="E1990" s="5">
        <v>1993</v>
      </c>
      <c r="F1990">
        <v>599</v>
      </c>
      <c r="G1990" t="s">
        <v>44</v>
      </c>
      <c r="H1990" s="7">
        <v>6.99</v>
      </c>
      <c r="I1990" s="5">
        <v>1</v>
      </c>
      <c r="J1990" s="3" t="s">
        <v>29</v>
      </c>
      <c r="K1990" s="9">
        <v>42483.625740740739</v>
      </c>
    </row>
    <row r="1991" spans="3:11" x14ac:dyDescent="0.25">
      <c r="C1991" t="str">
        <f>IF(COUNTBLANK(E1991:K1991) = 7,"",IF(AND(NOT(ISBLANK(E1991)),COUNTBLANK(E1991:K1991) = 6),"3 Delete",IF(ISBLANK(E1991),"2 Add",IF(SHA1Range(E1991:K1991) = "73194e2ac4193d64b000e30e9272fa0983e560fc","0 Original","1 Modify"))))</f>
        <v>0 Original</v>
      </c>
      <c r="D1991" s="3" t="s">
        <v>2615</v>
      </c>
      <c r="E1991" s="5">
        <v>1994</v>
      </c>
      <c r="F1991">
        <v>599</v>
      </c>
      <c r="G1991" t="s">
        <v>576</v>
      </c>
      <c r="H1991" s="7">
        <v>5.99</v>
      </c>
      <c r="I1991" s="5">
        <v>2</v>
      </c>
      <c r="J1991" s="3" t="s">
        <v>29</v>
      </c>
      <c r="K1991" s="9">
        <v>42483.625740740739</v>
      </c>
    </row>
    <row r="1992" spans="3:11" x14ac:dyDescent="0.25">
      <c r="C1992" t="str">
        <f>IF(COUNTBLANK(E1992:K1992) = 7,"",IF(AND(NOT(ISBLANK(E1992)),COUNTBLANK(E1992:K1992) = 6),"3 Delete",IF(ISBLANK(E1992),"2 Add",IF(SHA1Range(E1992:K1992) = "59ffbce4c637239455180f8edc4e690185cd3695","0 Original","1 Modify"))))</f>
        <v>0 Original</v>
      </c>
      <c r="D1992" s="3" t="s">
        <v>2616</v>
      </c>
      <c r="E1992" s="5">
        <v>1995</v>
      </c>
      <c r="F1992">
        <v>600</v>
      </c>
      <c r="G1992" t="s">
        <v>58</v>
      </c>
      <c r="H1992" s="7">
        <v>8.99</v>
      </c>
      <c r="I1992" s="5">
        <v>1</v>
      </c>
      <c r="J1992" s="3" t="s">
        <v>29</v>
      </c>
      <c r="K1992" s="9">
        <v>42483.625740740739</v>
      </c>
    </row>
    <row r="1993" spans="3:11" x14ac:dyDescent="0.25">
      <c r="C1993" t="str">
        <f>IF(COUNTBLANK(E1993:K1993) = 7,"",IF(AND(NOT(ISBLANK(E1993)),COUNTBLANK(E1993:K1993) = 6),"3 Delete",IF(ISBLANK(E1993),"2 Add",IF(SHA1Range(E1993:K1993) = "eb687776cd48639e8041339607257217fd961072","0 Original","1 Modify"))))</f>
        <v>0 Original</v>
      </c>
      <c r="D1993" s="3" t="s">
        <v>2617</v>
      </c>
      <c r="E1993" s="5">
        <v>1996</v>
      </c>
      <c r="F1993">
        <v>600</v>
      </c>
      <c r="G1993" t="s">
        <v>395</v>
      </c>
      <c r="H1993" s="7">
        <v>8.99</v>
      </c>
      <c r="I1993" s="5">
        <v>1</v>
      </c>
      <c r="J1993" s="3" t="s">
        <v>29</v>
      </c>
      <c r="K1993" s="9">
        <v>42483.625740740739</v>
      </c>
    </row>
    <row r="1994" spans="3:11" x14ac:dyDescent="0.25">
      <c r="C1994" t="str">
        <f>IF(COUNTBLANK(E1994:K1994) = 7,"",IF(AND(NOT(ISBLANK(E1994)),COUNTBLANK(E1994:K1994) = 6),"3 Delete",IF(ISBLANK(E1994),"2 Add",IF(SHA1Range(E1994:K1994) = "3c7256cb6be55e4cd9cc767aa512fb59b610970b","0 Original","1 Modify"))))</f>
        <v>0 Original</v>
      </c>
      <c r="D1994" s="3" t="s">
        <v>2618</v>
      </c>
      <c r="E1994" s="5">
        <v>1997</v>
      </c>
      <c r="F1994">
        <v>600</v>
      </c>
      <c r="G1994" t="s">
        <v>58</v>
      </c>
      <c r="H1994" s="7">
        <v>8.99</v>
      </c>
      <c r="I1994" s="5">
        <v>1</v>
      </c>
      <c r="J1994" s="3" t="s">
        <v>29</v>
      </c>
      <c r="K1994" s="9">
        <v>42483.625740740739</v>
      </c>
    </row>
    <row r="1995" spans="3:11" x14ac:dyDescent="0.25">
      <c r="C1995" t="str">
        <f>IF(COUNTBLANK(E1995:K1995) = 7,"",IF(AND(NOT(ISBLANK(E1995)),COUNTBLANK(E1995:K1995) = 6),"3 Delete",IF(ISBLANK(E1995),"2 Add",IF(SHA1Range(E1995:K1995) = "5c5f4d995bff2a7580cbb4bed5044daf14cc5dfa","0 Original","1 Modify"))))</f>
        <v>0 Original</v>
      </c>
      <c r="D1995" s="3" t="s">
        <v>2619</v>
      </c>
      <c r="E1995" s="5">
        <v>1998</v>
      </c>
      <c r="F1995">
        <v>601</v>
      </c>
      <c r="G1995" t="s">
        <v>273</v>
      </c>
      <c r="H1995" s="7">
        <v>8.99</v>
      </c>
      <c r="I1995" s="5">
        <v>2</v>
      </c>
      <c r="J1995" s="3" t="s">
        <v>29</v>
      </c>
      <c r="K1995" s="9">
        <v>42483.625752314816</v>
      </c>
    </row>
    <row r="1996" spans="3:11" x14ac:dyDescent="0.25">
      <c r="C1996" t="str">
        <f>IF(COUNTBLANK(E1996:K1996) = 7,"",IF(AND(NOT(ISBLANK(E1996)),COUNTBLANK(E1996:K1996) = 6),"3 Delete",IF(ISBLANK(E1996),"2 Add",IF(SHA1Range(E1996:K1996) = "c44e34c8befe7ca8bc0a0ecb9b7c2b7a1de7b850","0 Original","1 Modify"))))</f>
        <v>0 Original</v>
      </c>
      <c r="D1996" s="3" t="s">
        <v>2620</v>
      </c>
      <c r="E1996" s="5">
        <v>1999</v>
      </c>
      <c r="F1996">
        <v>601</v>
      </c>
      <c r="G1996" t="s">
        <v>30</v>
      </c>
      <c r="H1996" s="7">
        <v>9.99</v>
      </c>
      <c r="I1996" s="5">
        <v>1</v>
      </c>
      <c r="J1996" s="3" t="s">
        <v>29</v>
      </c>
      <c r="K1996" s="9">
        <v>42483.625752314816</v>
      </c>
    </row>
    <row r="1997" spans="3:11" x14ac:dyDescent="0.25">
      <c r="C1997" t="str">
        <f>IF(COUNTBLANK(E1997:K1997) = 7,"",IF(AND(NOT(ISBLANK(E1997)),COUNTBLANK(E1997:K1997) = 6),"3 Delete",IF(ISBLANK(E1997),"2 Add",IF(SHA1Range(E1997:K1997) = "42141a9b319874198be2fb2f04ee89bfe2c92f7b","0 Original","1 Modify"))))</f>
        <v>0 Original</v>
      </c>
      <c r="D1997" s="3" t="s">
        <v>2621</v>
      </c>
      <c r="E1997" s="5">
        <v>2000</v>
      </c>
      <c r="F1997">
        <v>601</v>
      </c>
      <c r="G1997" t="s">
        <v>388</v>
      </c>
      <c r="H1997" s="7">
        <v>5.99</v>
      </c>
      <c r="I1997" s="5">
        <v>2</v>
      </c>
      <c r="J1997" s="3" t="s">
        <v>29</v>
      </c>
      <c r="K1997" s="9">
        <v>42483.625752314816</v>
      </c>
    </row>
    <row r="1998" spans="3:11" x14ac:dyDescent="0.25">
      <c r="C1998" t="str">
        <f>IF(COUNTBLANK(E1998:K1998) = 7,"",IF(AND(NOT(ISBLANK(E1998)),COUNTBLANK(E1998:K1998) = 6),"3 Delete",IF(ISBLANK(E1998),"2 Add",IF(SHA1Range(E1998:K1998) = "34216b5443f451c559a490da65c4e2e9dddd2f13","0 Original","1 Modify"))))</f>
        <v>0 Original</v>
      </c>
      <c r="D1998" s="3" t="s">
        <v>2622</v>
      </c>
      <c r="E1998" s="5">
        <v>2001</v>
      </c>
      <c r="F1998">
        <v>601</v>
      </c>
      <c r="G1998" t="s">
        <v>250</v>
      </c>
      <c r="H1998" s="7">
        <v>8.99</v>
      </c>
      <c r="I1998" s="5">
        <v>1</v>
      </c>
      <c r="J1998" s="3" t="s">
        <v>29</v>
      </c>
      <c r="K1998" s="9">
        <v>42483.625752314816</v>
      </c>
    </row>
    <row r="1999" spans="3:11" x14ac:dyDescent="0.25">
      <c r="C1999" t="str">
        <f>IF(COUNTBLANK(E1999:K1999) = 7,"",IF(AND(NOT(ISBLANK(E1999)),COUNTBLANK(E1999:K1999) = 6),"3 Delete",IF(ISBLANK(E1999),"2 Add",IF(SHA1Range(E1999:K1999) = "2fd6338b6d35d3125be662a64ba6d2e6b6f38743","0 Original","1 Modify"))))</f>
        <v>0 Original</v>
      </c>
      <c r="D1999" s="3" t="s">
        <v>2623</v>
      </c>
      <c r="E1999" s="5">
        <v>2002</v>
      </c>
      <c r="F1999">
        <v>602</v>
      </c>
      <c r="G1999" t="s">
        <v>136</v>
      </c>
      <c r="H1999" s="7">
        <v>8.99</v>
      </c>
      <c r="I1999" s="5">
        <v>1</v>
      </c>
      <c r="J1999" s="3" t="s">
        <v>29</v>
      </c>
      <c r="K1999" s="9">
        <v>42483.625752314816</v>
      </c>
    </row>
    <row r="2000" spans="3:11" x14ac:dyDescent="0.25">
      <c r="C2000" t="str">
        <f>IF(COUNTBLANK(E2000:K2000) = 7,"",IF(AND(NOT(ISBLANK(E2000)),COUNTBLANK(E2000:K2000) = 6),"3 Delete",IF(ISBLANK(E2000),"2 Add",IF(SHA1Range(E2000:K2000) = "d9903280ee53d1892e6a57527f9bcd693d61e40d","0 Original","1 Modify"))))</f>
        <v>0 Original</v>
      </c>
      <c r="D2000" s="3" t="s">
        <v>2624</v>
      </c>
      <c r="E2000" s="5">
        <v>2003</v>
      </c>
      <c r="F2000">
        <v>603</v>
      </c>
      <c r="G2000" t="s">
        <v>335</v>
      </c>
      <c r="H2000" s="7">
        <v>5.99</v>
      </c>
      <c r="I2000" s="5">
        <v>1</v>
      </c>
      <c r="J2000" s="3" t="s">
        <v>29</v>
      </c>
      <c r="K2000" s="9">
        <v>42483.625752314816</v>
      </c>
    </row>
    <row r="2001" spans="3:11" x14ac:dyDescent="0.25">
      <c r="C2001" t="str">
        <f>IF(COUNTBLANK(E2001:K2001) = 7,"",IF(AND(NOT(ISBLANK(E2001)),COUNTBLANK(E2001:K2001) = 6),"3 Delete",IF(ISBLANK(E2001),"2 Add",IF(SHA1Range(E2001:K2001) = "5e72a5e9df55afb1e66b0431ca1a36b143157b9e","0 Original","1 Modify"))))</f>
        <v>0 Original</v>
      </c>
      <c r="D2001" s="3" t="s">
        <v>2625</v>
      </c>
      <c r="E2001" s="5">
        <v>2004</v>
      </c>
      <c r="F2001">
        <v>603</v>
      </c>
      <c r="G2001" t="s">
        <v>295</v>
      </c>
      <c r="H2001" s="7">
        <v>7.99</v>
      </c>
      <c r="I2001" s="5">
        <v>1</v>
      </c>
      <c r="J2001" s="3" t="s">
        <v>29</v>
      </c>
      <c r="K2001" s="9">
        <v>42483.625752314816</v>
      </c>
    </row>
    <row r="2002" spans="3:11" x14ac:dyDescent="0.25">
      <c r="C2002" t="str">
        <f>IF(COUNTBLANK(E2002:K2002) = 7,"",IF(AND(NOT(ISBLANK(E2002)),COUNTBLANK(E2002:K2002) = 6),"3 Delete",IF(ISBLANK(E2002),"2 Add",IF(SHA1Range(E2002:K2002) = "b858cb282617fb0956d960215c8e84d1ccf909c6","0 Original","1 Modify"))))</f>
        <v/>
      </c>
    </row>
  </sheetData>
  <conditionalFormatting sqref="C2">
    <cfRule type="cellIs" dxfId="6089" priority="1" stopIfTrue="1" operator="equal">
      <formula>"1 Modify"</formula>
    </cfRule>
    <cfRule type="cellIs" dxfId="6088" priority="2" stopIfTrue="1" operator="equal">
      <formula>"2 Add"</formula>
    </cfRule>
    <cfRule type="cellIs" dxfId="6087" priority="3" stopIfTrue="1" operator="equal">
      <formula>"3 Delete"</formula>
    </cfRule>
  </conditionalFormatting>
  <conditionalFormatting sqref="C3">
    <cfRule type="cellIs" dxfId="6086" priority="4" stopIfTrue="1" operator="equal">
      <formula>"1 Modify"</formula>
    </cfRule>
    <cfRule type="cellIs" dxfId="6085" priority="5" stopIfTrue="1" operator="equal">
      <formula>"2 Add"</formula>
    </cfRule>
    <cfRule type="cellIs" dxfId="6084" priority="6" stopIfTrue="1" operator="equal">
      <formula>"3 Delete"</formula>
    </cfRule>
  </conditionalFormatting>
  <conditionalFormatting sqref="C4">
    <cfRule type="cellIs" dxfId="6083" priority="7" stopIfTrue="1" operator="equal">
      <formula>"1 Modify"</formula>
    </cfRule>
    <cfRule type="cellIs" dxfId="6082" priority="8" stopIfTrue="1" operator="equal">
      <formula>"2 Add"</formula>
    </cfRule>
    <cfRule type="cellIs" dxfId="6081" priority="9" stopIfTrue="1" operator="equal">
      <formula>"3 Delete"</formula>
    </cfRule>
  </conditionalFormatting>
  <conditionalFormatting sqref="C5">
    <cfRule type="cellIs" dxfId="6080" priority="10" stopIfTrue="1" operator="equal">
      <formula>"1 Modify"</formula>
    </cfRule>
    <cfRule type="cellIs" dxfId="6079" priority="11" stopIfTrue="1" operator="equal">
      <formula>"2 Add"</formula>
    </cfRule>
    <cfRule type="cellIs" dxfId="6078" priority="12" stopIfTrue="1" operator="equal">
      <formula>"3 Delete"</formula>
    </cfRule>
  </conditionalFormatting>
  <conditionalFormatting sqref="C6">
    <cfRule type="cellIs" dxfId="6077" priority="13" stopIfTrue="1" operator="equal">
      <formula>"1 Modify"</formula>
    </cfRule>
    <cfRule type="cellIs" dxfId="6076" priority="14" stopIfTrue="1" operator="equal">
      <formula>"2 Add"</formula>
    </cfRule>
    <cfRule type="cellIs" dxfId="6075" priority="15" stopIfTrue="1" operator="equal">
      <formula>"3 Delete"</formula>
    </cfRule>
  </conditionalFormatting>
  <conditionalFormatting sqref="C7">
    <cfRule type="cellIs" dxfId="6074" priority="16" stopIfTrue="1" operator="equal">
      <formula>"1 Modify"</formula>
    </cfRule>
    <cfRule type="cellIs" dxfId="6073" priority="17" stopIfTrue="1" operator="equal">
      <formula>"2 Add"</formula>
    </cfRule>
    <cfRule type="cellIs" dxfId="6072" priority="18" stopIfTrue="1" operator="equal">
      <formula>"3 Delete"</formula>
    </cfRule>
  </conditionalFormatting>
  <conditionalFormatting sqref="C8">
    <cfRule type="cellIs" dxfId="6071" priority="19" stopIfTrue="1" operator="equal">
      <formula>"1 Modify"</formula>
    </cfRule>
    <cfRule type="cellIs" dxfId="6070" priority="20" stopIfTrue="1" operator="equal">
      <formula>"2 Add"</formula>
    </cfRule>
    <cfRule type="cellIs" dxfId="6069" priority="21" stopIfTrue="1" operator="equal">
      <formula>"3 Delete"</formula>
    </cfRule>
  </conditionalFormatting>
  <conditionalFormatting sqref="C9">
    <cfRule type="cellIs" dxfId="6068" priority="22" stopIfTrue="1" operator="equal">
      <formula>"1 Modify"</formula>
    </cfRule>
    <cfRule type="cellIs" dxfId="6067" priority="23" stopIfTrue="1" operator="equal">
      <formula>"2 Add"</formula>
    </cfRule>
    <cfRule type="cellIs" dxfId="6066" priority="24" stopIfTrue="1" operator="equal">
      <formula>"3 Delete"</formula>
    </cfRule>
  </conditionalFormatting>
  <conditionalFormatting sqref="C10">
    <cfRule type="cellIs" dxfId="6065" priority="25" stopIfTrue="1" operator="equal">
      <formula>"1 Modify"</formula>
    </cfRule>
    <cfRule type="cellIs" dxfId="6064" priority="26" stopIfTrue="1" operator="equal">
      <formula>"2 Add"</formula>
    </cfRule>
    <cfRule type="cellIs" dxfId="6063" priority="27" stopIfTrue="1" operator="equal">
      <formula>"3 Delete"</formula>
    </cfRule>
  </conditionalFormatting>
  <conditionalFormatting sqref="C11">
    <cfRule type="cellIs" dxfId="6062" priority="28" stopIfTrue="1" operator="equal">
      <formula>"1 Modify"</formula>
    </cfRule>
    <cfRule type="cellIs" dxfId="6061" priority="29" stopIfTrue="1" operator="equal">
      <formula>"2 Add"</formula>
    </cfRule>
    <cfRule type="cellIs" dxfId="6060" priority="30" stopIfTrue="1" operator="equal">
      <formula>"3 Delete"</formula>
    </cfRule>
  </conditionalFormatting>
  <conditionalFormatting sqref="C12">
    <cfRule type="cellIs" dxfId="6059" priority="31" stopIfTrue="1" operator="equal">
      <formula>"1 Modify"</formula>
    </cfRule>
    <cfRule type="cellIs" dxfId="6058" priority="32" stopIfTrue="1" operator="equal">
      <formula>"2 Add"</formula>
    </cfRule>
    <cfRule type="cellIs" dxfId="6057" priority="33" stopIfTrue="1" operator="equal">
      <formula>"3 Delete"</formula>
    </cfRule>
  </conditionalFormatting>
  <conditionalFormatting sqref="C13">
    <cfRule type="cellIs" dxfId="6056" priority="34" stopIfTrue="1" operator="equal">
      <formula>"1 Modify"</formula>
    </cfRule>
    <cfRule type="cellIs" dxfId="6055" priority="35" stopIfTrue="1" operator="equal">
      <formula>"2 Add"</formula>
    </cfRule>
    <cfRule type="cellIs" dxfId="6054" priority="36" stopIfTrue="1" operator="equal">
      <formula>"3 Delete"</formula>
    </cfRule>
  </conditionalFormatting>
  <conditionalFormatting sqref="C14">
    <cfRule type="cellIs" dxfId="6053" priority="37" stopIfTrue="1" operator="equal">
      <formula>"1 Modify"</formula>
    </cfRule>
    <cfRule type="cellIs" dxfId="6052" priority="38" stopIfTrue="1" operator="equal">
      <formula>"2 Add"</formula>
    </cfRule>
    <cfRule type="cellIs" dxfId="6051" priority="39" stopIfTrue="1" operator="equal">
      <formula>"3 Delete"</formula>
    </cfRule>
  </conditionalFormatting>
  <conditionalFormatting sqref="C15">
    <cfRule type="cellIs" dxfId="6050" priority="40" stopIfTrue="1" operator="equal">
      <formula>"1 Modify"</formula>
    </cfRule>
    <cfRule type="cellIs" dxfId="6049" priority="41" stopIfTrue="1" operator="equal">
      <formula>"2 Add"</formula>
    </cfRule>
    <cfRule type="cellIs" dxfId="6048" priority="42" stopIfTrue="1" operator="equal">
      <formula>"3 Delete"</formula>
    </cfRule>
  </conditionalFormatting>
  <conditionalFormatting sqref="C16">
    <cfRule type="cellIs" dxfId="6047" priority="43" stopIfTrue="1" operator="equal">
      <formula>"1 Modify"</formula>
    </cfRule>
    <cfRule type="cellIs" dxfId="6046" priority="44" stopIfTrue="1" operator="equal">
      <formula>"2 Add"</formula>
    </cfRule>
    <cfRule type="cellIs" dxfId="6045" priority="45" stopIfTrue="1" operator="equal">
      <formula>"3 Delete"</formula>
    </cfRule>
  </conditionalFormatting>
  <conditionalFormatting sqref="C17">
    <cfRule type="cellIs" dxfId="6044" priority="46" stopIfTrue="1" operator="equal">
      <formula>"1 Modify"</formula>
    </cfRule>
    <cfRule type="cellIs" dxfId="6043" priority="47" stopIfTrue="1" operator="equal">
      <formula>"2 Add"</formula>
    </cfRule>
    <cfRule type="cellIs" dxfId="6042" priority="48" stopIfTrue="1" operator="equal">
      <formula>"3 Delete"</formula>
    </cfRule>
  </conditionalFormatting>
  <conditionalFormatting sqref="C18">
    <cfRule type="cellIs" dxfId="6041" priority="49" stopIfTrue="1" operator="equal">
      <formula>"1 Modify"</formula>
    </cfRule>
    <cfRule type="cellIs" dxfId="6040" priority="50" stopIfTrue="1" operator="equal">
      <formula>"2 Add"</formula>
    </cfRule>
    <cfRule type="cellIs" dxfId="6039" priority="51" stopIfTrue="1" operator="equal">
      <formula>"3 Delete"</formula>
    </cfRule>
  </conditionalFormatting>
  <conditionalFormatting sqref="C19">
    <cfRule type="cellIs" dxfId="6038" priority="52" stopIfTrue="1" operator="equal">
      <formula>"1 Modify"</formula>
    </cfRule>
    <cfRule type="cellIs" dxfId="6037" priority="53" stopIfTrue="1" operator="equal">
      <formula>"2 Add"</formula>
    </cfRule>
    <cfRule type="cellIs" dxfId="6036" priority="54" stopIfTrue="1" operator="equal">
      <formula>"3 Delete"</formula>
    </cfRule>
  </conditionalFormatting>
  <conditionalFormatting sqref="C20">
    <cfRule type="cellIs" dxfId="6035" priority="55" stopIfTrue="1" operator="equal">
      <formula>"1 Modify"</formula>
    </cfRule>
    <cfRule type="cellIs" dxfId="6034" priority="56" stopIfTrue="1" operator="equal">
      <formula>"2 Add"</formula>
    </cfRule>
    <cfRule type="cellIs" dxfId="6033" priority="57" stopIfTrue="1" operator="equal">
      <formula>"3 Delete"</formula>
    </cfRule>
  </conditionalFormatting>
  <conditionalFormatting sqref="C21">
    <cfRule type="cellIs" dxfId="6032" priority="58" stopIfTrue="1" operator="equal">
      <formula>"1 Modify"</formula>
    </cfRule>
    <cfRule type="cellIs" dxfId="6031" priority="59" stopIfTrue="1" operator="equal">
      <formula>"2 Add"</formula>
    </cfRule>
    <cfRule type="cellIs" dxfId="6030" priority="60" stopIfTrue="1" operator="equal">
      <formula>"3 Delete"</formula>
    </cfRule>
  </conditionalFormatting>
  <conditionalFormatting sqref="C22">
    <cfRule type="cellIs" dxfId="6029" priority="61" stopIfTrue="1" operator="equal">
      <formula>"1 Modify"</formula>
    </cfRule>
  </conditionalFormatting>
  <conditionalFormatting sqref="C22">
    <cfRule type="cellIs" dxfId="6028" priority="62" stopIfTrue="1" operator="equal">
      <formula>"2 Add"</formula>
    </cfRule>
  </conditionalFormatting>
  <conditionalFormatting sqref="C22">
    <cfRule type="cellIs" dxfId="6027" priority="63" stopIfTrue="1" operator="equal">
      <formula>"3 Delete"</formula>
    </cfRule>
  </conditionalFormatting>
  <conditionalFormatting sqref="C23">
    <cfRule type="cellIs" dxfId="6026" priority="64" stopIfTrue="1" operator="equal">
      <formula>"1 Modify"</formula>
    </cfRule>
  </conditionalFormatting>
  <conditionalFormatting sqref="C23">
    <cfRule type="cellIs" dxfId="6025" priority="65" stopIfTrue="1" operator="equal">
      <formula>"2 Add"</formula>
    </cfRule>
  </conditionalFormatting>
  <conditionalFormatting sqref="C23">
    <cfRule type="cellIs" dxfId="6024" priority="66" stopIfTrue="1" operator="equal">
      <formula>"3 Delete"</formula>
    </cfRule>
  </conditionalFormatting>
  <conditionalFormatting sqref="C24">
    <cfRule type="cellIs" dxfId="6023" priority="67" stopIfTrue="1" operator="equal">
      <formula>"1 Modify"</formula>
    </cfRule>
  </conditionalFormatting>
  <conditionalFormatting sqref="C24">
    <cfRule type="cellIs" dxfId="6022" priority="68" stopIfTrue="1" operator="equal">
      <formula>"2 Add"</formula>
    </cfRule>
  </conditionalFormatting>
  <conditionalFormatting sqref="C24">
    <cfRule type="cellIs" dxfId="6021" priority="69" stopIfTrue="1" operator="equal">
      <formula>"3 Delete"</formula>
    </cfRule>
  </conditionalFormatting>
  <conditionalFormatting sqref="C25">
    <cfRule type="cellIs" dxfId="6020" priority="70" stopIfTrue="1" operator="equal">
      <formula>"1 Modify"</formula>
    </cfRule>
  </conditionalFormatting>
  <conditionalFormatting sqref="C25">
    <cfRule type="cellIs" dxfId="6019" priority="71" stopIfTrue="1" operator="equal">
      <formula>"2 Add"</formula>
    </cfRule>
  </conditionalFormatting>
  <conditionalFormatting sqref="C25">
    <cfRule type="cellIs" dxfId="6018" priority="72" stopIfTrue="1" operator="equal">
      <formula>"3 Delete"</formula>
    </cfRule>
  </conditionalFormatting>
  <conditionalFormatting sqref="C26">
    <cfRule type="cellIs" dxfId="6017" priority="73" stopIfTrue="1" operator="equal">
      <formula>"1 Modify"</formula>
    </cfRule>
  </conditionalFormatting>
  <conditionalFormatting sqref="C26">
    <cfRule type="cellIs" dxfId="6016" priority="74" stopIfTrue="1" operator="equal">
      <formula>"2 Add"</formula>
    </cfRule>
  </conditionalFormatting>
  <conditionalFormatting sqref="C26">
    <cfRule type="cellIs" dxfId="6015" priority="75" stopIfTrue="1" operator="equal">
      <formula>"3 Delete"</formula>
    </cfRule>
  </conditionalFormatting>
  <conditionalFormatting sqref="C27">
    <cfRule type="cellIs" dxfId="6014" priority="76" stopIfTrue="1" operator="equal">
      <formula>"1 Modify"</formula>
    </cfRule>
  </conditionalFormatting>
  <conditionalFormatting sqref="C27">
    <cfRule type="cellIs" dxfId="6013" priority="77" stopIfTrue="1" operator="equal">
      <formula>"2 Add"</formula>
    </cfRule>
  </conditionalFormatting>
  <conditionalFormatting sqref="C27">
    <cfRule type="cellIs" dxfId="6012" priority="78" stopIfTrue="1" operator="equal">
      <formula>"3 Delete"</formula>
    </cfRule>
  </conditionalFormatting>
  <conditionalFormatting sqref="C28">
    <cfRule type="cellIs" dxfId="6011" priority="79" stopIfTrue="1" operator="equal">
      <formula>"1 Modify"</formula>
    </cfRule>
  </conditionalFormatting>
  <conditionalFormatting sqref="C28">
    <cfRule type="cellIs" dxfId="6010" priority="80" stopIfTrue="1" operator="equal">
      <formula>"2 Add"</formula>
    </cfRule>
  </conditionalFormatting>
  <conditionalFormatting sqref="C28">
    <cfRule type="cellIs" dxfId="6009" priority="81" stopIfTrue="1" operator="equal">
      <formula>"3 Delete"</formula>
    </cfRule>
  </conditionalFormatting>
  <conditionalFormatting sqref="C29">
    <cfRule type="cellIs" dxfId="6008" priority="82" stopIfTrue="1" operator="equal">
      <formula>"1 Modify"</formula>
    </cfRule>
  </conditionalFormatting>
  <conditionalFormatting sqref="C29">
    <cfRule type="cellIs" dxfId="6007" priority="83" stopIfTrue="1" operator="equal">
      <formula>"2 Add"</formula>
    </cfRule>
  </conditionalFormatting>
  <conditionalFormatting sqref="C29">
    <cfRule type="cellIs" dxfId="6006" priority="84" stopIfTrue="1" operator="equal">
      <formula>"3 Delete"</formula>
    </cfRule>
  </conditionalFormatting>
  <conditionalFormatting sqref="C30">
    <cfRule type="cellIs" dxfId="6005" priority="85" stopIfTrue="1" operator="equal">
      <formula>"1 Modify"</formula>
    </cfRule>
  </conditionalFormatting>
  <conditionalFormatting sqref="C30">
    <cfRule type="cellIs" dxfId="6004" priority="86" stopIfTrue="1" operator="equal">
      <formula>"2 Add"</formula>
    </cfRule>
  </conditionalFormatting>
  <conditionalFormatting sqref="C30">
    <cfRule type="cellIs" dxfId="6003" priority="87" stopIfTrue="1" operator="equal">
      <formula>"3 Delete"</formula>
    </cfRule>
  </conditionalFormatting>
  <conditionalFormatting sqref="C31">
    <cfRule type="cellIs" dxfId="6002" priority="88" stopIfTrue="1" operator="equal">
      <formula>"1 Modify"</formula>
    </cfRule>
  </conditionalFormatting>
  <conditionalFormatting sqref="C31">
    <cfRule type="cellIs" dxfId="6001" priority="89" stopIfTrue="1" operator="equal">
      <formula>"2 Add"</formula>
    </cfRule>
  </conditionalFormatting>
  <conditionalFormatting sqref="C31">
    <cfRule type="cellIs" dxfId="6000" priority="90" stopIfTrue="1" operator="equal">
      <formula>"3 Delete"</formula>
    </cfRule>
  </conditionalFormatting>
  <conditionalFormatting sqref="C32">
    <cfRule type="cellIs" dxfId="5999" priority="91" stopIfTrue="1" operator="equal">
      <formula>"1 Modify"</formula>
    </cfRule>
  </conditionalFormatting>
  <conditionalFormatting sqref="C32">
    <cfRule type="cellIs" dxfId="5998" priority="92" stopIfTrue="1" operator="equal">
      <formula>"2 Add"</formula>
    </cfRule>
  </conditionalFormatting>
  <conditionalFormatting sqref="C32">
    <cfRule type="cellIs" dxfId="5997" priority="93" stopIfTrue="1" operator="equal">
      <formula>"3 Delete"</formula>
    </cfRule>
  </conditionalFormatting>
  <conditionalFormatting sqref="C33">
    <cfRule type="cellIs" dxfId="5996" priority="94" stopIfTrue="1" operator="equal">
      <formula>"1 Modify"</formula>
    </cfRule>
  </conditionalFormatting>
  <conditionalFormatting sqref="C33">
    <cfRule type="cellIs" dxfId="5995" priority="95" stopIfTrue="1" operator="equal">
      <formula>"2 Add"</formula>
    </cfRule>
  </conditionalFormatting>
  <conditionalFormatting sqref="C33">
    <cfRule type="cellIs" dxfId="5994" priority="96" stopIfTrue="1" operator="equal">
      <formula>"3 Delete"</formula>
    </cfRule>
  </conditionalFormatting>
  <conditionalFormatting sqref="C34">
    <cfRule type="cellIs" dxfId="5993" priority="97" stopIfTrue="1" operator="equal">
      <formula>"1 Modify"</formula>
    </cfRule>
  </conditionalFormatting>
  <conditionalFormatting sqref="C34">
    <cfRule type="cellIs" dxfId="5992" priority="98" stopIfTrue="1" operator="equal">
      <formula>"2 Add"</formula>
    </cfRule>
  </conditionalFormatting>
  <conditionalFormatting sqref="C34">
    <cfRule type="cellIs" dxfId="5991" priority="99" stopIfTrue="1" operator="equal">
      <formula>"3 Delete"</formula>
    </cfRule>
  </conditionalFormatting>
  <conditionalFormatting sqref="C35">
    <cfRule type="cellIs" dxfId="5990" priority="100" stopIfTrue="1" operator="equal">
      <formula>"1 Modify"</formula>
    </cfRule>
  </conditionalFormatting>
  <conditionalFormatting sqref="C35">
    <cfRule type="cellIs" dxfId="5989" priority="101" stopIfTrue="1" operator="equal">
      <formula>"2 Add"</formula>
    </cfRule>
  </conditionalFormatting>
  <conditionalFormatting sqref="C35">
    <cfRule type="cellIs" dxfId="5988" priority="102" stopIfTrue="1" operator="equal">
      <formula>"3 Delete"</formula>
    </cfRule>
  </conditionalFormatting>
  <conditionalFormatting sqref="C36">
    <cfRule type="cellIs" dxfId="5987" priority="103" stopIfTrue="1" operator="equal">
      <formula>"1 Modify"</formula>
    </cfRule>
  </conditionalFormatting>
  <conditionalFormatting sqref="C36">
    <cfRule type="cellIs" dxfId="5986" priority="104" stopIfTrue="1" operator="equal">
      <formula>"2 Add"</formula>
    </cfRule>
  </conditionalFormatting>
  <conditionalFormatting sqref="C36">
    <cfRule type="cellIs" dxfId="5985" priority="105" stopIfTrue="1" operator="equal">
      <formula>"3 Delete"</formula>
    </cfRule>
  </conditionalFormatting>
  <conditionalFormatting sqref="C37">
    <cfRule type="cellIs" dxfId="5984" priority="106" stopIfTrue="1" operator="equal">
      <formula>"1 Modify"</formula>
    </cfRule>
  </conditionalFormatting>
  <conditionalFormatting sqref="C37">
    <cfRule type="cellIs" dxfId="5983" priority="107" stopIfTrue="1" operator="equal">
      <formula>"2 Add"</formula>
    </cfRule>
  </conditionalFormatting>
  <conditionalFormatting sqref="C37">
    <cfRule type="cellIs" dxfId="5982" priority="108" stopIfTrue="1" operator="equal">
      <formula>"3 Delete"</formula>
    </cfRule>
  </conditionalFormatting>
  <conditionalFormatting sqref="C38">
    <cfRule type="cellIs" dxfId="5981" priority="109" stopIfTrue="1" operator="equal">
      <formula>"1 Modify"</formula>
    </cfRule>
  </conditionalFormatting>
  <conditionalFormatting sqref="C38">
    <cfRule type="cellIs" dxfId="5980" priority="110" stopIfTrue="1" operator="equal">
      <formula>"2 Add"</formula>
    </cfRule>
  </conditionalFormatting>
  <conditionalFormatting sqref="C38">
    <cfRule type="cellIs" dxfId="5979" priority="111" stopIfTrue="1" operator="equal">
      <formula>"3 Delete"</formula>
    </cfRule>
  </conditionalFormatting>
  <conditionalFormatting sqref="C39">
    <cfRule type="cellIs" dxfId="5978" priority="112" stopIfTrue="1" operator="equal">
      <formula>"1 Modify"</formula>
    </cfRule>
  </conditionalFormatting>
  <conditionalFormatting sqref="C39">
    <cfRule type="cellIs" dxfId="5977" priority="113" stopIfTrue="1" operator="equal">
      <formula>"2 Add"</formula>
    </cfRule>
  </conditionalFormatting>
  <conditionalFormatting sqref="C39">
    <cfRule type="cellIs" dxfId="5976" priority="114" stopIfTrue="1" operator="equal">
      <formula>"3 Delete"</formula>
    </cfRule>
  </conditionalFormatting>
  <conditionalFormatting sqref="C40">
    <cfRule type="cellIs" dxfId="5975" priority="115" stopIfTrue="1" operator="equal">
      <formula>"1 Modify"</formula>
    </cfRule>
  </conditionalFormatting>
  <conditionalFormatting sqref="C40">
    <cfRule type="cellIs" dxfId="5974" priority="116" stopIfTrue="1" operator="equal">
      <formula>"2 Add"</formula>
    </cfRule>
  </conditionalFormatting>
  <conditionalFormatting sqref="C40">
    <cfRule type="cellIs" dxfId="5973" priority="117" stopIfTrue="1" operator="equal">
      <formula>"3 Delete"</formula>
    </cfRule>
  </conditionalFormatting>
  <conditionalFormatting sqref="C41">
    <cfRule type="cellIs" dxfId="5972" priority="118" stopIfTrue="1" operator="equal">
      <formula>"1 Modify"</formula>
    </cfRule>
  </conditionalFormatting>
  <conditionalFormatting sqref="C41">
    <cfRule type="cellIs" dxfId="5971" priority="119" stopIfTrue="1" operator="equal">
      <formula>"2 Add"</formula>
    </cfRule>
  </conditionalFormatting>
  <conditionalFormatting sqref="C41">
    <cfRule type="cellIs" dxfId="5970" priority="120" stopIfTrue="1" operator="equal">
      <formula>"3 Delete"</formula>
    </cfRule>
  </conditionalFormatting>
  <conditionalFormatting sqref="C42">
    <cfRule type="cellIs" dxfId="5969" priority="121" stopIfTrue="1" operator="equal">
      <formula>"1 Modify"</formula>
    </cfRule>
  </conditionalFormatting>
  <conditionalFormatting sqref="C42">
    <cfRule type="cellIs" dxfId="5968" priority="122" stopIfTrue="1" operator="equal">
      <formula>"2 Add"</formula>
    </cfRule>
  </conditionalFormatting>
  <conditionalFormatting sqref="C42">
    <cfRule type="cellIs" dxfId="5967" priority="123" stopIfTrue="1" operator="equal">
      <formula>"3 Delete"</formula>
    </cfRule>
  </conditionalFormatting>
  <conditionalFormatting sqref="C43">
    <cfRule type="cellIs" dxfId="5966" priority="124" stopIfTrue="1" operator="equal">
      <formula>"1 Modify"</formula>
    </cfRule>
  </conditionalFormatting>
  <conditionalFormatting sqref="C43">
    <cfRule type="cellIs" dxfId="5965" priority="125" stopIfTrue="1" operator="equal">
      <formula>"2 Add"</formula>
    </cfRule>
  </conditionalFormatting>
  <conditionalFormatting sqref="C43">
    <cfRule type="cellIs" dxfId="5964" priority="126" stopIfTrue="1" operator="equal">
      <formula>"3 Delete"</formula>
    </cfRule>
  </conditionalFormatting>
  <conditionalFormatting sqref="C44">
    <cfRule type="cellIs" dxfId="5963" priority="127" stopIfTrue="1" operator="equal">
      <formula>"1 Modify"</formula>
    </cfRule>
  </conditionalFormatting>
  <conditionalFormatting sqref="C44">
    <cfRule type="cellIs" dxfId="5962" priority="128" stopIfTrue="1" operator="equal">
      <formula>"2 Add"</formula>
    </cfRule>
  </conditionalFormatting>
  <conditionalFormatting sqref="C44">
    <cfRule type="cellIs" dxfId="5961" priority="129" stopIfTrue="1" operator="equal">
      <formula>"3 Delete"</formula>
    </cfRule>
  </conditionalFormatting>
  <conditionalFormatting sqref="C45">
    <cfRule type="cellIs" dxfId="5960" priority="130" stopIfTrue="1" operator="equal">
      <formula>"1 Modify"</formula>
    </cfRule>
  </conditionalFormatting>
  <conditionalFormatting sqref="C45">
    <cfRule type="cellIs" dxfId="5959" priority="131" stopIfTrue="1" operator="equal">
      <formula>"2 Add"</formula>
    </cfRule>
  </conditionalFormatting>
  <conditionalFormatting sqref="C45">
    <cfRule type="cellIs" dxfId="5958" priority="132" stopIfTrue="1" operator="equal">
      <formula>"3 Delete"</formula>
    </cfRule>
  </conditionalFormatting>
  <conditionalFormatting sqref="C46">
    <cfRule type="cellIs" dxfId="5957" priority="133" stopIfTrue="1" operator="equal">
      <formula>"1 Modify"</formula>
    </cfRule>
  </conditionalFormatting>
  <conditionalFormatting sqref="C46">
    <cfRule type="cellIs" dxfId="5956" priority="134" stopIfTrue="1" operator="equal">
      <formula>"2 Add"</formula>
    </cfRule>
  </conditionalFormatting>
  <conditionalFormatting sqref="C46">
    <cfRule type="cellIs" dxfId="5955" priority="135" stopIfTrue="1" operator="equal">
      <formula>"3 Delete"</formula>
    </cfRule>
  </conditionalFormatting>
  <conditionalFormatting sqref="C47">
    <cfRule type="cellIs" dxfId="5954" priority="136" stopIfTrue="1" operator="equal">
      <formula>"1 Modify"</formula>
    </cfRule>
  </conditionalFormatting>
  <conditionalFormatting sqref="C47">
    <cfRule type="cellIs" dxfId="5953" priority="137" stopIfTrue="1" operator="equal">
      <formula>"2 Add"</formula>
    </cfRule>
  </conditionalFormatting>
  <conditionalFormatting sqref="C47">
    <cfRule type="cellIs" dxfId="5952" priority="138" stopIfTrue="1" operator="equal">
      <formula>"3 Delete"</formula>
    </cfRule>
  </conditionalFormatting>
  <conditionalFormatting sqref="C48">
    <cfRule type="cellIs" dxfId="5951" priority="139" stopIfTrue="1" operator="equal">
      <formula>"1 Modify"</formula>
    </cfRule>
  </conditionalFormatting>
  <conditionalFormatting sqref="C48">
    <cfRule type="cellIs" dxfId="5950" priority="140" stopIfTrue="1" operator="equal">
      <formula>"2 Add"</formula>
    </cfRule>
  </conditionalFormatting>
  <conditionalFormatting sqref="C48">
    <cfRule type="cellIs" dxfId="5949" priority="141" stopIfTrue="1" operator="equal">
      <formula>"3 Delete"</formula>
    </cfRule>
  </conditionalFormatting>
  <conditionalFormatting sqref="C49">
    <cfRule type="cellIs" dxfId="5948" priority="142" stopIfTrue="1" operator="equal">
      <formula>"1 Modify"</formula>
    </cfRule>
  </conditionalFormatting>
  <conditionalFormatting sqref="C49">
    <cfRule type="cellIs" dxfId="5947" priority="143" stopIfTrue="1" operator="equal">
      <formula>"2 Add"</formula>
    </cfRule>
  </conditionalFormatting>
  <conditionalFormatting sqref="C49">
    <cfRule type="cellIs" dxfId="5946" priority="144" stopIfTrue="1" operator="equal">
      <formula>"3 Delete"</formula>
    </cfRule>
  </conditionalFormatting>
  <conditionalFormatting sqref="C50">
    <cfRule type="cellIs" dxfId="5945" priority="145" stopIfTrue="1" operator="equal">
      <formula>"1 Modify"</formula>
    </cfRule>
  </conditionalFormatting>
  <conditionalFormatting sqref="C50">
    <cfRule type="cellIs" dxfId="5944" priority="146" stopIfTrue="1" operator="equal">
      <formula>"2 Add"</formula>
    </cfRule>
  </conditionalFormatting>
  <conditionalFormatting sqref="C50">
    <cfRule type="cellIs" dxfId="5943" priority="147" stopIfTrue="1" operator="equal">
      <formula>"3 Delete"</formula>
    </cfRule>
  </conditionalFormatting>
  <conditionalFormatting sqref="C51">
    <cfRule type="cellIs" dxfId="5942" priority="148" stopIfTrue="1" operator="equal">
      <formula>"1 Modify"</formula>
    </cfRule>
  </conditionalFormatting>
  <conditionalFormatting sqref="C51">
    <cfRule type="cellIs" dxfId="5941" priority="149" stopIfTrue="1" operator="equal">
      <formula>"2 Add"</formula>
    </cfRule>
  </conditionalFormatting>
  <conditionalFormatting sqref="C51">
    <cfRule type="cellIs" dxfId="5940" priority="150" stopIfTrue="1" operator="equal">
      <formula>"3 Delete"</formula>
    </cfRule>
  </conditionalFormatting>
  <conditionalFormatting sqref="C52">
    <cfRule type="cellIs" dxfId="5939" priority="151" stopIfTrue="1" operator="equal">
      <formula>"1 Modify"</formula>
    </cfRule>
  </conditionalFormatting>
  <conditionalFormatting sqref="C52">
    <cfRule type="cellIs" dxfId="5938" priority="152" stopIfTrue="1" operator="equal">
      <formula>"2 Add"</formula>
    </cfRule>
  </conditionalFormatting>
  <conditionalFormatting sqref="C52">
    <cfRule type="cellIs" dxfId="5937" priority="153" stopIfTrue="1" operator="equal">
      <formula>"3 Delete"</formula>
    </cfRule>
  </conditionalFormatting>
  <conditionalFormatting sqref="C53">
    <cfRule type="cellIs" dxfId="5936" priority="154" stopIfTrue="1" operator="equal">
      <formula>"1 Modify"</formula>
    </cfRule>
  </conditionalFormatting>
  <conditionalFormatting sqref="C53">
    <cfRule type="cellIs" dxfId="5935" priority="155" stopIfTrue="1" operator="equal">
      <formula>"2 Add"</formula>
    </cfRule>
  </conditionalFormatting>
  <conditionalFormatting sqref="C53">
    <cfRule type="cellIs" dxfId="5934" priority="156" stopIfTrue="1" operator="equal">
      <formula>"3 Delete"</formula>
    </cfRule>
  </conditionalFormatting>
  <conditionalFormatting sqref="C54">
    <cfRule type="cellIs" dxfId="5933" priority="157" stopIfTrue="1" operator="equal">
      <formula>"1 Modify"</formula>
    </cfRule>
  </conditionalFormatting>
  <conditionalFormatting sqref="C54">
    <cfRule type="cellIs" dxfId="5932" priority="158" stopIfTrue="1" operator="equal">
      <formula>"2 Add"</formula>
    </cfRule>
  </conditionalFormatting>
  <conditionalFormatting sqref="C54">
    <cfRule type="cellIs" dxfId="5931" priority="159" stopIfTrue="1" operator="equal">
      <formula>"3 Delete"</formula>
    </cfRule>
  </conditionalFormatting>
  <conditionalFormatting sqref="C55">
    <cfRule type="cellIs" dxfId="5930" priority="160" stopIfTrue="1" operator="equal">
      <formula>"1 Modify"</formula>
    </cfRule>
  </conditionalFormatting>
  <conditionalFormatting sqref="C55">
    <cfRule type="cellIs" dxfId="5929" priority="161" stopIfTrue="1" operator="equal">
      <formula>"2 Add"</formula>
    </cfRule>
  </conditionalFormatting>
  <conditionalFormatting sqref="C55">
    <cfRule type="cellIs" dxfId="5928" priority="162" stopIfTrue="1" operator="equal">
      <formula>"3 Delete"</formula>
    </cfRule>
  </conditionalFormatting>
  <conditionalFormatting sqref="C56">
    <cfRule type="cellIs" dxfId="5927" priority="163" stopIfTrue="1" operator="equal">
      <formula>"1 Modify"</formula>
    </cfRule>
  </conditionalFormatting>
  <conditionalFormatting sqref="C56">
    <cfRule type="cellIs" dxfId="5926" priority="164" stopIfTrue="1" operator="equal">
      <formula>"2 Add"</formula>
    </cfRule>
  </conditionalFormatting>
  <conditionalFormatting sqref="C56">
    <cfRule type="cellIs" dxfId="5925" priority="165" stopIfTrue="1" operator="equal">
      <formula>"3 Delete"</formula>
    </cfRule>
  </conditionalFormatting>
  <conditionalFormatting sqref="C57">
    <cfRule type="cellIs" dxfId="5924" priority="166" stopIfTrue="1" operator="equal">
      <formula>"1 Modify"</formula>
    </cfRule>
  </conditionalFormatting>
  <conditionalFormatting sqref="C57">
    <cfRule type="cellIs" dxfId="5923" priority="167" stopIfTrue="1" operator="equal">
      <formula>"2 Add"</formula>
    </cfRule>
  </conditionalFormatting>
  <conditionalFormatting sqref="C57">
    <cfRule type="cellIs" dxfId="5922" priority="168" stopIfTrue="1" operator="equal">
      <formula>"3 Delete"</formula>
    </cfRule>
  </conditionalFormatting>
  <conditionalFormatting sqref="C58">
    <cfRule type="cellIs" dxfId="5921" priority="169" stopIfTrue="1" operator="equal">
      <formula>"1 Modify"</formula>
    </cfRule>
  </conditionalFormatting>
  <conditionalFormatting sqref="C58">
    <cfRule type="cellIs" dxfId="5920" priority="170" stopIfTrue="1" operator="equal">
      <formula>"2 Add"</formula>
    </cfRule>
  </conditionalFormatting>
  <conditionalFormatting sqref="C58">
    <cfRule type="cellIs" dxfId="5919" priority="171" stopIfTrue="1" operator="equal">
      <formula>"3 Delete"</formula>
    </cfRule>
  </conditionalFormatting>
  <conditionalFormatting sqref="C59">
    <cfRule type="cellIs" dxfId="5918" priority="172" stopIfTrue="1" operator="equal">
      <formula>"1 Modify"</formula>
    </cfRule>
  </conditionalFormatting>
  <conditionalFormatting sqref="C59">
    <cfRule type="cellIs" dxfId="5917" priority="173" stopIfTrue="1" operator="equal">
      <formula>"2 Add"</formula>
    </cfRule>
  </conditionalFormatting>
  <conditionalFormatting sqref="C59">
    <cfRule type="cellIs" dxfId="5916" priority="174" stopIfTrue="1" operator="equal">
      <formula>"3 Delete"</formula>
    </cfRule>
  </conditionalFormatting>
  <conditionalFormatting sqref="C60">
    <cfRule type="cellIs" dxfId="5915" priority="175" stopIfTrue="1" operator="equal">
      <formula>"1 Modify"</formula>
    </cfRule>
  </conditionalFormatting>
  <conditionalFormatting sqref="C60">
    <cfRule type="cellIs" dxfId="5914" priority="176" stopIfTrue="1" operator="equal">
      <formula>"2 Add"</formula>
    </cfRule>
  </conditionalFormatting>
  <conditionalFormatting sqref="C60">
    <cfRule type="cellIs" dxfId="5913" priority="177" stopIfTrue="1" operator="equal">
      <formula>"3 Delete"</formula>
    </cfRule>
  </conditionalFormatting>
  <conditionalFormatting sqref="C61">
    <cfRule type="cellIs" dxfId="5912" priority="178" stopIfTrue="1" operator="equal">
      <formula>"1 Modify"</formula>
    </cfRule>
  </conditionalFormatting>
  <conditionalFormatting sqref="C61">
    <cfRule type="cellIs" dxfId="5911" priority="179" stopIfTrue="1" operator="equal">
      <formula>"2 Add"</formula>
    </cfRule>
  </conditionalFormatting>
  <conditionalFormatting sqref="C61">
    <cfRule type="cellIs" dxfId="5910" priority="180" stopIfTrue="1" operator="equal">
      <formula>"3 Delete"</formula>
    </cfRule>
  </conditionalFormatting>
  <conditionalFormatting sqref="C62">
    <cfRule type="cellIs" dxfId="5909" priority="181" stopIfTrue="1" operator="equal">
      <formula>"1 Modify"</formula>
    </cfRule>
  </conditionalFormatting>
  <conditionalFormatting sqref="C62">
    <cfRule type="cellIs" dxfId="5908" priority="182" stopIfTrue="1" operator="equal">
      <formula>"2 Add"</formula>
    </cfRule>
  </conditionalFormatting>
  <conditionalFormatting sqref="C62">
    <cfRule type="cellIs" dxfId="5907" priority="183" stopIfTrue="1" operator="equal">
      <formula>"3 Delete"</formula>
    </cfRule>
  </conditionalFormatting>
  <conditionalFormatting sqref="C63">
    <cfRule type="cellIs" dxfId="5906" priority="184" stopIfTrue="1" operator="equal">
      <formula>"1 Modify"</formula>
    </cfRule>
  </conditionalFormatting>
  <conditionalFormatting sqref="C63">
    <cfRule type="cellIs" dxfId="5905" priority="185" stopIfTrue="1" operator="equal">
      <formula>"2 Add"</formula>
    </cfRule>
  </conditionalFormatting>
  <conditionalFormatting sqref="C63">
    <cfRule type="cellIs" dxfId="5904" priority="186" stopIfTrue="1" operator="equal">
      <formula>"3 Delete"</formula>
    </cfRule>
  </conditionalFormatting>
  <conditionalFormatting sqref="C64">
    <cfRule type="cellIs" dxfId="5903" priority="187" stopIfTrue="1" operator="equal">
      <formula>"1 Modify"</formula>
    </cfRule>
  </conditionalFormatting>
  <conditionalFormatting sqref="C64">
    <cfRule type="cellIs" dxfId="5902" priority="188" stopIfTrue="1" operator="equal">
      <formula>"2 Add"</formula>
    </cfRule>
  </conditionalFormatting>
  <conditionalFormatting sqref="C64">
    <cfRule type="cellIs" dxfId="5901" priority="189" stopIfTrue="1" operator="equal">
      <formula>"3 Delete"</formula>
    </cfRule>
  </conditionalFormatting>
  <conditionalFormatting sqref="C65">
    <cfRule type="cellIs" dxfId="5900" priority="190" stopIfTrue="1" operator="equal">
      <formula>"1 Modify"</formula>
    </cfRule>
  </conditionalFormatting>
  <conditionalFormatting sqref="C65">
    <cfRule type="cellIs" dxfId="5899" priority="191" stopIfTrue="1" operator="equal">
      <formula>"2 Add"</formula>
    </cfRule>
  </conditionalFormatting>
  <conditionalFormatting sqref="C65">
    <cfRule type="cellIs" dxfId="5898" priority="192" stopIfTrue="1" operator="equal">
      <formula>"3 Delete"</formula>
    </cfRule>
  </conditionalFormatting>
  <conditionalFormatting sqref="C66">
    <cfRule type="cellIs" dxfId="5897" priority="193" stopIfTrue="1" operator="equal">
      <formula>"1 Modify"</formula>
    </cfRule>
  </conditionalFormatting>
  <conditionalFormatting sqref="C66">
    <cfRule type="cellIs" dxfId="5896" priority="194" stopIfTrue="1" operator="equal">
      <formula>"2 Add"</formula>
    </cfRule>
  </conditionalFormatting>
  <conditionalFormatting sqref="C66">
    <cfRule type="cellIs" dxfId="5895" priority="195" stopIfTrue="1" operator="equal">
      <formula>"3 Delete"</formula>
    </cfRule>
  </conditionalFormatting>
  <conditionalFormatting sqref="C67">
    <cfRule type="cellIs" dxfId="5894" priority="196" stopIfTrue="1" operator="equal">
      <formula>"1 Modify"</formula>
    </cfRule>
  </conditionalFormatting>
  <conditionalFormatting sqref="C67">
    <cfRule type="cellIs" dxfId="5893" priority="197" stopIfTrue="1" operator="equal">
      <formula>"2 Add"</formula>
    </cfRule>
  </conditionalFormatting>
  <conditionalFormatting sqref="C67">
    <cfRule type="cellIs" dxfId="5892" priority="198" stopIfTrue="1" operator="equal">
      <formula>"3 Delete"</formula>
    </cfRule>
  </conditionalFormatting>
  <conditionalFormatting sqref="C68">
    <cfRule type="cellIs" dxfId="5891" priority="199" stopIfTrue="1" operator="equal">
      <formula>"1 Modify"</formula>
    </cfRule>
  </conditionalFormatting>
  <conditionalFormatting sqref="C68">
    <cfRule type="cellIs" dxfId="5890" priority="200" stopIfTrue="1" operator="equal">
      <formula>"2 Add"</formula>
    </cfRule>
  </conditionalFormatting>
  <conditionalFormatting sqref="C68">
    <cfRule type="cellIs" dxfId="5889" priority="201" stopIfTrue="1" operator="equal">
      <formula>"3 Delete"</formula>
    </cfRule>
  </conditionalFormatting>
  <conditionalFormatting sqref="C69">
    <cfRule type="cellIs" dxfId="5888" priority="202" stopIfTrue="1" operator="equal">
      <formula>"1 Modify"</formula>
    </cfRule>
  </conditionalFormatting>
  <conditionalFormatting sqref="C69">
    <cfRule type="cellIs" dxfId="5887" priority="203" stopIfTrue="1" operator="equal">
      <formula>"2 Add"</formula>
    </cfRule>
  </conditionalFormatting>
  <conditionalFormatting sqref="C69">
    <cfRule type="cellIs" dxfId="5886" priority="204" stopIfTrue="1" operator="equal">
      <formula>"3 Delete"</formula>
    </cfRule>
  </conditionalFormatting>
  <conditionalFormatting sqref="C70">
    <cfRule type="cellIs" dxfId="5885" priority="205" stopIfTrue="1" operator="equal">
      <formula>"1 Modify"</formula>
    </cfRule>
  </conditionalFormatting>
  <conditionalFormatting sqref="C70">
    <cfRule type="cellIs" dxfId="5884" priority="206" stopIfTrue="1" operator="equal">
      <formula>"2 Add"</formula>
    </cfRule>
  </conditionalFormatting>
  <conditionalFormatting sqref="C70">
    <cfRule type="cellIs" dxfId="5883" priority="207" stopIfTrue="1" operator="equal">
      <formula>"3 Delete"</formula>
    </cfRule>
  </conditionalFormatting>
  <conditionalFormatting sqref="C71">
    <cfRule type="cellIs" dxfId="5882" priority="208" stopIfTrue="1" operator="equal">
      <formula>"1 Modify"</formula>
    </cfRule>
  </conditionalFormatting>
  <conditionalFormatting sqref="C71">
    <cfRule type="cellIs" dxfId="5881" priority="209" stopIfTrue="1" operator="equal">
      <formula>"2 Add"</formula>
    </cfRule>
  </conditionalFormatting>
  <conditionalFormatting sqref="C71">
    <cfRule type="cellIs" dxfId="5880" priority="210" stopIfTrue="1" operator="equal">
      <formula>"3 Delete"</formula>
    </cfRule>
  </conditionalFormatting>
  <conditionalFormatting sqref="C72">
    <cfRule type="cellIs" dxfId="5879" priority="211" stopIfTrue="1" operator="equal">
      <formula>"1 Modify"</formula>
    </cfRule>
  </conditionalFormatting>
  <conditionalFormatting sqref="C72">
    <cfRule type="cellIs" dxfId="5878" priority="212" stopIfTrue="1" operator="equal">
      <formula>"2 Add"</formula>
    </cfRule>
  </conditionalFormatting>
  <conditionalFormatting sqref="C72">
    <cfRule type="cellIs" dxfId="5877" priority="213" stopIfTrue="1" operator="equal">
      <formula>"3 Delete"</formula>
    </cfRule>
  </conditionalFormatting>
  <conditionalFormatting sqref="C73">
    <cfRule type="cellIs" dxfId="5876" priority="214" stopIfTrue="1" operator="equal">
      <formula>"1 Modify"</formula>
    </cfRule>
  </conditionalFormatting>
  <conditionalFormatting sqref="C73">
    <cfRule type="cellIs" dxfId="5875" priority="215" stopIfTrue="1" operator="equal">
      <formula>"2 Add"</formula>
    </cfRule>
  </conditionalFormatting>
  <conditionalFormatting sqref="C73">
    <cfRule type="cellIs" dxfId="5874" priority="216" stopIfTrue="1" operator="equal">
      <formula>"3 Delete"</formula>
    </cfRule>
  </conditionalFormatting>
  <conditionalFormatting sqref="C74">
    <cfRule type="cellIs" dxfId="5873" priority="217" stopIfTrue="1" operator="equal">
      <formula>"1 Modify"</formula>
    </cfRule>
  </conditionalFormatting>
  <conditionalFormatting sqref="C74">
    <cfRule type="cellIs" dxfId="5872" priority="218" stopIfTrue="1" operator="equal">
      <formula>"2 Add"</formula>
    </cfRule>
  </conditionalFormatting>
  <conditionalFormatting sqref="C74">
    <cfRule type="cellIs" dxfId="5871" priority="219" stopIfTrue="1" operator="equal">
      <formula>"3 Delete"</formula>
    </cfRule>
  </conditionalFormatting>
  <conditionalFormatting sqref="C75">
    <cfRule type="cellIs" dxfId="5870" priority="220" stopIfTrue="1" operator="equal">
      <formula>"1 Modify"</formula>
    </cfRule>
  </conditionalFormatting>
  <conditionalFormatting sqref="C75">
    <cfRule type="cellIs" dxfId="5869" priority="221" stopIfTrue="1" operator="equal">
      <formula>"2 Add"</formula>
    </cfRule>
  </conditionalFormatting>
  <conditionalFormatting sqref="C75">
    <cfRule type="cellIs" dxfId="5868" priority="222" stopIfTrue="1" operator="equal">
      <formula>"3 Delete"</formula>
    </cfRule>
  </conditionalFormatting>
  <conditionalFormatting sqref="C76">
    <cfRule type="cellIs" dxfId="5867" priority="223" stopIfTrue="1" operator="equal">
      <formula>"1 Modify"</formula>
    </cfRule>
  </conditionalFormatting>
  <conditionalFormatting sqref="C76">
    <cfRule type="cellIs" dxfId="5866" priority="224" stopIfTrue="1" operator="equal">
      <formula>"2 Add"</formula>
    </cfRule>
  </conditionalFormatting>
  <conditionalFormatting sqref="C76">
    <cfRule type="cellIs" dxfId="5865" priority="225" stopIfTrue="1" operator="equal">
      <formula>"3 Delete"</formula>
    </cfRule>
  </conditionalFormatting>
  <conditionalFormatting sqref="C77">
    <cfRule type="cellIs" dxfId="5864" priority="226" stopIfTrue="1" operator="equal">
      <formula>"1 Modify"</formula>
    </cfRule>
  </conditionalFormatting>
  <conditionalFormatting sqref="C77">
    <cfRule type="cellIs" dxfId="5863" priority="227" stopIfTrue="1" operator="equal">
      <formula>"2 Add"</formula>
    </cfRule>
  </conditionalFormatting>
  <conditionalFormatting sqref="C77">
    <cfRule type="cellIs" dxfId="5862" priority="228" stopIfTrue="1" operator="equal">
      <formula>"3 Delete"</formula>
    </cfRule>
  </conditionalFormatting>
  <conditionalFormatting sqref="C78">
    <cfRule type="cellIs" dxfId="5861" priority="229" stopIfTrue="1" operator="equal">
      <formula>"1 Modify"</formula>
    </cfRule>
  </conditionalFormatting>
  <conditionalFormatting sqref="C78">
    <cfRule type="cellIs" dxfId="5860" priority="230" stopIfTrue="1" operator="equal">
      <formula>"2 Add"</formula>
    </cfRule>
  </conditionalFormatting>
  <conditionalFormatting sqref="C78">
    <cfRule type="cellIs" dxfId="5859" priority="231" stopIfTrue="1" operator="equal">
      <formula>"3 Delete"</formula>
    </cfRule>
  </conditionalFormatting>
  <conditionalFormatting sqref="C79">
    <cfRule type="cellIs" dxfId="5858" priority="232" stopIfTrue="1" operator="equal">
      <formula>"1 Modify"</formula>
    </cfRule>
  </conditionalFormatting>
  <conditionalFormatting sqref="C79">
    <cfRule type="cellIs" dxfId="5857" priority="233" stopIfTrue="1" operator="equal">
      <formula>"2 Add"</formula>
    </cfRule>
  </conditionalFormatting>
  <conditionalFormatting sqref="C79">
    <cfRule type="cellIs" dxfId="5856" priority="234" stopIfTrue="1" operator="equal">
      <formula>"3 Delete"</formula>
    </cfRule>
  </conditionalFormatting>
  <conditionalFormatting sqref="C80">
    <cfRule type="cellIs" dxfId="5855" priority="235" stopIfTrue="1" operator="equal">
      <formula>"1 Modify"</formula>
    </cfRule>
  </conditionalFormatting>
  <conditionalFormatting sqref="C80">
    <cfRule type="cellIs" dxfId="5854" priority="236" stopIfTrue="1" operator="equal">
      <formula>"2 Add"</formula>
    </cfRule>
  </conditionalFormatting>
  <conditionalFormatting sqref="C80">
    <cfRule type="cellIs" dxfId="5853" priority="237" stopIfTrue="1" operator="equal">
      <formula>"3 Delete"</formula>
    </cfRule>
  </conditionalFormatting>
  <conditionalFormatting sqref="C81">
    <cfRule type="cellIs" dxfId="5852" priority="238" stopIfTrue="1" operator="equal">
      <formula>"1 Modify"</formula>
    </cfRule>
  </conditionalFormatting>
  <conditionalFormatting sqref="C81">
    <cfRule type="cellIs" dxfId="5851" priority="239" stopIfTrue="1" operator="equal">
      <formula>"2 Add"</formula>
    </cfRule>
  </conditionalFormatting>
  <conditionalFormatting sqref="C81">
    <cfRule type="cellIs" dxfId="5850" priority="240" stopIfTrue="1" operator="equal">
      <formula>"3 Delete"</formula>
    </cfRule>
  </conditionalFormatting>
  <conditionalFormatting sqref="C82">
    <cfRule type="cellIs" dxfId="5849" priority="241" stopIfTrue="1" operator="equal">
      <formula>"1 Modify"</formula>
    </cfRule>
  </conditionalFormatting>
  <conditionalFormatting sqref="C82">
    <cfRule type="cellIs" dxfId="5848" priority="242" stopIfTrue="1" operator="equal">
      <formula>"2 Add"</formula>
    </cfRule>
  </conditionalFormatting>
  <conditionalFormatting sqref="C82">
    <cfRule type="cellIs" dxfId="5847" priority="243" stopIfTrue="1" operator="equal">
      <formula>"3 Delete"</formula>
    </cfRule>
  </conditionalFormatting>
  <conditionalFormatting sqref="C83">
    <cfRule type="cellIs" dxfId="5846" priority="244" stopIfTrue="1" operator="equal">
      <formula>"1 Modify"</formula>
    </cfRule>
  </conditionalFormatting>
  <conditionalFormatting sqref="C83">
    <cfRule type="cellIs" dxfId="5845" priority="245" stopIfTrue="1" operator="equal">
      <formula>"2 Add"</formula>
    </cfRule>
  </conditionalFormatting>
  <conditionalFormatting sqref="C83">
    <cfRule type="cellIs" dxfId="5844" priority="246" stopIfTrue="1" operator="equal">
      <formula>"3 Delete"</formula>
    </cfRule>
  </conditionalFormatting>
  <conditionalFormatting sqref="C84">
    <cfRule type="cellIs" dxfId="5843" priority="247" stopIfTrue="1" operator="equal">
      <formula>"1 Modify"</formula>
    </cfRule>
  </conditionalFormatting>
  <conditionalFormatting sqref="C84">
    <cfRule type="cellIs" dxfId="5842" priority="248" stopIfTrue="1" operator="equal">
      <formula>"2 Add"</formula>
    </cfRule>
  </conditionalFormatting>
  <conditionalFormatting sqref="C84">
    <cfRule type="cellIs" dxfId="5841" priority="249" stopIfTrue="1" operator="equal">
      <formula>"3 Delete"</formula>
    </cfRule>
  </conditionalFormatting>
  <conditionalFormatting sqref="C85">
    <cfRule type="cellIs" dxfId="5840" priority="250" stopIfTrue="1" operator="equal">
      <formula>"1 Modify"</formula>
    </cfRule>
  </conditionalFormatting>
  <conditionalFormatting sqref="C85">
    <cfRule type="cellIs" dxfId="5839" priority="251" stopIfTrue="1" operator="equal">
      <formula>"2 Add"</formula>
    </cfRule>
  </conditionalFormatting>
  <conditionalFormatting sqref="C85">
    <cfRule type="cellIs" dxfId="5838" priority="252" stopIfTrue="1" operator="equal">
      <formula>"3 Delete"</formula>
    </cfRule>
  </conditionalFormatting>
  <conditionalFormatting sqref="C86">
    <cfRule type="cellIs" dxfId="5837" priority="253" stopIfTrue="1" operator="equal">
      <formula>"1 Modify"</formula>
    </cfRule>
  </conditionalFormatting>
  <conditionalFormatting sqref="C86">
    <cfRule type="cellIs" dxfId="5836" priority="254" stopIfTrue="1" operator="equal">
      <formula>"2 Add"</formula>
    </cfRule>
  </conditionalFormatting>
  <conditionalFormatting sqref="C86">
    <cfRule type="cellIs" dxfId="5835" priority="255" stopIfTrue="1" operator="equal">
      <formula>"3 Delete"</formula>
    </cfRule>
  </conditionalFormatting>
  <conditionalFormatting sqref="C87">
    <cfRule type="cellIs" dxfId="5834" priority="256" stopIfTrue="1" operator="equal">
      <formula>"1 Modify"</formula>
    </cfRule>
  </conditionalFormatting>
  <conditionalFormatting sqref="C87">
    <cfRule type="cellIs" dxfId="5833" priority="257" stopIfTrue="1" operator="equal">
      <formula>"2 Add"</formula>
    </cfRule>
  </conditionalFormatting>
  <conditionalFormatting sqref="C87">
    <cfRule type="cellIs" dxfId="5832" priority="258" stopIfTrue="1" operator="equal">
      <formula>"3 Delete"</formula>
    </cfRule>
  </conditionalFormatting>
  <conditionalFormatting sqref="C88">
    <cfRule type="cellIs" dxfId="5831" priority="259" stopIfTrue="1" operator="equal">
      <formula>"1 Modify"</formula>
    </cfRule>
  </conditionalFormatting>
  <conditionalFormatting sqref="C88">
    <cfRule type="cellIs" dxfId="5830" priority="260" stopIfTrue="1" operator="equal">
      <formula>"2 Add"</formula>
    </cfRule>
  </conditionalFormatting>
  <conditionalFormatting sqref="C88">
    <cfRule type="cellIs" dxfId="5829" priority="261" stopIfTrue="1" operator="equal">
      <formula>"3 Delete"</formula>
    </cfRule>
  </conditionalFormatting>
  <conditionalFormatting sqref="C89">
    <cfRule type="cellIs" dxfId="5828" priority="262" stopIfTrue="1" operator="equal">
      <formula>"1 Modify"</formula>
    </cfRule>
  </conditionalFormatting>
  <conditionalFormatting sqref="C89">
    <cfRule type="cellIs" dxfId="5827" priority="263" stopIfTrue="1" operator="equal">
      <formula>"2 Add"</formula>
    </cfRule>
  </conditionalFormatting>
  <conditionalFormatting sqref="C89">
    <cfRule type="cellIs" dxfId="5826" priority="264" stopIfTrue="1" operator="equal">
      <formula>"3 Delete"</formula>
    </cfRule>
  </conditionalFormatting>
  <conditionalFormatting sqref="C90">
    <cfRule type="cellIs" dxfId="5825" priority="265" stopIfTrue="1" operator="equal">
      <formula>"1 Modify"</formula>
    </cfRule>
  </conditionalFormatting>
  <conditionalFormatting sqref="C90">
    <cfRule type="cellIs" dxfId="5824" priority="266" stopIfTrue="1" operator="equal">
      <formula>"2 Add"</formula>
    </cfRule>
  </conditionalFormatting>
  <conditionalFormatting sqref="C90">
    <cfRule type="cellIs" dxfId="5823" priority="267" stopIfTrue="1" operator="equal">
      <formula>"3 Delete"</formula>
    </cfRule>
  </conditionalFormatting>
  <conditionalFormatting sqref="C91">
    <cfRule type="cellIs" dxfId="5822" priority="268" stopIfTrue="1" operator="equal">
      <formula>"1 Modify"</formula>
    </cfRule>
  </conditionalFormatting>
  <conditionalFormatting sqref="C91">
    <cfRule type="cellIs" dxfId="5821" priority="269" stopIfTrue="1" operator="equal">
      <formula>"2 Add"</formula>
    </cfRule>
  </conditionalFormatting>
  <conditionalFormatting sqref="C91">
    <cfRule type="cellIs" dxfId="5820" priority="270" stopIfTrue="1" operator="equal">
      <formula>"3 Delete"</formula>
    </cfRule>
  </conditionalFormatting>
  <conditionalFormatting sqref="C92">
    <cfRule type="cellIs" dxfId="5819" priority="271" stopIfTrue="1" operator="equal">
      <formula>"1 Modify"</formula>
    </cfRule>
  </conditionalFormatting>
  <conditionalFormatting sqref="C92">
    <cfRule type="cellIs" dxfId="5818" priority="272" stopIfTrue="1" operator="equal">
      <formula>"2 Add"</formula>
    </cfRule>
  </conditionalFormatting>
  <conditionalFormatting sqref="C92">
    <cfRule type="cellIs" dxfId="5817" priority="273" stopIfTrue="1" operator="equal">
      <formula>"3 Delete"</formula>
    </cfRule>
  </conditionalFormatting>
  <conditionalFormatting sqref="C93">
    <cfRule type="cellIs" dxfId="5816" priority="274" stopIfTrue="1" operator="equal">
      <formula>"1 Modify"</formula>
    </cfRule>
  </conditionalFormatting>
  <conditionalFormatting sqref="C93">
    <cfRule type="cellIs" dxfId="5815" priority="275" stopIfTrue="1" operator="equal">
      <formula>"2 Add"</formula>
    </cfRule>
  </conditionalFormatting>
  <conditionalFormatting sqref="C93">
    <cfRule type="cellIs" dxfId="5814" priority="276" stopIfTrue="1" operator="equal">
      <formula>"3 Delete"</formula>
    </cfRule>
  </conditionalFormatting>
  <conditionalFormatting sqref="C94">
    <cfRule type="cellIs" dxfId="5813" priority="277" stopIfTrue="1" operator="equal">
      <formula>"1 Modify"</formula>
    </cfRule>
  </conditionalFormatting>
  <conditionalFormatting sqref="C94">
    <cfRule type="cellIs" dxfId="5812" priority="278" stopIfTrue="1" operator="equal">
      <formula>"2 Add"</formula>
    </cfRule>
  </conditionalFormatting>
  <conditionalFormatting sqref="C94">
    <cfRule type="cellIs" dxfId="5811" priority="279" stopIfTrue="1" operator="equal">
      <formula>"3 Delete"</formula>
    </cfRule>
  </conditionalFormatting>
  <conditionalFormatting sqref="C95">
    <cfRule type="cellIs" dxfId="5810" priority="280" stopIfTrue="1" operator="equal">
      <formula>"1 Modify"</formula>
    </cfRule>
  </conditionalFormatting>
  <conditionalFormatting sqref="C95">
    <cfRule type="cellIs" dxfId="5809" priority="281" stopIfTrue="1" operator="equal">
      <formula>"2 Add"</formula>
    </cfRule>
  </conditionalFormatting>
  <conditionalFormatting sqref="C95">
    <cfRule type="cellIs" dxfId="5808" priority="282" stopIfTrue="1" operator="equal">
      <formula>"3 Delete"</formula>
    </cfRule>
  </conditionalFormatting>
  <conditionalFormatting sqref="C96">
    <cfRule type="cellIs" dxfId="5807" priority="283" stopIfTrue="1" operator="equal">
      <formula>"1 Modify"</formula>
    </cfRule>
  </conditionalFormatting>
  <conditionalFormatting sqref="C96">
    <cfRule type="cellIs" dxfId="5806" priority="284" stopIfTrue="1" operator="equal">
      <formula>"2 Add"</formula>
    </cfRule>
  </conditionalFormatting>
  <conditionalFormatting sqref="C96">
    <cfRule type="cellIs" dxfId="5805" priority="285" stopIfTrue="1" operator="equal">
      <formula>"3 Delete"</formula>
    </cfRule>
  </conditionalFormatting>
  <conditionalFormatting sqref="C97">
    <cfRule type="cellIs" dxfId="5804" priority="286" stopIfTrue="1" operator="equal">
      <formula>"1 Modify"</formula>
    </cfRule>
  </conditionalFormatting>
  <conditionalFormatting sqref="C97">
    <cfRule type="cellIs" dxfId="5803" priority="287" stopIfTrue="1" operator="equal">
      <formula>"2 Add"</formula>
    </cfRule>
  </conditionalFormatting>
  <conditionalFormatting sqref="C97">
    <cfRule type="cellIs" dxfId="5802" priority="288" stopIfTrue="1" operator="equal">
      <formula>"3 Delete"</formula>
    </cfRule>
  </conditionalFormatting>
  <conditionalFormatting sqref="C98">
    <cfRule type="cellIs" dxfId="5801" priority="289" stopIfTrue="1" operator="equal">
      <formula>"1 Modify"</formula>
    </cfRule>
  </conditionalFormatting>
  <conditionalFormatting sqref="C98">
    <cfRule type="cellIs" dxfId="5800" priority="290" stopIfTrue="1" operator="equal">
      <formula>"2 Add"</formula>
    </cfRule>
  </conditionalFormatting>
  <conditionalFormatting sqref="C98">
    <cfRule type="cellIs" dxfId="5799" priority="291" stopIfTrue="1" operator="equal">
      <formula>"3 Delete"</formula>
    </cfRule>
  </conditionalFormatting>
  <conditionalFormatting sqref="C99">
    <cfRule type="cellIs" dxfId="5798" priority="292" stopIfTrue="1" operator="equal">
      <formula>"1 Modify"</formula>
    </cfRule>
  </conditionalFormatting>
  <conditionalFormatting sqref="C99">
    <cfRule type="cellIs" dxfId="5797" priority="293" stopIfTrue="1" operator="equal">
      <formula>"2 Add"</formula>
    </cfRule>
  </conditionalFormatting>
  <conditionalFormatting sqref="C99">
    <cfRule type="cellIs" dxfId="5796" priority="294" stopIfTrue="1" operator="equal">
      <formula>"3 Delete"</formula>
    </cfRule>
  </conditionalFormatting>
  <conditionalFormatting sqref="C100">
    <cfRule type="cellIs" dxfId="5795" priority="295" stopIfTrue="1" operator="equal">
      <formula>"1 Modify"</formula>
    </cfRule>
  </conditionalFormatting>
  <conditionalFormatting sqref="C100">
    <cfRule type="cellIs" dxfId="5794" priority="296" stopIfTrue="1" operator="equal">
      <formula>"2 Add"</formula>
    </cfRule>
  </conditionalFormatting>
  <conditionalFormatting sqref="C100">
    <cfRule type="cellIs" dxfId="5793" priority="297" stopIfTrue="1" operator="equal">
      <formula>"3 Delete"</formula>
    </cfRule>
  </conditionalFormatting>
  <conditionalFormatting sqref="C101">
    <cfRule type="cellIs" dxfId="5792" priority="298" stopIfTrue="1" operator="equal">
      <formula>"1 Modify"</formula>
    </cfRule>
  </conditionalFormatting>
  <conditionalFormatting sqref="C101">
    <cfRule type="cellIs" dxfId="5791" priority="299" stopIfTrue="1" operator="equal">
      <formula>"2 Add"</formula>
    </cfRule>
  </conditionalFormatting>
  <conditionalFormatting sqref="C101">
    <cfRule type="cellIs" dxfId="5790" priority="300" stopIfTrue="1" operator="equal">
      <formula>"3 Delete"</formula>
    </cfRule>
  </conditionalFormatting>
  <conditionalFormatting sqref="C102">
    <cfRule type="cellIs" dxfId="5789" priority="301" stopIfTrue="1" operator="equal">
      <formula>"1 Modify"</formula>
    </cfRule>
  </conditionalFormatting>
  <conditionalFormatting sqref="C102">
    <cfRule type="cellIs" dxfId="5788" priority="302" stopIfTrue="1" operator="equal">
      <formula>"2 Add"</formula>
    </cfRule>
  </conditionalFormatting>
  <conditionalFormatting sqref="C102">
    <cfRule type="cellIs" dxfId="5787" priority="303" stopIfTrue="1" operator="equal">
      <formula>"3 Delete"</formula>
    </cfRule>
  </conditionalFormatting>
  <conditionalFormatting sqref="C103">
    <cfRule type="cellIs" dxfId="5786" priority="304" stopIfTrue="1" operator="equal">
      <formula>"1 Modify"</formula>
    </cfRule>
  </conditionalFormatting>
  <conditionalFormatting sqref="C103">
    <cfRule type="cellIs" dxfId="5785" priority="305" stopIfTrue="1" operator="equal">
      <formula>"2 Add"</formula>
    </cfRule>
  </conditionalFormatting>
  <conditionalFormatting sqref="C103">
    <cfRule type="cellIs" dxfId="5784" priority="306" stopIfTrue="1" operator="equal">
      <formula>"3 Delete"</formula>
    </cfRule>
  </conditionalFormatting>
  <conditionalFormatting sqref="C104">
    <cfRule type="cellIs" dxfId="5783" priority="307" stopIfTrue="1" operator="equal">
      <formula>"1 Modify"</formula>
    </cfRule>
  </conditionalFormatting>
  <conditionalFormatting sqref="C104">
    <cfRule type="cellIs" dxfId="5782" priority="308" stopIfTrue="1" operator="equal">
      <formula>"2 Add"</formula>
    </cfRule>
  </conditionalFormatting>
  <conditionalFormatting sqref="C104">
    <cfRule type="cellIs" dxfId="5781" priority="309" stopIfTrue="1" operator="equal">
      <formula>"3 Delete"</formula>
    </cfRule>
  </conditionalFormatting>
  <conditionalFormatting sqref="C105">
    <cfRule type="cellIs" dxfId="5780" priority="310" stopIfTrue="1" operator="equal">
      <formula>"1 Modify"</formula>
    </cfRule>
  </conditionalFormatting>
  <conditionalFormatting sqref="C105">
    <cfRule type="cellIs" dxfId="5779" priority="311" stopIfTrue="1" operator="equal">
      <formula>"2 Add"</formula>
    </cfRule>
  </conditionalFormatting>
  <conditionalFormatting sqref="C105">
    <cfRule type="cellIs" dxfId="5778" priority="312" stopIfTrue="1" operator="equal">
      <formula>"3 Delete"</formula>
    </cfRule>
  </conditionalFormatting>
  <conditionalFormatting sqref="C106">
    <cfRule type="cellIs" dxfId="5777" priority="313" stopIfTrue="1" operator="equal">
      <formula>"1 Modify"</formula>
    </cfRule>
  </conditionalFormatting>
  <conditionalFormatting sqref="C106">
    <cfRule type="cellIs" dxfId="5776" priority="314" stopIfTrue="1" operator="equal">
      <formula>"2 Add"</formula>
    </cfRule>
  </conditionalFormatting>
  <conditionalFormatting sqref="C106">
    <cfRule type="cellIs" dxfId="5775" priority="315" stopIfTrue="1" operator="equal">
      <formula>"3 Delete"</formula>
    </cfRule>
  </conditionalFormatting>
  <conditionalFormatting sqref="C107">
    <cfRule type="cellIs" dxfId="5774" priority="316" stopIfTrue="1" operator="equal">
      <formula>"1 Modify"</formula>
    </cfRule>
  </conditionalFormatting>
  <conditionalFormatting sqref="C107">
    <cfRule type="cellIs" dxfId="5773" priority="317" stopIfTrue="1" operator="equal">
      <formula>"2 Add"</formula>
    </cfRule>
  </conditionalFormatting>
  <conditionalFormatting sqref="C107">
    <cfRule type="cellIs" dxfId="5772" priority="318" stopIfTrue="1" operator="equal">
      <formula>"3 Delete"</formula>
    </cfRule>
  </conditionalFormatting>
  <conditionalFormatting sqref="C108">
    <cfRule type="cellIs" dxfId="5771" priority="319" stopIfTrue="1" operator="equal">
      <formula>"1 Modify"</formula>
    </cfRule>
  </conditionalFormatting>
  <conditionalFormatting sqref="C108">
    <cfRule type="cellIs" dxfId="5770" priority="320" stopIfTrue="1" operator="equal">
      <formula>"2 Add"</formula>
    </cfRule>
  </conditionalFormatting>
  <conditionalFormatting sqref="C108">
    <cfRule type="cellIs" dxfId="5769" priority="321" stopIfTrue="1" operator="equal">
      <formula>"3 Delete"</formula>
    </cfRule>
  </conditionalFormatting>
  <conditionalFormatting sqref="C109">
    <cfRule type="cellIs" dxfId="5768" priority="322" stopIfTrue="1" operator="equal">
      <formula>"1 Modify"</formula>
    </cfRule>
  </conditionalFormatting>
  <conditionalFormatting sqref="C109">
    <cfRule type="cellIs" dxfId="5767" priority="323" stopIfTrue="1" operator="equal">
      <formula>"2 Add"</formula>
    </cfRule>
  </conditionalFormatting>
  <conditionalFormatting sqref="C109">
    <cfRule type="cellIs" dxfId="5766" priority="324" stopIfTrue="1" operator="equal">
      <formula>"3 Delete"</formula>
    </cfRule>
  </conditionalFormatting>
  <conditionalFormatting sqref="C110">
    <cfRule type="cellIs" dxfId="5765" priority="325" stopIfTrue="1" operator="equal">
      <formula>"1 Modify"</formula>
    </cfRule>
  </conditionalFormatting>
  <conditionalFormatting sqref="C110">
    <cfRule type="cellIs" dxfId="5764" priority="326" stopIfTrue="1" operator="equal">
      <formula>"2 Add"</formula>
    </cfRule>
  </conditionalFormatting>
  <conditionalFormatting sqref="C110">
    <cfRule type="cellIs" dxfId="5763" priority="327" stopIfTrue="1" operator="equal">
      <formula>"3 Delete"</formula>
    </cfRule>
  </conditionalFormatting>
  <conditionalFormatting sqref="C111">
    <cfRule type="cellIs" dxfId="5762" priority="328" stopIfTrue="1" operator="equal">
      <formula>"1 Modify"</formula>
    </cfRule>
  </conditionalFormatting>
  <conditionalFormatting sqref="C111">
    <cfRule type="cellIs" dxfId="5761" priority="329" stopIfTrue="1" operator="equal">
      <formula>"2 Add"</formula>
    </cfRule>
  </conditionalFormatting>
  <conditionalFormatting sqref="C111">
    <cfRule type="cellIs" dxfId="5760" priority="330" stopIfTrue="1" operator="equal">
      <formula>"3 Delete"</formula>
    </cfRule>
  </conditionalFormatting>
  <conditionalFormatting sqref="C112">
    <cfRule type="cellIs" dxfId="5759" priority="331" stopIfTrue="1" operator="equal">
      <formula>"1 Modify"</formula>
    </cfRule>
  </conditionalFormatting>
  <conditionalFormatting sqref="C112">
    <cfRule type="cellIs" dxfId="5758" priority="332" stopIfTrue="1" operator="equal">
      <formula>"2 Add"</formula>
    </cfRule>
  </conditionalFormatting>
  <conditionalFormatting sqref="C112">
    <cfRule type="cellIs" dxfId="5757" priority="333" stopIfTrue="1" operator="equal">
      <formula>"3 Delete"</formula>
    </cfRule>
  </conditionalFormatting>
  <conditionalFormatting sqref="C113">
    <cfRule type="cellIs" dxfId="5756" priority="334" stopIfTrue="1" operator="equal">
      <formula>"1 Modify"</formula>
    </cfRule>
  </conditionalFormatting>
  <conditionalFormatting sqref="C113">
    <cfRule type="cellIs" dxfId="5755" priority="335" stopIfTrue="1" operator="equal">
      <formula>"2 Add"</formula>
    </cfRule>
  </conditionalFormatting>
  <conditionalFormatting sqref="C113">
    <cfRule type="cellIs" dxfId="5754" priority="336" stopIfTrue="1" operator="equal">
      <formula>"3 Delete"</formula>
    </cfRule>
  </conditionalFormatting>
  <conditionalFormatting sqref="C114">
    <cfRule type="cellIs" dxfId="5753" priority="337" stopIfTrue="1" operator="equal">
      <formula>"1 Modify"</formula>
    </cfRule>
  </conditionalFormatting>
  <conditionalFormatting sqref="C114">
    <cfRule type="cellIs" dxfId="5752" priority="338" stopIfTrue="1" operator="equal">
      <formula>"2 Add"</formula>
    </cfRule>
  </conditionalFormatting>
  <conditionalFormatting sqref="C114">
    <cfRule type="cellIs" dxfId="5751" priority="339" stopIfTrue="1" operator="equal">
      <formula>"3 Delete"</formula>
    </cfRule>
  </conditionalFormatting>
  <conditionalFormatting sqref="C115">
    <cfRule type="cellIs" dxfId="5750" priority="340" stopIfTrue="1" operator="equal">
      <formula>"1 Modify"</formula>
    </cfRule>
  </conditionalFormatting>
  <conditionalFormatting sqref="C115">
    <cfRule type="cellIs" dxfId="5749" priority="341" stopIfTrue="1" operator="equal">
      <formula>"2 Add"</formula>
    </cfRule>
  </conditionalFormatting>
  <conditionalFormatting sqref="C115">
    <cfRule type="cellIs" dxfId="5748" priority="342" stopIfTrue="1" operator="equal">
      <formula>"3 Delete"</formula>
    </cfRule>
  </conditionalFormatting>
  <conditionalFormatting sqref="C116">
    <cfRule type="cellIs" dxfId="5747" priority="343" stopIfTrue="1" operator="equal">
      <formula>"1 Modify"</formula>
    </cfRule>
  </conditionalFormatting>
  <conditionalFormatting sqref="C116">
    <cfRule type="cellIs" dxfId="5746" priority="344" stopIfTrue="1" operator="equal">
      <formula>"2 Add"</formula>
    </cfRule>
  </conditionalFormatting>
  <conditionalFormatting sqref="C116">
    <cfRule type="cellIs" dxfId="5745" priority="345" stopIfTrue="1" operator="equal">
      <formula>"3 Delete"</formula>
    </cfRule>
  </conditionalFormatting>
  <conditionalFormatting sqref="C117">
    <cfRule type="cellIs" dxfId="5744" priority="346" stopIfTrue="1" operator="equal">
      <formula>"1 Modify"</formula>
    </cfRule>
  </conditionalFormatting>
  <conditionalFormatting sqref="C117">
    <cfRule type="cellIs" dxfId="5743" priority="347" stopIfTrue="1" operator="equal">
      <formula>"2 Add"</formula>
    </cfRule>
  </conditionalFormatting>
  <conditionalFormatting sqref="C117">
    <cfRule type="cellIs" dxfId="5742" priority="348" stopIfTrue="1" operator="equal">
      <formula>"3 Delete"</formula>
    </cfRule>
  </conditionalFormatting>
  <conditionalFormatting sqref="C118">
    <cfRule type="cellIs" dxfId="5741" priority="349" stopIfTrue="1" operator="equal">
      <formula>"1 Modify"</formula>
    </cfRule>
  </conditionalFormatting>
  <conditionalFormatting sqref="C118">
    <cfRule type="cellIs" dxfId="5740" priority="350" stopIfTrue="1" operator="equal">
      <formula>"2 Add"</formula>
    </cfRule>
  </conditionalFormatting>
  <conditionalFormatting sqref="C118">
    <cfRule type="cellIs" dxfId="5739" priority="351" stopIfTrue="1" operator="equal">
      <formula>"3 Delete"</formula>
    </cfRule>
  </conditionalFormatting>
  <conditionalFormatting sqref="C119">
    <cfRule type="cellIs" dxfId="5738" priority="352" stopIfTrue="1" operator="equal">
      <formula>"1 Modify"</formula>
    </cfRule>
  </conditionalFormatting>
  <conditionalFormatting sqref="C119">
    <cfRule type="cellIs" dxfId="5737" priority="353" stopIfTrue="1" operator="equal">
      <formula>"2 Add"</formula>
    </cfRule>
  </conditionalFormatting>
  <conditionalFormatting sqref="C119">
    <cfRule type="cellIs" dxfId="5736" priority="354" stopIfTrue="1" operator="equal">
      <formula>"3 Delete"</formula>
    </cfRule>
  </conditionalFormatting>
  <conditionalFormatting sqref="C120">
    <cfRule type="cellIs" dxfId="5735" priority="355" stopIfTrue="1" operator="equal">
      <formula>"1 Modify"</formula>
    </cfRule>
  </conditionalFormatting>
  <conditionalFormatting sqref="C120">
    <cfRule type="cellIs" dxfId="5734" priority="356" stopIfTrue="1" operator="equal">
      <formula>"2 Add"</formula>
    </cfRule>
  </conditionalFormatting>
  <conditionalFormatting sqref="C120">
    <cfRule type="cellIs" dxfId="5733" priority="357" stopIfTrue="1" operator="equal">
      <formula>"3 Delete"</formula>
    </cfRule>
  </conditionalFormatting>
  <conditionalFormatting sqref="C121">
    <cfRule type="cellIs" dxfId="5732" priority="358" stopIfTrue="1" operator="equal">
      <formula>"1 Modify"</formula>
    </cfRule>
  </conditionalFormatting>
  <conditionalFormatting sqref="C121">
    <cfRule type="cellIs" dxfId="5731" priority="359" stopIfTrue="1" operator="equal">
      <formula>"2 Add"</formula>
    </cfRule>
  </conditionalFormatting>
  <conditionalFormatting sqref="C121">
    <cfRule type="cellIs" dxfId="5730" priority="360" stopIfTrue="1" operator="equal">
      <formula>"3 Delete"</formula>
    </cfRule>
  </conditionalFormatting>
  <conditionalFormatting sqref="C122">
    <cfRule type="cellIs" dxfId="5729" priority="361" stopIfTrue="1" operator="equal">
      <formula>"1 Modify"</formula>
    </cfRule>
  </conditionalFormatting>
  <conditionalFormatting sqref="C122">
    <cfRule type="cellIs" dxfId="5728" priority="362" stopIfTrue="1" operator="equal">
      <formula>"2 Add"</formula>
    </cfRule>
  </conditionalFormatting>
  <conditionalFormatting sqref="C122">
    <cfRule type="cellIs" dxfId="5727" priority="363" stopIfTrue="1" operator="equal">
      <formula>"3 Delete"</formula>
    </cfRule>
  </conditionalFormatting>
  <conditionalFormatting sqref="C123">
    <cfRule type="cellIs" dxfId="5726" priority="364" stopIfTrue="1" operator="equal">
      <formula>"1 Modify"</formula>
    </cfRule>
  </conditionalFormatting>
  <conditionalFormatting sqref="C123">
    <cfRule type="cellIs" dxfId="5725" priority="365" stopIfTrue="1" operator="equal">
      <formula>"2 Add"</formula>
    </cfRule>
  </conditionalFormatting>
  <conditionalFormatting sqref="C123">
    <cfRule type="cellIs" dxfId="5724" priority="366" stopIfTrue="1" operator="equal">
      <formula>"3 Delete"</formula>
    </cfRule>
  </conditionalFormatting>
  <conditionalFormatting sqref="C124">
    <cfRule type="cellIs" dxfId="5723" priority="367" stopIfTrue="1" operator="equal">
      <formula>"1 Modify"</formula>
    </cfRule>
  </conditionalFormatting>
  <conditionalFormatting sqref="C124">
    <cfRule type="cellIs" dxfId="5722" priority="368" stopIfTrue="1" operator="equal">
      <formula>"2 Add"</formula>
    </cfRule>
  </conditionalFormatting>
  <conditionalFormatting sqref="C124">
    <cfRule type="cellIs" dxfId="5721" priority="369" stopIfTrue="1" operator="equal">
      <formula>"3 Delete"</formula>
    </cfRule>
  </conditionalFormatting>
  <conditionalFormatting sqref="C125">
    <cfRule type="cellIs" dxfId="5720" priority="370" stopIfTrue="1" operator="equal">
      <formula>"1 Modify"</formula>
    </cfRule>
  </conditionalFormatting>
  <conditionalFormatting sqref="C125">
    <cfRule type="cellIs" dxfId="5719" priority="371" stopIfTrue="1" operator="equal">
      <formula>"2 Add"</formula>
    </cfRule>
  </conditionalFormatting>
  <conditionalFormatting sqref="C125">
    <cfRule type="cellIs" dxfId="5718" priority="372" stopIfTrue="1" operator="equal">
      <formula>"3 Delete"</formula>
    </cfRule>
  </conditionalFormatting>
  <conditionalFormatting sqref="C126">
    <cfRule type="cellIs" dxfId="5717" priority="373" stopIfTrue="1" operator="equal">
      <formula>"1 Modify"</formula>
    </cfRule>
  </conditionalFormatting>
  <conditionalFormatting sqref="C126">
    <cfRule type="cellIs" dxfId="5716" priority="374" stopIfTrue="1" operator="equal">
      <formula>"2 Add"</formula>
    </cfRule>
  </conditionalFormatting>
  <conditionalFormatting sqref="C126">
    <cfRule type="cellIs" dxfId="5715" priority="375" stopIfTrue="1" operator="equal">
      <formula>"3 Delete"</formula>
    </cfRule>
  </conditionalFormatting>
  <conditionalFormatting sqref="C127">
    <cfRule type="cellIs" dxfId="5714" priority="376" stopIfTrue="1" operator="equal">
      <formula>"1 Modify"</formula>
    </cfRule>
  </conditionalFormatting>
  <conditionalFormatting sqref="C127">
    <cfRule type="cellIs" dxfId="5713" priority="377" stopIfTrue="1" operator="equal">
      <formula>"2 Add"</formula>
    </cfRule>
  </conditionalFormatting>
  <conditionalFormatting sqref="C127">
    <cfRule type="cellIs" dxfId="5712" priority="378" stopIfTrue="1" operator="equal">
      <formula>"3 Delete"</formula>
    </cfRule>
  </conditionalFormatting>
  <conditionalFormatting sqref="C128">
    <cfRule type="cellIs" dxfId="5711" priority="379" stopIfTrue="1" operator="equal">
      <formula>"1 Modify"</formula>
    </cfRule>
  </conditionalFormatting>
  <conditionalFormatting sqref="C128">
    <cfRule type="cellIs" dxfId="5710" priority="380" stopIfTrue="1" operator="equal">
      <formula>"2 Add"</formula>
    </cfRule>
  </conditionalFormatting>
  <conditionalFormatting sqref="C128">
    <cfRule type="cellIs" dxfId="5709" priority="381" stopIfTrue="1" operator="equal">
      <formula>"3 Delete"</formula>
    </cfRule>
  </conditionalFormatting>
  <conditionalFormatting sqref="C129">
    <cfRule type="cellIs" dxfId="5708" priority="382" stopIfTrue="1" operator="equal">
      <formula>"1 Modify"</formula>
    </cfRule>
  </conditionalFormatting>
  <conditionalFormatting sqref="C129">
    <cfRule type="cellIs" dxfId="5707" priority="383" stopIfTrue="1" operator="equal">
      <formula>"2 Add"</formula>
    </cfRule>
  </conditionalFormatting>
  <conditionalFormatting sqref="C129">
    <cfRule type="cellIs" dxfId="5706" priority="384" stopIfTrue="1" operator="equal">
      <formula>"3 Delete"</formula>
    </cfRule>
  </conditionalFormatting>
  <conditionalFormatting sqref="C130">
    <cfRule type="cellIs" dxfId="5705" priority="385" stopIfTrue="1" operator="equal">
      <formula>"1 Modify"</formula>
    </cfRule>
  </conditionalFormatting>
  <conditionalFormatting sqref="C130">
    <cfRule type="cellIs" dxfId="5704" priority="386" stopIfTrue="1" operator="equal">
      <formula>"2 Add"</formula>
    </cfRule>
  </conditionalFormatting>
  <conditionalFormatting sqref="C130">
    <cfRule type="cellIs" dxfId="5703" priority="387" stopIfTrue="1" operator="equal">
      <formula>"3 Delete"</formula>
    </cfRule>
  </conditionalFormatting>
  <conditionalFormatting sqref="C131">
    <cfRule type="cellIs" dxfId="5702" priority="388" stopIfTrue="1" operator="equal">
      <formula>"1 Modify"</formula>
    </cfRule>
  </conditionalFormatting>
  <conditionalFormatting sqref="C131">
    <cfRule type="cellIs" dxfId="5701" priority="389" stopIfTrue="1" operator="equal">
      <formula>"2 Add"</formula>
    </cfRule>
  </conditionalFormatting>
  <conditionalFormatting sqref="C131">
    <cfRule type="cellIs" dxfId="5700" priority="390" stopIfTrue="1" operator="equal">
      <formula>"3 Delete"</formula>
    </cfRule>
  </conditionalFormatting>
  <conditionalFormatting sqref="C132">
    <cfRule type="cellIs" dxfId="5699" priority="391" stopIfTrue="1" operator="equal">
      <formula>"1 Modify"</formula>
    </cfRule>
  </conditionalFormatting>
  <conditionalFormatting sqref="C132">
    <cfRule type="cellIs" dxfId="5698" priority="392" stopIfTrue="1" operator="equal">
      <formula>"2 Add"</formula>
    </cfRule>
  </conditionalFormatting>
  <conditionalFormatting sqref="C132">
    <cfRule type="cellIs" dxfId="5697" priority="393" stopIfTrue="1" operator="equal">
      <formula>"3 Delete"</formula>
    </cfRule>
  </conditionalFormatting>
  <conditionalFormatting sqref="C133">
    <cfRule type="cellIs" dxfId="5696" priority="394" stopIfTrue="1" operator="equal">
      <formula>"1 Modify"</formula>
    </cfRule>
  </conditionalFormatting>
  <conditionalFormatting sqref="C133">
    <cfRule type="cellIs" dxfId="5695" priority="395" stopIfTrue="1" operator="equal">
      <formula>"2 Add"</formula>
    </cfRule>
  </conditionalFormatting>
  <conditionalFormatting sqref="C133">
    <cfRule type="cellIs" dxfId="5694" priority="396" stopIfTrue="1" operator="equal">
      <formula>"3 Delete"</formula>
    </cfRule>
  </conditionalFormatting>
  <conditionalFormatting sqref="C134">
    <cfRule type="cellIs" dxfId="5693" priority="397" stopIfTrue="1" operator="equal">
      <formula>"1 Modify"</formula>
    </cfRule>
  </conditionalFormatting>
  <conditionalFormatting sqref="C134">
    <cfRule type="cellIs" dxfId="5692" priority="398" stopIfTrue="1" operator="equal">
      <formula>"2 Add"</formula>
    </cfRule>
  </conditionalFormatting>
  <conditionalFormatting sqref="C134">
    <cfRule type="cellIs" dxfId="5691" priority="399" stopIfTrue="1" operator="equal">
      <formula>"3 Delete"</formula>
    </cfRule>
  </conditionalFormatting>
  <conditionalFormatting sqref="C135">
    <cfRule type="cellIs" dxfId="5690" priority="400" stopIfTrue="1" operator="equal">
      <formula>"1 Modify"</formula>
    </cfRule>
  </conditionalFormatting>
  <conditionalFormatting sqref="C135">
    <cfRule type="cellIs" dxfId="5689" priority="401" stopIfTrue="1" operator="equal">
      <formula>"2 Add"</formula>
    </cfRule>
  </conditionalFormatting>
  <conditionalFormatting sqref="C135">
    <cfRule type="cellIs" dxfId="5688" priority="402" stopIfTrue="1" operator="equal">
      <formula>"3 Delete"</formula>
    </cfRule>
  </conditionalFormatting>
  <conditionalFormatting sqref="C136">
    <cfRule type="cellIs" dxfId="5687" priority="403" stopIfTrue="1" operator="equal">
      <formula>"1 Modify"</formula>
    </cfRule>
  </conditionalFormatting>
  <conditionalFormatting sqref="C136">
    <cfRule type="cellIs" dxfId="5686" priority="404" stopIfTrue="1" operator="equal">
      <formula>"2 Add"</formula>
    </cfRule>
  </conditionalFormatting>
  <conditionalFormatting sqref="C136">
    <cfRule type="cellIs" dxfId="5685" priority="405" stopIfTrue="1" operator="equal">
      <formula>"3 Delete"</formula>
    </cfRule>
  </conditionalFormatting>
  <conditionalFormatting sqref="C137">
    <cfRule type="cellIs" dxfId="5684" priority="406" stopIfTrue="1" operator="equal">
      <formula>"1 Modify"</formula>
    </cfRule>
  </conditionalFormatting>
  <conditionalFormatting sqref="C137">
    <cfRule type="cellIs" dxfId="5683" priority="407" stopIfTrue="1" operator="equal">
      <formula>"2 Add"</formula>
    </cfRule>
  </conditionalFormatting>
  <conditionalFormatting sqref="C137">
    <cfRule type="cellIs" dxfId="5682" priority="408" stopIfTrue="1" operator="equal">
      <formula>"3 Delete"</formula>
    </cfRule>
  </conditionalFormatting>
  <conditionalFormatting sqref="C138">
    <cfRule type="cellIs" dxfId="5681" priority="409" stopIfTrue="1" operator="equal">
      <formula>"1 Modify"</formula>
    </cfRule>
  </conditionalFormatting>
  <conditionalFormatting sqref="C138">
    <cfRule type="cellIs" dxfId="5680" priority="410" stopIfTrue="1" operator="equal">
      <formula>"2 Add"</formula>
    </cfRule>
  </conditionalFormatting>
  <conditionalFormatting sqref="C138">
    <cfRule type="cellIs" dxfId="5679" priority="411" stopIfTrue="1" operator="equal">
      <formula>"3 Delete"</formula>
    </cfRule>
  </conditionalFormatting>
  <conditionalFormatting sqref="C139">
    <cfRule type="cellIs" dxfId="5678" priority="412" stopIfTrue="1" operator="equal">
      <formula>"1 Modify"</formula>
    </cfRule>
  </conditionalFormatting>
  <conditionalFormatting sqref="C139">
    <cfRule type="cellIs" dxfId="5677" priority="413" stopIfTrue="1" operator="equal">
      <formula>"2 Add"</formula>
    </cfRule>
  </conditionalFormatting>
  <conditionalFormatting sqref="C139">
    <cfRule type="cellIs" dxfId="5676" priority="414" stopIfTrue="1" operator="equal">
      <formula>"3 Delete"</formula>
    </cfRule>
  </conditionalFormatting>
  <conditionalFormatting sqref="C140">
    <cfRule type="cellIs" dxfId="5675" priority="415" stopIfTrue="1" operator="equal">
      <formula>"1 Modify"</formula>
    </cfRule>
  </conditionalFormatting>
  <conditionalFormatting sqref="C140">
    <cfRule type="cellIs" dxfId="5674" priority="416" stopIfTrue="1" operator="equal">
      <formula>"2 Add"</formula>
    </cfRule>
  </conditionalFormatting>
  <conditionalFormatting sqref="C140">
    <cfRule type="cellIs" dxfId="5673" priority="417" stopIfTrue="1" operator="equal">
      <formula>"3 Delete"</formula>
    </cfRule>
  </conditionalFormatting>
  <conditionalFormatting sqref="C141">
    <cfRule type="cellIs" dxfId="5672" priority="418" stopIfTrue="1" operator="equal">
      <formula>"1 Modify"</formula>
    </cfRule>
  </conditionalFormatting>
  <conditionalFormatting sqref="C141">
    <cfRule type="cellIs" dxfId="5671" priority="419" stopIfTrue="1" operator="equal">
      <formula>"2 Add"</formula>
    </cfRule>
  </conditionalFormatting>
  <conditionalFormatting sqref="C141">
    <cfRule type="cellIs" dxfId="5670" priority="420" stopIfTrue="1" operator="equal">
      <formula>"3 Delete"</formula>
    </cfRule>
  </conditionalFormatting>
  <conditionalFormatting sqref="C142">
    <cfRule type="cellIs" dxfId="5669" priority="421" stopIfTrue="1" operator="equal">
      <formula>"1 Modify"</formula>
    </cfRule>
  </conditionalFormatting>
  <conditionalFormatting sqref="C142">
    <cfRule type="cellIs" dxfId="5668" priority="422" stopIfTrue="1" operator="equal">
      <formula>"2 Add"</formula>
    </cfRule>
  </conditionalFormatting>
  <conditionalFormatting sqref="C142">
    <cfRule type="cellIs" dxfId="5667" priority="423" stopIfTrue="1" operator="equal">
      <formula>"3 Delete"</formula>
    </cfRule>
  </conditionalFormatting>
  <conditionalFormatting sqref="C143">
    <cfRule type="cellIs" dxfId="5666" priority="424" stopIfTrue="1" operator="equal">
      <formula>"1 Modify"</formula>
    </cfRule>
  </conditionalFormatting>
  <conditionalFormatting sqref="C143">
    <cfRule type="cellIs" dxfId="5665" priority="425" stopIfTrue="1" operator="equal">
      <formula>"2 Add"</formula>
    </cfRule>
  </conditionalFormatting>
  <conditionalFormatting sqref="C143">
    <cfRule type="cellIs" dxfId="5664" priority="426" stopIfTrue="1" operator="equal">
      <formula>"3 Delete"</formula>
    </cfRule>
  </conditionalFormatting>
  <conditionalFormatting sqref="C144">
    <cfRule type="cellIs" dxfId="5663" priority="427" stopIfTrue="1" operator="equal">
      <formula>"1 Modify"</formula>
    </cfRule>
  </conditionalFormatting>
  <conditionalFormatting sqref="C144">
    <cfRule type="cellIs" dxfId="5662" priority="428" stopIfTrue="1" operator="equal">
      <formula>"2 Add"</formula>
    </cfRule>
  </conditionalFormatting>
  <conditionalFormatting sqref="C144">
    <cfRule type="cellIs" dxfId="5661" priority="429" stopIfTrue="1" operator="equal">
      <formula>"3 Delete"</formula>
    </cfRule>
  </conditionalFormatting>
  <conditionalFormatting sqref="C145">
    <cfRule type="cellIs" dxfId="5660" priority="430" stopIfTrue="1" operator="equal">
      <formula>"1 Modify"</formula>
    </cfRule>
  </conditionalFormatting>
  <conditionalFormatting sqref="C145">
    <cfRule type="cellIs" dxfId="5659" priority="431" stopIfTrue="1" operator="equal">
      <formula>"2 Add"</formula>
    </cfRule>
  </conditionalFormatting>
  <conditionalFormatting sqref="C145">
    <cfRule type="cellIs" dxfId="5658" priority="432" stopIfTrue="1" operator="equal">
      <formula>"3 Delete"</formula>
    </cfRule>
  </conditionalFormatting>
  <conditionalFormatting sqref="C146">
    <cfRule type="cellIs" dxfId="5657" priority="433" stopIfTrue="1" operator="equal">
      <formula>"1 Modify"</formula>
    </cfRule>
  </conditionalFormatting>
  <conditionalFormatting sqref="C146">
    <cfRule type="cellIs" dxfId="5656" priority="434" stopIfTrue="1" operator="equal">
      <formula>"2 Add"</formula>
    </cfRule>
  </conditionalFormatting>
  <conditionalFormatting sqref="C146">
    <cfRule type="cellIs" dxfId="5655" priority="435" stopIfTrue="1" operator="equal">
      <formula>"3 Delete"</formula>
    </cfRule>
  </conditionalFormatting>
  <conditionalFormatting sqref="C147">
    <cfRule type="cellIs" dxfId="5654" priority="436" stopIfTrue="1" operator="equal">
      <formula>"1 Modify"</formula>
    </cfRule>
  </conditionalFormatting>
  <conditionalFormatting sqref="C147">
    <cfRule type="cellIs" dxfId="5653" priority="437" stopIfTrue="1" operator="equal">
      <formula>"2 Add"</formula>
    </cfRule>
  </conditionalFormatting>
  <conditionalFormatting sqref="C147">
    <cfRule type="cellIs" dxfId="5652" priority="438" stopIfTrue="1" operator="equal">
      <formula>"3 Delete"</formula>
    </cfRule>
  </conditionalFormatting>
  <conditionalFormatting sqref="C148">
    <cfRule type="cellIs" dxfId="5651" priority="439" stopIfTrue="1" operator="equal">
      <formula>"1 Modify"</formula>
    </cfRule>
  </conditionalFormatting>
  <conditionalFormatting sqref="C148">
    <cfRule type="cellIs" dxfId="5650" priority="440" stopIfTrue="1" operator="equal">
      <formula>"2 Add"</formula>
    </cfRule>
  </conditionalFormatting>
  <conditionalFormatting sqref="C148">
    <cfRule type="cellIs" dxfId="5649" priority="441" stopIfTrue="1" operator="equal">
      <formula>"3 Delete"</formula>
    </cfRule>
  </conditionalFormatting>
  <conditionalFormatting sqref="C149">
    <cfRule type="cellIs" dxfId="5648" priority="442" stopIfTrue="1" operator="equal">
      <formula>"1 Modify"</formula>
    </cfRule>
  </conditionalFormatting>
  <conditionalFormatting sqref="C149">
    <cfRule type="cellIs" dxfId="5647" priority="443" stopIfTrue="1" operator="equal">
      <formula>"2 Add"</formula>
    </cfRule>
  </conditionalFormatting>
  <conditionalFormatting sqref="C149">
    <cfRule type="cellIs" dxfId="5646" priority="444" stopIfTrue="1" operator="equal">
      <formula>"3 Delete"</formula>
    </cfRule>
  </conditionalFormatting>
  <conditionalFormatting sqref="C150">
    <cfRule type="cellIs" dxfId="5645" priority="445" stopIfTrue="1" operator="equal">
      <formula>"1 Modify"</formula>
    </cfRule>
  </conditionalFormatting>
  <conditionalFormatting sqref="C150">
    <cfRule type="cellIs" dxfId="5644" priority="446" stopIfTrue="1" operator="equal">
      <formula>"2 Add"</formula>
    </cfRule>
  </conditionalFormatting>
  <conditionalFormatting sqref="C150">
    <cfRule type="cellIs" dxfId="5643" priority="447" stopIfTrue="1" operator="equal">
      <formula>"3 Delete"</formula>
    </cfRule>
  </conditionalFormatting>
  <conditionalFormatting sqref="C151">
    <cfRule type="cellIs" dxfId="5642" priority="448" stopIfTrue="1" operator="equal">
      <formula>"1 Modify"</formula>
    </cfRule>
  </conditionalFormatting>
  <conditionalFormatting sqref="C151">
    <cfRule type="cellIs" dxfId="5641" priority="449" stopIfTrue="1" operator="equal">
      <formula>"2 Add"</formula>
    </cfRule>
  </conditionalFormatting>
  <conditionalFormatting sqref="C151">
    <cfRule type="cellIs" dxfId="5640" priority="450" stopIfTrue="1" operator="equal">
      <formula>"3 Delete"</formula>
    </cfRule>
  </conditionalFormatting>
  <conditionalFormatting sqref="C152">
    <cfRule type="cellIs" dxfId="5639" priority="451" stopIfTrue="1" operator="equal">
      <formula>"1 Modify"</formula>
    </cfRule>
  </conditionalFormatting>
  <conditionalFormatting sqref="C152">
    <cfRule type="cellIs" dxfId="5638" priority="452" stopIfTrue="1" operator="equal">
      <formula>"2 Add"</formula>
    </cfRule>
  </conditionalFormatting>
  <conditionalFormatting sqref="C152">
    <cfRule type="cellIs" dxfId="5637" priority="453" stopIfTrue="1" operator="equal">
      <formula>"3 Delete"</formula>
    </cfRule>
  </conditionalFormatting>
  <conditionalFormatting sqref="C153">
    <cfRule type="cellIs" dxfId="5636" priority="454" stopIfTrue="1" operator="equal">
      <formula>"1 Modify"</formula>
    </cfRule>
  </conditionalFormatting>
  <conditionalFormatting sqref="C153">
    <cfRule type="cellIs" dxfId="5635" priority="455" stopIfTrue="1" operator="equal">
      <formula>"2 Add"</formula>
    </cfRule>
  </conditionalFormatting>
  <conditionalFormatting sqref="C153">
    <cfRule type="cellIs" dxfId="5634" priority="456" stopIfTrue="1" operator="equal">
      <formula>"3 Delete"</formula>
    </cfRule>
  </conditionalFormatting>
  <conditionalFormatting sqref="C154">
    <cfRule type="cellIs" dxfId="5633" priority="457" stopIfTrue="1" operator="equal">
      <formula>"1 Modify"</formula>
    </cfRule>
  </conditionalFormatting>
  <conditionalFormatting sqref="C154">
    <cfRule type="cellIs" dxfId="5632" priority="458" stopIfTrue="1" operator="equal">
      <formula>"2 Add"</formula>
    </cfRule>
  </conditionalFormatting>
  <conditionalFormatting sqref="C154">
    <cfRule type="cellIs" dxfId="5631" priority="459" stopIfTrue="1" operator="equal">
      <formula>"3 Delete"</formula>
    </cfRule>
  </conditionalFormatting>
  <conditionalFormatting sqref="C155">
    <cfRule type="cellIs" dxfId="5630" priority="460" stopIfTrue="1" operator="equal">
      <formula>"1 Modify"</formula>
    </cfRule>
  </conditionalFormatting>
  <conditionalFormatting sqref="C155">
    <cfRule type="cellIs" dxfId="5629" priority="461" stopIfTrue="1" operator="equal">
      <formula>"2 Add"</formula>
    </cfRule>
  </conditionalFormatting>
  <conditionalFormatting sqref="C155">
    <cfRule type="cellIs" dxfId="5628" priority="462" stopIfTrue="1" operator="equal">
      <formula>"3 Delete"</formula>
    </cfRule>
  </conditionalFormatting>
  <conditionalFormatting sqref="C156">
    <cfRule type="cellIs" dxfId="5627" priority="463" stopIfTrue="1" operator="equal">
      <formula>"1 Modify"</formula>
    </cfRule>
  </conditionalFormatting>
  <conditionalFormatting sqref="C156">
    <cfRule type="cellIs" dxfId="5626" priority="464" stopIfTrue="1" operator="equal">
      <formula>"2 Add"</formula>
    </cfRule>
  </conditionalFormatting>
  <conditionalFormatting sqref="C156">
    <cfRule type="cellIs" dxfId="5625" priority="465" stopIfTrue="1" operator="equal">
      <formula>"3 Delete"</formula>
    </cfRule>
  </conditionalFormatting>
  <conditionalFormatting sqref="C157">
    <cfRule type="cellIs" dxfId="5624" priority="466" stopIfTrue="1" operator="equal">
      <formula>"1 Modify"</formula>
    </cfRule>
  </conditionalFormatting>
  <conditionalFormatting sqref="C157">
    <cfRule type="cellIs" dxfId="5623" priority="467" stopIfTrue="1" operator="equal">
      <formula>"2 Add"</formula>
    </cfRule>
  </conditionalFormatting>
  <conditionalFormatting sqref="C157">
    <cfRule type="cellIs" dxfId="5622" priority="468" stopIfTrue="1" operator="equal">
      <formula>"3 Delete"</formula>
    </cfRule>
  </conditionalFormatting>
  <conditionalFormatting sqref="C158">
    <cfRule type="cellIs" dxfId="5621" priority="469" stopIfTrue="1" operator="equal">
      <formula>"1 Modify"</formula>
    </cfRule>
  </conditionalFormatting>
  <conditionalFormatting sqref="C158">
    <cfRule type="cellIs" dxfId="5620" priority="470" stopIfTrue="1" operator="equal">
      <formula>"2 Add"</formula>
    </cfRule>
  </conditionalFormatting>
  <conditionalFormatting sqref="C158">
    <cfRule type="cellIs" dxfId="5619" priority="471" stopIfTrue="1" operator="equal">
      <formula>"3 Delete"</formula>
    </cfRule>
  </conditionalFormatting>
  <conditionalFormatting sqref="C159">
    <cfRule type="cellIs" dxfId="5618" priority="472" stopIfTrue="1" operator="equal">
      <formula>"1 Modify"</formula>
    </cfRule>
  </conditionalFormatting>
  <conditionalFormatting sqref="C159">
    <cfRule type="cellIs" dxfId="5617" priority="473" stopIfTrue="1" operator="equal">
      <formula>"2 Add"</formula>
    </cfRule>
  </conditionalFormatting>
  <conditionalFormatting sqref="C159">
    <cfRule type="cellIs" dxfId="5616" priority="474" stopIfTrue="1" operator="equal">
      <formula>"3 Delete"</formula>
    </cfRule>
  </conditionalFormatting>
  <conditionalFormatting sqref="C160">
    <cfRule type="cellIs" dxfId="5615" priority="475" stopIfTrue="1" operator="equal">
      <formula>"1 Modify"</formula>
    </cfRule>
  </conditionalFormatting>
  <conditionalFormatting sqref="C160">
    <cfRule type="cellIs" dxfId="5614" priority="476" stopIfTrue="1" operator="equal">
      <formula>"2 Add"</formula>
    </cfRule>
  </conditionalFormatting>
  <conditionalFormatting sqref="C160">
    <cfRule type="cellIs" dxfId="5613" priority="477" stopIfTrue="1" operator="equal">
      <formula>"3 Delete"</formula>
    </cfRule>
  </conditionalFormatting>
  <conditionalFormatting sqref="C161">
    <cfRule type="cellIs" dxfId="5612" priority="478" stopIfTrue="1" operator="equal">
      <formula>"1 Modify"</formula>
    </cfRule>
  </conditionalFormatting>
  <conditionalFormatting sqref="C161">
    <cfRule type="cellIs" dxfId="5611" priority="479" stopIfTrue="1" operator="equal">
      <formula>"2 Add"</formula>
    </cfRule>
  </conditionalFormatting>
  <conditionalFormatting sqref="C161">
    <cfRule type="cellIs" dxfId="5610" priority="480" stopIfTrue="1" operator="equal">
      <formula>"3 Delete"</formula>
    </cfRule>
  </conditionalFormatting>
  <conditionalFormatting sqref="C162">
    <cfRule type="cellIs" dxfId="5609" priority="481" stopIfTrue="1" operator="equal">
      <formula>"1 Modify"</formula>
    </cfRule>
  </conditionalFormatting>
  <conditionalFormatting sqref="C162">
    <cfRule type="cellIs" dxfId="5608" priority="482" stopIfTrue="1" operator="equal">
      <formula>"2 Add"</formula>
    </cfRule>
  </conditionalFormatting>
  <conditionalFormatting sqref="C162">
    <cfRule type="cellIs" dxfId="5607" priority="483" stopIfTrue="1" operator="equal">
      <formula>"3 Delete"</formula>
    </cfRule>
  </conditionalFormatting>
  <conditionalFormatting sqref="C163">
    <cfRule type="cellIs" dxfId="5606" priority="484" stopIfTrue="1" operator="equal">
      <formula>"1 Modify"</formula>
    </cfRule>
  </conditionalFormatting>
  <conditionalFormatting sqref="C163">
    <cfRule type="cellIs" dxfId="5605" priority="485" stopIfTrue="1" operator="equal">
      <formula>"2 Add"</formula>
    </cfRule>
  </conditionalFormatting>
  <conditionalFormatting sqref="C163">
    <cfRule type="cellIs" dxfId="5604" priority="486" stopIfTrue="1" operator="equal">
      <formula>"3 Delete"</formula>
    </cfRule>
  </conditionalFormatting>
  <conditionalFormatting sqref="C164">
    <cfRule type="cellIs" dxfId="5603" priority="487" stopIfTrue="1" operator="equal">
      <formula>"1 Modify"</formula>
    </cfRule>
  </conditionalFormatting>
  <conditionalFormatting sqref="C164">
    <cfRule type="cellIs" dxfId="5602" priority="488" stopIfTrue="1" operator="equal">
      <formula>"2 Add"</formula>
    </cfRule>
  </conditionalFormatting>
  <conditionalFormatting sqref="C164">
    <cfRule type="cellIs" dxfId="5601" priority="489" stopIfTrue="1" operator="equal">
      <formula>"3 Delete"</formula>
    </cfRule>
  </conditionalFormatting>
  <conditionalFormatting sqref="C165">
    <cfRule type="cellIs" dxfId="5600" priority="490" stopIfTrue="1" operator="equal">
      <formula>"1 Modify"</formula>
    </cfRule>
  </conditionalFormatting>
  <conditionalFormatting sqref="C165">
    <cfRule type="cellIs" dxfId="5599" priority="491" stopIfTrue="1" operator="equal">
      <formula>"2 Add"</formula>
    </cfRule>
  </conditionalFormatting>
  <conditionalFormatting sqref="C165">
    <cfRule type="cellIs" dxfId="5598" priority="492" stopIfTrue="1" operator="equal">
      <formula>"3 Delete"</formula>
    </cfRule>
  </conditionalFormatting>
  <conditionalFormatting sqref="C166">
    <cfRule type="cellIs" dxfId="5597" priority="493" stopIfTrue="1" operator="equal">
      <formula>"1 Modify"</formula>
    </cfRule>
  </conditionalFormatting>
  <conditionalFormatting sqref="C166">
    <cfRule type="cellIs" dxfId="5596" priority="494" stopIfTrue="1" operator="equal">
      <formula>"2 Add"</formula>
    </cfRule>
  </conditionalFormatting>
  <conditionalFormatting sqref="C166">
    <cfRule type="cellIs" dxfId="5595" priority="495" stopIfTrue="1" operator="equal">
      <formula>"3 Delete"</formula>
    </cfRule>
  </conditionalFormatting>
  <conditionalFormatting sqref="C167">
    <cfRule type="cellIs" dxfId="5594" priority="496" stopIfTrue="1" operator="equal">
      <formula>"1 Modify"</formula>
    </cfRule>
  </conditionalFormatting>
  <conditionalFormatting sqref="C167">
    <cfRule type="cellIs" dxfId="5593" priority="497" stopIfTrue="1" operator="equal">
      <formula>"2 Add"</formula>
    </cfRule>
  </conditionalFormatting>
  <conditionalFormatting sqref="C167">
    <cfRule type="cellIs" dxfId="5592" priority="498" stopIfTrue="1" operator="equal">
      <formula>"3 Delete"</formula>
    </cfRule>
  </conditionalFormatting>
  <conditionalFormatting sqref="C168">
    <cfRule type="cellIs" dxfId="5591" priority="499" stopIfTrue="1" operator="equal">
      <formula>"1 Modify"</formula>
    </cfRule>
  </conditionalFormatting>
  <conditionalFormatting sqref="C168">
    <cfRule type="cellIs" dxfId="5590" priority="500" stopIfTrue="1" operator="equal">
      <formula>"2 Add"</formula>
    </cfRule>
  </conditionalFormatting>
  <conditionalFormatting sqref="C168">
    <cfRule type="cellIs" dxfId="5589" priority="501" stopIfTrue="1" operator="equal">
      <formula>"3 Delete"</formula>
    </cfRule>
  </conditionalFormatting>
  <conditionalFormatting sqref="C169">
    <cfRule type="cellIs" dxfId="5588" priority="502" stopIfTrue="1" operator="equal">
      <formula>"1 Modify"</formula>
    </cfRule>
  </conditionalFormatting>
  <conditionalFormatting sqref="C169">
    <cfRule type="cellIs" dxfId="5587" priority="503" stopIfTrue="1" operator="equal">
      <formula>"2 Add"</formula>
    </cfRule>
  </conditionalFormatting>
  <conditionalFormatting sqref="C169">
    <cfRule type="cellIs" dxfId="5586" priority="504" stopIfTrue="1" operator="equal">
      <formula>"3 Delete"</formula>
    </cfRule>
  </conditionalFormatting>
  <conditionalFormatting sqref="C170">
    <cfRule type="cellIs" dxfId="5585" priority="505" stopIfTrue="1" operator="equal">
      <formula>"1 Modify"</formula>
    </cfRule>
  </conditionalFormatting>
  <conditionalFormatting sqref="C170">
    <cfRule type="cellIs" dxfId="5584" priority="506" stopIfTrue="1" operator="equal">
      <formula>"2 Add"</formula>
    </cfRule>
  </conditionalFormatting>
  <conditionalFormatting sqref="C170">
    <cfRule type="cellIs" dxfId="5583" priority="507" stopIfTrue="1" operator="equal">
      <formula>"3 Delete"</formula>
    </cfRule>
  </conditionalFormatting>
  <conditionalFormatting sqref="C171">
    <cfRule type="cellIs" dxfId="5582" priority="508" stopIfTrue="1" operator="equal">
      <formula>"1 Modify"</formula>
    </cfRule>
  </conditionalFormatting>
  <conditionalFormatting sqref="C171">
    <cfRule type="cellIs" dxfId="5581" priority="509" stopIfTrue="1" operator="equal">
      <formula>"2 Add"</formula>
    </cfRule>
  </conditionalFormatting>
  <conditionalFormatting sqref="C171">
    <cfRule type="cellIs" dxfId="5580" priority="510" stopIfTrue="1" operator="equal">
      <formula>"3 Delete"</formula>
    </cfRule>
  </conditionalFormatting>
  <conditionalFormatting sqref="C172">
    <cfRule type="cellIs" dxfId="5579" priority="511" stopIfTrue="1" operator="equal">
      <formula>"1 Modify"</formula>
    </cfRule>
  </conditionalFormatting>
  <conditionalFormatting sqref="C172">
    <cfRule type="cellIs" dxfId="5578" priority="512" stopIfTrue="1" operator="equal">
      <formula>"2 Add"</formula>
    </cfRule>
  </conditionalFormatting>
  <conditionalFormatting sqref="C172">
    <cfRule type="cellIs" dxfId="5577" priority="513" stopIfTrue="1" operator="equal">
      <formula>"3 Delete"</formula>
    </cfRule>
  </conditionalFormatting>
  <conditionalFormatting sqref="C173">
    <cfRule type="cellIs" dxfId="5576" priority="514" stopIfTrue="1" operator="equal">
      <formula>"1 Modify"</formula>
    </cfRule>
  </conditionalFormatting>
  <conditionalFormatting sqref="C173">
    <cfRule type="cellIs" dxfId="5575" priority="515" stopIfTrue="1" operator="equal">
      <formula>"2 Add"</formula>
    </cfRule>
  </conditionalFormatting>
  <conditionalFormatting sqref="C173">
    <cfRule type="cellIs" dxfId="5574" priority="516" stopIfTrue="1" operator="equal">
      <formula>"3 Delete"</formula>
    </cfRule>
  </conditionalFormatting>
  <conditionalFormatting sqref="C174">
    <cfRule type="cellIs" dxfId="5573" priority="517" stopIfTrue="1" operator="equal">
      <formula>"1 Modify"</formula>
    </cfRule>
  </conditionalFormatting>
  <conditionalFormatting sqref="C174">
    <cfRule type="cellIs" dxfId="5572" priority="518" stopIfTrue="1" operator="equal">
      <formula>"2 Add"</formula>
    </cfRule>
  </conditionalFormatting>
  <conditionalFormatting sqref="C174">
    <cfRule type="cellIs" dxfId="5571" priority="519" stopIfTrue="1" operator="equal">
      <formula>"3 Delete"</formula>
    </cfRule>
  </conditionalFormatting>
  <conditionalFormatting sqref="C175">
    <cfRule type="cellIs" dxfId="5570" priority="520" stopIfTrue="1" operator="equal">
      <formula>"1 Modify"</formula>
    </cfRule>
  </conditionalFormatting>
  <conditionalFormatting sqref="C175">
    <cfRule type="cellIs" dxfId="5569" priority="521" stopIfTrue="1" operator="equal">
      <formula>"2 Add"</formula>
    </cfRule>
  </conditionalFormatting>
  <conditionalFormatting sqref="C175">
    <cfRule type="cellIs" dxfId="5568" priority="522" stopIfTrue="1" operator="equal">
      <formula>"3 Delete"</formula>
    </cfRule>
  </conditionalFormatting>
  <conditionalFormatting sqref="C176">
    <cfRule type="cellIs" dxfId="5567" priority="523" stopIfTrue="1" operator="equal">
      <formula>"1 Modify"</formula>
    </cfRule>
  </conditionalFormatting>
  <conditionalFormatting sqref="C176">
    <cfRule type="cellIs" dxfId="5566" priority="524" stopIfTrue="1" operator="equal">
      <formula>"2 Add"</formula>
    </cfRule>
  </conditionalFormatting>
  <conditionalFormatting sqref="C176">
    <cfRule type="cellIs" dxfId="5565" priority="525" stopIfTrue="1" operator="equal">
      <formula>"3 Delete"</formula>
    </cfRule>
  </conditionalFormatting>
  <conditionalFormatting sqref="C177">
    <cfRule type="cellIs" dxfId="5564" priority="526" stopIfTrue="1" operator="equal">
      <formula>"1 Modify"</formula>
    </cfRule>
  </conditionalFormatting>
  <conditionalFormatting sqref="C177">
    <cfRule type="cellIs" dxfId="5563" priority="527" stopIfTrue="1" operator="equal">
      <formula>"2 Add"</formula>
    </cfRule>
  </conditionalFormatting>
  <conditionalFormatting sqref="C177">
    <cfRule type="cellIs" dxfId="5562" priority="528" stopIfTrue="1" operator="equal">
      <formula>"3 Delete"</formula>
    </cfRule>
  </conditionalFormatting>
  <conditionalFormatting sqref="C178">
    <cfRule type="cellIs" dxfId="5561" priority="529" stopIfTrue="1" operator="equal">
      <formula>"1 Modify"</formula>
    </cfRule>
  </conditionalFormatting>
  <conditionalFormatting sqref="C178">
    <cfRule type="cellIs" dxfId="5560" priority="530" stopIfTrue="1" operator="equal">
      <formula>"2 Add"</formula>
    </cfRule>
  </conditionalFormatting>
  <conditionalFormatting sqref="C178">
    <cfRule type="cellIs" dxfId="5559" priority="531" stopIfTrue="1" operator="equal">
      <formula>"3 Delete"</formula>
    </cfRule>
  </conditionalFormatting>
  <conditionalFormatting sqref="C179">
    <cfRule type="cellIs" dxfId="5558" priority="532" stopIfTrue="1" operator="equal">
      <formula>"1 Modify"</formula>
    </cfRule>
  </conditionalFormatting>
  <conditionalFormatting sqref="C179">
    <cfRule type="cellIs" dxfId="5557" priority="533" stopIfTrue="1" operator="equal">
      <formula>"2 Add"</formula>
    </cfRule>
  </conditionalFormatting>
  <conditionalFormatting sqref="C179">
    <cfRule type="cellIs" dxfId="5556" priority="534" stopIfTrue="1" operator="equal">
      <formula>"3 Delete"</formula>
    </cfRule>
  </conditionalFormatting>
  <conditionalFormatting sqref="C180">
    <cfRule type="cellIs" dxfId="5555" priority="535" stopIfTrue="1" operator="equal">
      <formula>"1 Modify"</formula>
    </cfRule>
  </conditionalFormatting>
  <conditionalFormatting sqref="C180">
    <cfRule type="cellIs" dxfId="5554" priority="536" stopIfTrue="1" operator="equal">
      <formula>"2 Add"</formula>
    </cfRule>
  </conditionalFormatting>
  <conditionalFormatting sqref="C180">
    <cfRule type="cellIs" dxfId="5553" priority="537" stopIfTrue="1" operator="equal">
      <formula>"3 Delete"</formula>
    </cfRule>
  </conditionalFormatting>
  <conditionalFormatting sqref="C181">
    <cfRule type="cellIs" dxfId="5552" priority="538" stopIfTrue="1" operator="equal">
      <formula>"1 Modify"</formula>
    </cfRule>
  </conditionalFormatting>
  <conditionalFormatting sqref="C181">
    <cfRule type="cellIs" dxfId="5551" priority="539" stopIfTrue="1" operator="equal">
      <formula>"2 Add"</formula>
    </cfRule>
  </conditionalFormatting>
  <conditionalFormatting sqref="C181">
    <cfRule type="cellIs" dxfId="5550" priority="540" stopIfTrue="1" operator="equal">
      <formula>"3 Delete"</formula>
    </cfRule>
  </conditionalFormatting>
  <conditionalFormatting sqref="C182">
    <cfRule type="cellIs" dxfId="5549" priority="541" stopIfTrue="1" operator="equal">
      <formula>"1 Modify"</formula>
    </cfRule>
  </conditionalFormatting>
  <conditionalFormatting sqref="C182">
    <cfRule type="cellIs" dxfId="5548" priority="542" stopIfTrue="1" operator="equal">
      <formula>"2 Add"</formula>
    </cfRule>
  </conditionalFormatting>
  <conditionalFormatting sqref="C182">
    <cfRule type="cellIs" dxfId="5547" priority="543" stopIfTrue="1" operator="equal">
      <formula>"3 Delete"</formula>
    </cfRule>
  </conditionalFormatting>
  <conditionalFormatting sqref="C183">
    <cfRule type="cellIs" dxfId="5546" priority="544" stopIfTrue="1" operator="equal">
      <formula>"1 Modify"</formula>
    </cfRule>
  </conditionalFormatting>
  <conditionalFormatting sqref="C183">
    <cfRule type="cellIs" dxfId="5545" priority="545" stopIfTrue="1" operator="equal">
      <formula>"2 Add"</formula>
    </cfRule>
  </conditionalFormatting>
  <conditionalFormatting sqref="C183">
    <cfRule type="cellIs" dxfId="5544" priority="546" stopIfTrue="1" operator="equal">
      <formula>"3 Delete"</formula>
    </cfRule>
  </conditionalFormatting>
  <conditionalFormatting sqref="C184">
    <cfRule type="cellIs" dxfId="5543" priority="547" stopIfTrue="1" operator="equal">
      <formula>"1 Modify"</formula>
    </cfRule>
  </conditionalFormatting>
  <conditionalFormatting sqref="C184">
    <cfRule type="cellIs" dxfId="5542" priority="548" stopIfTrue="1" operator="equal">
      <formula>"2 Add"</formula>
    </cfRule>
  </conditionalFormatting>
  <conditionalFormatting sqref="C184">
    <cfRule type="cellIs" dxfId="5541" priority="549" stopIfTrue="1" operator="equal">
      <formula>"3 Delete"</formula>
    </cfRule>
  </conditionalFormatting>
  <conditionalFormatting sqref="C185">
    <cfRule type="cellIs" dxfId="5540" priority="550" stopIfTrue="1" operator="equal">
      <formula>"1 Modify"</formula>
    </cfRule>
  </conditionalFormatting>
  <conditionalFormatting sqref="C185">
    <cfRule type="cellIs" dxfId="5539" priority="551" stopIfTrue="1" operator="equal">
      <formula>"2 Add"</formula>
    </cfRule>
  </conditionalFormatting>
  <conditionalFormatting sqref="C185">
    <cfRule type="cellIs" dxfId="5538" priority="552" stopIfTrue="1" operator="equal">
      <formula>"3 Delete"</formula>
    </cfRule>
  </conditionalFormatting>
  <conditionalFormatting sqref="C186">
    <cfRule type="cellIs" dxfId="5537" priority="553" stopIfTrue="1" operator="equal">
      <formula>"1 Modify"</formula>
    </cfRule>
  </conditionalFormatting>
  <conditionalFormatting sqref="C186">
    <cfRule type="cellIs" dxfId="5536" priority="554" stopIfTrue="1" operator="equal">
      <formula>"2 Add"</formula>
    </cfRule>
  </conditionalFormatting>
  <conditionalFormatting sqref="C186">
    <cfRule type="cellIs" dxfId="5535" priority="555" stopIfTrue="1" operator="equal">
      <formula>"3 Delete"</formula>
    </cfRule>
  </conditionalFormatting>
  <conditionalFormatting sqref="C187">
    <cfRule type="cellIs" dxfId="5534" priority="556" stopIfTrue="1" operator="equal">
      <formula>"1 Modify"</formula>
    </cfRule>
  </conditionalFormatting>
  <conditionalFormatting sqref="C187">
    <cfRule type="cellIs" dxfId="5533" priority="557" stopIfTrue="1" operator="equal">
      <formula>"2 Add"</formula>
    </cfRule>
  </conditionalFormatting>
  <conditionalFormatting sqref="C187">
    <cfRule type="cellIs" dxfId="5532" priority="558" stopIfTrue="1" operator="equal">
      <formula>"3 Delete"</formula>
    </cfRule>
  </conditionalFormatting>
  <conditionalFormatting sqref="C188">
    <cfRule type="cellIs" dxfId="5531" priority="559" stopIfTrue="1" operator="equal">
      <formula>"1 Modify"</formula>
    </cfRule>
  </conditionalFormatting>
  <conditionalFormatting sqref="C188">
    <cfRule type="cellIs" dxfId="5530" priority="560" stopIfTrue="1" operator="equal">
      <formula>"2 Add"</formula>
    </cfRule>
  </conditionalFormatting>
  <conditionalFormatting sqref="C188">
    <cfRule type="cellIs" dxfId="5529" priority="561" stopIfTrue="1" operator="equal">
      <formula>"3 Delete"</formula>
    </cfRule>
  </conditionalFormatting>
  <conditionalFormatting sqref="C189">
    <cfRule type="cellIs" dxfId="5528" priority="562" stopIfTrue="1" operator="equal">
      <formula>"1 Modify"</formula>
    </cfRule>
  </conditionalFormatting>
  <conditionalFormatting sqref="C189">
    <cfRule type="cellIs" dxfId="5527" priority="563" stopIfTrue="1" operator="equal">
      <formula>"2 Add"</formula>
    </cfRule>
  </conditionalFormatting>
  <conditionalFormatting sqref="C189">
    <cfRule type="cellIs" dxfId="5526" priority="564" stopIfTrue="1" operator="equal">
      <formula>"3 Delete"</formula>
    </cfRule>
  </conditionalFormatting>
  <conditionalFormatting sqref="C190">
    <cfRule type="cellIs" dxfId="5525" priority="565" stopIfTrue="1" operator="equal">
      <formula>"1 Modify"</formula>
    </cfRule>
  </conditionalFormatting>
  <conditionalFormatting sqref="C190">
    <cfRule type="cellIs" dxfId="5524" priority="566" stopIfTrue="1" operator="equal">
      <formula>"2 Add"</formula>
    </cfRule>
  </conditionalFormatting>
  <conditionalFormatting sqref="C190">
    <cfRule type="cellIs" dxfId="5523" priority="567" stopIfTrue="1" operator="equal">
      <formula>"3 Delete"</formula>
    </cfRule>
  </conditionalFormatting>
  <conditionalFormatting sqref="C191">
    <cfRule type="cellIs" dxfId="5522" priority="568" stopIfTrue="1" operator="equal">
      <formula>"1 Modify"</formula>
    </cfRule>
  </conditionalFormatting>
  <conditionalFormatting sqref="C191">
    <cfRule type="cellIs" dxfId="5521" priority="569" stopIfTrue="1" operator="equal">
      <formula>"2 Add"</formula>
    </cfRule>
  </conditionalFormatting>
  <conditionalFormatting sqref="C191">
    <cfRule type="cellIs" dxfId="5520" priority="570" stopIfTrue="1" operator="equal">
      <formula>"3 Delete"</formula>
    </cfRule>
  </conditionalFormatting>
  <conditionalFormatting sqref="C192">
    <cfRule type="cellIs" dxfId="5519" priority="571" stopIfTrue="1" operator="equal">
      <formula>"1 Modify"</formula>
    </cfRule>
  </conditionalFormatting>
  <conditionalFormatting sqref="C192">
    <cfRule type="cellIs" dxfId="5518" priority="572" stopIfTrue="1" operator="equal">
      <formula>"2 Add"</formula>
    </cfRule>
  </conditionalFormatting>
  <conditionalFormatting sqref="C192">
    <cfRule type="cellIs" dxfId="5517" priority="573" stopIfTrue="1" operator="equal">
      <formula>"3 Delete"</formula>
    </cfRule>
  </conditionalFormatting>
  <conditionalFormatting sqref="C193">
    <cfRule type="cellIs" dxfId="5516" priority="574" stopIfTrue="1" operator="equal">
      <formula>"1 Modify"</formula>
    </cfRule>
  </conditionalFormatting>
  <conditionalFormatting sqref="C193">
    <cfRule type="cellIs" dxfId="5515" priority="575" stopIfTrue="1" operator="equal">
      <formula>"2 Add"</formula>
    </cfRule>
  </conditionalFormatting>
  <conditionalFormatting sqref="C193">
    <cfRule type="cellIs" dxfId="5514" priority="576" stopIfTrue="1" operator="equal">
      <formula>"3 Delete"</formula>
    </cfRule>
  </conditionalFormatting>
  <conditionalFormatting sqref="C194">
    <cfRule type="cellIs" dxfId="5513" priority="577" stopIfTrue="1" operator="equal">
      <formula>"1 Modify"</formula>
    </cfRule>
  </conditionalFormatting>
  <conditionalFormatting sqref="C194">
    <cfRule type="cellIs" dxfId="5512" priority="578" stopIfTrue="1" operator="equal">
      <formula>"2 Add"</formula>
    </cfRule>
  </conditionalFormatting>
  <conditionalFormatting sqref="C194">
    <cfRule type="cellIs" dxfId="5511" priority="579" stopIfTrue="1" operator="equal">
      <formula>"3 Delete"</formula>
    </cfRule>
  </conditionalFormatting>
  <conditionalFormatting sqref="C195">
    <cfRule type="cellIs" dxfId="5510" priority="580" stopIfTrue="1" operator="equal">
      <formula>"1 Modify"</formula>
    </cfRule>
  </conditionalFormatting>
  <conditionalFormatting sqref="C195">
    <cfRule type="cellIs" dxfId="5509" priority="581" stopIfTrue="1" operator="equal">
      <formula>"2 Add"</formula>
    </cfRule>
  </conditionalFormatting>
  <conditionalFormatting sqref="C195">
    <cfRule type="cellIs" dxfId="5508" priority="582" stopIfTrue="1" operator="equal">
      <formula>"3 Delete"</formula>
    </cfRule>
  </conditionalFormatting>
  <conditionalFormatting sqref="C196">
    <cfRule type="cellIs" dxfId="5507" priority="583" stopIfTrue="1" operator="equal">
      <formula>"1 Modify"</formula>
    </cfRule>
  </conditionalFormatting>
  <conditionalFormatting sqref="C196">
    <cfRule type="cellIs" dxfId="5506" priority="584" stopIfTrue="1" operator="equal">
      <formula>"2 Add"</formula>
    </cfRule>
  </conditionalFormatting>
  <conditionalFormatting sqref="C196">
    <cfRule type="cellIs" dxfId="5505" priority="585" stopIfTrue="1" operator="equal">
      <formula>"3 Delete"</formula>
    </cfRule>
  </conditionalFormatting>
  <conditionalFormatting sqref="C197">
    <cfRule type="cellIs" dxfId="5504" priority="586" stopIfTrue="1" operator="equal">
      <formula>"1 Modify"</formula>
    </cfRule>
  </conditionalFormatting>
  <conditionalFormatting sqref="C197">
    <cfRule type="cellIs" dxfId="5503" priority="587" stopIfTrue="1" operator="equal">
      <formula>"2 Add"</formula>
    </cfRule>
  </conditionalFormatting>
  <conditionalFormatting sqref="C197">
    <cfRule type="cellIs" dxfId="5502" priority="588" stopIfTrue="1" operator="equal">
      <formula>"3 Delete"</formula>
    </cfRule>
  </conditionalFormatting>
  <conditionalFormatting sqref="C198">
    <cfRule type="cellIs" dxfId="5501" priority="589" stopIfTrue="1" operator="equal">
      <formula>"1 Modify"</formula>
    </cfRule>
  </conditionalFormatting>
  <conditionalFormatting sqref="C198">
    <cfRule type="cellIs" dxfId="5500" priority="590" stopIfTrue="1" operator="equal">
      <formula>"2 Add"</formula>
    </cfRule>
  </conditionalFormatting>
  <conditionalFormatting sqref="C198">
    <cfRule type="cellIs" dxfId="5499" priority="591" stopIfTrue="1" operator="equal">
      <formula>"3 Delete"</formula>
    </cfRule>
  </conditionalFormatting>
  <conditionalFormatting sqref="C199">
    <cfRule type="cellIs" dxfId="5498" priority="592" stopIfTrue="1" operator="equal">
      <formula>"1 Modify"</formula>
    </cfRule>
  </conditionalFormatting>
  <conditionalFormatting sqref="C199">
    <cfRule type="cellIs" dxfId="5497" priority="593" stopIfTrue="1" operator="equal">
      <formula>"2 Add"</formula>
    </cfRule>
  </conditionalFormatting>
  <conditionalFormatting sqref="C199">
    <cfRule type="cellIs" dxfId="5496" priority="594" stopIfTrue="1" operator="equal">
      <formula>"3 Delete"</formula>
    </cfRule>
  </conditionalFormatting>
  <conditionalFormatting sqref="C200">
    <cfRule type="cellIs" dxfId="5495" priority="595" stopIfTrue="1" operator="equal">
      <formula>"1 Modify"</formula>
    </cfRule>
  </conditionalFormatting>
  <conditionalFormatting sqref="C200">
    <cfRule type="cellIs" dxfId="5494" priority="596" stopIfTrue="1" operator="equal">
      <formula>"2 Add"</formula>
    </cfRule>
  </conditionalFormatting>
  <conditionalFormatting sqref="C200">
    <cfRule type="cellIs" dxfId="5493" priority="597" stopIfTrue="1" operator="equal">
      <formula>"3 Delete"</formula>
    </cfRule>
  </conditionalFormatting>
  <conditionalFormatting sqref="C201">
    <cfRule type="cellIs" dxfId="5492" priority="598" stopIfTrue="1" operator="equal">
      <formula>"1 Modify"</formula>
    </cfRule>
  </conditionalFormatting>
  <conditionalFormatting sqref="C201">
    <cfRule type="cellIs" dxfId="5491" priority="599" stopIfTrue="1" operator="equal">
      <formula>"2 Add"</formula>
    </cfRule>
  </conditionalFormatting>
  <conditionalFormatting sqref="C201">
    <cfRule type="cellIs" dxfId="5490" priority="600" stopIfTrue="1" operator="equal">
      <formula>"3 Delete"</formula>
    </cfRule>
  </conditionalFormatting>
  <conditionalFormatting sqref="C202">
    <cfRule type="cellIs" dxfId="5489" priority="601" stopIfTrue="1" operator="equal">
      <formula>"1 Modify"</formula>
    </cfRule>
  </conditionalFormatting>
  <conditionalFormatting sqref="C202">
    <cfRule type="cellIs" dxfId="5488" priority="602" stopIfTrue="1" operator="equal">
      <formula>"2 Add"</formula>
    </cfRule>
  </conditionalFormatting>
  <conditionalFormatting sqref="C202">
    <cfRule type="cellIs" dxfId="5487" priority="603" stopIfTrue="1" operator="equal">
      <formula>"3 Delete"</formula>
    </cfRule>
  </conditionalFormatting>
  <conditionalFormatting sqref="C203">
    <cfRule type="cellIs" dxfId="5486" priority="604" stopIfTrue="1" operator="equal">
      <formula>"1 Modify"</formula>
    </cfRule>
  </conditionalFormatting>
  <conditionalFormatting sqref="C203">
    <cfRule type="cellIs" dxfId="5485" priority="605" stopIfTrue="1" operator="equal">
      <formula>"2 Add"</formula>
    </cfRule>
  </conditionalFormatting>
  <conditionalFormatting sqref="C203">
    <cfRule type="cellIs" dxfId="5484" priority="606" stopIfTrue="1" operator="equal">
      <formula>"3 Delete"</formula>
    </cfRule>
  </conditionalFormatting>
  <conditionalFormatting sqref="C204">
    <cfRule type="cellIs" dxfId="5483" priority="607" stopIfTrue="1" operator="equal">
      <formula>"1 Modify"</formula>
    </cfRule>
  </conditionalFormatting>
  <conditionalFormatting sqref="C204">
    <cfRule type="cellIs" dxfId="5482" priority="608" stopIfTrue="1" operator="equal">
      <formula>"2 Add"</formula>
    </cfRule>
  </conditionalFormatting>
  <conditionalFormatting sqref="C204">
    <cfRule type="cellIs" dxfId="5481" priority="609" stopIfTrue="1" operator="equal">
      <formula>"3 Delete"</formula>
    </cfRule>
  </conditionalFormatting>
  <conditionalFormatting sqref="C205">
    <cfRule type="cellIs" dxfId="5480" priority="610" stopIfTrue="1" operator="equal">
      <formula>"1 Modify"</formula>
    </cfRule>
  </conditionalFormatting>
  <conditionalFormatting sqref="C205">
    <cfRule type="cellIs" dxfId="5479" priority="611" stopIfTrue="1" operator="equal">
      <formula>"2 Add"</formula>
    </cfRule>
  </conditionalFormatting>
  <conditionalFormatting sqref="C205">
    <cfRule type="cellIs" dxfId="5478" priority="612" stopIfTrue="1" operator="equal">
      <formula>"3 Delete"</formula>
    </cfRule>
  </conditionalFormatting>
  <conditionalFormatting sqref="C206">
    <cfRule type="cellIs" dxfId="5477" priority="613" stopIfTrue="1" operator="equal">
      <formula>"1 Modify"</formula>
    </cfRule>
  </conditionalFormatting>
  <conditionalFormatting sqref="C206">
    <cfRule type="cellIs" dxfId="5476" priority="614" stopIfTrue="1" operator="equal">
      <formula>"2 Add"</formula>
    </cfRule>
  </conditionalFormatting>
  <conditionalFormatting sqref="C206">
    <cfRule type="cellIs" dxfId="5475" priority="615" stopIfTrue="1" operator="equal">
      <formula>"3 Delete"</formula>
    </cfRule>
  </conditionalFormatting>
  <conditionalFormatting sqref="C207">
    <cfRule type="cellIs" dxfId="5474" priority="616" stopIfTrue="1" operator="equal">
      <formula>"1 Modify"</formula>
    </cfRule>
  </conditionalFormatting>
  <conditionalFormatting sqref="C207">
    <cfRule type="cellIs" dxfId="5473" priority="617" stopIfTrue="1" operator="equal">
      <formula>"2 Add"</formula>
    </cfRule>
  </conditionalFormatting>
  <conditionalFormatting sqref="C207">
    <cfRule type="cellIs" dxfId="5472" priority="618" stopIfTrue="1" operator="equal">
      <formula>"3 Delete"</formula>
    </cfRule>
  </conditionalFormatting>
  <conditionalFormatting sqref="C208">
    <cfRule type="cellIs" dxfId="5471" priority="619" stopIfTrue="1" operator="equal">
      <formula>"1 Modify"</formula>
    </cfRule>
  </conditionalFormatting>
  <conditionalFormatting sqref="C208">
    <cfRule type="cellIs" dxfId="5470" priority="620" stopIfTrue="1" operator="equal">
      <formula>"2 Add"</formula>
    </cfRule>
  </conditionalFormatting>
  <conditionalFormatting sqref="C208">
    <cfRule type="cellIs" dxfId="5469" priority="621" stopIfTrue="1" operator="equal">
      <formula>"3 Delete"</formula>
    </cfRule>
  </conditionalFormatting>
  <conditionalFormatting sqref="C209">
    <cfRule type="cellIs" dxfId="5468" priority="622" stopIfTrue="1" operator="equal">
      <formula>"1 Modify"</formula>
    </cfRule>
  </conditionalFormatting>
  <conditionalFormatting sqref="C209">
    <cfRule type="cellIs" dxfId="5467" priority="623" stopIfTrue="1" operator="equal">
      <formula>"2 Add"</formula>
    </cfRule>
  </conditionalFormatting>
  <conditionalFormatting sqref="C209">
    <cfRule type="cellIs" dxfId="5466" priority="624" stopIfTrue="1" operator="equal">
      <formula>"3 Delete"</formula>
    </cfRule>
  </conditionalFormatting>
  <conditionalFormatting sqref="C210">
    <cfRule type="cellIs" dxfId="5465" priority="625" stopIfTrue="1" operator="equal">
      <formula>"1 Modify"</formula>
    </cfRule>
  </conditionalFormatting>
  <conditionalFormatting sqref="C210">
    <cfRule type="cellIs" dxfId="5464" priority="626" stopIfTrue="1" operator="equal">
      <formula>"2 Add"</formula>
    </cfRule>
  </conditionalFormatting>
  <conditionalFormatting sqref="C210">
    <cfRule type="cellIs" dxfId="5463" priority="627" stopIfTrue="1" operator="equal">
      <formula>"3 Delete"</formula>
    </cfRule>
  </conditionalFormatting>
  <conditionalFormatting sqref="C211">
    <cfRule type="cellIs" dxfId="5462" priority="628" stopIfTrue="1" operator="equal">
      <formula>"1 Modify"</formula>
    </cfRule>
  </conditionalFormatting>
  <conditionalFormatting sqref="C211">
    <cfRule type="cellIs" dxfId="5461" priority="629" stopIfTrue="1" operator="equal">
      <formula>"2 Add"</formula>
    </cfRule>
  </conditionalFormatting>
  <conditionalFormatting sqref="C211">
    <cfRule type="cellIs" dxfId="5460" priority="630" stopIfTrue="1" operator="equal">
      <formula>"3 Delete"</formula>
    </cfRule>
  </conditionalFormatting>
  <conditionalFormatting sqref="C212">
    <cfRule type="cellIs" dxfId="5459" priority="631" stopIfTrue="1" operator="equal">
      <formula>"1 Modify"</formula>
    </cfRule>
  </conditionalFormatting>
  <conditionalFormatting sqref="C212">
    <cfRule type="cellIs" dxfId="5458" priority="632" stopIfTrue="1" operator="equal">
      <formula>"2 Add"</formula>
    </cfRule>
  </conditionalFormatting>
  <conditionalFormatting sqref="C212">
    <cfRule type="cellIs" dxfId="5457" priority="633" stopIfTrue="1" operator="equal">
      <formula>"3 Delete"</formula>
    </cfRule>
  </conditionalFormatting>
  <conditionalFormatting sqref="C213">
    <cfRule type="cellIs" dxfId="5456" priority="634" stopIfTrue="1" operator="equal">
      <formula>"1 Modify"</formula>
    </cfRule>
  </conditionalFormatting>
  <conditionalFormatting sqref="C213">
    <cfRule type="cellIs" dxfId="5455" priority="635" stopIfTrue="1" operator="equal">
      <formula>"2 Add"</formula>
    </cfRule>
  </conditionalFormatting>
  <conditionalFormatting sqref="C213">
    <cfRule type="cellIs" dxfId="5454" priority="636" stopIfTrue="1" operator="equal">
      <formula>"3 Delete"</formula>
    </cfRule>
  </conditionalFormatting>
  <conditionalFormatting sqref="C214">
    <cfRule type="cellIs" dxfId="5453" priority="637" stopIfTrue="1" operator="equal">
      <formula>"1 Modify"</formula>
    </cfRule>
  </conditionalFormatting>
  <conditionalFormatting sqref="C214">
    <cfRule type="cellIs" dxfId="5452" priority="638" stopIfTrue="1" operator="equal">
      <formula>"2 Add"</formula>
    </cfRule>
  </conditionalFormatting>
  <conditionalFormatting sqref="C214">
    <cfRule type="cellIs" dxfId="5451" priority="639" stopIfTrue="1" operator="equal">
      <formula>"3 Delete"</formula>
    </cfRule>
  </conditionalFormatting>
  <conditionalFormatting sqref="C215">
    <cfRule type="cellIs" dxfId="5450" priority="640" stopIfTrue="1" operator="equal">
      <formula>"1 Modify"</formula>
    </cfRule>
  </conditionalFormatting>
  <conditionalFormatting sqref="C215">
    <cfRule type="cellIs" dxfId="5449" priority="641" stopIfTrue="1" operator="equal">
      <formula>"2 Add"</formula>
    </cfRule>
  </conditionalFormatting>
  <conditionalFormatting sqref="C215">
    <cfRule type="cellIs" dxfId="5448" priority="642" stopIfTrue="1" operator="equal">
      <formula>"3 Delete"</formula>
    </cfRule>
  </conditionalFormatting>
  <conditionalFormatting sqref="C216">
    <cfRule type="cellIs" dxfId="5447" priority="643" stopIfTrue="1" operator="equal">
      <formula>"1 Modify"</formula>
    </cfRule>
  </conditionalFormatting>
  <conditionalFormatting sqref="C216">
    <cfRule type="cellIs" dxfId="5446" priority="644" stopIfTrue="1" operator="equal">
      <formula>"2 Add"</formula>
    </cfRule>
  </conditionalFormatting>
  <conditionalFormatting sqref="C216">
    <cfRule type="cellIs" dxfId="5445" priority="645" stopIfTrue="1" operator="equal">
      <formula>"3 Delete"</formula>
    </cfRule>
  </conditionalFormatting>
  <conditionalFormatting sqref="C217">
    <cfRule type="cellIs" dxfId="5444" priority="646" stopIfTrue="1" operator="equal">
      <formula>"1 Modify"</formula>
    </cfRule>
  </conditionalFormatting>
  <conditionalFormatting sqref="C217">
    <cfRule type="cellIs" dxfId="5443" priority="647" stopIfTrue="1" operator="equal">
      <formula>"2 Add"</formula>
    </cfRule>
  </conditionalFormatting>
  <conditionalFormatting sqref="C217">
    <cfRule type="cellIs" dxfId="5442" priority="648" stopIfTrue="1" operator="equal">
      <formula>"3 Delete"</formula>
    </cfRule>
  </conditionalFormatting>
  <conditionalFormatting sqref="C218">
    <cfRule type="cellIs" dxfId="5441" priority="649" stopIfTrue="1" operator="equal">
      <formula>"1 Modify"</formula>
    </cfRule>
  </conditionalFormatting>
  <conditionalFormatting sqref="C218">
    <cfRule type="cellIs" dxfId="5440" priority="650" stopIfTrue="1" operator="equal">
      <formula>"2 Add"</formula>
    </cfRule>
  </conditionalFormatting>
  <conditionalFormatting sqref="C218">
    <cfRule type="cellIs" dxfId="5439" priority="651" stopIfTrue="1" operator="equal">
      <formula>"3 Delete"</formula>
    </cfRule>
  </conditionalFormatting>
  <conditionalFormatting sqref="C219">
    <cfRule type="cellIs" dxfId="5438" priority="652" stopIfTrue="1" operator="equal">
      <formula>"1 Modify"</formula>
    </cfRule>
  </conditionalFormatting>
  <conditionalFormatting sqref="C219">
    <cfRule type="cellIs" dxfId="5437" priority="653" stopIfTrue="1" operator="equal">
      <formula>"2 Add"</formula>
    </cfRule>
  </conditionalFormatting>
  <conditionalFormatting sqref="C219">
    <cfRule type="cellIs" dxfId="5436" priority="654" stopIfTrue="1" operator="equal">
      <formula>"3 Delete"</formula>
    </cfRule>
  </conditionalFormatting>
  <conditionalFormatting sqref="C220">
    <cfRule type="cellIs" dxfId="5435" priority="655" stopIfTrue="1" operator="equal">
      <formula>"1 Modify"</formula>
    </cfRule>
  </conditionalFormatting>
  <conditionalFormatting sqref="C220">
    <cfRule type="cellIs" dxfId="5434" priority="656" stopIfTrue="1" operator="equal">
      <formula>"2 Add"</formula>
    </cfRule>
  </conditionalFormatting>
  <conditionalFormatting sqref="C220">
    <cfRule type="cellIs" dxfId="5433" priority="657" stopIfTrue="1" operator="equal">
      <formula>"3 Delete"</formula>
    </cfRule>
  </conditionalFormatting>
  <conditionalFormatting sqref="C221">
    <cfRule type="cellIs" dxfId="5432" priority="658" stopIfTrue="1" operator="equal">
      <formula>"1 Modify"</formula>
    </cfRule>
  </conditionalFormatting>
  <conditionalFormatting sqref="C221">
    <cfRule type="cellIs" dxfId="5431" priority="659" stopIfTrue="1" operator="equal">
      <formula>"2 Add"</formula>
    </cfRule>
  </conditionalFormatting>
  <conditionalFormatting sqref="C221">
    <cfRule type="cellIs" dxfId="5430" priority="660" stopIfTrue="1" operator="equal">
      <formula>"3 Delete"</formula>
    </cfRule>
  </conditionalFormatting>
  <conditionalFormatting sqref="C222">
    <cfRule type="cellIs" dxfId="5429" priority="661" stopIfTrue="1" operator="equal">
      <formula>"1 Modify"</formula>
    </cfRule>
  </conditionalFormatting>
  <conditionalFormatting sqref="C222">
    <cfRule type="cellIs" dxfId="5428" priority="662" stopIfTrue="1" operator="equal">
      <formula>"2 Add"</formula>
    </cfRule>
  </conditionalFormatting>
  <conditionalFormatting sqref="C222">
    <cfRule type="cellIs" dxfId="5427" priority="663" stopIfTrue="1" operator="equal">
      <formula>"3 Delete"</formula>
    </cfRule>
  </conditionalFormatting>
  <conditionalFormatting sqref="C223">
    <cfRule type="cellIs" dxfId="5426" priority="664" stopIfTrue="1" operator="equal">
      <formula>"1 Modify"</formula>
    </cfRule>
  </conditionalFormatting>
  <conditionalFormatting sqref="C223">
    <cfRule type="cellIs" dxfId="5425" priority="665" stopIfTrue="1" operator="equal">
      <formula>"2 Add"</formula>
    </cfRule>
  </conditionalFormatting>
  <conditionalFormatting sqref="C223">
    <cfRule type="cellIs" dxfId="5424" priority="666" stopIfTrue="1" operator="equal">
      <formula>"3 Delete"</formula>
    </cfRule>
  </conditionalFormatting>
  <conditionalFormatting sqref="C224">
    <cfRule type="cellIs" dxfId="5423" priority="667" stopIfTrue="1" operator="equal">
      <formula>"1 Modify"</formula>
    </cfRule>
  </conditionalFormatting>
  <conditionalFormatting sqref="C224">
    <cfRule type="cellIs" dxfId="5422" priority="668" stopIfTrue="1" operator="equal">
      <formula>"2 Add"</formula>
    </cfRule>
  </conditionalFormatting>
  <conditionalFormatting sqref="C224">
    <cfRule type="cellIs" dxfId="5421" priority="669" stopIfTrue="1" operator="equal">
      <formula>"3 Delete"</formula>
    </cfRule>
  </conditionalFormatting>
  <conditionalFormatting sqref="C225">
    <cfRule type="cellIs" dxfId="5420" priority="670" stopIfTrue="1" operator="equal">
      <formula>"1 Modify"</formula>
    </cfRule>
  </conditionalFormatting>
  <conditionalFormatting sqref="C225">
    <cfRule type="cellIs" dxfId="5419" priority="671" stopIfTrue="1" operator="equal">
      <formula>"2 Add"</formula>
    </cfRule>
  </conditionalFormatting>
  <conditionalFormatting sqref="C225">
    <cfRule type="cellIs" dxfId="5418" priority="672" stopIfTrue="1" operator="equal">
      <formula>"3 Delete"</formula>
    </cfRule>
  </conditionalFormatting>
  <conditionalFormatting sqref="C226">
    <cfRule type="cellIs" dxfId="5417" priority="673" stopIfTrue="1" operator="equal">
      <formula>"1 Modify"</formula>
    </cfRule>
  </conditionalFormatting>
  <conditionalFormatting sqref="C226">
    <cfRule type="cellIs" dxfId="5416" priority="674" stopIfTrue="1" operator="equal">
      <formula>"2 Add"</formula>
    </cfRule>
  </conditionalFormatting>
  <conditionalFormatting sqref="C226">
    <cfRule type="cellIs" dxfId="5415" priority="675" stopIfTrue="1" operator="equal">
      <formula>"3 Delete"</formula>
    </cfRule>
  </conditionalFormatting>
  <conditionalFormatting sqref="C227">
    <cfRule type="cellIs" dxfId="5414" priority="676" stopIfTrue="1" operator="equal">
      <formula>"1 Modify"</formula>
    </cfRule>
  </conditionalFormatting>
  <conditionalFormatting sqref="C227">
    <cfRule type="cellIs" dxfId="5413" priority="677" stopIfTrue="1" operator="equal">
      <formula>"2 Add"</formula>
    </cfRule>
  </conditionalFormatting>
  <conditionalFormatting sqref="C227">
    <cfRule type="cellIs" dxfId="5412" priority="678" stopIfTrue="1" operator="equal">
      <formula>"3 Delete"</formula>
    </cfRule>
  </conditionalFormatting>
  <conditionalFormatting sqref="C228">
    <cfRule type="cellIs" dxfId="5411" priority="679" stopIfTrue="1" operator="equal">
      <formula>"1 Modify"</formula>
    </cfRule>
  </conditionalFormatting>
  <conditionalFormatting sqref="C228">
    <cfRule type="cellIs" dxfId="5410" priority="680" stopIfTrue="1" operator="equal">
      <formula>"2 Add"</formula>
    </cfRule>
  </conditionalFormatting>
  <conditionalFormatting sqref="C228">
    <cfRule type="cellIs" dxfId="5409" priority="681" stopIfTrue="1" operator="equal">
      <formula>"3 Delete"</formula>
    </cfRule>
  </conditionalFormatting>
  <conditionalFormatting sqref="C229">
    <cfRule type="cellIs" dxfId="5408" priority="682" stopIfTrue="1" operator="equal">
      <formula>"1 Modify"</formula>
    </cfRule>
  </conditionalFormatting>
  <conditionalFormatting sqref="C229">
    <cfRule type="cellIs" dxfId="5407" priority="683" stopIfTrue="1" operator="equal">
      <formula>"2 Add"</formula>
    </cfRule>
  </conditionalFormatting>
  <conditionalFormatting sqref="C229">
    <cfRule type="cellIs" dxfId="5406" priority="684" stopIfTrue="1" operator="equal">
      <formula>"3 Delete"</formula>
    </cfRule>
  </conditionalFormatting>
  <conditionalFormatting sqref="C230">
    <cfRule type="cellIs" dxfId="5405" priority="685" stopIfTrue="1" operator="equal">
      <formula>"1 Modify"</formula>
    </cfRule>
  </conditionalFormatting>
  <conditionalFormatting sqref="C230">
    <cfRule type="cellIs" dxfId="5404" priority="686" stopIfTrue="1" operator="equal">
      <formula>"2 Add"</formula>
    </cfRule>
  </conditionalFormatting>
  <conditionalFormatting sqref="C230">
    <cfRule type="cellIs" dxfId="5403" priority="687" stopIfTrue="1" operator="equal">
      <formula>"3 Delete"</formula>
    </cfRule>
  </conditionalFormatting>
  <conditionalFormatting sqref="C231">
    <cfRule type="cellIs" dxfId="5402" priority="688" stopIfTrue="1" operator="equal">
      <formula>"1 Modify"</formula>
    </cfRule>
  </conditionalFormatting>
  <conditionalFormatting sqref="C231">
    <cfRule type="cellIs" dxfId="5401" priority="689" stopIfTrue="1" operator="equal">
      <formula>"2 Add"</formula>
    </cfRule>
  </conditionalFormatting>
  <conditionalFormatting sqref="C231">
    <cfRule type="cellIs" dxfId="5400" priority="690" stopIfTrue="1" operator="equal">
      <formula>"3 Delete"</formula>
    </cfRule>
  </conditionalFormatting>
  <conditionalFormatting sqref="C232">
    <cfRule type="cellIs" dxfId="5399" priority="691" stopIfTrue="1" operator="equal">
      <formula>"1 Modify"</formula>
    </cfRule>
  </conditionalFormatting>
  <conditionalFormatting sqref="C232">
    <cfRule type="cellIs" dxfId="5398" priority="692" stopIfTrue="1" operator="equal">
      <formula>"2 Add"</formula>
    </cfRule>
  </conditionalFormatting>
  <conditionalFormatting sqref="C232">
    <cfRule type="cellIs" dxfId="5397" priority="693" stopIfTrue="1" operator="equal">
      <formula>"3 Delete"</formula>
    </cfRule>
  </conditionalFormatting>
  <conditionalFormatting sqref="C233">
    <cfRule type="cellIs" dxfId="5396" priority="694" stopIfTrue="1" operator="equal">
      <formula>"1 Modify"</formula>
    </cfRule>
  </conditionalFormatting>
  <conditionalFormatting sqref="C233">
    <cfRule type="cellIs" dxfId="5395" priority="695" stopIfTrue="1" operator="equal">
      <formula>"2 Add"</formula>
    </cfRule>
  </conditionalFormatting>
  <conditionalFormatting sqref="C233">
    <cfRule type="cellIs" dxfId="5394" priority="696" stopIfTrue="1" operator="equal">
      <formula>"3 Delete"</formula>
    </cfRule>
  </conditionalFormatting>
  <conditionalFormatting sqref="C234">
    <cfRule type="cellIs" dxfId="5393" priority="697" stopIfTrue="1" operator="equal">
      <formula>"1 Modify"</formula>
    </cfRule>
  </conditionalFormatting>
  <conditionalFormatting sqref="C234">
    <cfRule type="cellIs" dxfId="5392" priority="698" stopIfTrue="1" operator="equal">
      <formula>"2 Add"</formula>
    </cfRule>
  </conditionalFormatting>
  <conditionalFormatting sqref="C234">
    <cfRule type="cellIs" dxfId="5391" priority="699" stopIfTrue="1" operator="equal">
      <formula>"3 Delete"</formula>
    </cfRule>
  </conditionalFormatting>
  <conditionalFormatting sqref="C235">
    <cfRule type="cellIs" dxfId="5390" priority="700" stopIfTrue="1" operator="equal">
      <formula>"1 Modify"</formula>
    </cfRule>
  </conditionalFormatting>
  <conditionalFormatting sqref="C235">
    <cfRule type="cellIs" dxfId="5389" priority="701" stopIfTrue="1" operator="equal">
      <formula>"2 Add"</formula>
    </cfRule>
  </conditionalFormatting>
  <conditionalFormatting sqref="C235">
    <cfRule type="cellIs" dxfId="5388" priority="702" stopIfTrue="1" operator="equal">
      <formula>"3 Delete"</formula>
    </cfRule>
  </conditionalFormatting>
  <conditionalFormatting sqref="C236">
    <cfRule type="cellIs" dxfId="5387" priority="703" stopIfTrue="1" operator="equal">
      <formula>"1 Modify"</formula>
    </cfRule>
  </conditionalFormatting>
  <conditionalFormatting sqref="C236">
    <cfRule type="cellIs" dxfId="5386" priority="704" stopIfTrue="1" operator="equal">
      <formula>"2 Add"</formula>
    </cfRule>
  </conditionalFormatting>
  <conditionalFormatting sqref="C236">
    <cfRule type="cellIs" dxfId="5385" priority="705" stopIfTrue="1" operator="equal">
      <formula>"3 Delete"</formula>
    </cfRule>
  </conditionalFormatting>
  <conditionalFormatting sqref="C237">
    <cfRule type="cellIs" dxfId="5384" priority="706" stopIfTrue="1" operator="equal">
      <formula>"1 Modify"</formula>
    </cfRule>
  </conditionalFormatting>
  <conditionalFormatting sqref="C237">
    <cfRule type="cellIs" dxfId="5383" priority="707" stopIfTrue="1" operator="equal">
      <formula>"2 Add"</formula>
    </cfRule>
  </conditionalFormatting>
  <conditionalFormatting sqref="C237">
    <cfRule type="cellIs" dxfId="5382" priority="708" stopIfTrue="1" operator="equal">
      <formula>"3 Delete"</formula>
    </cfRule>
  </conditionalFormatting>
  <conditionalFormatting sqref="C238">
    <cfRule type="cellIs" dxfId="5381" priority="709" stopIfTrue="1" operator="equal">
      <formula>"1 Modify"</formula>
    </cfRule>
  </conditionalFormatting>
  <conditionalFormatting sqref="C238">
    <cfRule type="cellIs" dxfId="5380" priority="710" stopIfTrue="1" operator="equal">
      <formula>"2 Add"</formula>
    </cfRule>
  </conditionalFormatting>
  <conditionalFormatting sqref="C238">
    <cfRule type="cellIs" dxfId="5379" priority="711" stopIfTrue="1" operator="equal">
      <formula>"3 Delete"</formula>
    </cfRule>
  </conditionalFormatting>
  <conditionalFormatting sqref="C239">
    <cfRule type="cellIs" dxfId="5378" priority="712" stopIfTrue="1" operator="equal">
      <formula>"1 Modify"</formula>
    </cfRule>
  </conditionalFormatting>
  <conditionalFormatting sqref="C239">
    <cfRule type="cellIs" dxfId="5377" priority="713" stopIfTrue="1" operator="equal">
      <formula>"2 Add"</formula>
    </cfRule>
  </conditionalFormatting>
  <conditionalFormatting sqref="C239">
    <cfRule type="cellIs" dxfId="5376" priority="714" stopIfTrue="1" operator="equal">
      <formula>"3 Delete"</formula>
    </cfRule>
  </conditionalFormatting>
  <conditionalFormatting sqref="C240">
    <cfRule type="cellIs" dxfId="5375" priority="715" stopIfTrue="1" operator="equal">
      <formula>"1 Modify"</formula>
    </cfRule>
  </conditionalFormatting>
  <conditionalFormatting sqref="C240">
    <cfRule type="cellIs" dxfId="5374" priority="716" stopIfTrue="1" operator="equal">
      <formula>"2 Add"</formula>
    </cfRule>
  </conditionalFormatting>
  <conditionalFormatting sqref="C240">
    <cfRule type="cellIs" dxfId="5373" priority="717" stopIfTrue="1" operator="equal">
      <formula>"3 Delete"</formula>
    </cfRule>
  </conditionalFormatting>
  <conditionalFormatting sqref="C241">
    <cfRule type="cellIs" dxfId="5372" priority="718" stopIfTrue="1" operator="equal">
      <formula>"1 Modify"</formula>
    </cfRule>
  </conditionalFormatting>
  <conditionalFormatting sqref="C241">
    <cfRule type="cellIs" dxfId="5371" priority="719" stopIfTrue="1" operator="equal">
      <formula>"2 Add"</formula>
    </cfRule>
  </conditionalFormatting>
  <conditionalFormatting sqref="C241">
    <cfRule type="cellIs" dxfId="5370" priority="720" stopIfTrue="1" operator="equal">
      <formula>"3 Delete"</formula>
    </cfRule>
  </conditionalFormatting>
  <conditionalFormatting sqref="C242">
    <cfRule type="cellIs" dxfId="5369" priority="721" stopIfTrue="1" operator="equal">
      <formula>"1 Modify"</formula>
    </cfRule>
  </conditionalFormatting>
  <conditionalFormatting sqref="C242">
    <cfRule type="cellIs" dxfId="5368" priority="722" stopIfTrue="1" operator="equal">
      <formula>"2 Add"</formula>
    </cfRule>
  </conditionalFormatting>
  <conditionalFormatting sqref="C242">
    <cfRule type="cellIs" dxfId="5367" priority="723" stopIfTrue="1" operator="equal">
      <formula>"3 Delete"</formula>
    </cfRule>
  </conditionalFormatting>
  <conditionalFormatting sqref="C243">
    <cfRule type="cellIs" dxfId="5366" priority="724" stopIfTrue="1" operator="equal">
      <formula>"1 Modify"</formula>
    </cfRule>
  </conditionalFormatting>
  <conditionalFormatting sqref="C243">
    <cfRule type="cellIs" dxfId="5365" priority="725" stopIfTrue="1" operator="equal">
      <formula>"2 Add"</formula>
    </cfRule>
  </conditionalFormatting>
  <conditionalFormatting sqref="C243">
    <cfRule type="cellIs" dxfId="5364" priority="726" stopIfTrue="1" operator="equal">
      <formula>"3 Delete"</formula>
    </cfRule>
  </conditionalFormatting>
  <conditionalFormatting sqref="C244">
    <cfRule type="cellIs" dxfId="5363" priority="727" stopIfTrue="1" operator="equal">
      <formula>"1 Modify"</formula>
    </cfRule>
  </conditionalFormatting>
  <conditionalFormatting sqref="C244">
    <cfRule type="cellIs" dxfId="5362" priority="728" stopIfTrue="1" operator="equal">
      <formula>"2 Add"</formula>
    </cfRule>
  </conditionalFormatting>
  <conditionalFormatting sqref="C244">
    <cfRule type="cellIs" dxfId="5361" priority="729" stopIfTrue="1" operator="equal">
      <formula>"3 Delete"</formula>
    </cfRule>
  </conditionalFormatting>
  <conditionalFormatting sqref="C245">
    <cfRule type="cellIs" dxfId="5360" priority="730" stopIfTrue="1" operator="equal">
      <formula>"1 Modify"</formula>
    </cfRule>
  </conditionalFormatting>
  <conditionalFormatting sqref="C245">
    <cfRule type="cellIs" dxfId="5359" priority="731" stopIfTrue="1" operator="equal">
      <formula>"2 Add"</formula>
    </cfRule>
  </conditionalFormatting>
  <conditionalFormatting sqref="C245">
    <cfRule type="cellIs" dxfId="5358" priority="732" stopIfTrue="1" operator="equal">
      <formula>"3 Delete"</formula>
    </cfRule>
  </conditionalFormatting>
  <conditionalFormatting sqref="C246">
    <cfRule type="cellIs" dxfId="5357" priority="733" stopIfTrue="1" operator="equal">
      <formula>"1 Modify"</formula>
    </cfRule>
  </conditionalFormatting>
  <conditionalFormatting sqref="C246">
    <cfRule type="cellIs" dxfId="5356" priority="734" stopIfTrue="1" operator="equal">
      <formula>"2 Add"</formula>
    </cfRule>
  </conditionalFormatting>
  <conditionalFormatting sqref="C246">
    <cfRule type="cellIs" dxfId="5355" priority="735" stopIfTrue="1" operator="equal">
      <formula>"3 Delete"</formula>
    </cfRule>
  </conditionalFormatting>
  <conditionalFormatting sqref="C247">
    <cfRule type="cellIs" dxfId="5354" priority="736" stopIfTrue="1" operator="equal">
      <formula>"1 Modify"</formula>
    </cfRule>
  </conditionalFormatting>
  <conditionalFormatting sqref="C247">
    <cfRule type="cellIs" dxfId="5353" priority="737" stopIfTrue="1" operator="equal">
      <formula>"2 Add"</formula>
    </cfRule>
  </conditionalFormatting>
  <conditionalFormatting sqref="C247">
    <cfRule type="cellIs" dxfId="5352" priority="738" stopIfTrue="1" operator="equal">
      <formula>"3 Delete"</formula>
    </cfRule>
  </conditionalFormatting>
  <conditionalFormatting sqref="C248">
    <cfRule type="cellIs" dxfId="5351" priority="739" stopIfTrue="1" operator="equal">
      <formula>"1 Modify"</formula>
    </cfRule>
  </conditionalFormatting>
  <conditionalFormatting sqref="C248">
    <cfRule type="cellIs" dxfId="5350" priority="740" stopIfTrue="1" operator="equal">
      <formula>"2 Add"</formula>
    </cfRule>
  </conditionalFormatting>
  <conditionalFormatting sqref="C248">
    <cfRule type="cellIs" dxfId="5349" priority="741" stopIfTrue="1" operator="equal">
      <formula>"3 Delete"</formula>
    </cfRule>
  </conditionalFormatting>
  <conditionalFormatting sqref="C249">
    <cfRule type="cellIs" dxfId="5348" priority="742" stopIfTrue="1" operator="equal">
      <formula>"1 Modify"</formula>
    </cfRule>
  </conditionalFormatting>
  <conditionalFormatting sqref="C249">
    <cfRule type="cellIs" dxfId="5347" priority="743" stopIfTrue="1" operator="equal">
      <formula>"2 Add"</formula>
    </cfRule>
  </conditionalFormatting>
  <conditionalFormatting sqref="C249">
    <cfRule type="cellIs" dxfId="5346" priority="744" stopIfTrue="1" operator="equal">
      <formula>"3 Delete"</formula>
    </cfRule>
  </conditionalFormatting>
  <conditionalFormatting sqref="C250">
    <cfRule type="cellIs" dxfId="5345" priority="745" stopIfTrue="1" operator="equal">
      <formula>"1 Modify"</formula>
    </cfRule>
  </conditionalFormatting>
  <conditionalFormatting sqref="C250">
    <cfRule type="cellIs" dxfId="5344" priority="746" stopIfTrue="1" operator="equal">
      <formula>"2 Add"</formula>
    </cfRule>
  </conditionalFormatting>
  <conditionalFormatting sqref="C250">
    <cfRule type="cellIs" dxfId="5343" priority="747" stopIfTrue="1" operator="equal">
      <formula>"3 Delete"</formula>
    </cfRule>
  </conditionalFormatting>
  <conditionalFormatting sqref="C251">
    <cfRule type="cellIs" dxfId="5342" priority="748" stopIfTrue="1" operator="equal">
      <formula>"1 Modify"</formula>
    </cfRule>
  </conditionalFormatting>
  <conditionalFormatting sqref="C251">
    <cfRule type="cellIs" dxfId="5341" priority="749" stopIfTrue="1" operator="equal">
      <formula>"2 Add"</formula>
    </cfRule>
  </conditionalFormatting>
  <conditionalFormatting sqref="C251">
    <cfRule type="cellIs" dxfId="5340" priority="750" stopIfTrue="1" operator="equal">
      <formula>"3 Delete"</formula>
    </cfRule>
  </conditionalFormatting>
  <conditionalFormatting sqref="C252">
    <cfRule type="cellIs" dxfId="5339" priority="751" stopIfTrue="1" operator="equal">
      <formula>"1 Modify"</formula>
    </cfRule>
  </conditionalFormatting>
  <conditionalFormatting sqref="C252">
    <cfRule type="cellIs" dxfId="5338" priority="752" stopIfTrue="1" operator="equal">
      <formula>"2 Add"</formula>
    </cfRule>
  </conditionalFormatting>
  <conditionalFormatting sqref="C252">
    <cfRule type="cellIs" dxfId="5337" priority="753" stopIfTrue="1" operator="equal">
      <formula>"3 Delete"</formula>
    </cfRule>
  </conditionalFormatting>
  <conditionalFormatting sqref="C253">
    <cfRule type="cellIs" dxfId="5336" priority="754" stopIfTrue="1" operator="equal">
      <formula>"1 Modify"</formula>
    </cfRule>
  </conditionalFormatting>
  <conditionalFormatting sqref="C253">
    <cfRule type="cellIs" dxfId="5335" priority="755" stopIfTrue="1" operator="equal">
      <formula>"2 Add"</formula>
    </cfRule>
  </conditionalFormatting>
  <conditionalFormatting sqref="C253">
    <cfRule type="cellIs" dxfId="5334" priority="756" stopIfTrue="1" operator="equal">
      <formula>"3 Delete"</formula>
    </cfRule>
  </conditionalFormatting>
  <conditionalFormatting sqref="C254">
    <cfRule type="cellIs" dxfId="5333" priority="757" stopIfTrue="1" operator="equal">
      <formula>"1 Modify"</formula>
    </cfRule>
  </conditionalFormatting>
  <conditionalFormatting sqref="C254">
    <cfRule type="cellIs" dxfId="5332" priority="758" stopIfTrue="1" operator="equal">
      <formula>"2 Add"</formula>
    </cfRule>
  </conditionalFormatting>
  <conditionalFormatting sqref="C254">
    <cfRule type="cellIs" dxfId="5331" priority="759" stopIfTrue="1" operator="equal">
      <formula>"3 Delete"</formula>
    </cfRule>
  </conditionalFormatting>
  <conditionalFormatting sqref="C255">
    <cfRule type="cellIs" dxfId="5330" priority="760" stopIfTrue="1" operator="equal">
      <formula>"1 Modify"</formula>
    </cfRule>
  </conditionalFormatting>
  <conditionalFormatting sqref="C255">
    <cfRule type="cellIs" dxfId="5329" priority="761" stopIfTrue="1" operator="equal">
      <formula>"2 Add"</formula>
    </cfRule>
  </conditionalFormatting>
  <conditionalFormatting sqref="C255">
    <cfRule type="cellIs" dxfId="5328" priority="762" stopIfTrue="1" operator="equal">
      <formula>"3 Delete"</formula>
    </cfRule>
  </conditionalFormatting>
  <conditionalFormatting sqref="C256">
    <cfRule type="cellIs" dxfId="5327" priority="763" stopIfTrue="1" operator="equal">
      <formula>"1 Modify"</formula>
    </cfRule>
  </conditionalFormatting>
  <conditionalFormatting sqref="C256">
    <cfRule type="cellIs" dxfId="5326" priority="764" stopIfTrue="1" operator="equal">
      <formula>"2 Add"</formula>
    </cfRule>
  </conditionalFormatting>
  <conditionalFormatting sqref="C256">
    <cfRule type="cellIs" dxfId="5325" priority="765" stopIfTrue="1" operator="equal">
      <formula>"3 Delete"</formula>
    </cfRule>
  </conditionalFormatting>
  <conditionalFormatting sqref="C257">
    <cfRule type="cellIs" dxfId="5324" priority="766" stopIfTrue="1" operator="equal">
      <formula>"1 Modify"</formula>
    </cfRule>
  </conditionalFormatting>
  <conditionalFormatting sqref="C257">
    <cfRule type="cellIs" dxfId="5323" priority="767" stopIfTrue="1" operator="equal">
      <formula>"2 Add"</formula>
    </cfRule>
  </conditionalFormatting>
  <conditionalFormatting sqref="C257">
    <cfRule type="cellIs" dxfId="5322" priority="768" stopIfTrue="1" operator="equal">
      <formula>"3 Delete"</formula>
    </cfRule>
  </conditionalFormatting>
  <conditionalFormatting sqref="C258">
    <cfRule type="cellIs" dxfId="5321" priority="769" stopIfTrue="1" operator="equal">
      <formula>"1 Modify"</formula>
    </cfRule>
  </conditionalFormatting>
  <conditionalFormatting sqref="C258">
    <cfRule type="cellIs" dxfId="5320" priority="770" stopIfTrue="1" operator="equal">
      <formula>"2 Add"</formula>
    </cfRule>
  </conditionalFormatting>
  <conditionalFormatting sqref="C258">
    <cfRule type="cellIs" dxfId="5319" priority="771" stopIfTrue="1" operator="equal">
      <formula>"3 Delete"</formula>
    </cfRule>
  </conditionalFormatting>
  <conditionalFormatting sqref="C259">
    <cfRule type="cellIs" dxfId="5318" priority="772" stopIfTrue="1" operator="equal">
      <formula>"1 Modify"</formula>
    </cfRule>
  </conditionalFormatting>
  <conditionalFormatting sqref="C259">
    <cfRule type="cellIs" dxfId="5317" priority="773" stopIfTrue="1" operator="equal">
      <formula>"2 Add"</formula>
    </cfRule>
  </conditionalFormatting>
  <conditionalFormatting sqref="C259">
    <cfRule type="cellIs" dxfId="5316" priority="774" stopIfTrue="1" operator="equal">
      <formula>"3 Delete"</formula>
    </cfRule>
  </conditionalFormatting>
  <conditionalFormatting sqref="C260">
    <cfRule type="cellIs" dxfId="5315" priority="775" stopIfTrue="1" operator="equal">
      <formula>"1 Modify"</formula>
    </cfRule>
  </conditionalFormatting>
  <conditionalFormatting sqref="C260">
    <cfRule type="cellIs" dxfId="5314" priority="776" stopIfTrue="1" operator="equal">
      <formula>"2 Add"</formula>
    </cfRule>
  </conditionalFormatting>
  <conditionalFormatting sqref="C260">
    <cfRule type="cellIs" dxfId="5313" priority="777" stopIfTrue="1" operator="equal">
      <formula>"3 Delete"</formula>
    </cfRule>
  </conditionalFormatting>
  <conditionalFormatting sqref="C261">
    <cfRule type="cellIs" dxfId="5312" priority="778" stopIfTrue="1" operator="equal">
      <formula>"1 Modify"</formula>
    </cfRule>
  </conditionalFormatting>
  <conditionalFormatting sqref="C261">
    <cfRule type="cellIs" dxfId="5311" priority="779" stopIfTrue="1" operator="equal">
      <formula>"2 Add"</formula>
    </cfRule>
  </conditionalFormatting>
  <conditionalFormatting sqref="C261">
    <cfRule type="cellIs" dxfId="5310" priority="780" stopIfTrue="1" operator="equal">
      <formula>"3 Delete"</formula>
    </cfRule>
  </conditionalFormatting>
  <conditionalFormatting sqref="C262">
    <cfRule type="cellIs" dxfId="5309" priority="781" stopIfTrue="1" operator="equal">
      <formula>"1 Modify"</formula>
    </cfRule>
  </conditionalFormatting>
  <conditionalFormatting sqref="C262">
    <cfRule type="cellIs" dxfId="5308" priority="782" stopIfTrue="1" operator="equal">
      <formula>"2 Add"</formula>
    </cfRule>
  </conditionalFormatting>
  <conditionalFormatting sqref="C262">
    <cfRule type="cellIs" dxfId="5307" priority="783" stopIfTrue="1" operator="equal">
      <formula>"3 Delete"</formula>
    </cfRule>
  </conditionalFormatting>
  <conditionalFormatting sqref="C263">
    <cfRule type="cellIs" dxfId="5306" priority="784" stopIfTrue="1" operator="equal">
      <formula>"1 Modify"</formula>
    </cfRule>
  </conditionalFormatting>
  <conditionalFormatting sqref="C263">
    <cfRule type="cellIs" dxfId="5305" priority="785" stopIfTrue="1" operator="equal">
      <formula>"2 Add"</formula>
    </cfRule>
  </conditionalFormatting>
  <conditionalFormatting sqref="C263">
    <cfRule type="cellIs" dxfId="5304" priority="786" stopIfTrue="1" operator="equal">
      <formula>"3 Delete"</formula>
    </cfRule>
  </conditionalFormatting>
  <conditionalFormatting sqref="C264">
    <cfRule type="cellIs" dxfId="5303" priority="787" stopIfTrue="1" operator="equal">
      <formula>"1 Modify"</formula>
    </cfRule>
  </conditionalFormatting>
  <conditionalFormatting sqref="C264">
    <cfRule type="cellIs" dxfId="5302" priority="788" stopIfTrue="1" operator="equal">
      <formula>"2 Add"</formula>
    </cfRule>
  </conditionalFormatting>
  <conditionalFormatting sqref="C264">
    <cfRule type="cellIs" dxfId="5301" priority="789" stopIfTrue="1" operator="equal">
      <formula>"3 Delete"</formula>
    </cfRule>
  </conditionalFormatting>
  <conditionalFormatting sqref="C265">
    <cfRule type="cellIs" dxfId="5300" priority="790" stopIfTrue="1" operator="equal">
      <formula>"1 Modify"</formula>
    </cfRule>
  </conditionalFormatting>
  <conditionalFormatting sqref="C265">
    <cfRule type="cellIs" dxfId="5299" priority="791" stopIfTrue="1" operator="equal">
      <formula>"2 Add"</formula>
    </cfRule>
  </conditionalFormatting>
  <conditionalFormatting sqref="C265">
    <cfRule type="cellIs" dxfId="5298" priority="792" stopIfTrue="1" operator="equal">
      <formula>"3 Delete"</formula>
    </cfRule>
  </conditionalFormatting>
  <conditionalFormatting sqref="C266">
    <cfRule type="cellIs" dxfId="5297" priority="793" stopIfTrue="1" operator="equal">
      <formula>"1 Modify"</formula>
    </cfRule>
  </conditionalFormatting>
  <conditionalFormatting sqref="C266">
    <cfRule type="cellIs" dxfId="5296" priority="794" stopIfTrue="1" operator="equal">
      <formula>"2 Add"</formula>
    </cfRule>
  </conditionalFormatting>
  <conditionalFormatting sqref="C266">
    <cfRule type="cellIs" dxfId="5295" priority="795" stopIfTrue="1" operator="equal">
      <formula>"3 Delete"</formula>
    </cfRule>
  </conditionalFormatting>
  <conditionalFormatting sqref="C267">
    <cfRule type="cellIs" dxfId="5294" priority="796" stopIfTrue="1" operator="equal">
      <formula>"1 Modify"</formula>
    </cfRule>
  </conditionalFormatting>
  <conditionalFormatting sqref="C267">
    <cfRule type="cellIs" dxfId="5293" priority="797" stopIfTrue="1" operator="equal">
      <formula>"2 Add"</formula>
    </cfRule>
  </conditionalFormatting>
  <conditionalFormatting sqref="C267">
    <cfRule type="cellIs" dxfId="5292" priority="798" stopIfTrue="1" operator="equal">
      <formula>"3 Delete"</formula>
    </cfRule>
  </conditionalFormatting>
  <conditionalFormatting sqref="C268">
    <cfRule type="cellIs" dxfId="5291" priority="799" stopIfTrue="1" operator="equal">
      <formula>"1 Modify"</formula>
    </cfRule>
  </conditionalFormatting>
  <conditionalFormatting sqref="C268">
    <cfRule type="cellIs" dxfId="5290" priority="800" stopIfTrue="1" operator="equal">
      <formula>"2 Add"</formula>
    </cfRule>
  </conditionalFormatting>
  <conditionalFormatting sqref="C268">
    <cfRule type="cellIs" dxfId="5289" priority="801" stopIfTrue="1" operator="equal">
      <formula>"3 Delete"</formula>
    </cfRule>
  </conditionalFormatting>
  <conditionalFormatting sqref="C269">
    <cfRule type="cellIs" dxfId="5288" priority="802" stopIfTrue="1" operator="equal">
      <formula>"1 Modify"</formula>
    </cfRule>
  </conditionalFormatting>
  <conditionalFormatting sqref="C269">
    <cfRule type="cellIs" dxfId="5287" priority="803" stopIfTrue="1" operator="equal">
      <formula>"2 Add"</formula>
    </cfRule>
  </conditionalFormatting>
  <conditionalFormatting sqref="C269">
    <cfRule type="cellIs" dxfId="5286" priority="804" stopIfTrue="1" operator="equal">
      <formula>"3 Delete"</formula>
    </cfRule>
  </conditionalFormatting>
  <conditionalFormatting sqref="C270">
    <cfRule type="cellIs" dxfId="5285" priority="805" stopIfTrue="1" operator="equal">
      <formula>"1 Modify"</formula>
    </cfRule>
  </conditionalFormatting>
  <conditionalFormatting sqref="C270">
    <cfRule type="cellIs" dxfId="5284" priority="806" stopIfTrue="1" operator="equal">
      <formula>"2 Add"</formula>
    </cfRule>
  </conditionalFormatting>
  <conditionalFormatting sqref="C270">
    <cfRule type="cellIs" dxfId="5283" priority="807" stopIfTrue="1" operator="equal">
      <formula>"3 Delete"</formula>
    </cfRule>
  </conditionalFormatting>
  <conditionalFormatting sqref="C271">
    <cfRule type="cellIs" dxfId="5282" priority="808" stopIfTrue="1" operator="equal">
      <formula>"1 Modify"</formula>
    </cfRule>
  </conditionalFormatting>
  <conditionalFormatting sqref="C271">
    <cfRule type="cellIs" dxfId="5281" priority="809" stopIfTrue="1" operator="equal">
      <formula>"2 Add"</formula>
    </cfRule>
  </conditionalFormatting>
  <conditionalFormatting sqref="C271">
    <cfRule type="cellIs" dxfId="5280" priority="810" stopIfTrue="1" operator="equal">
      <formula>"3 Delete"</formula>
    </cfRule>
  </conditionalFormatting>
  <conditionalFormatting sqref="C272">
    <cfRule type="cellIs" dxfId="5279" priority="811" stopIfTrue="1" operator="equal">
      <formula>"1 Modify"</formula>
    </cfRule>
  </conditionalFormatting>
  <conditionalFormatting sqref="C272">
    <cfRule type="cellIs" dxfId="5278" priority="812" stopIfTrue="1" operator="equal">
      <formula>"2 Add"</formula>
    </cfRule>
  </conditionalFormatting>
  <conditionalFormatting sqref="C272">
    <cfRule type="cellIs" dxfId="5277" priority="813" stopIfTrue="1" operator="equal">
      <formula>"3 Delete"</formula>
    </cfRule>
  </conditionalFormatting>
  <conditionalFormatting sqref="C273">
    <cfRule type="cellIs" dxfId="5276" priority="814" stopIfTrue="1" operator="equal">
      <formula>"1 Modify"</formula>
    </cfRule>
  </conditionalFormatting>
  <conditionalFormatting sqref="C273">
    <cfRule type="cellIs" dxfId="5275" priority="815" stopIfTrue="1" operator="equal">
      <formula>"2 Add"</formula>
    </cfRule>
  </conditionalFormatting>
  <conditionalFormatting sqref="C273">
    <cfRule type="cellIs" dxfId="5274" priority="816" stopIfTrue="1" operator="equal">
      <formula>"3 Delete"</formula>
    </cfRule>
  </conditionalFormatting>
  <conditionalFormatting sqref="C274">
    <cfRule type="cellIs" dxfId="5273" priority="817" stopIfTrue="1" operator="equal">
      <formula>"1 Modify"</formula>
    </cfRule>
  </conditionalFormatting>
  <conditionalFormatting sqref="C274">
    <cfRule type="cellIs" dxfId="5272" priority="818" stopIfTrue="1" operator="equal">
      <formula>"2 Add"</formula>
    </cfRule>
  </conditionalFormatting>
  <conditionalFormatting sqref="C274">
    <cfRule type="cellIs" dxfId="5271" priority="819" stopIfTrue="1" operator="equal">
      <formula>"3 Delete"</formula>
    </cfRule>
  </conditionalFormatting>
  <conditionalFormatting sqref="C275">
    <cfRule type="cellIs" dxfId="5270" priority="820" stopIfTrue="1" operator="equal">
      <formula>"1 Modify"</formula>
    </cfRule>
  </conditionalFormatting>
  <conditionalFormatting sqref="C275">
    <cfRule type="cellIs" dxfId="5269" priority="821" stopIfTrue="1" operator="equal">
      <formula>"2 Add"</formula>
    </cfRule>
  </conditionalFormatting>
  <conditionalFormatting sqref="C275">
    <cfRule type="cellIs" dxfId="5268" priority="822" stopIfTrue="1" operator="equal">
      <formula>"3 Delete"</formula>
    </cfRule>
  </conditionalFormatting>
  <conditionalFormatting sqref="C276">
    <cfRule type="cellIs" dxfId="5267" priority="823" stopIfTrue="1" operator="equal">
      <formula>"1 Modify"</formula>
    </cfRule>
  </conditionalFormatting>
  <conditionalFormatting sqref="C276">
    <cfRule type="cellIs" dxfId="5266" priority="824" stopIfTrue="1" operator="equal">
      <formula>"2 Add"</formula>
    </cfRule>
  </conditionalFormatting>
  <conditionalFormatting sqref="C276">
    <cfRule type="cellIs" dxfId="5265" priority="825" stopIfTrue="1" operator="equal">
      <formula>"3 Delete"</formula>
    </cfRule>
  </conditionalFormatting>
  <conditionalFormatting sqref="C277">
    <cfRule type="cellIs" dxfId="5264" priority="826" stopIfTrue="1" operator="equal">
      <formula>"1 Modify"</formula>
    </cfRule>
  </conditionalFormatting>
  <conditionalFormatting sqref="C277">
    <cfRule type="cellIs" dxfId="5263" priority="827" stopIfTrue="1" operator="equal">
      <formula>"2 Add"</formula>
    </cfRule>
  </conditionalFormatting>
  <conditionalFormatting sqref="C277">
    <cfRule type="cellIs" dxfId="5262" priority="828" stopIfTrue="1" operator="equal">
      <formula>"3 Delete"</formula>
    </cfRule>
  </conditionalFormatting>
  <conditionalFormatting sqref="C278">
    <cfRule type="cellIs" dxfId="5261" priority="829" stopIfTrue="1" operator="equal">
      <formula>"1 Modify"</formula>
    </cfRule>
  </conditionalFormatting>
  <conditionalFormatting sqref="C278">
    <cfRule type="cellIs" dxfId="5260" priority="830" stopIfTrue="1" operator="equal">
      <formula>"2 Add"</formula>
    </cfRule>
  </conditionalFormatting>
  <conditionalFormatting sqref="C278">
    <cfRule type="cellIs" dxfId="5259" priority="831" stopIfTrue="1" operator="equal">
      <formula>"3 Delete"</formula>
    </cfRule>
  </conditionalFormatting>
  <conditionalFormatting sqref="C279">
    <cfRule type="cellIs" dxfId="5258" priority="832" stopIfTrue="1" operator="equal">
      <formula>"1 Modify"</formula>
    </cfRule>
  </conditionalFormatting>
  <conditionalFormatting sqref="C279">
    <cfRule type="cellIs" dxfId="5257" priority="833" stopIfTrue="1" operator="equal">
      <formula>"2 Add"</formula>
    </cfRule>
  </conditionalFormatting>
  <conditionalFormatting sqref="C279">
    <cfRule type="cellIs" dxfId="5256" priority="834" stopIfTrue="1" operator="equal">
      <formula>"3 Delete"</formula>
    </cfRule>
  </conditionalFormatting>
  <conditionalFormatting sqref="C280">
    <cfRule type="cellIs" dxfId="5255" priority="835" stopIfTrue="1" operator="equal">
      <formula>"1 Modify"</formula>
    </cfRule>
  </conditionalFormatting>
  <conditionalFormatting sqref="C280">
    <cfRule type="cellIs" dxfId="5254" priority="836" stopIfTrue="1" operator="equal">
      <formula>"2 Add"</formula>
    </cfRule>
  </conditionalFormatting>
  <conditionalFormatting sqref="C280">
    <cfRule type="cellIs" dxfId="5253" priority="837" stopIfTrue="1" operator="equal">
      <formula>"3 Delete"</formula>
    </cfRule>
  </conditionalFormatting>
  <conditionalFormatting sqref="C281">
    <cfRule type="cellIs" dxfId="5252" priority="838" stopIfTrue="1" operator="equal">
      <formula>"1 Modify"</formula>
    </cfRule>
  </conditionalFormatting>
  <conditionalFormatting sqref="C281">
    <cfRule type="cellIs" dxfId="5251" priority="839" stopIfTrue="1" operator="equal">
      <formula>"2 Add"</formula>
    </cfRule>
  </conditionalFormatting>
  <conditionalFormatting sqref="C281">
    <cfRule type="cellIs" dxfId="5250" priority="840" stopIfTrue="1" operator="equal">
      <formula>"3 Delete"</formula>
    </cfRule>
  </conditionalFormatting>
  <conditionalFormatting sqref="C282">
    <cfRule type="cellIs" dxfId="5249" priority="841" stopIfTrue="1" operator="equal">
      <formula>"1 Modify"</formula>
    </cfRule>
  </conditionalFormatting>
  <conditionalFormatting sqref="C282">
    <cfRule type="cellIs" dxfId="5248" priority="842" stopIfTrue="1" operator="equal">
      <formula>"2 Add"</formula>
    </cfRule>
  </conditionalFormatting>
  <conditionalFormatting sqref="C282">
    <cfRule type="cellIs" dxfId="5247" priority="843" stopIfTrue="1" operator="equal">
      <formula>"3 Delete"</formula>
    </cfRule>
  </conditionalFormatting>
  <conditionalFormatting sqref="C283">
    <cfRule type="cellIs" dxfId="5246" priority="844" stopIfTrue="1" operator="equal">
      <formula>"1 Modify"</formula>
    </cfRule>
  </conditionalFormatting>
  <conditionalFormatting sqref="C283">
    <cfRule type="cellIs" dxfId="5245" priority="845" stopIfTrue="1" operator="equal">
      <formula>"2 Add"</formula>
    </cfRule>
  </conditionalFormatting>
  <conditionalFormatting sqref="C283">
    <cfRule type="cellIs" dxfId="5244" priority="846" stopIfTrue="1" operator="equal">
      <formula>"3 Delete"</formula>
    </cfRule>
  </conditionalFormatting>
  <conditionalFormatting sqref="C284">
    <cfRule type="cellIs" dxfId="5243" priority="847" stopIfTrue="1" operator="equal">
      <formula>"1 Modify"</formula>
    </cfRule>
  </conditionalFormatting>
  <conditionalFormatting sqref="C284">
    <cfRule type="cellIs" dxfId="5242" priority="848" stopIfTrue="1" operator="equal">
      <formula>"2 Add"</formula>
    </cfRule>
  </conditionalFormatting>
  <conditionalFormatting sqref="C284">
    <cfRule type="cellIs" dxfId="5241" priority="849" stopIfTrue="1" operator="equal">
      <formula>"3 Delete"</formula>
    </cfRule>
  </conditionalFormatting>
  <conditionalFormatting sqref="C285">
    <cfRule type="cellIs" dxfId="5240" priority="850" stopIfTrue="1" operator="equal">
      <formula>"1 Modify"</formula>
    </cfRule>
  </conditionalFormatting>
  <conditionalFormatting sqref="C285">
    <cfRule type="cellIs" dxfId="5239" priority="851" stopIfTrue="1" operator="equal">
      <formula>"2 Add"</formula>
    </cfRule>
  </conditionalFormatting>
  <conditionalFormatting sqref="C285">
    <cfRule type="cellIs" dxfId="5238" priority="852" stopIfTrue="1" operator="equal">
      <formula>"3 Delete"</formula>
    </cfRule>
  </conditionalFormatting>
  <conditionalFormatting sqref="C286">
    <cfRule type="cellIs" dxfId="5237" priority="853" stopIfTrue="1" operator="equal">
      <formula>"1 Modify"</formula>
    </cfRule>
  </conditionalFormatting>
  <conditionalFormatting sqref="C286">
    <cfRule type="cellIs" dxfId="5236" priority="854" stopIfTrue="1" operator="equal">
      <formula>"2 Add"</formula>
    </cfRule>
  </conditionalFormatting>
  <conditionalFormatting sqref="C286">
    <cfRule type="cellIs" dxfId="5235" priority="855" stopIfTrue="1" operator="equal">
      <formula>"3 Delete"</formula>
    </cfRule>
  </conditionalFormatting>
  <conditionalFormatting sqref="C287">
    <cfRule type="cellIs" dxfId="5234" priority="856" stopIfTrue="1" operator="equal">
      <formula>"1 Modify"</formula>
    </cfRule>
  </conditionalFormatting>
  <conditionalFormatting sqref="C287">
    <cfRule type="cellIs" dxfId="5233" priority="857" stopIfTrue="1" operator="equal">
      <formula>"2 Add"</formula>
    </cfRule>
  </conditionalFormatting>
  <conditionalFormatting sqref="C287">
    <cfRule type="cellIs" dxfId="5232" priority="858" stopIfTrue="1" operator="equal">
      <formula>"3 Delete"</formula>
    </cfRule>
  </conditionalFormatting>
  <conditionalFormatting sqref="C288">
    <cfRule type="cellIs" dxfId="5231" priority="859" stopIfTrue="1" operator="equal">
      <formula>"1 Modify"</formula>
    </cfRule>
  </conditionalFormatting>
  <conditionalFormatting sqref="C288">
    <cfRule type="cellIs" dxfId="5230" priority="860" stopIfTrue="1" operator="equal">
      <formula>"2 Add"</formula>
    </cfRule>
  </conditionalFormatting>
  <conditionalFormatting sqref="C288">
    <cfRule type="cellIs" dxfId="5229" priority="861" stopIfTrue="1" operator="equal">
      <formula>"3 Delete"</formula>
    </cfRule>
  </conditionalFormatting>
  <conditionalFormatting sqref="C289">
    <cfRule type="cellIs" dxfId="5228" priority="862" stopIfTrue="1" operator="equal">
      <formula>"1 Modify"</formula>
    </cfRule>
  </conditionalFormatting>
  <conditionalFormatting sqref="C289">
    <cfRule type="cellIs" dxfId="5227" priority="863" stopIfTrue="1" operator="equal">
      <formula>"2 Add"</formula>
    </cfRule>
  </conditionalFormatting>
  <conditionalFormatting sqref="C289">
    <cfRule type="cellIs" dxfId="5226" priority="864" stopIfTrue="1" operator="equal">
      <formula>"3 Delete"</formula>
    </cfRule>
  </conditionalFormatting>
  <conditionalFormatting sqref="C290">
    <cfRule type="cellIs" dxfId="5225" priority="865" stopIfTrue="1" operator="equal">
      <formula>"1 Modify"</formula>
    </cfRule>
  </conditionalFormatting>
  <conditionalFormatting sqref="C290">
    <cfRule type="cellIs" dxfId="5224" priority="866" stopIfTrue="1" operator="equal">
      <formula>"2 Add"</formula>
    </cfRule>
  </conditionalFormatting>
  <conditionalFormatting sqref="C290">
    <cfRule type="cellIs" dxfId="5223" priority="867" stopIfTrue="1" operator="equal">
      <formula>"3 Delete"</formula>
    </cfRule>
  </conditionalFormatting>
  <conditionalFormatting sqref="C291">
    <cfRule type="cellIs" dxfId="5222" priority="868" stopIfTrue="1" operator="equal">
      <formula>"1 Modify"</formula>
    </cfRule>
  </conditionalFormatting>
  <conditionalFormatting sqref="C291">
    <cfRule type="cellIs" dxfId="5221" priority="869" stopIfTrue="1" operator="equal">
      <formula>"2 Add"</formula>
    </cfRule>
  </conditionalFormatting>
  <conditionalFormatting sqref="C291">
    <cfRule type="cellIs" dxfId="5220" priority="870" stopIfTrue="1" operator="equal">
      <formula>"3 Delete"</formula>
    </cfRule>
  </conditionalFormatting>
  <conditionalFormatting sqref="C292">
    <cfRule type="cellIs" dxfId="5219" priority="871" stopIfTrue="1" operator="equal">
      <formula>"1 Modify"</formula>
    </cfRule>
  </conditionalFormatting>
  <conditionalFormatting sqref="C292">
    <cfRule type="cellIs" dxfId="5218" priority="872" stopIfTrue="1" operator="equal">
      <formula>"2 Add"</formula>
    </cfRule>
  </conditionalFormatting>
  <conditionalFormatting sqref="C292">
    <cfRule type="cellIs" dxfId="5217" priority="873" stopIfTrue="1" operator="equal">
      <formula>"3 Delete"</formula>
    </cfRule>
  </conditionalFormatting>
  <conditionalFormatting sqref="C293">
    <cfRule type="cellIs" dxfId="5216" priority="874" stopIfTrue="1" operator="equal">
      <formula>"1 Modify"</formula>
    </cfRule>
  </conditionalFormatting>
  <conditionalFormatting sqref="C293">
    <cfRule type="cellIs" dxfId="5215" priority="875" stopIfTrue="1" operator="equal">
      <formula>"2 Add"</formula>
    </cfRule>
  </conditionalFormatting>
  <conditionalFormatting sqref="C293">
    <cfRule type="cellIs" dxfId="5214" priority="876" stopIfTrue="1" operator="equal">
      <formula>"3 Delete"</formula>
    </cfRule>
  </conditionalFormatting>
  <conditionalFormatting sqref="C294">
    <cfRule type="cellIs" dxfId="5213" priority="877" stopIfTrue="1" operator="equal">
      <formula>"1 Modify"</formula>
    </cfRule>
  </conditionalFormatting>
  <conditionalFormatting sqref="C294">
    <cfRule type="cellIs" dxfId="5212" priority="878" stopIfTrue="1" operator="equal">
      <formula>"2 Add"</formula>
    </cfRule>
  </conditionalFormatting>
  <conditionalFormatting sqref="C294">
    <cfRule type="cellIs" dxfId="5211" priority="879" stopIfTrue="1" operator="equal">
      <formula>"3 Delete"</formula>
    </cfRule>
  </conditionalFormatting>
  <conditionalFormatting sqref="C295">
    <cfRule type="cellIs" dxfId="5210" priority="880" stopIfTrue="1" operator="equal">
      <formula>"1 Modify"</formula>
    </cfRule>
  </conditionalFormatting>
  <conditionalFormatting sqref="C295">
    <cfRule type="cellIs" dxfId="5209" priority="881" stopIfTrue="1" operator="equal">
      <formula>"2 Add"</formula>
    </cfRule>
  </conditionalFormatting>
  <conditionalFormatting sqref="C295">
    <cfRule type="cellIs" dxfId="5208" priority="882" stopIfTrue="1" operator="equal">
      <formula>"3 Delete"</formula>
    </cfRule>
  </conditionalFormatting>
  <conditionalFormatting sqref="C296">
    <cfRule type="cellIs" dxfId="5207" priority="883" stopIfTrue="1" operator="equal">
      <formula>"1 Modify"</formula>
    </cfRule>
  </conditionalFormatting>
  <conditionalFormatting sqref="C296">
    <cfRule type="cellIs" dxfId="5206" priority="884" stopIfTrue="1" operator="equal">
      <formula>"2 Add"</formula>
    </cfRule>
  </conditionalFormatting>
  <conditionalFormatting sqref="C296">
    <cfRule type="cellIs" dxfId="5205" priority="885" stopIfTrue="1" operator="equal">
      <formula>"3 Delete"</formula>
    </cfRule>
  </conditionalFormatting>
  <conditionalFormatting sqref="C297">
    <cfRule type="cellIs" dxfId="5204" priority="886" stopIfTrue="1" operator="equal">
      <formula>"1 Modify"</formula>
    </cfRule>
  </conditionalFormatting>
  <conditionalFormatting sqref="C297">
    <cfRule type="cellIs" dxfId="5203" priority="887" stopIfTrue="1" operator="equal">
      <formula>"2 Add"</formula>
    </cfRule>
  </conditionalFormatting>
  <conditionalFormatting sqref="C297">
    <cfRule type="cellIs" dxfId="5202" priority="888" stopIfTrue="1" operator="equal">
      <formula>"3 Delete"</formula>
    </cfRule>
  </conditionalFormatting>
  <conditionalFormatting sqref="C298">
    <cfRule type="cellIs" dxfId="5201" priority="889" stopIfTrue="1" operator="equal">
      <formula>"1 Modify"</formula>
    </cfRule>
  </conditionalFormatting>
  <conditionalFormatting sqref="C298">
    <cfRule type="cellIs" dxfId="5200" priority="890" stopIfTrue="1" operator="equal">
      <formula>"2 Add"</formula>
    </cfRule>
  </conditionalFormatting>
  <conditionalFormatting sqref="C298">
    <cfRule type="cellIs" dxfId="5199" priority="891" stopIfTrue="1" operator="equal">
      <formula>"3 Delete"</formula>
    </cfRule>
  </conditionalFormatting>
  <conditionalFormatting sqref="C299">
    <cfRule type="cellIs" dxfId="5198" priority="892" stopIfTrue="1" operator="equal">
      <formula>"1 Modify"</formula>
    </cfRule>
  </conditionalFormatting>
  <conditionalFormatting sqref="C299">
    <cfRule type="cellIs" dxfId="5197" priority="893" stopIfTrue="1" operator="equal">
      <formula>"2 Add"</formula>
    </cfRule>
  </conditionalFormatting>
  <conditionalFormatting sqref="C299">
    <cfRule type="cellIs" dxfId="5196" priority="894" stopIfTrue="1" operator="equal">
      <formula>"3 Delete"</formula>
    </cfRule>
  </conditionalFormatting>
  <conditionalFormatting sqref="C300">
    <cfRule type="cellIs" dxfId="5195" priority="895" stopIfTrue="1" operator="equal">
      <formula>"1 Modify"</formula>
    </cfRule>
  </conditionalFormatting>
  <conditionalFormatting sqref="C300">
    <cfRule type="cellIs" dxfId="5194" priority="896" stopIfTrue="1" operator="equal">
      <formula>"2 Add"</formula>
    </cfRule>
  </conditionalFormatting>
  <conditionalFormatting sqref="C300">
    <cfRule type="cellIs" dxfId="5193" priority="897" stopIfTrue="1" operator="equal">
      <formula>"3 Delete"</formula>
    </cfRule>
  </conditionalFormatting>
  <conditionalFormatting sqref="C301">
    <cfRule type="cellIs" dxfId="5192" priority="898" stopIfTrue="1" operator="equal">
      <formula>"1 Modify"</formula>
    </cfRule>
  </conditionalFormatting>
  <conditionalFormatting sqref="C301">
    <cfRule type="cellIs" dxfId="5191" priority="899" stopIfTrue="1" operator="equal">
      <formula>"2 Add"</formula>
    </cfRule>
  </conditionalFormatting>
  <conditionalFormatting sqref="C301">
    <cfRule type="cellIs" dxfId="5190" priority="900" stopIfTrue="1" operator="equal">
      <formula>"3 Delete"</formula>
    </cfRule>
  </conditionalFormatting>
  <conditionalFormatting sqref="C302">
    <cfRule type="cellIs" dxfId="5189" priority="901" stopIfTrue="1" operator="equal">
      <formula>"1 Modify"</formula>
    </cfRule>
  </conditionalFormatting>
  <conditionalFormatting sqref="C302">
    <cfRule type="cellIs" dxfId="5188" priority="902" stopIfTrue="1" operator="equal">
      <formula>"2 Add"</formula>
    </cfRule>
  </conditionalFormatting>
  <conditionalFormatting sqref="C302">
    <cfRule type="cellIs" dxfId="5187" priority="903" stopIfTrue="1" operator="equal">
      <formula>"3 Delete"</formula>
    </cfRule>
  </conditionalFormatting>
  <conditionalFormatting sqref="C303">
    <cfRule type="cellIs" dxfId="5186" priority="904" stopIfTrue="1" operator="equal">
      <formula>"1 Modify"</formula>
    </cfRule>
  </conditionalFormatting>
  <conditionalFormatting sqref="C303">
    <cfRule type="cellIs" dxfId="5185" priority="905" stopIfTrue="1" operator="equal">
      <formula>"2 Add"</formula>
    </cfRule>
  </conditionalFormatting>
  <conditionalFormatting sqref="C303">
    <cfRule type="cellIs" dxfId="5184" priority="906" stopIfTrue="1" operator="equal">
      <formula>"3 Delete"</formula>
    </cfRule>
  </conditionalFormatting>
  <conditionalFormatting sqref="C304">
    <cfRule type="cellIs" dxfId="5183" priority="907" stopIfTrue="1" operator="equal">
      <formula>"1 Modify"</formula>
    </cfRule>
  </conditionalFormatting>
  <conditionalFormatting sqref="C304">
    <cfRule type="cellIs" dxfId="5182" priority="908" stopIfTrue="1" operator="equal">
      <formula>"2 Add"</formula>
    </cfRule>
  </conditionalFormatting>
  <conditionalFormatting sqref="C304">
    <cfRule type="cellIs" dxfId="5181" priority="909" stopIfTrue="1" operator="equal">
      <formula>"3 Delete"</formula>
    </cfRule>
  </conditionalFormatting>
  <conditionalFormatting sqref="C305">
    <cfRule type="cellIs" dxfId="5180" priority="910" stopIfTrue="1" operator="equal">
      <formula>"1 Modify"</formula>
    </cfRule>
  </conditionalFormatting>
  <conditionalFormatting sqref="C305">
    <cfRule type="cellIs" dxfId="5179" priority="911" stopIfTrue="1" operator="equal">
      <formula>"2 Add"</formula>
    </cfRule>
  </conditionalFormatting>
  <conditionalFormatting sqref="C305">
    <cfRule type="cellIs" dxfId="5178" priority="912" stopIfTrue="1" operator="equal">
      <formula>"3 Delete"</formula>
    </cfRule>
  </conditionalFormatting>
  <conditionalFormatting sqref="C306">
    <cfRule type="cellIs" dxfId="5177" priority="913" stopIfTrue="1" operator="equal">
      <formula>"1 Modify"</formula>
    </cfRule>
  </conditionalFormatting>
  <conditionalFormatting sqref="C306">
    <cfRule type="cellIs" dxfId="5176" priority="914" stopIfTrue="1" operator="equal">
      <formula>"2 Add"</formula>
    </cfRule>
  </conditionalFormatting>
  <conditionalFormatting sqref="C306">
    <cfRule type="cellIs" dxfId="5175" priority="915" stopIfTrue="1" operator="equal">
      <formula>"3 Delete"</formula>
    </cfRule>
  </conditionalFormatting>
  <conditionalFormatting sqref="C307">
    <cfRule type="cellIs" dxfId="5174" priority="916" stopIfTrue="1" operator="equal">
      <formula>"1 Modify"</formula>
    </cfRule>
  </conditionalFormatting>
  <conditionalFormatting sqref="C307">
    <cfRule type="cellIs" dxfId="5173" priority="917" stopIfTrue="1" operator="equal">
      <formula>"2 Add"</formula>
    </cfRule>
  </conditionalFormatting>
  <conditionalFormatting sqref="C307">
    <cfRule type="cellIs" dxfId="5172" priority="918" stopIfTrue="1" operator="equal">
      <formula>"3 Delete"</formula>
    </cfRule>
  </conditionalFormatting>
  <conditionalFormatting sqref="C308">
    <cfRule type="cellIs" dxfId="5171" priority="919" stopIfTrue="1" operator="equal">
      <formula>"1 Modify"</formula>
    </cfRule>
  </conditionalFormatting>
  <conditionalFormatting sqref="C308">
    <cfRule type="cellIs" dxfId="5170" priority="920" stopIfTrue="1" operator="equal">
      <formula>"2 Add"</formula>
    </cfRule>
  </conditionalFormatting>
  <conditionalFormatting sqref="C308">
    <cfRule type="cellIs" dxfId="5169" priority="921" stopIfTrue="1" operator="equal">
      <formula>"3 Delete"</formula>
    </cfRule>
  </conditionalFormatting>
  <conditionalFormatting sqref="C309">
    <cfRule type="cellIs" dxfId="5168" priority="922" stopIfTrue="1" operator="equal">
      <formula>"1 Modify"</formula>
    </cfRule>
  </conditionalFormatting>
  <conditionalFormatting sqref="C309">
    <cfRule type="cellIs" dxfId="5167" priority="923" stopIfTrue="1" operator="equal">
      <formula>"2 Add"</formula>
    </cfRule>
  </conditionalFormatting>
  <conditionalFormatting sqref="C309">
    <cfRule type="cellIs" dxfId="5166" priority="924" stopIfTrue="1" operator="equal">
      <formula>"3 Delete"</formula>
    </cfRule>
  </conditionalFormatting>
  <conditionalFormatting sqref="C310">
    <cfRule type="cellIs" dxfId="5165" priority="925" stopIfTrue="1" operator="equal">
      <formula>"1 Modify"</formula>
    </cfRule>
  </conditionalFormatting>
  <conditionalFormatting sqref="C310">
    <cfRule type="cellIs" dxfId="5164" priority="926" stopIfTrue="1" operator="equal">
      <formula>"2 Add"</formula>
    </cfRule>
  </conditionalFormatting>
  <conditionalFormatting sqref="C310">
    <cfRule type="cellIs" dxfId="5163" priority="927" stopIfTrue="1" operator="equal">
      <formula>"3 Delete"</formula>
    </cfRule>
  </conditionalFormatting>
  <conditionalFormatting sqref="C311">
    <cfRule type="cellIs" dxfId="5162" priority="928" stopIfTrue="1" operator="equal">
      <formula>"1 Modify"</formula>
    </cfRule>
  </conditionalFormatting>
  <conditionalFormatting sqref="C311">
    <cfRule type="cellIs" dxfId="5161" priority="929" stopIfTrue="1" operator="equal">
      <formula>"2 Add"</formula>
    </cfRule>
  </conditionalFormatting>
  <conditionalFormatting sqref="C311">
    <cfRule type="cellIs" dxfId="5160" priority="930" stopIfTrue="1" operator="equal">
      <formula>"3 Delete"</formula>
    </cfRule>
  </conditionalFormatting>
  <conditionalFormatting sqref="C312">
    <cfRule type="cellIs" dxfId="5159" priority="931" stopIfTrue="1" operator="equal">
      <formula>"1 Modify"</formula>
    </cfRule>
  </conditionalFormatting>
  <conditionalFormatting sqref="C312">
    <cfRule type="cellIs" dxfId="5158" priority="932" stopIfTrue="1" operator="equal">
      <formula>"2 Add"</formula>
    </cfRule>
  </conditionalFormatting>
  <conditionalFormatting sqref="C312">
    <cfRule type="cellIs" dxfId="5157" priority="933" stopIfTrue="1" operator="equal">
      <formula>"3 Delete"</formula>
    </cfRule>
  </conditionalFormatting>
  <conditionalFormatting sqref="C313">
    <cfRule type="cellIs" dxfId="5156" priority="934" stopIfTrue="1" operator="equal">
      <formula>"1 Modify"</formula>
    </cfRule>
  </conditionalFormatting>
  <conditionalFormatting sqref="C313">
    <cfRule type="cellIs" dxfId="5155" priority="935" stopIfTrue="1" operator="equal">
      <formula>"2 Add"</formula>
    </cfRule>
  </conditionalFormatting>
  <conditionalFormatting sqref="C313">
    <cfRule type="cellIs" dxfId="5154" priority="936" stopIfTrue="1" operator="equal">
      <formula>"3 Delete"</formula>
    </cfRule>
  </conditionalFormatting>
  <conditionalFormatting sqref="C314">
    <cfRule type="cellIs" dxfId="5153" priority="937" stopIfTrue="1" operator="equal">
      <formula>"1 Modify"</formula>
    </cfRule>
  </conditionalFormatting>
  <conditionalFormatting sqref="C314">
    <cfRule type="cellIs" dxfId="5152" priority="938" stopIfTrue="1" operator="equal">
      <formula>"2 Add"</formula>
    </cfRule>
  </conditionalFormatting>
  <conditionalFormatting sqref="C314">
    <cfRule type="cellIs" dxfId="5151" priority="939" stopIfTrue="1" operator="equal">
      <formula>"3 Delete"</formula>
    </cfRule>
  </conditionalFormatting>
  <conditionalFormatting sqref="C315">
    <cfRule type="cellIs" dxfId="5150" priority="940" stopIfTrue="1" operator="equal">
      <formula>"1 Modify"</formula>
    </cfRule>
  </conditionalFormatting>
  <conditionalFormatting sqref="C315">
    <cfRule type="cellIs" dxfId="5149" priority="941" stopIfTrue="1" operator="equal">
      <formula>"2 Add"</formula>
    </cfRule>
  </conditionalFormatting>
  <conditionalFormatting sqref="C315">
    <cfRule type="cellIs" dxfId="5148" priority="942" stopIfTrue="1" operator="equal">
      <formula>"3 Delete"</formula>
    </cfRule>
  </conditionalFormatting>
  <conditionalFormatting sqref="C316">
    <cfRule type="cellIs" dxfId="5147" priority="943" stopIfTrue="1" operator="equal">
      <formula>"1 Modify"</formula>
    </cfRule>
  </conditionalFormatting>
  <conditionalFormatting sqref="C316">
    <cfRule type="cellIs" dxfId="5146" priority="944" stopIfTrue="1" operator="equal">
      <formula>"2 Add"</formula>
    </cfRule>
  </conditionalFormatting>
  <conditionalFormatting sqref="C316">
    <cfRule type="cellIs" dxfId="5145" priority="945" stopIfTrue="1" operator="equal">
      <formula>"3 Delete"</formula>
    </cfRule>
  </conditionalFormatting>
  <conditionalFormatting sqref="C317">
    <cfRule type="cellIs" dxfId="5144" priority="946" stopIfTrue="1" operator="equal">
      <formula>"1 Modify"</formula>
    </cfRule>
  </conditionalFormatting>
  <conditionalFormatting sqref="C317">
    <cfRule type="cellIs" dxfId="5143" priority="947" stopIfTrue="1" operator="equal">
      <formula>"2 Add"</formula>
    </cfRule>
  </conditionalFormatting>
  <conditionalFormatting sqref="C317">
    <cfRule type="cellIs" dxfId="5142" priority="948" stopIfTrue="1" operator="equal">
      <formula>"3 Delete"</formula>
    </cfRule>
  </conditionalFormatting>
  <conditionalFormatting sqref="C318">
    <cfRule type="cellIs" dxfId="5141" priority="949" stopIfTrue="1" operator="equal">
      <formula>"1 Modify"</formula>
    </cfRule>
  </conditionalFormatting>
  <conditionalFormatting sqref="C318">
    <cfRule type="cellIs" dxfId="5140" priority="950" stopIfTrue="1" operator="equal">
      <formula>"2 Add"</formula>
    </cfRule>
  </conditionalFormatting>
  <conditionalFormatting sqref="C318">
    <cfRule type="cellIs" dxfId="5139" priority="951" stopIfTrue="1" operator="equal">
      <formula>"3 Delete"</formula>
    </cfRule>
  </conditionalFormatting>
  <conditionalFormatting sqref="C319">
    <cfRule type="cellIs" dxfId="5138" priority="952" stopIfTrue="1" operator="equal">
      <formula>"1 Modify"</formula>
    </cfRule>
  </conditionalFormatting>
  <conditionalFormatting sqref="C319">
    <cfRule type="cellIs" dxfId="5137" priority="953" stopIfTrue="1" operator="equal">
      <formula>"2 Add"</formula>
    </cfRule>
  </conditionalFormatting>
  <conditionalFormatting sqref="C319">
    <cfRule type="cellIs" dxfId="5136" priority="954" stopIfTrue="1" operator="equal">
      <formula>"3 Delete"</formula>
    </cfRule>
  </conditionalFormatting>
  <conditionalFormatting sqref="C320">
    <cfRule type="cellIs" dxfId="5135" priority="955" stopIfTrue="1" operator="equal">
      <formula>"1 Modify"</formula>
    </cfRule>
  </conditionalFormatting>
  <conditionalFormatting sqref="C320">
    <cfRule type="cellIs" dxfId="5134" priority="956" stopIfTrue="1" operator="equal">
      <formula>"2 Add"</formula>
    </cfRule>
  </conditionalFormatting>
  <conditionalFormatting sqref="C320">
    <cfRule type="cellIs" dxfId="5133" priority="957" stopIfTrue="1" operator="equal">
      <formula>"3 Delete"</formula>
    </cfRule>
  </conditionalFormatting>
  <conditionalFormatting sqref="C321">
    <cfRule type="cellIs" dxfId="5132" priority="958" stopIfTrue="1" operator="equal">
      <formula>"1 Modify"</formula>
    </cfRule>
  </conditionalFormatting>
  <conditionalFormatting sqref="C321">
    <cfRule type="cellIs" dxfId="5131" priority="959" stopIfTrue="1" operator="equal">
      <formula>"2 Add"</formula>
    </cfRule>
  </conditionalFormatting>
  <conditionalFormatting sqref="C321">
    <cfRule type="cellIs" dxfId="5130" priority="960" stopIfTrue="1" operator="equal">
      <formula>"3 Delete"</formula>
    </cfRule>
  </conditionalFormatting>
  <conditionalFormatting sqref="C322">
    <cfRule type="cellIs" dxfId="5129" priority="961" stopIfTrue="1" operator="equal">
      <formula>"1 Modify"</formula>
    </cfRule>
  </conditionalFormatting>
  <conditionalFormatting sqref="C322">
    <cfRule type="cellIs" dxfId="5128" priority="962" stopIfTrue="1" operator="equal">
      <formula>"2 Add"</formula>
    </cfRule>
  </conditionalFormatting>
  <conditionalFormatting sqref="C322">
    <cfRule type="cellIs" dxfId="5127" priority="963" stopIfTrue="1" operator="equal">
      <formula>"3 Delete"</formula>
    </cfRule>
  </conditionalFormatting>
  <conditionalFormatting sqref="C323">
    <cfRule type="cellIs" dxfId="5126" priority="964" stopIfTrue="1" operator="equal">
      <formula>"1 Modify"</formula>
    </cfRule>
  </conditionalFormatting>
  <conditionalFormatting sqref="C323">
    <cfRule type="cellIs" dxfId="5125" priority="965" stopIfTrue="1" operator="equal">
      <formula>"2 Add"</formula>
    </cfRule>
  </conditionalFormatting>
  <conditionalFormatting sqref="C323">
    <cfRule type="cellIs" dxfId="5124" priority="966" stopIfTrue="1" operator="equal">
      <formula>"3 Delete"</formula>
    </cfRule>
  </conditionalFormatting>
  <conditionalFormatting sqref="C324">
    <cfRule type="cellIs" dxfId="5123" priority="967" stopIfTrue="1" operator="equal">
      <formula>"1 Modify"</formula>
    </cfRule>
  </conditionalFormatting>
  <conditionalFormatting sqref="C324">
    <cfRule type="cellIs" dxfId="5122" priority="968" stopIfTrue="1" operator="equal">
      <formula>"2 Add"</formula>
    </cfRule>
  </conditionalFormatting>
  <conditionalFormatting sqref="C324">
    <cfRule type="cellIs" dxfId="5121" priority="969" stopIfTrue="1" operator="equal">
      <formula>"3 Delete"</formula>
    </cfRule>
  </conditionalFormatting>
  <conditionalFormatting sqref="C325">
    <cfRule type="cellIs" dxfId="5120" priority="970" stopIfTrue="1" operator="equal">
      <formula>"1 Modify"</formula>
    </cfRule>
  </conditionalFormatting>
  <conditionalFormatting sqref="C325">
    <cfRule type="cellIs" dxfId="5119" priority="971" stopIfTrue="1" operator="equal">
      <formula>"2 Add"</formula>
    </cfRule>
  </conditionalFormatting>
  <conditionalFormatting sqref="C325">
    <cfRule type="cellIs" dxfId="5118" priority="972" stopIfTrue="1" operator="equal">
      <formula>"3 Delete"</formula>
    </cfRule>
  </conditionalFormatting>
  <conditionalFormatting sqref="C326">
    <cfRule type="cellIs" dxfId="5117" priority="973" stopIfTrue="1" operator="equal">
      <formula>"1 Modify"</formula>
    </cfRule>
  </conditionalFormatting>
  <conditionalFormatting sqref="C326">
    <cfRule type="cellIs" dxfId="5116" priority="974" stopIfTrue="1" operator="equal">
      <formula>"2 Add"</formula>
    </cfRule>
  </conditionalFormatting>
  <conditionalFormatting sqref="C326">
    <cfRule type="cellIs" dxfId="5115" priority="975" stopIfTrue="1" operator="equal">
      <formula>"3 Delete"</formula>
    </cfRule>
  </conditionalFormatting>
  <conditionalFormatting sqref="C327">
    <cfRule type="cellIs" dxfId="5114" priority="976" stopIfTrue="1" operator="equal">
      <formula>"1 Modify"</formula>
    </cfRule>
  </conditionalFormatting>
  <conditionalFormatting sqref="C327">
    <cfRule type="cellIs" dxfId="5113" priority="977" stopIfTrue="1" operator="equal">
      <formula>"2 Add"</formula>
    </cfRule>
  </conditionalFormatting>
  <conditionalFormatting sqref="C327">
    <cfRule type="cellIs" dxfId="5112" priority="978" stopIfTrue="1" operator="equal">
      <formula>"3 Delete"</formula>
    </cfRule>
  </conditionalFormatting>
  <conditionalFormatting sqref="C328">
    <cfRule type="cellIs" dxfId="5111" priority="979" stopIfTrue="1" operator="equal">
      <formula>"1 Modify"</formula>
    </cfRule>
  </conditionalFormatting>
  <conditionalFormatting sqref="C328">
    <cfRule type="cellIs" dxfId="5110" priority="980" stopIfTrue="1" operator="equal">
      <formula>"2 Add"</formula>
    </cfRule>
  </conditionalFormatting>
  <conditionalFormatting sqref="C328">
    <cfRule type="cellIs" dxfId="5109" priority="981" stopIfTrue="1" operator="equal">
      <formula>"3 Delete"</formula>
    </cfRule>
  </conditionalFormatting>
  <conditionalFormatting sqref="C329">
    <cfRule type="cellIs" dxfId="5108" priority="982" stopIfTrue="1" operator="equal">
      <formula>"1 Modify"</formula>
    </cfRule>
  </conditionalFormatting>
  <conditionalFormatting sqref="C329">
    <cfRule type="cellIs" dxfId="5107" priority="983" stopIfTrue="1" operator="equal">
      <formula>"2 Add"</formula>
    </cfRule>
  </conditionalFormatting>
  <conditionalFormatting sqref="C329">
    <cfRule type="cellIs" dxfId="5106" priority="984" stopIfTrue="1" operator="equal">
      <formula>"3 Delete"</formula>
    </cfRule>
  </conditionalFormatting>
  <conditionalFormatting sqref="C330">
    <cfRule type="cellIs" dxfId="5105" priority="985" stopIfTrue="1" operator="equal">
      <formula>"1 Modify"</formula>
    </cfRule>
  </conditionalFormatting>
  <conditionalFormatting sqref="C330">
    <cfRule type="cellIs" dxfId="5104" priority="986" stopIfTrue="1" operator="equal">
      <formula>"2 Add"</formula>
    </cfRule>
  </conditionalFormatting>
  <conditionalFormatting sqref="C330">
    <cfRule type="cellIs" dxfId="5103" priority="987" stopIfTrue="1" operator="equal">
      <formula>"3 Delete"</formula>
    </cfRule>
  </conditionalFormatting>
  <conditionalFormatting sqref="C331">
    <cfRule type="cellIs" dxfId="5102" priority="988" stopIfTrue="1" operator="equal">
      <formula>"1 Modify"</formula>
    </cfRule>
  </conditionalFormatting>
  <conditionalFormatting sqref="C331">
    <cfRule type="cellIs" dxfId="5101" priority="989" stopIfTrue="1" operator="equal">
      <formula>"2 Add"</formula>
    </cfRule>
  </conditionalFormatting>
  <conditionalFormatting sqref="C331">
    <cfRule type="cellIs" dxfId="5100" priority="990" stopIfTrue="1" operator="equal">
      <formula>"3 Delete"</formula>
    </cfRule>
  </conditionalFormatting>
  <conditionalFormatting sqref="C332">
    <cfRule type="cellIs" dxfId="5099" priority="991" stopIfTrue="1" operator="equal">
      <formula>"1 Modify"</formula>
    </cfRule>
  </conditionalFormatting>
  <conditionalFormatting sqref="C332">
    <cfRule type="cellIs" dxfId="5098" priority="992" stopIfTrue="1" operator="equal">
      <formula>"2 Add"</formula>
    </cfRule>
  </conditionalFormatting>
  <conditionalFormatting sqref="C332">
    <cfRule type="cellIs" dxfId="5097" priority="993" stopIfTrue="1" operator="equal">
      <formula>"3 Delete"</formula>
    </cfRule>
  </conditionalFormatting>
  <conditionalFormatting sqref="C333">
    <cfRule type="cellIs" dxfId="5096" priority="994" stopIfTrue="1" operator="equal">
      <formula>"1 Modify"</formula>
    </cfRule>
  </conditionalFormatting>
  <conditionalFormatting sqref="C333">
    <cfRule type="cellIs" dxfId="5095" priority="995" stopIfTrue="1" operator="equal">
      <formula>"2 Add"</formula>
    </cfRule>
  </conditionalFormatting>
  <conditionalFormatting sqref="C333">
    <cfRule type="cellIs" dxfId="5094" priority="996" stopIfTrue="1" operator="equal">
      <formula>"3 Delete"</formula>
    </cfRule>
  </conditionalFormatting>
  <conditionalFormatting sqref="C334">
    <cfRule type="cellIs" dxfId="5093" priority="997" stopIfTrue="1" operator="equal">
      <formula>"1 Modify"</formula>
    </cfRule>
  </conditionalFormatting>
  <conditionalFormatting sqref="C334">
    <cfRule type="cellIs" dxfId="5092" priority="998" stopIfTrue="1" operator="equal">
      <formula>"2 Add"</formula>
    </cfRule>
  </conditionalFormatting>
  <conditionalFormatting sqref="C334">
    <cfRule type="cellIs" dxfId="5091" priority="999" stopIfTrue="1" operator="equal">
      <formula>"3 Delete"</formula>
    </cfRule>
  </conditionalFormatting>
  <conditionalFormatting sqref="C335">
    <cfRule type="cellIs" dxfId="5090" priority="1000" stopIfTrue="1" operator="equal">
      <formula>"1 Modify"</formula>
    </cfRule>
  </conditionalFormatting>
  <conditionalFormatting sqref="C335">
    <cfRule type="cellIs" dxfId="5089" priority="1001" stopIfTrue="1" operator="equal">
      <formula>"2 Add"</formula>
    </cfRule>
  </conditionalFormatting>
  <conditionalFormatting sqref="C335">
    <cfRule type="cellIs" dxfId="5088" priority="1002" stopIfTrue="1" operator="equal">
      <formula>"3 Delete"</formula>
    </cfRule>
  </conditionalFormatting>
  <conditionalFormatting sqref="C336">
    <cfRule type="cellIs" dxfId="5087" priority="1003" stopIfTrue="1" operator="equal">
      <formula>"1 Modify"</formula>
    </cfRule>
  </conditionalFormatting>
  <conditionalFormatting sqref="C336">
    <cfRule type="cellIs" dxfId="5086" priority="1004" stopIfTrue="1" operator="equal">
      <formula>"2 Add"</formula>
    </cfRule>
  </conditionalFormatting>
  <conditionalFormatting sqref="C336">
    <cfRule type="cellIs" dxfId="5085" priority="1005" stopIfTrue="1" operator="equal">
      <formula>"3 Delete"</formula>
    </cfRule>
  </conditionalFormatting>
  <conditionalFormatting sqref="C337">
    <cfRule type="cellIs" dxfId="5084" priority="1006" stopIfTrue="1" operator="equal">
      <formula>"1 Modify"</formula>
    </cfRule>
  </conditionalFormatting>
  <conditionalFormatting sqref="C337">
    <cfRule type="cellIs" dxfId="5083" priority="1007" stopIfTrue="1" operator="equal">
      <formula>"2 Add"</formula>
    </cfRule>
  </conditionalFormatting>
  <conditionalFormatting sqref="C337">
    <cfRule type="cellIs" dxfId="5082" priority="1008" stopIfTrue="1" operator="equal">
      <formula>"3 Delete"</formula>
    </cfRule>
  </conditionalFormatting>
  <conditionalFormatting sqref="C338">
    <cfRule type="cellIs" dxfId="5081" priority="1009" stopIfTrue="1" operator="equal">
      <formula>"1 Modify"</formula>
    </cfRule>
  </conditionalFormatting>
  <conditionalFormatting sqref="C338">
    <cfRule type="cellIs" dxfId="5080" priority="1010" stopIfTrue="1" operator="equal">
      <formula>"2 Add"</formula>
    </cfRule>
  </conditionalFormatting>
  <conditionalFormatting sqref="C338">
    <cfRule type="cellIs" dxfId="5079" priority="1011" stopIfTrue="1" operator="equal">
      <formula>"3 Delete"</formula>
    </cfRule>
  </conditionalFormatting>
  <conditionalFormatting sqref="C339">
    <cfRule type="cellIs" dxfId="5078" priority="1012" stopIfTrue="1" operator="equal">
      <formula>"1 Modify"</formula>
    </cfRule>
  </conditionalFormatting>
  <conditionalFormatting sqref="C339">
    <cfRule type="cellIs" dxfId="5077" priority="1013" stopIfTrue="1" operator="equal">
      <formula>"2 Add"</formula>
    </cfRule>
  </conditionalFormatting>
  <conditionalFormatting sqref="C339">
    <cfRule type="cellIs" dxfId="5076" priority="1014" stopIfTrue="1" operator="equal">
      <formula>"3 Delete"</formula>
    </cfRule>
  </conditionalFormatting>
  <conditionalFormatting sqref="C340">
    <cfRule type="cellIs" dxfId="5075" priority="1015" stopIfTrue="1" operator="equal">
      <formula>"1 Modify"</formula>
    </cfRule>
  </conditionalFormatting>
  <conditionalFormatting sqref="C340">
    <cfRule type="cellIs" dxfId="5074" priority="1016" stopIfTrue="1" operator="equal">
      <formula>"2 Add"</formula>
    </cfRule>
  </conditionalFormatting>
  <conditionalFormatting sqref="C340">
    <cfRule type="cellIs" dxfId="5073" priority="1017" stopIfTrue="1" operator="equal">
      <formula>"3 Delete"</formula>
    </cfRule>
  </conditionalFormatting>
  <conditionalFormatting sqref="C341">
    <cfRule type="cellIs" dxfId="5072" priority="1018" stopIfTrue="1" operator="equal">
      <formula>"1 Modify"</formula>
    </cfRule>
  </conditionalFormatting>
  <conditionalFormatting sqref="C341">
    <cfRule type="cellIs" dxfId="5071" priority="1019" stopIfTrue="1" operator="equal">
      <formula>"2 Add"</formula>
    </cfRule>
  </conditionalFormatting>
  <conditionalFormatting sqref="C341">
    <cfRule type="cellIs" dxfId="5070" priority="1020" stopIfTrue="1" operator="equal">
      <formula>"3 Delete"</formula>
    </cfRule>
  </conditionalFormatting>
  <conditionalFormatting sqref="C342">
    <cfRule type="cellIs" dxfId="5069" priority="1021" stopIfTrue="1" operator="equal">
      <formula>"1 Modify"</formula>
    </cfRule>
  </conditionalFormatting>
  <conditionalFormatting sqref="C342">
    <cfRule type="cellIs" dxfId="5068" priority="1022" stopIfTrue="1" operator="equal">
      <formula>"2 Add"</formula>
    </cfRule>
  </conditionalFormatting>
  <conditionalFormatting sqref="C342">
    <cfRule type="cellIs" dxfId="5067" priority="1023" stopIfTrue="1" operator="equal">
      <formula>"3 Delete"</formula>
    </cfRule>
  </conditionalFormatting>
  <conditionalFormatting sqref="C343">
    <cfRule type="cellIs" dxfId="5066" priority="1024" stopIfTrue="1" operator="equal">
      <formula>"1 Modify"</formula>
    </cfRule>
  </conditionalFormatting>
  <conditionalFormatting sqref="C343">
    <cfRule type="cellIs" dxfId="5065" priority="1025" stopIfTrue="1" operator="equal">
      <formula>"2 Add"</formula>
    </cfRule>
  </conditionalFormatting>
  <conditionalFormatting sqref="C343">
    <cfRule type="cellIs" dxfId="5064" priority="1026" stopIfTrue="1" operator="equal">
      <formula>"3 Delete"</formula>
    </cfRule>
  </conditionalFormatting>
  <conditionalFormatting sqref="C344">
    <cfRule type="cellIs" dxfId="5063" priority="1027" stopIfTrue="1" operator="equal">
      <formula>"1 Modify"</formula>
    </cfRule>
  </conditionalFormatting>
  <conditionalFormatting sqref="C344">
    <cfRule type="cellIs" dxfId="5062" priority="1028" stopIfTrue="1" operator="equal">
      <formula>"2 Add"</formula>
    </cfRule>
  </conditionalFormatting>
  <conditionalFormatting sqref="C344">
    <cfRule type="cellIs" dxfId="5061" priority="1029" stopIfTrue="1" operator="equal">
      <formula>"3 Delete"</formula>
    </cfRule>
  </conditionalFormatting>
  <conditionalFormatting sqref="C345">
    <cfRule type="cellIs" dxfId="5060" priority="1030" stopIfTrue="1" operator="equal">
      <formula>"1 Modify"</formula>
    </cfRule>
  </conditionalFormatting>
  <conditionalFormatting sqref="C345">
    <cfRule type="cellIs" dxfId="5059" priority="1031" stopIfTrue="1" operator="equal">
      <formula>"2 Add"</formula>
    </cfRule>
  </conditionalFormatting>
  <conditionalFormatting sqref="C345">
    <cfRule type="cellIs" dxfId="5058" priority="1032" stopIfTrue="1" operator="equal">
      <formula>"3 Delete"</formula>
    </cfRule>
  </conditionalFormatting>
  <conditionalFormatting sqref="C346">
    <cfRule type="cellIs" dxfId="5057" priority="1033" stopIfTrue="1" operator="equal">
      <formula>"1 Modify"</formula>
    </cfRule>
  </conditionalFormatting>
  <conditionalFormatting sqref="C346">
    <cfRule type="cellIs" dxfId="5056" priority="1034" stopIfTrue="1" operator="equal">
      <formula>"2 Add"</formula>
    </cfRule>
  </conditionalFormatting>
  <conditionalFormatting sqref="C346">
    <cfRule type="cellIs" dxfId="5055" priority="1035" stopIfTrue="1" operator="equal">
      <formula>"3 Delete"</formula>
    </cfRule>
  </conditionalFormatting>
  <conditionalFormatting sqref="C347">
    <cfRule type="cellIs" dxfId="5054" priority="1036" stopIfTrue="1" operator="equal">
      <formula>"1 Modify"</formula>
    </cfRule>
  </conditionalFormatting>
  <conditionalFormatting sqref="C347">
    <cfRule type="cellIs" dxfId="5053" priority="1037" stopIfTrue="1" operator="equal">
      <formula>"2 Add"</formula>
    </cfRule>
  </conditionalFormatting>
  <conditionalFormatting sqref="C347">
    <cfRule type="cellIs" dxfId="5052" priority="1038" stopIfTrue="1" operator="equal">
      <formula>"3 Delete"</formula>
    </cfRule>
  </conditionalFormatting>
  <conditionalFormatting sqref="C348">
    <cfRule type="cellIs" dxfId="5051" priority="1039" stopIfTrue="1" operator="equal">
      <formula>"1 Modify"</formula>
    </cfRule>
  </conditionalFormatting>
  <conditionalFormatting sqref="C348">
    <cfRule type="cellIs" dxfId="5050" priority="1040" stopIfTrue="1" operator="equal">
      <formula>"2 Add"</formula>
    </cfRule>
  </conditionalFormatting>
  <conditionalFormatting sqref="C348">
    <cfRule type="cellIs" dxfId="5049" priority="1041" stopIfTrue="1" operator="equal">
      <formula>"3 Delete"</formula>
    </cfRule>
  </conditionalFormatting>
  <conditionalFormatting sqref="C349">
    <cfRule type="cellIs" dxfId="5048" priority="1042" stopIfTrue="1" operator="equal">
      <formula>"1 Modify"</formula>
    </cfRule>
  </conditionalFormatting>
  <conditionalFormatting sqref="C349">
    <cfRule type="cellIs" dxfId="5047" priority="1043" stopIfTrue="1" operator="equal">
      <formula>"2 Add"</formula>
    </cfRule>
  </conditionalFormatting>
  <conditionalFormatting sqref="C349">
    <cfRule type="cellIs" dxfId="5046" priority="1044" stopIfTrue="1" operator="equal">
      <formula>"3 Delete"</formula>
    </cfRule>
  </conditionalFormatting>
  <conditionalFormatting sqref="C350">
    <cfRule type="cellIs" dxfId="5045" priority="1045" stopIfTrue="1" operator="equal">
      <formula>"1 Modify"</formula>
    </cfRule>
  </conditionalFormatting>
  <conditionalFormatting sqref="C350">
    <cfRule type="cellIs" dxfId="5044" priority="1046" stopIfTrue="1" operator="equal">
      <formula>"2 Add"</formula>
    </cfRule>
  </conditionalFormatting>
  <conditionalFormatting sqref="C350">
    <cfRule type="cellIs" dxfId="5043" priority="1047" stopIfTrue="1" operator="equal">
      <formula>"3 Delete"</formula>
    </cfRule>
  </conditionalFormatting>
  <conditionalFormatting sqref="C351">
    <cfRule type="cellIs" dxfId="5042" priority="1048" stopIfTrue="1" operator="equal">
      <formula>"1 Modify"</formula>
    </cfRule>
  </conditionalFormatting>
  <conditionalFormatting sqref="C351">
    <cfRule type="cellIs" dxfId="5041" priority="1049" stopIfTrue="1" operator="equal">
      <formula>"2 Add"</formula>
    </cfRule>
  </conditionalFormatting>
  <conditionalFormatting sqref="C351">
    <cfRule type="cellIs" dxfId="5040" priority="1050" stopIfTrue="1" operator="equal">
      <formula>"3 Delete"</formula>
    </cfRule>
  </conditionalFormatting>
  <conditionalFormatting sqref="C352">
    <cfRule type="cellIs" dxfId="5039" priority="1051" stopIfTrue="1" operator="equal">
      <formula>"1 Modify"</formula>
    </cfRule>
  </conditionalFormatting>
  <conditionalFormatting sqref="C352">
    <cfRule type="cellIs" dxfId="5038" priority="1052" stopIfTrue="1" operator="equal">
      <formula>"2 Add"</formula>
    </cfRule>
  </conditionalFormatting>
  <conditionalFormatting sqref="C352">
    <cfRule type="cellIs" dxfId="5037" priority="1053" stopIfTrue="1" operator="equal">
      <formula>"3 Delete"</formula>
    </cfRule>
  </conditionalFormatting>
  <conditionalFormatting sqref="C353">
    <cfRule type="cellIs" dxfId="5036" priority="1054" stopIfTrue="1" operator="equal">
      <formula>"1 Modify"</formula>
    </cfRule>
  </conditionalFormatting>
  <conditionalFormatting sqref="C353">
    <cfRule type="cellIs" dxfId="5035" priority="1055" stopIfTrue="1" operator="equal">
      <formula>"2 Add"</formula>
    </cfRule>
  </conditionalFormatting>
  <conditionalFormatting sqref="C353">
    <cfRule type="cellIs" dxfId="5034" priority="1056" stopIfTrue="1" operator="equal">
      <formula>"3 Delete"</formula>
    </cfRule>
  </conditionalFormatting>
  <conditionalFormatting sqref="C354">
    <cfRule type="cellIs" dxfId="5033" priority="1057" stopIfTrue="1" operator="equal">
      <formula>"1 Modify"</formula>
    </cfRule>
  </conditionalFormatting>
  <conditionalFormatting sqref="C354">
    <cfRule type="cellIs" dxfId="5032" priority="1058" stopIfTrue="1" operator="equal">
      <formula>"2 Add"</formula>
    </cfRule>
  </conditionalFormatting>
  <conditionalFormatting sqref="C354">
    <cfRule type="cellIs" dxfId="5031" priority="1059" stopIfTrue="1" operator="equal">
      <formula>"3 Delete"</formula>
    </cfRule>
  </conditionalFormatting>
  <conditionalFormatting sqref="C355">
    <cfRule type="cellIs" dxfId="5030" priority="1060" stopIfTrue="1" operator="equal">
      <formula>"1 Modify"</formula>
    </cfRule>
  </conditionalFormatting>
  <conditionalFormatting sqref="C355">
    <cfRule type="cellIs" dxfId="5029" priority="1061" stopIfTrue="1" operator="equal">
      <formula>"2 Add"</formula>
    </cfRule>
  </conditionalFormatting>
  <conditionalFormatting sqref="C355">
    <cfRule type="cellIs" dxfId="5028" priority="1062" stopIfTrue="1" operator="equal">
      <formula>"3 Delete"</formula>
    </cfRule>
  </conditionalFormatting>
  <conditionalFormatting sqref="C356">
    <cfRule type="cellIs" dxfId="5027" priority="1063" stopIfTrue="1" operator="equal">
      <formula>"1 Modify"</formula>
    </cfRule>
  </conditionalFormatting>
  <conditionalFormatting sqref="C356">
    <cfRule type="cellIs" dxfId="5026" priority="1064" stopIfTrue="1" operator="equal">
      <formula>"2 Add"</formula>
    </cfRule>
  </conditionalFormatting>
  <conditionalFormatting sqref="C356">
    <cfRule type="cellIs" dxfId="5025" priority="1065" stopIfTrue="1" operator="equal">
      <formula>"3 Delete"</formula>
    </cfRule>
  </conditionalFormatting>
  <conditionalFormatting sqref="C357">
    <cfRule type="cellIs" dxfId="5024" priority="1066" stopIfTrue="1" operator="equal">
      <formula>"1 Modify"</formula>
    </cfRule>
  </conditionalFormatting>
  <conditionalFormatting sqref="C357">
    <cfRule type="cellIs" dxfId="5023" priority="1067" stopIfTrue="1" operator="equal">
      <formula>"2 Add"</formula>
    </cfRule>
  </conditionalFormatting>
  <conditionalFormatting sqref="C357">
    <cfRule type="cellIs" dxfId="5022" priority="1068" stopIfTrue="1" operator="equal">
      <formula>"3 Delete"</formula>
    </cfRule>
  </conditionalFormatting>
  <conditionalFormatting sqref="C358">
    <cfRule type="cellIs" dxfId="5021" priority="1069" stopIfTrue="1" operator="equal">
      <formula>"1 Modify"</formula>
    </cfRule>
  </conditionalFormatting>
  <conditionalFormatting sqref="C358">
    <cfRule type="cellIs" dxfId="5020" priority="1070" stopIfTrue="1" operator="equal">
      <formula>"2 Add"</formula>
    </cfRule>
  </conditionalFormatting>
  <conditionalFormatting sqref="C358">
    <cfRule type="cellIs" dxfId="5019" priority="1071" stopIfTrue="1" operator="equal">
      <formula>"3 Delete"</formula>
    </cfRule>
  </conditionalFormatting>
  <conditionalFormatting sqref="C359">
    <cfRule type="cellIs" dxfId="5018" priority="1072" stopIfTrue="1" operator="equal">
      <formula>"1 Modify"</formula>
    </cfRule>
  </conditionalFormatting>
  <conditionalFormatting sqref="C359">
    <cfRule type="cellIs" dxfId="5017" priority="1073" stopIfTrue="1" operator="equal">
      <formula>"2 Add"</formula>
    </cfRule>
  </conditionalFormatting>
  <conditionalFormatting sqref="C359">
    <cfRule type="cellIs" dxfId="5016" priority="1074" stopIfTrue="1" operator="equal">
      <formula>"3 Delete"</formula>
    </cfRule>
  </conditionalFormatting>
  <conditionalFormatting sqref="C360">
    <cfRule type="cellIs" dxfId="5015" priority="1075" stopIfTrue="1" operator="equal">
      <formula>"1 Modify"</formula>
    </cfRule>
  </conditionalFormatting>
  <conditionalFormatting sqref="C360">
    <cfRule type="cellIs" dxfId="5014" priority="1076" stopIfTrue="1" operator="equal">
      <formula>"2 Add"</formula>
    </cfRule>
  </conditionalFormatting>
  <conditionalFormatting sqref="C360">
    <cfRule type="cellIs" dxfId="5013" priority="1077" stopIfTrue="1" operator="equal">
      <formula>"3 Delete"</formula>
    </cfRule>
  </conditionalFormatting>
  <conditionalFormatting sqref="C361">
    <cfRule type="cellIs" dxfId="5012" priority="1078" stopIfTrue="1" operator="equal">
      <formula>"1 Modify"</formula>
    </cfRule>
  </conditionalFormatting>
  <conditionalFormatting sqref="C361">
    <cfRule type="cellIs" dxfId="5011" priority="1079" stopIfTrue="1" operator="equal">
      <formula>"2 Add"</formula>
    </cfRule>
  </conditionalFormatting>
  <conditionalFormatting sqref="C361">
    <cfRule type="cellIs" dxfId="5010" priority="1080" stopIfTrue="1" operator="equal">
      <formula>"3 Delete"</formula>
    </cfRule>
  </conditionalFormatting>
  <conditionalFormatting sqref="C362">
    <cfRule type="cellIs" dxfId="5009" priority="1081" stopIfTrue="1" operator="equal">
      <formula>"1 Modify"</formula>
    </cfRule>
  </conditionalFormatting>
  <conditionalFormatting sqref="C362">
    <cfRule type="cellIs" dxfId="5008" priority="1082" stopIfTrue="1" operator="equal">
      <formula>"2 Add"</formula>
    </cfRule>
  </conditionalFormatting>
  <conditionalFormatting sqref="C362">
    <cfRule type="cellIs" dxfId="5007" priority="1083" stopIfTrue="1" operator="equal">
      <formula>"3 Delete"</formula>
    </cfRule>
  </conditionalFormatting>
  <conditionalFormatting sqref="C363">
    <cfRule type="cellIs" dxfId="5006" priority="1084" stopIfTrue="1" operator="equal">
      <formula>"1 Modify"</formula>
    </cfRule>
  </conditionalFormatting>
  <conditionalFormatting sqref="C363">
    <cfRule type="cellIs" dxfId="5005" priority="1085" stopIfTrue="1" operator="equal">
      <formula>"2 Add"</formula>
    </cfRule>
  </conditionalFormatting>
  <conditionalFormatting sqref="C363">
    <cfRule type="cellIs" dxfId="5004" priority="1086" stopIfTrue="1" operator="equal">
      <formula>"3 Delete"</formula>
    </cfRule>
  </conditionalFormatting>
  <conditionalFormatting sqref="C364">
    <cfRule type="cellIs" dxfId="5003" priority="1087" stopIfTrue="1" operator="equal">
      <formula>"1 Modify"</formula>
    </cfRule>
  </conditionalFormatting>
  <conditionalFormatting sqref="C364">
    <cfRule type="cellIs" dxfId="5002" priority="1088" stopIfTrue="1" operator="equal">
      <formula>"2 Add"</formula>
    </cfRule>
  </conditionalFormatting>
  <conditionalFormatting sqref="C364">
    <cfRule type="cellIs" dxfId="5001" priority="1089" stopIfTrue="1" operator="equal">
      <formula>"3 Delete"</formula>
    </cfRule>
  </conditionalFormatting>
  <conditionalFormatting sqref="C365">
    <cfRule type="cellIs" dxfId="5000" priority="1090" stopIfTrue="1" operator="equal">
      <formula>"1 Modify"</formula>
    </cfRule>
  </conditionalFormatting>
  <conditionalFormatting sqref="C365">
    <cfRule type="cellIs" dxfId="4999" priority="1091" stopIfTrue="1" operator="equal">
      <formula>"2 Add"</formula>
    </cfRule>
  </conditionalFormatting>
  <conditionalFormatting sqref="C365">
    <cfRule type="cellIs" dxfId="4998" priority="1092" stopIfTrue="1" operator="equal">
      <formula>"3 Delete"</formula>
    </cfRule>
  </conditionalFormatting>
  <conditionalFormatting sqref="C366">
    <cfRule type="cellIs" dxfId="4997" priority="1093" stopIfTrue="1" operator="equal">
      <formula>"1 Modify"</formula>
    </cfRule>
  </conditionalFormatting>
  <conditionalFormatting sqref="C366">
    <cfRule type="cellIs" dxfId="4996" priority="1094" stopIfTrue="1" operator="equal">
      <formula>"2 Add"</formula>
    </cfRule>
  </conditionalFormatting>
  <conditionalFormatting sqref="C366">
    <cfRule type="cellIs" dxfId="4995" priority="1095" stopIfTrue="1" operator="equal">
      <formula>"3 Delete"</formula>
    </cfRule>
  </conditionalFormatting>
  <conditionalFormatting sqref="C367">
    <cfRule type="cellIs" dxfId="4994" priority="1096" stopIfTrue="1" operator="equal">
      <formula>"1 Modify"</formula>
    </cfRule>
  </conditionalFormatting>
  <conditionalFormatting sqref="C367">
    <cfRule type="cellIs" dxfId="4993" priority="1097" stopIfTrue="1" operator="equal">
      <formula>"2 Add"</formula>
    </cfRule>
  </conditionalFormatting>
  <conditionalFormatting sqref="C367">
    <cfRule type="cellIs" dxfId="4992" priority="1098" stopIfTrue="1" operator="equal">
      <formula>"3 Delete"</formula>
    </cfRule>
  </conditionalFormatting>
  <conditionalFormatting sqref="C368">
    <cfRule type="cellIs" dxfId="4991" priority="1099" stopIfTrue="1" operator="equal">
      <formula>"1 Modify"</formula>
    </cfRule>
  </conditionalFormatting>
  <conditionalFormatting sqref="C368">
    <cfRule type="cellIs" dxfId="4990" priority="1100" stopIfTrue="1" operator="equal">
      <formula>"2 Add"</formula>
    </cfRule>
  </conditionalFormatting>
  <conditionalFormatting sqref="C368">
    <cfRule type="cellIs" dxfId="4989" priority="1101" stopIfTrue="1" operator="equal">
      <formula>"3 Delete"</formula>
    </cfRule>
  </conditionalFormatting>
  <conditionalFormatting sqref="C369">
    <cfRule type="cellIs" dxfId="4988" priority="1102" stopIfTrue="1" operator="equal">
      <formula>"1 Modify"</formula>
    </cfRule>
  </conditionalFormatting>
  <conditionalFormatting sqref="C369">
    <cfRule type="cellIs" dxfId="4987" priority="1103" stopIfTrue="1" operator="equal">
      <formula>"2 Add"</formula>
    </cfRule>
  </conditionalFormatting>
  <conditionalFormatting sqref="C369">
    <cfRule type="cellIs" dxfId="4986" priority="1104" stopIfTrue="1" operator="equal">
      <formula>"3 Delete"</formula>
    </cfRule>
  </conditionalFormatting>
  <conditionalFormatting sqref="C370">
    <cfRule type="cellIs" dxfId="4985" priority="1105" stopIfTrue="1" operator="equal">
      <formula>"1 Modify"</formula>
    </cfRule>
  </conditionalFormatting>
  <conditionalFormatting sqref="C370">
    <cfRule type="cellIs" dxfId="4984" priority="1106" stopIfTrue="1" operator="equal">
      <formula>"2 Add"</formula>
    </cfRule>
  </conditionalFormatting>
  <conditionalFormatting sqref="C370">
    <cfRule type="cellIs" dxfId="4983" priority="1107" stopIfTrue="1" operator="equal">
      <formula>"3 Delete"</formula>
    </cfRule>
  </conditionalFormatting>
  <conditionalFormatting sqref="C371">
    <cfRule type="cellIs" dxfId="4982" priority="1108" stopIfTrue="1" operator="equal">
      <formula>"1 Modify"</formula>
    </cfRule>
  </conditionalFormatting>
  <conditionalFormatting sqref="C371">
    <cfRule type="cellIs" dxfId="4981" priority="1109" stopIfTrue="1" operator="equal">
      <formula>"2 Add"</formula>
    </cfRule>
  </conditionalFormatting>
  <conditionalFormatting sqref="C371">
    <cfRule type="cellIs" dxfId="4980" priority="1110" stopIfTrue="1" operator="equal">
      <formula>"3 Delete"</formula>
    </cfRule>
  </conditionalFormatting>
  <conditionalFormatting sqref="C372">
    <cfRule type="cellIs" dxfId="4979" priority="1111" stopIfTrue="1" operator="equal">
      <formula>"1 Modify"</formula>
    </cfRule>
  </conditionalFormatting>
  <conditionalFormatting sqref="C372">
    <cfRule type="cellIs" dxfId="4978" priority="1112" stopIfTrue="1" operator="equal">
      <formula>"2 Add"</formula>
    </cfRule>
  </conditionalFormatting>
  <conditionalFormatting sqref="C372">
    <cfRule type="cellIs" dxfId="4977" priority="1113" stopIfTrue="1" operator="equal">
      <formula>"3 Delete"</formula>
    </cfRule>
  </conditionalFormatting>
  <conditionalFormatting sqref="C373">
    <cfRule type="cellIs" dxfId="4976" priority="1114" stopIfTrue="1" operator="equal">
      <formula>"1 Modify"</formula>
    </cfRule>
  </conditionalFormatting>
  <conditionalFormatting sqref="C373">
    <cfRule type="cellIs" dxfId="4975" priority="1115" stopIfTrue="1" operator="equal">
      <formula>"2 Add"</formula>
    </cfRule>
  </conditionalFormatting>
  <conditionalFormatting sqref="C373">
    <cfRule type="cellIs" dxfId="4974" priority="1116" stopIfTrue="1" operator="equal">
      <formula>"3 Delete"</formula>
    </cfRule>
  </conditionalFormatting>
  <conditionalFormatting sqref="C374">
    <cfRule type="cellIs" dxfId="4973" priority="1117" stopIfTrue="1" operator="equal">
      <formula>"1 Modify"</formula>
    </cfRule>
  </conditionalFormatting>
  <conditionalFormatting sqref="C374">
    <cfRule type="cellIs" dxfId="4972" priority="1118" stopIfTrue="1" operator="equal">
      <formula>"2 Add"</formula>
    </cfRule>
  </conditionalFormatting>
  <conditionalFormatting sqref="C374">
    <cfRule type="cellIs" dxfId="4971" priority="1119" stopIfTrue="1" operator="equal">
      <formula>"3 Delete"</formula>
    </cfRule>
  </conditionalFormatting>
  <conditionalFormatting sqref="C375">
    <cfRule type="cellIs" dxfId="4970" priority="1120" stopIfTrue="1" operator="equal">
      <formula>"1 Modify"</formula>
    </cfRule>
  </conditionalFormatting>
  <conditionalFormatting sqref="C375">
    <cfRule type="cellIs" dxfId="4969" priority="1121" stopIfTrue="1" operator="equal">
      <formula>"2 Add"</formula>
    </cfRule>
  </conditionalFormatting>
  <conditionalFormatting sqref="C375">
    <cfRule type="cellIs" dxfId="4968" priority="1122" stopIfTrue="1" operator="equal">
      <formula>"3 Delete"</formula>
    </cfRule>
  </conditionalFormatting>
  <conditionalFormatting sqref="C376">
    <cfRule type="cellIs" dxfId="4967" priority="1123" stopIfTrue="1" operator="equal">
      <formula>"1 Modify"</formula>
    </cfRule>
  </conditionalFormatting>
  <conditionalFormatting sqref="C376">
    <cfRule type="cellIs" dxfId="4966" priority="1124" stopIfTrue="1" operator="equal">
      <formula>"2 Add"</formula>
    </cfRule>
  </conditionalFormatting>
  <conditionalFormatting sqref="C376">
    <cfRule type="cellIs" dxfId="4965" priority="1125" stopIfTrue="1" operator="equal">
      <formula>"3 Delete"</formula>
    </cfRule>
  </conditionalFormatting>
  <conditionalFormatting sqref="C377">
    <cfRule type="cellIs" dxfId="4964" priority="1126" stopIfTrue="1" operator="equal">
      <formula>"1 Modify"</formula>
    </cfRule>
  </conditionalFormatting>
  <conditionalFormatting sqref="C377">
    <cfRule type="cellIs" dxfId="4963" priority="1127" stopIfTrue="1" operator="equal">
      <formula>"2 Add"</formula>
    </cfRule>
  </conditionalFormatting>
  <conditionalFormatting sqref="C377">
    <cfRule type="cellIs" dxfId="4962" priority="1128" stopIfTrue="1" operator="equal">
      <formula>"3 Delete"</formula>
    </cfRule>
  </conditionalFormatting>
  <conditionalFormatting sqref="C378">
    <cfRule type="cellIs" dxfId="4961" priority="1129" stopIfTrue="1" operator="equal">
      <formula>"1 Modify"</formula>
    </cfRule>
  </conditionalFormatting>
  <conditionalFormatting sqref="C378">
    <cfRule type="cellIs" dxfId="4960" priority="1130" stopIfTrue="1" operator="equal">
      <formula>"2 Add"</formula>
    </cfRule>
  </conditionalFormatting>
  <conditionalFormatting sqref="C378">
    <cfRule type="cellIs" dxfId="4959" priority="1131" stopIfTrue="1" operator="equal">
      <formula>"3 Delete"</formula>
    </cfRule>
  </conditionalFormatting>
  <conditionalFormatting sqref="C379">
    <cfRule type="cellIs" dxfId="4958" priority="1132" stopIfTrue="1" operator="equal">
      <formula>"1 Modify"</formula>
    </cfRule>
  </conditionalFormatting>
  <conditionalFormatting sqref="C379">
    <cfRule type="cellIs" dxfId="4957" priority="1133" stopIfTrue="1" operator="equal">
      <formula>"2 Add"</formula>
    </cfRule>
  </conditionalFormatting>
  <conditionalFormatting sqref="C379">
    <cfRule type="cellIs" dxfId="4956" priority="1134" stopIfTrue="1" operator="equal">
      <formula>"3 Delete"</formula>
    </cfRule>
  </conditionalFormatting>
  <conditionalFormatting sqref="C380">
    <cfRule type="cellIs" dxfId="4955" priority="1135" stopIfTrue="1" operator="equal">
      <formula>"1 Modify"</formula>
    </cfRule>
  </conditionalFormatting>
  <conditionalFormatting sqref="C380">
    <cfRule type="cellIs" dxfId="4954" priority="1136" stopIfTrue="1" operator="equal">
      <formula>"2 Add"</formula>
    </cfRule>
  </conditionalFormatting>
  <conditionalFormatting sqref="C380">
    <cfRule type="cellIs" dxfId="4953" priority="1137" stopIfTrue="1" operator="equal">
      <formula>"3 Delete"</formula>
    </cfRule>
  </conditionalFormatting>
  <conditionalFormatting sqref="C381">
    <cfRule type="cellIs" dxfId="4952" priority="1138" stopIfTrue="1" operator="equal">
      <formula>"1 Modify"</formula>
    </cfRule>
  </conditionalFormatting>
  <conditionalFormatting sqref="C381">
    <cfRule type="cellIs" dxfId="4951" priority="1139" stopIfTrue="1" operator="equal">
      <formula>"2 Add"</formula>
    </cfRule>
  </conditionalFormatting>
  <conditionalFormatting sqref="C381">
    <cfRule type="cellIs" dxfId="4950" priority="1140" stopIfTrue="1" operator="equal">
      <formula>"3 Delete"</formula>
    </cfRule>
  </conditionalFormatting>
  <conditionalFormatting sqref="C382">
    <cfRule type="cellIs" dxfId="4949" priority="1141" stopIfTrue="1" operator="equal">
      <formula>"1 Modify"</formula>
    </cfRule>
  </conditionalFormatting>
  <conditionalFormatting sqref="C382">
    <cfRule type="cellIs" dxfId="4948" priority="1142" stopIfTrue="1" operator="equal">
      <formula>"2 Add"</formula>
    </cfRule>
  </conditionalFormatting>
  <conditionalFormatting sqref="C382">
    <cfRule type="cellIs" dxfId="4947" priority="1143" stopIfTrue="1" operator="equal">
      <formula>"3 Delete"</formula>
    </cfRule>
  </conditionalFormatting>
  <conditionalFormatting sqref="C383">
    <cfRule type="cellIs" dxfId="4946" priority="1144" stopIfTrue="1" operator="equal">
      <formula>"1 Modify"</formula>
    </cfRule>
  </conditionalFormatting>
  <conditionalFormatting sqref="C383">
    <cfRule type="cellIs" dxfId="4945" priority="1145" stopIfTrue="1" operator="equal">
      <formula>"2 Add"</formula>
    </cfRule>
  </conditionalFormatting>
  <conditionalFormatting sqref="C383">
    <cfRule type="cellIs" dxfId="4944" priority="1146" stopIfTrue="1" operator="equal">
      <formula>"3 Delete"</formula>
    </cfRule>
  </conditionalFormatting>
  <conditionalFormatting sqref="C384">
    <cfRule type="cellIs" dxfId="4943" priority="1147" stopIfTrue="1" operator="equal">
      <formula>"1 Modify"</formula>
    </cfRule>
  </conditionalFormatting>
  <conditionalFormatting sqref="C384">
    <cfRule type="cellIs" dxfId="4942" priority="1148" stopIfTrue="1" operator="equal">
      <formula>"2 Add"</formula>
    </cfRule>
  </conditionalFormatting>
  <conditionalFormatting sqref="C384">
    <cfRule type="cellIs" dxfId="4941" priority="1149" stopIfTrue="1" operator="equal">
      <formula>"3 Delete"</formula>
    </cfRule>
  </conditionalFormatting>
  <conditionalFormatting sqref="C385">
    <cfRule type="cellIs" dxfId="4940" priority="1150" stopIfTrue="1" operator="equal">
      <formula>"1 Modify"</formula>
    </cfRule>
  </conditionalFormatting>
  <conditionalFormatting sqref="C385">
    <cfRule type="cellIs" dxfId="4939" priority="1151" stopIfTrue="1" operator="equal">
      <formula>"2 Add"</formula>
    </cfRule>
  </conditionalFormatting>
  <conditionalFormatting sqref="C385">
    <cfRule type="cellIs" dxfId="4938" priority="1152" stopIfTrue="1" operator="equal">
      <formula>"3 Delete"</formula>
    </cfRule>
  </conditionalFormatting>
  <conditionalFormatting sqref="C386">
    <cfRule type="cellIs" dxfId="4937" priority="1153" stopIfTrue="1" operator="equal">
      <formula>"1 Modify"</formula>
    </cfRule>
  </conditionalFormatting>
  <conditionalFormatting sqref="C386">
    <cfRule type="cellIs" dxfId="4936" priority="1154" stopIfTrue="1" operator="equal">
      <formula>"2 Add"</formula>
    </cfRule>
  </conditionalFormatting>
  <conditionalFormatting sqref="C386">
    <cfRule type="cellIs" dxfId="4935" priority="1155" stopIfTrue="1" operator="equal">
      <formula>"3 Delete"</formula>
    </cfRule>
  </conditionalFormatting>
  <conditionalFormatting sqref="C387">
    <cfRule type="cellIs" dxfId="4934" priority="1156" stopIfTrue="1" operator="equal">
      <formula>"1 Modify"</formula>
    </cfRule>
  </conditionalFormatting>
  <conditionalFormatting sqref="C387">
    <cfRule type="cellIs" dxfId="4933" priority="1157" stopIfTrue="1" operator="equal">
      <formula>"2 Add"</formula>
    </cfRule>
  </conditionalFormatting>
  <conditionalFormatting sqref="C387">
    <cfRule type="cellIs" dxfId="4932" priority="1158" stopIfTrue="1" operator="equal">
      <formula>"3 Delete"</formula>
    </cfRule>
  </conditionalFormatting>
  <conditionalFormatting sqref="C388">
    <cfRule type="cellIs" dxfId="4931" priority="1159" stopIfTrue="1" operator="equal">
      <formula>"1 Modify"</formula>
    </cfRule>
  </conditionalFormatting>
  <conditionalFormatting sqref="C388">
    <cfRule type="cellIs" dxfId="4930" priority="1160" stopIfTrue="1" operator="equal">
      <formula>"2 Add"</formula>
    </cfRule>
  </conditionalFormatting>
  <conditionalFormatting sqref="C388">
    <cfRule type="cellIs" dxfId="4929" priority="1161" stopIfTrue="1" operator="equal">
      <formula>"3 Delete"</formula>
    </cfRule>
  </conditionalFormatting>
  <conditionalFormatting sqref="C389">
    <cfRule type="cellIs" dxfId="4928" priority="1162" stopIfTrue="1" operator="equal">
      <formula>"1 Modify"</formula>
    </cfRule>
  </conditionalFormatting>
  <conditionalFormatting sqref="C389">
    <cfRule type="cellIs" dxfId="4927" priority="1163" stopIfTrue="1" operator="equal">
      <formula>"2 Add"</formula>
    </cfRule>
  </conditionalFormatting>
  <conditionalFormatting sqref="C389">
    <cfRule type="cellIs" dxfId="4926" priority="1164" stopIfTrue="1" operator="equal">
      <formula>"3 Delete"</formula>
    </cfRule>
  </conditionalFormatting>
  <conditionalFormatting sqref="C390">
    <cfRule type="cellIs" dxfId="4925" priority="1165" stopIfTrue="1" operator="equal">
      <formula>"1 Modify"</formula>
    </cfRule>
  </conditionalFormatting>
  <conditionalFormatting sqref="C390">
    <cfRule type="cellIs" dxfId="4924" priority="1166" stopIfTrue="1" operator="equal">
      <formula>"2 Add"</formula>
    </cfRule>
  </conditionalFormatting>
  <conditionalFormatting sqref="C390">
    <cfRule type="cellIs" dxfId="4923" priority="1167" stopIfTrue="1" operator="equal">
      <formula>"3 Delete"</formula>
    </cfRule>
  </conditionalFormatting>
  <conditionalFormatting sqref="C391">
    <cfRule type="cellIs" dxfId="4922" priority="1168" stopIfTrue="1" operator="equal">
      <formula>"1 Modify"</formula>
    </cfRule>
  </conditionalFormatting>
  <conditionalFormatting sqref="C391">
    <cfRule type="cellIs" dxfId="4921" priority="1169" stopIfTrue="1" operator="equal">
      <formula>"2 Add"</formula>
    </cfRule>
  </conditionalFormatting>
  <conditionalFormatting sqref="C391">
    <cfRule type="cellIs" dxfId="4920" priority="1170" stopIfTrue="1" operator="equal">
      <formula>"3 Delete"</formula>
    </cfRule>
  </conditionalFormatting>
  <conditionalFormatting sqref="C392">
    <cfRule type="cellIs" dxfId="4919" priority="1171" stopIfTrue="1" operator="equal">
      <formula>"1 Modify"</formula>
    </cfRule>
  </conditionalFormatting>
  <conditionalFormatting sqref="C392">
    <cfRule type="cellIs" dxfId="4918" priority="1172" stopIfTrue="1" operator="equal">
      <formula>"2 Add"</formula>
    </cfRule>
  </conditionalFormatting>
  <conditionalFormatting sqref="C392">
    <cfRule type="cellIs" dxfId="4917" priority="1173" stopIfTrue="1" operator="equal">
      <formula>"3 Delete"</formula>
    </cfRule>
  </conditionalFormatting>
  <conditionalFormatting sqref="C393">
    <cfRule type="cellIs" dxfId="4916" priority="1174" stopIfTrue="1" operator="equal">
      <formula>"1 Modify"</formula>
    </cfRule>
  </conditionalFormatting>
  <conditionalFormatting sqref="C393">
    <cfRule type="cellIs" dxfId="4915" priority="1175" stopIfTrue="1" operator="equal">
      <formula>"2 Add"</formula>
    </cfRule>
  </conditionalFormatting>
  <conditionalFormatting sqref="C393">
    <cfRule type="cellIs" dxfId="4914" priority="1176" stopIfTrue="1" operator="equal">
      <formula>"3 Delete"</formula>
    </cfRule>
  </conditionalFormatting>
  <conditionalFormatting sqref="C394">
    <cfRule type="cellIs" dxfId="4913" priority="1177" stopIfTrue="1" operator="equal">
      <formula>"1 Modify"</formula>
    </cfRule>
  </conditionalFormatting>
  <conditionalFormatting sqref="C394">
    <cfRule type="cellIs" dxfId="4912" priority="1178" stopIfTrue="1" operator="equal">
      <formula>"2 Add"</formula>
    </cfRule>
  </conditionalFormatting>
  <conditionalFormatting sqref="C394">
    <cfRule type="cellIs" dxfId="4911" priority="1179" stopIfTrue="1" operator="equal">
      <formula>"3 Delete"</formula>
    </cfRule>
  </conditionalFormatting>
  <conditionalFormatting sqref="C395">
    <cfRule type="cellIs" dxfId="4910" priority="1180" stopIfTrue="1" operator="equal">
      <formula>"1 Modify"</formula>
    </cfRule>
  </conditionalFormatting>
  <conditionalFormatting sqref="C395">
    <cfRule type="cellIs" dxfId="4909" priority="1181" stopIfTrue="1" operator="equal">
      <formula>"2 Add"</formula>
    </cfRule>
  </conditionalFormatting>
  <conditionalFormatting sqref="C395">
    <cfRule type="cellIs" dxfId="4908" priority="1182" stopIfTrue="1" operator="equal">
      <formula>"3 Delete"</formula>
    </cfRule>
  </conditionalFormatting>
  <conditionalFormatting sqref="C396">
    <cfRule type="cellIs" dxfId="4907" priority="1183" stopIfTrue="1" operator="equal">
      <formula>"1 Modify"</formula>
    </cfRule>
  </conditionalFormatting>
  <conditionalFormatting sqref="C396">
    <cfRule type="cellIs" dxfId="4906" priority="1184" stopIfTrue="1" operator="equal">
      <formula>"2 Add"</formula>
    </cfRule>
  </conditionalFormatting>
  <conditionalFormatting sqref="C396">
    <cfRule type="cellIs" dxfId="4905" priority="1185" stopIfTrue="1" operator="equal">
      <formula>"3 Delete"</formula>
    </cfRule>
  </conditionalFormatting>
  <conditionalFormatting sqref="C397">
    <cfRule type="cellIs" dxfId="4904" priority="1186" stopIfTrue="1" operator="equal">
      <formula>"1 Modify"</formula>
    </cfRule>
  </conditionalFormatting>
  <conditionalFormatting sqref="C397">
    <cfRule type="cellIs" dxfId="4903" priority="1187" stopIfTrue="1" operator="equal">
      <formula>"2 Add"</formula>
    </cfRule>
  </conditionalFormatting>
  <conditionalFormatting sqref="C397">
    <cfRule type="cellIs" dxfId="4902" priority="1188" stopIfTrue="1" operator="equal">
      <formula>"3 Delete"</formula>
    </cfRule>
  </conditionalFormatting>
  <conditionalFormatting sqref="C398">
    <cfRule type="cellIs" dxfId="4901" priority="1189" stopIfTrue="1" operator="equal">
      <formula>"1 Modify"</formula>
    </cfRule>
  </conditionalFormatting>
  <conditionalFormatting sqref="C398">
    <cfRule type="cellIs" dxfId="4900" priority="1190" stopIfTrue="1" operator="equal">
      <formula>"2 Add"</formula>
    </cfRule>
  </conditionalFormatting>
  <conditionalFormatting sqref="C398">
    <cfRule type="cellIs" dxfId="4899" priority="1191" stopIfTrue="1" operator="equal">
      <formula>"3 Delete"</formula>
    </cfRule>
  </conditionalFormatting>
  <conditionalFormatting sqref="C399">
    <cfRule type="cellIs" dxfId="4898" priority="1192" stopIfTrue="1" operator="equal">
      <formula>"1 Modify"</formula>
    </cfRule>
  </conditionalFormatting>
  <conditionalFormatting sqref="C399">
    <cfRule type="cellIs" dxfId="4897" priority="1193" stopIfTrue="1" operator="equal">
      <formula>"2 Add"</formula>
    </cfRule>
  </conditionalFormatting>
  <conditionalFormatting sqref="C399">
    <cfRule type="cellIs" dxfId="4896" priority="1194" stopIfTrue="1" operator="equal">
      <formula>"3 Delete"</formula>
    </cfRule>
  </conditionalFormatting>
  <conditionalFormatting sqref="C400">
    <cfRule type="cellIs" dxfId="4895" priority="1195" stopIfTrue="1" operator="equal">
      <formula>"1 Modify"</formula>
    </cfRule>
  </conditionalFormatting>
  <conditionalFormatting sqref="C400">
    <cfRule type="cellIs" dxfId="4894" priority="1196" stopIfTrue="1" operator="equal">
      <formula>"2 Add"</formula>
    </cfRule>
  </conditionalFormatting>
  <conditionalFormatting sqref="C400">
    <cfRule type="cellIs" dxfId="4893" priority="1197" stopIfTrue="1" operator="equal">
      <formula>"3 Delete"</formula>
    </cfRule>
  </conditionalFormatting>
  <conditionalFormatting sqref="C401">
    <cfRule type="cellIs" dxfId="4892" priority="1198" stopIfTrue="1" operator="equal">
      <formula>"1 Modify"</formula>
    </cfRule>
  </conditionalFormatting>
  <conditionalFormatting sqref="C401">
    <cfRule type="cellIs" dxfId="4891" priority="1199" stopIfTrue="1" operator="equal">
      <formula>"2 Add"</formula>
    </cfRule>
  </conditionalFormatting>
  <conditionalFormatting sqref="C401">
    <cfRule type="cellIs" dxfId="4890" priority="1200" stopIfTrue="1" operator="equal">
      <formula>"3 Delete"</formula>
    </cfRule>
  </conditionalFormatting>
  <conditionalFormatting sqref="C402">
    <cfRule type="cellIs" dxfId="4889" priority="1201" stopIfTrue="1" operator="equal">
      <formula>"1 Modify"</formula>
    </cfRule>
  </conditionalFormatting>
  <conditionalFormatting sqref="C402">
    <cfRule type="cellIs" dxfId="4888" priority="1202" stopIfTrue="1" operator="equal">
      <formula>"2 Add"</formula>
    </cfRule>
  </conditionalFormatting>
  <conditionalFormatting sqref="C402">
    <cfRule type="cellIs" dxfId="4887" priority="1203" stopIfTrue="1" operator="equal">
      <formula>"3 Delete"</formula>
    </cfRule>
  </conditionalFormatting>
  <conditionalFormatting sqref="C403">
    <cfRule type="cellIs" dxfId="4886" priority="1204" stopIfTrue="1" operator="equal">
      <formula>"1 Modify"</formula>
    </cfRule>
  </conditionalFormatting>
  <conditionalFormatting sqref="C403">
    <cfRule type="cellIs" dxfId="4885" priority="1205" stopIfTrue="1" operator="equal">
      <formula>"2 Add"</formula>
    </cfRule>
  </conditionalFormatting>
  <conditionalFormatting sqref="C403">
    <cfRule type="cellIs" dxfId="4884" priority="1206" stopIfTrue="1" operator="equal">
      <formula>"3 Delete"</formula>
    </cfRule>
  </conditionalFormatting>
  <conditionalFormatting sqref="C404">
    <cfRule type="cellIs" dxfId="4883" priority="1207" stopIfTrue="1" operator="equal">
      <formula>"1 Modify"</formula>
    </cfRule>
  </conditionalFormatting>
  <conditionalFormatting sqref="C404">
    <cfRule type="cellIs" dxfId="4882" priority="1208" stopIfTrue="1" operator="equal">
      <formula>"2 Add"</formula>
    </cfRule>
  </conditionalFormatting>
  <conditionalFormatting sqref="C404">
    <cfRule type="cellIs" dxfId="4881" priority="1209" stopIfTrue="1" operator="equal">
      <formula>"3 Delete"</formula>
    </cfRule>
  </conditionalFormatting>
  <conditionalFormatting sqref="C405">
    <cfRule type="cellIs" dxfId="4880" priority="1210" stopIfTrue="1" operator="equal">
      <formula>"1 Modify"</formula>
    </cfRule>
  </conditionalFormatting>
  <conditionalFormatting sqref="C405">
    <cfRule type="cellIs" dxfId="4879" priority="1211" stopIfTrue="1" operator="equal">
      <formula>"2 Add"</formula>
    </cfRule>
  </conditionalFormatting>
  <conditionalFormatting sqref="C405">
    <cfRule type="cellIs" dxfId="4878" priority="1212" stopIfTrue="1" operator="equal">
      <formula>"3 Delete"</formula>
    </cfRule>
  </conditionalFormatting>
  <conditionalFormatting sqref="C406">
    <cfRule type="cellIs" dxfId="4877" priority="1213" stopIfTrue="1" operator="equal">
      <formula>"1 Modify"</formula>
    </cfRule>
  </conditionalFormatting>
  <conditionalFormatting sqref="C406">
    <cfRule type="cellIs" dxfId="4876" priority="1214" stopIfTrue="1" operator="equal">
      <formula>"2 Add"</formula>
    </cfRule>
  </conditionalFormatting>
  <conditionalFormatting sqref="C406">
    <cfRule type="cellIs" dxfId="4875" priority="1215" stopIfTrue="1" operator="equal">
      <formula>"3 Delete"</formula>
    </cfRule>
  </conditionalFormatting>
  <conditionalFormatting sqref="C407">
    <cfRule type="cellIs" dxfId="4874" priority="1216" stopIfTrue="1" operator="equal">
      <formula>"1 Modify"</formula>
    </cfRule>
  </conditionalFormatting>
  <conditionalFormatting sqref="C407">
    <cfRule type="cellIs" dxfId="4873" priority="1217" stopIfTrue="1" operator="equal">
      <formula>"2 Add"</formula>
    </cfRule>
  </conditionalFormatting>
  <conditionalFormatting sqref="C407">
    <cfRule type="cellIs" dxfId="4872" priority="1218" stopIfTrue="1" operator="equal">
      <formula>"3 Delete"</formula>
    </cfRule>
  </conditionalFormatting>
  <conditionalFormatting sqref="C408">
    <cfRule type="cellIs" dxfId="4871" priority="1219" stopIfTrue="1" operator="equal">
      <formula>"1 Modify"</formula>
    </cfRule>
  </conditionalFormatting>
  <conditionalFormatting sqref="C408">
    <cfRule type="cellIs" dxfId="4870" priority="1220" stopIfTrue="1" operator="equal">
      <formula>"2 Add"</formula>
    </cfRule>
  </conditionalFormatting>
  <conditionalFormatting sqref="C408">
    <cfRule type="cellIs" dxfId="4869" priority="1221" stopIfTrue="1" operator="equal">
      <formula>"3 Delete"</formula>
    </cfRule>
  </conditionalFormatting>
  <conditionalFormatting sqref="C409">
    <cfRule type="cellIs" dxfId="4868" priority="1222" stopIfTrue="1" operator="equal">
      <formula>"1 Modify"</formula>
    </cfRule>
  </conditionalFormatting>
  <conditionalFormatting sqref="C409">
    <cfRule type="cellIs" dxfId="4867" priority="1223" stopIfTrue="1" operator="equal">
      <formula>"2 Add"</formula>
    </cfRule>
  </conditionalFormatting>
  <conditionalFormatting sqref="C409">
    <cfRule type="cellIs" dxfId="4866" priority="1224" stopIfTrue="1" operator="equal">
      <formula>"3 Delete"</formula>
    </cfRule>
  </conditionalFormatting>
  <conditionalFormatting sqref="C410">
    <cfRule type="cellIs" dxfId="4865" priority="1225" stopIfTrue="1" operator="equal">
      <formula>"1 Modify"</formula>
    </cfRule>
  </conditionalFormatting>
  <conditionalFormatting sqref="C410">
    <cfRule type="cellIs" dxfId="4864" priority="1226" stopIfTrue="1" operator="equal">
      <formula>"2 Add"</formula>
    </cfRule>
  </conditionalFormatting>
  <conditionalFormatting sqref="C410">
    <cfRule type="cellIs" dxfId="4863" priority="1227" stopIfTrue="1" operator="equal">
      <formula>"3 Delete"</formula>
    </cfRule>
  </conditionalFormatting>
  <conditionalFormatting sqref="C411">
    <cfRule type="cellIs" dxfId="4862" priority="1228" stopIfTrue="1" operator="equal">
      <formula>"1 Modify"</formula>
    </cfRule>
  </conditionalFormatting>
  <conditionalFormatting sqref="C411">
    <cfRule type="cellIs" dxfId="4861" priority="1229" stopIfTrue="1" operator="equal">
      <formula>"2 Add"</formula>
    </cfRule>
  </conditionalFormatting>
  <conditionalFormatting sqref="C411">
    <cfRule type="cellIs" dxfId="4860" priority="1230" stopIfTrue="1" operator="equal">
      <formula>"3 Delete"</formula>
    </cfRule>
  </conditionalFormatting>
  <conditionalFormatting sqref="C412">
    <cfRule type="cellIs" dxfId="4859" priority="1231" stopIfTrue="1" operator="equal">
      <formula>"1 Modify"</formula>
    </cfRule>
  </conditionalFormatting>
  <conditionalFormatting sqref="C412">
    <cfRule type="cellIs" dxfId="4858" priority="1232" stopIfTrue="1" operator="equal">
      <formula>"2 Add"</formula>
    </cfRule>
  </conditionalFormatting>
  <conditionalFormatting sqref="C412">
    <cfRule type="cellIs" dxfId="4857" priority="1233" stopIfTrue="1" operator="equal">
      <formula>"3 Delete"</formula>
    </cfRule>
  </conditionalFormatting>
  <conditionalFormatting sqref="C413">
    <cfRule type="cellIs" dxfId="4856" priority="1234" stopIfTrue="1" operator="equal">
      <formula>"1 Modify"</formula>
    </cfRule>
  </conditionalFormatting>
  <conditionalFormatting sqref="C413">
    <cfRule type="cellIs" dxfId="4855" priority="1235" stopIfTrue="1" operator="equal">
      <formula>"2 Add"</formula>
    </cfRule>
  </conditionalFormatting>
  <conditionalFormatting sqref="C413">
    <cfRule type="cellIs" dxfId="4854" priority="1236" stopIfTrue="1" operator="equal">
      <formula>"3 Delete"</formula>
    </cfRule>
  </conditionalFormatting>
  <conditionalFormatting sqref="C414">
    <cfRule type="cellIs" dxfId="4853" priority="1237" stopIfTrue="1" operator="equal">
      <formula>"1 Modify"</formula>
    </cfRule>
  </conditionalFormatting>
  <conditionalFormatting sqref="C414">
    <cfRule type="cellIs" dxfId="4852" priority="1238" stopIfTrue="1" operator="equal">
      <formula>"2 Add"</formula>
    </cfRule>
  </conditionalFormatting>
  <conditionalFormatting sqref="C414">
    <cfRule type="cellIs" dxfId="4851" priority="1239" stopIfTrue="1" operator="equal">
      <formula>"3 Delete"</formula>
    </cfRule>
  </conditionalFormatting>
  <conditionalFormatting sqref="C415">
    <cfRule type="cellIs" dxfId="4850" priority="1240" stopIfTrue="1" operator="equal">
      <formula>"1 Modify"</formula>
    </cfRule>
  </conditionalFormatting>
  <conditionalFormatting sqref="C415">
    <cfRule type="cellIs" dxfId="4849" priority="1241" stopIfTrue="1" operator="equal">
      <formula>"2 Add"</formula>
    </cfRule>
  </conditionalFormatting>
  <conditionalFormatting sqref="C415">
    <cfRule type="cellIs" dxfId="4848" priority="1242" stopIfTrue="1" operator="equal">
      <formula>"3 Delete"</formula>
    </cfRule>
  </conditionalFormatting>
  <conditionalFormatting sqref="C416">
    <cfRule type="cellIs" dxfId="4847" priority="1243" stopIfTrue="1" operator="equal">
      <formula>"1 Modify"</formula>
    </cfRule>
  </conditionalFormatting>
  <conditionalFormatting sqref="C416">
    <cfRule type="cellIs" dxfId="4846" priority="1244" stopIfTrue="1" operator="equal">
      <formula>"2 Add"</formula>
    </cfRule>
  </conditionalFormatting>
  <conditionalFormatting sqref="C416">
    <cfRule type="cellIs" dxfId="4845" priority="1245" stopIfTrue="1" operator="equal">
      <formula>"3 Delete"</formula>
    </cfRule>
  </conditionalFormatting>
  <conditionalFormatting sqref="C417">
    <cfRule type="cellIs" dxfId="4844" priority="1246" stopIfTrue="1" operator="equal">
      <formula>"1 Modify"</formula>
    </cfRule>
  </conditionalFormatting>
  <conditionalFormatting sqref="C417">
    <cfRule type="cellIs" dxfId="4843" priority="1247" stopIfTrue="1" operator="equal">
      <formula>"2 Add"</formula>
    </cfRule>
  </conditionalFormatting>
  <conditionalFormatting sqref="C417">
    <cfRule type="cellIs" dxfId="4842" priority="1248" stopIfTrue="1" operator="equal">
      <formula>"3 Delete"</formula>
    </cfRule>
  </conditionalFormatting>
  <conditionalFormatting sqref="C418">
    <cfRule type="cellIs" dxfId="4841" priority="1249" stopIfTrue="1" operator="equal">
      <formula>"1 Modify"</formula>
    </cfRule>
  </conditionalFormatting>
  <conditionalFormatting sqref="C418">
    <cfRule type="cellIs" dxfId="4840" priority="1250" stopIfTrue="1" operator="equal">
      <formula>"2 Add"</formula>
    </cfRule>
  </conditionalFormatting>
  <conditionalFormatting sqref="C418">
    <cfRule type="cellIs" dxfId="4839" priority="1251" stopIfTrue="1" operator="equal">
      <formula>"3 Delete"</formula>
    </cfRule>
  </conditionalFormatting>
  <conditionalFormatting sqref="C419">
    <cfRule type="cellIs" dxfId="4838" priority="1252" stopIfTrue="1" operator="equal">
      <formula>"1 Modify"</formula>
    </cfRule>
  </conditionalFormatting>
  <conditionalFormatting sqref="C419">
    <cfRule type="cellIs" dxfId="4837" priority="1253" stopIfTrue="1" operator="equal">
      <formula>"2 Add"</formula>
    </cfRule>
  </conditionalFormatting>
  <conditionalFormatting sqref="C419">
    <cfRule type="cellIs" dxfId="4836" priority="1254" stopIfTrue="1" operator="equal">
      <formula>"3 Delete"</formula>
    </cfRule>
  </conditionalFormatting>
  <conditionalFormatting sqref="C420">
    <cfRule type="cellIs" dxfId="4835" priority="1255" stopIfTrue="1" operator="equal">
      <formula>"1 Modify"</formula>
    </cfRule>
  </conditionalFormatting>
  <conditionalFormatting sqref="C420">
    <cfRule type="cellIs" dxfId="4834" priority="1256" stopIfTrue="1" operator="equal">
      <formula>"2 Add"</formula>
    </cfRule>
  </conditionalFormatting>
  <conditionalFormatting sqref="C420">
    <cfRule type="cellIs" dxfId="4833" priority="1257" stopIfTrue="1" operator="equal">
      <formula>"3 Delete"</formula>
    </cfRule>
  </conditionalFormatting>
  <conditionalFormatting sqref="C421">
    <cfRule type="cellIs" dxfId="4832" priority="1258" stopIfTrue="1" operator="equal">
      <formula>"1 Modify"</formula>
    </cfRule>
  </conditionalFormatting>
  <conditionalFormatting sqref="C421">
    <cfRule type="cellIs" dxfId="4831" priority="1259" stopIfTrue="1" operator="equal">
      <formula>"2 Add"</formula>
    </cfRule>
  </conditionalFormatting>
  <conditionalFormatting sqref="C421">
    <cfRule type="cellIs" dxfId="4830" priority="1260" stopIfTrue="1" operator="equal">
      <formula>"3 Delete"</formula>
    </cfRule>
  </conditionalFormatting>
  <conditionalFormatting sqref="C422">
    <cfRule type="cellIs" dxfId="4829" priority="1261" stopIfTrue="1" operator="equal">
      <formula>"1 Modify"</formula>
    </cfRule>
  </conditionalFormatting>
  <conditionalFormatting sqref="C422">
    <cfRule type="cellIs" dxfId="4828" priority="1262" stopIfTrue="1" operator="equal">
      <formula>"2 Add"</formula>
    </cfRule>
  </conditionalFormatting>
  <conditionalFormatting sqref="C422">
    <cfRule type="cellIs" dxfId="4827" priority="1263" stopIfTrue="1" operator="equal">
      <formula>"3 Delete"</formula>
    </cfRule>
  </conditionalFormatting>
  <conditionalFormatting sqref="C423">
    <cfRule type="cellIs" dxfId="4826" priority="1264" stopIfTrue="1" operator="equal">
      <formula>"1 Modify"</formula>
    </cfRule>
  </conditionalFormatting>
  <conditionalFormatting sqref="C423">
    <cfRule type="cellIs" dxfId="4825" priority="1265" stopIfTrue="1" operator="equal">
      <formula>"2 Add"</formula>
    </cfRule>
  </conditionalFormatting>
  <conditionalFormatting sqref="C423">
    <cfRule type="cellIs" dxfId="4824" priority="1266" stopIfTrue="1" operator="equal">
      <formula>"3 Delete"</formula>
    </cfRule>
  </conditionalFormatting>
  <conditionalFormatting sqref="C424">
    <cfRule type="cellIs" dxfId="4823" priority="1267" stopIfTrue="1" operator="equal">
      <formula>"1 Modify"</formula>
    </cfRule>
  </conditionalFormatting>
  <conditionalFormatting sqref="C424">
    <cfRule type="cellIs" dxfId="4822" priority="1268" stopIfTrue="1" operator="equal">
      <formula>"2 Add"</formula>
    </cfRule>
  </conditionalFormatting>
  <conditionalFormatting sqref="C424">
    <cfRule type="cellIs" dxfId="4821" priority="1269" stopIfTrue="1" operator="equal">
      <formula>"3 Delete"</formula>
    </cfRule>
  </conditionalFormatting>
  <conditionalFormatting sqref="C425">
    <cfRule type="cellIs" dxfId="4820" priority="1270" stopIfTrue="1" operator="equal">
      <formula>"1 Modify"</formula>
    </cfRule>
  </conditionalFormatting>
  <conditionalFormatting sqref="C425">
    <cfRule type="cellIs" dxfId="4819" priority="1271" stopIfTrue="1" operator="equal">
      <formula>"2 Add"</formula>
    </cfRule>
  </conditionalFormatting>
  <conditionalFormatting sqref="C425">
    <cfRule type="cellIs" dxfId="4818" priority="1272" stopIfTrue="1" operator="equal">
      <formula>"3 Delete"</formula>
    </cfRule>
  </conditionalFormatting>
  <conditionalFormatting sqref="C426">
    <cfRule type="cellIs" dxfId="4817" priority="1273" stopIfTrue="1" operator="equal">
      <formula>"1 Modify"</formula>
    </cfRule>
  </conditionalFormatting>
  <conditionalFormatting sqref="C426">
    <cfRule type="cellIs" dxfId="4816" priority="1274" stopIfTrue="1" operator="equal">
      <formula>"2 Add"</formula>
    </cfRule>
  </conditionalFormatting>
  <conditionalFormatting sqref="C426">
    <cfRule type="cellIs" dxfId="4815" priority="1275" stopIfTrue="1" operator="equal">
      <formula>"3 Delete"</formula>
    </cfRule>
  </conditionalFormatting>
  <conditionalFormatting sqref="C427">
    <cfRule type="cellIs" dxfId="4814" priority="1276" stopIfTrue="1" operator="equal">
      <formula>"1 Modify"</formula>
    </cfRule>
  </conditionalFormatting>
  <conditionalFormatting sqref="C427">
    <cfRule type="cellIs" dxfId="4813" priority="1277" stopIfTrue="1" operator="equal">
      <formula>"2 Add"</formula>
    </cfRule>
  </conditionalFormatting>
  <conditionalFormatting sqref="C427">
    <cfRule type="cellIs" dxfId="4812" priority="1278" stopIfTrue="1" operator="equal">
      <formula>"3 Delete"</formula>
    </cfRule>
  </conditionalFormatting>
  <conditionalFormatting sqref="C428">
    <cfRule type="cellIs" dxfId="4811" priority="1279" stopIfTrue="1" operator="equal">
      <formula>"1 Modify"</formula>
    </cfRule>
  </conditionalFormatting>
  <conditionalFormatting sqref="C428">
    <cfRule type="cellIs" dxfId="4810" priority="1280" stopIfTrue="1" operator="equal">
      <formula>"2 Add"</formula>
    </cfRule>
  </conditionalFormatting>
  <conditionalFormatting sqref="C428">
    <cfRule type="cellIs" dxfId="4809" priority="1281" stopIfTrue="1" operator="equal">
      <formula>"3 Delete"</formula>
    </cfRule>
  </conditionalFormatting>
  <conditionalFormatting sqref="C429">
    <cfRule type="cellIs" dxfId="4808" priority="1282" stopIfTrue="1" operator="equal">
      <formula>"1 Modify"</formula>
    </cfRule>
  </conditionalFormatting>
  <conditionalFormatting sqref="C429">
    <cfRule type="cellIs" dxfId="4807" priority="1283" stopIfTrue="1" operator="equal">
      <formula>"2 Add"</formula>
    </cfRule>
  </conditionalFormatting>
  <conditionalFormatting sqref="C429">
    <cfRule type="cellIs" dxfId="4806" priority="1284" stopIfTrue="1" operator="equal">
      <formula>"3 Delete"</formula>
    </cfRule>
  </conditionalFormatting>
  <conditionalFormatting sqref="C430">
    <cfRule type="cellIs" dxfId="4805" priority="1285" stopIfTrue="1" operator="equal">
      <formula>"1 Modify"</formula>
    </cfRule>
  </conditionalFormatting>
  <conditionalFormatting sqref="C430">
    <cfRule type="cellIs" dxfId="4804" priority="1286" stopIfTrue="1" operator="equal">
      <formula>"2 Add"</formula>
    </cfRule>
  </conditionalFormatting>
  <conditionalFormatting sqref="C430">
    <cfRule type="cellIs" dxfId="4803" priority="1287" stopIfTrue="1" operator="equal">
      <formula>"3 Delete"</formula>
    </cfRule>
  </conditionalFormatting>
  <conditionalFormatting sqref="C431">
    <cfRule type="cellIs" dxfId="4802" priority="1288" stopIfTrue="1" operator="equal">
      <formula>"1 Modify"</formula>
    </cfRule>
  </conditionalFormatting>
  <conditionalFormatting sqref="C431">
    <cfRule type="cellIs" dxfId="4801" priority="1289" stopIfTrue="1" operator="equal">
      <formula>"2 Add"</formula>
    </cfRule>
  </conditionalFormatting>
  <conditionalFormatting sqref="C431">
    <cfRule type="cellIs" dxfId="4800" priority="1290" stopIfTrue="1" operator="equal">
      <formula>"3 Delete"</formula>
    </cfRule>
  </conditionalFormatting>
  <conditionalFormatting sqref="C432">
    <cfRule type="cellIs" dxfId="4799" priority="1291" stopIfTrue="1" operator="equal">
      <formula>"1 Modify"</formula>
    </cfRule>
  </conditionalFormatting>
  <conditionalFormatting sqref="C432">
    <cfRule type="cellIs" dxfId="4798" priority="1292" stopIfTrue="1" operator="equal">
      <formula>"2 Add"</formula>
    </cfRule>
  </conditionalFormatting>
  <conditionalFormatting sqref="C432">
    <cfRule type="cellIs" dxfId="4797" priority="1293" stopIfTrue="1" operator="equal">
      <formula>"3 Delete"</formula>
    </cfRule>
  </conditionalFormatting>
  <conditionalFormatting sqref="C433">
    <cfRule type="cellIs" dxfId="4796" priority="1294" stopIfTrue="1" operator="equal">
      <formula>"1 Modify"</formula>
    </cfRule>
  </conditionalFormatting>
  <conditionalFormatting sqref="C433">
    <cfRule type="cellIs" dxfId="4795" priority="1295" stopIfTrue="1" operator="equal">
      <formula>"2 Add"</formula>
    </cfRule>
  </conditionalFormatting>
  <conditionalFormatting sqref="C433">
    <cfRule type="cellIs" dxfId="4794" priority="1296" stopIfTrue="1" operator="equal">
      <formula>"3 Delete"</formula>
    </cfRule>
  </conditionalFormatting>
  <conditionalFormatting sqref="C434">
    <cfRule type="cellIs" dxfId="4793" priority="1297" stopIfTrue="1" operator="equal">
      <formula>"1 Modify"</formula>
    </cfRule>
  </conditionalFormatting>
  <conditionalFormatting sqref="C434">
    <cfRule type="cellIs" dxfId="4792" priority="1298" stopIfTrue="1" operator="equal">
      <formula>"2 Add"</formula>
    </cfRule>
  </conditionalFormatting>
  <conditionalFormatting sqref="C434">
    <cfRule type="cellIs" dxfId="4791" priority="1299" stopIfTrue="1" operator="equal">
      <formula>"3 Delete"</formula>
    </cfRule>
  </conditionalFormatting>
  <conditionalFormatting sqref="C435">
    <cfRule type="cellIs" dxfId="4790" priority="1300" stopIfTrue="1" operator="equal">
      <formula>"1 Modify"</formula>
    </cfRule>
  </conditionalFormatting>
  <conditionalFormatting sqref="C435">
    <cfRule type="cellIs" dxfId="4789" priority="1301" stopIfTrue="1" operator="equal">
      <formula>"2 Add"</formula>
    </cfRule>
  </conditionalFormatting>
  <conditionalFormatting sqref="C435">
    <cfRule type="cellIs" dxfId="4788" priority="1302" stopIfTrue="1" operator="equal">
      <formula>"3 Delete"</formula>
    </cfRule>
  </conditionalFormatting>
  <conditionalFormatting sqref="C436">
    <cfRule type="cellIs" dxfId="4787" priority="1303" stopIfTrue="1" operator="equal">
      <formula>"1 Modify"</formula>
    </cfRule>
  </conditionalFormatting>
  <conditionalFormatting sqref="C436">
    <cfRule type="cellIs" dxfId="4786" priority="1304" stopIfTrue="1" operator="equal">
      <formula>"2 Add"</formula>
    </cfRule>
  </conditionalFormatting>
  <conditionalFormatting sqref="C436">
    <cfRule type="cellIs" dxfId="4785" priority="1305" stopIfTrue="1" operator="equal">
      <formula>"3 Delete"</formula>
    </cfRule>
  </conditionalFormatting>
  <conditionalFormatting sqref="C437">
    <cfRule type="cellIs" dxfId="4784" priority="1306" stopIfTrue="1" operator="equal">
      <formula>"1 Modify"</formula>
    </cfRule>
  </conditionalFormatting>
  <conditionalFormatting sqref="C437">
    <cfRule type="cellIs" dxfId="4783" priority="1307" stopIfTrue="1" operator="equal">
      <formula>"2 Add"</formula>
    </cfRule>
  </conditionalFormatting>
  <conditionalFormatting sqref="C437">
    <cfRule type="cellIs" dxfId="4782" priority="1308" stopIfTrue="1" operator="equal">
      <formula>"3 Delete"</formula>
    </cfRule>
  </conditionalFormatting>
  <conditionalFormatting sqref="C438">
    <cfRule type="cellIs" dxfId="4781" priority="1309" stopIfTrue="1" operator="equal">
      <formula>"1 Modify"</formula>
    </cfRule>
  </conditionalFormatting>
  <conditionalFormatting sqref="C438">
    <cfRule type="cellIs" dxfId="4780" priority="1310" stopIfTrue="1" operator="equal">
      <formula>"2 Add"</formula>
    </cfRule>
  </conditionalFormatting>
  <conditionalFormatting sqref="C438">
    <cfRule type="cellIs" dxfId="4779" priority="1311" stopIfTrue="1" operator="equal">
      <formula>"3 Delete"</formula>
    </cfRule>
  </conditionalFormatting>
  <conditionalFormatting sqref="C439">
    <cfRule type="cellIs" dxfId="4778" priority="1312" stopIfTrue="1" operator="equal">
      <formula>"1 Modify"</formula>
    </cfRule>
  </conditionalFormatting>
  <conditionalFormatting sqref="C439">
    <cfRule type="cellIs" dxfId="4777" priority="1313" stopIfTrue="1" operator="equal">
      <formula>"2 Add"</formula>
    </cfRule>
  </conditionalFormatting>
  <conditionalFormatting sqref="C439">
    <cfRule type="cellIs" dxfId="4776" priority="1314" stopIfTrue="1" operator="equal">
      <formula>"3 Delete"</formula>
    </cfRule>
  </conditionalFormatting>
  <conditionalFormatting sqref="C440">
    <cfRule type="cellIs" dxfId="4775" priority="1315" stopIfTrue="1" operator="equal">
      <formula>"1 Modify"</formula>
    </cfRule>
  </conditionalFormatting>
  <conditionalFormatting sqref="C440">
    <cfRule type="cellIs" dxfId="4774" priority="1316" stopIfTrue="1" operator="equal">
      <formula>"2 Add"</formula>
    </cfRule>
  </conditionalFormatting>
  <conditionalFormatting sqref="C440">
    <cfRule type="cellIs" dxfId="4773" priority="1317" stopIfTrue="1" operator="equal">
      <formula>"3 Delete"</formula>
    </cfRule>
  </conditionalFormatting>
  <conditionalFormatting sqref="C441">
    <cfRule type="cellIs" dxfId="4772" priority="1318" stopIfTrue="1" operator="equal">
      <formula>"1 Modify"</formula>
    </cfRule>
  </conditionalFormatting>
  <conditionalFormatting sqref="C441">
    <cfRule type="cellIs" dxfId="4771" priority="1319" stopIfTrue="1" operator="equal">
      <formula>"2 Add"</formula>
    </cfRule>
  </conditionalFormatting>
  <conditionalFormatting sqref="C441">
    <cfRule type="cellIs" dxfId="4770" priority="1320" stopIfTrue="1" operator="equal">
      <formula>"3 Delete"</formula>
    </cfRule>
  </conditionalFormatting>
  <conditionalFormatting sqref="C442">
    <cfRule type="cellIs" dxfId="4769" priority="1321" stopIfTrue="1" operator="equal">
      <formula>"1 Modify"</formula>
    </cfRule>
  </conditionalFormatting>
  <conditionalFormatting sqref="C442">
    <cfRule type="cellIs" dxfId="4768" priority="1322" stopIfTrue="1" operator="equal">
      <formula>"2 Add"</formula>
    </cfRule>
  </conditionalFormatting>
  <conditionalFormatting sqref="C442">
    <cfRule type="cellIs" dxfId="4767" priority="1323" stopIfTrue="1" operator="equal">
      <formula>"3 Delete"</formula>
    </cfRule>
  </conditionalFormatting>
  <conditionalFormatting sqref="C443">
    <cfRule type="cellIs" dxfId="4766" priority="1324" stopIfTrue="1" operator="equal">
      <formula>"1 Modify"</formula>
    </cfRule>
  </conditionalFormatting>
  <conditionalFormatting sqref="C443">
    <cfRule type="cellIs" dxfId="4765" priority="1325" stopIfTrue="1" operator="equal">
      <formula>"2 Add"</formula>
    </cfRule>
  </conditionalFormatting>
  <conditionalFormatting sqref="C443">
    <cfRule type="cellIs" dxfId="4764" priority="1326" stopIfTrue="1" operator="equal">
      <formula>"3 Delete"</formula>
    </cfRule>
  </conditionalFormatting>
  <conditionalFormatting sqref="C444">
    <cfRule type="cellIs" dxfId="4763" priority="1327" stopIfTrue="1" operator="equal">
      <formula>"1 Modify"</formula>
    </cfRule>
  </conditionalFormatting>
  <conditionalFormatting sqref="C444">
    <cfRule type="cellIs" dxfId="4762" priority="1328" stopIfTrue="1" operator="equal">
      <formula>"2 Add"</formula>
    </cfRule>
  </conditionalFormatting>
  <conditionalFormatting sqref="C444">
    <cfRule type="cellIs" dxfId="4761" priority="1329" stopIfTrue="1" operator="equal">
      <formula>"3 Delete"</formula>
    </cfRule>
  </conditionalFormatting>
  <conditionalFormatting sqref="C445">
    <cfRule type="cellIs" dxfId="4760" priority="1330" stopIfTrue="1" operator="equal">
      <formula>"1 Modify"</formula>
    </cfRule>
  </conditionalFormatting>
  <conditionalFormatting sqref="C445">
    <cfRule type="cellIs" dxfId="4759" priority="1331" stopIfTrue="1" operator="equal">
      <formula>"2 Add"</formula>
    </cfRule>
  </conditionalFormatting>
  <conditionalFormatting sqref="C445">
    <cfRule type="cellIs" dxfId="4758" priority="1332" stopIfTrue="1" operator="equal">
      <formula>"3 Delete"</formula>
    </cfRule>
  </conditionalFormatting>
  <conditionalFormatting sqref="C446">
    <cfRule type="cellIs" dxfId="4757" priority="1333" stopIfTrue="1" operator="equal">
      <formula>"1 Modify"</formula>
    </cfRule>
  </conditionalFormatting>
  <conditionalFormatting sqref="C446">
    <cfRule type="cellIs" dxfId="4756" priority="1334" stopIfTrue="1" operator="equal">
      <formula>"2 Add"</formula>
    </cfRule>
  </conditionalFormatting>
  <conditionalFormatting sqref="C446">
    <cfRule type="cellIs" dxfId="4755" priority="1335" stopIfTrue="1" operator="equal">
      <formula>"3 Delete"</formula>
    </cfRule>
  </conditionalFormatting>
  <conditionalFormatting sqref="C447">
    <cfRule type="cellIs" dxfId="4754" priority="1336" stopIfTrue="1" operator="equal">
      <formula>"1 Modify"</formula>
    </cfRule>
  </conditionalFormatting>
  <conditionalFormatting sqref="C447">
    <cfRule type="cellIs" dxfId="4753" priority="1337" stopIfTrue="1" operator="equal">
      <formula>"2 Add"</formula>
    </cfRule>
  </conditionalFormatting>
  <conditionalFormatting sqref="C447">
    <cfRule type="cellIs" dxfId="4752" priority="1338" stopIfTrue="1" operator="equal">
      <formula>"3 Delete"</formula>
    </cfRule>
  </conditionalFormatting>
  <conditionalFormatting sqref="C448">
    <cfRule type="cellIs" dxfId="4751" priority="1339" stopIfTrue="1" operator="equal">
      <formula>"1 Modify"</formula>
    </cfRule>
  </conditionalFormatting>
  <conditionalFormatting sqref="C448">
    <cfRule type="cellIs" dxfId="4750" priority="1340" stopIfTrue="1" operator="equal">
      <formula>"2 Add"</formula>
    </cfRule>
  </conditionalFormatting>
  <conditionalFormatting sqref="C448">
    <cfRule type="cellIs" dxfId="4749" priority="1341" stopIfTrue="1" operator="equal">
      <formula>"3 Delete"</formula>
    </cfRule>
  </conditionalFormatting>
  <conditionalFormatting sqref="C449">
    <cfRule type="cellIs" dxfId="4748" priority="1342" stopIfTrue="1" operator="equal">
      <formula>"1 Modify"</formula>
    </cfRule>
  </conditionalFormatting>
  <conditionalFormatting sqref="C449">
    <cfRule type="cellIs" dxfId="4747" priority="1343" stopIfTrue="1" operator="equal">
      <formula>"2 Add"</formula>
    </cfRule>
  </conditionalFormatting>
  <conditionalFormatting sqref="C449">
    <cfRule type="cellIs" dxfId="4746" priority="1344" stopIfTrue="1" operator="equal">
      <formula>"3 Delete"</formula>
    </cfRule>
  </conditionalFormatting>
  <conditionalFormatting sqref="C450">
    <cfRule type="cellIs" dxfId="4745" priority="1345" stopIfTrue="1" operator="equal">
      <formula>"1 Modify"</formula>
    </cfRule>
  </conditionalFormatting>
  <conditionalFormatting sqref="C450">
    <cfRule type="cellIs" dxfId="4744" priority="1346" stopIfTrue="1" operator="equal">
      <formula>"2 Add"</formula>
    </cfRule>
  </conditionalFormatting>
  <conditionalFormatting sqref="C450">
    <cfRule type="cellIs" dxfId="4743" priority="1347" stopIfTrue="1" operator="equal">
      <formula>"3 Delete"</formula>
    </cfRule>
  </conditionalFormatting>
  <conditionalFormatting sqref="C451">
    <cfRule type="cellIs" dxfId="4742" priority="1348" stopIfTrue="1" operator="equal">
      <formula>"1 Modify"</formula>
    </cfRule>
  </conditionalFormatting>
  <conditionalFormatting sqref="C451">
    <cfRule type="cellIs" dxfId="4741" priority="1349" stopIfTrue="1" operator="equal">
      <formula>"2 Add"</formula>
    </cfRule>
  </conditionalFormatting>
  <conditionalFormatting sqref="C451">
    <cfRule type="cellIs" dxfId="4740" priority="1350" stopIfTrue="1" operator="equal">
      <formula>"3 Delete"</formula>
    </cfRule>
  </conditionalFormatting>
  <conditionalFormatting sqref="C452">
    <cfRule type="cellIs" dxfId="4739" priority="1351" stopIfTrue="1" operator="equal">
      <formula>"1 Modify"</formula>
    </cfRule>
  </conditionalFormatting>
  <conditionalFormatting sqref="C452">
    <cfRule type="cellIs" dxfId="4738" priority="1352" stopIfTrue="1" operator="equal">
      <formula>"2 Add"</formula>
    </cfRule>
  </conditionalFormatting>
  <conditionalFormatting sqref="C452">
    <cfRule type="cellIs" dxfId="4737" priority="1353" stopIfTrue="1" operator="equal">
      <formula>"3 Delete"</formula>
    </cfRule>
  </conditionalFormatting>
  <conditionalFormatting sqref="C453">
    <cfRule type="cellIs" dxfId="4736" priority="1354" stopIfTrue="1" operator="equal">
      <formula>"1 Modify"</formula>
    </cfRule>
  </conditionalFormatting>
  <conditionalFormatting sqref="C453">
    <cfRule type="cellIs" dxfId="4735" priority="1355" stopIfTrue="1" operator="equal">
      <formula>"2 Add"</formula>
    </cfRule>
  </conditionalFormatting>
  <conditionalFormatting sqref="C453">
    <cfRule type="cellIs" dxfId="4734" priority="1356" stopIfTrue="1" operator="equal">
      <formula>"3 Delete"</formula>
    </cfRule>
  </conditionalFormatting>
  <conditionalFormatting sqref="C454">
    <cfRule type="cellIs" dxfId="4733" priority="1357" stopIfTrue="1" operator="equal">
      <formula>"1 Modify"</formula>
    </cfRule>
  </conditionalFormatting>
  <conditionalFormatting sqref="C454">
    <cfRule type="cellIs" dxfId="4732" priority="1358" stopIfTrue="1" operator="equal">
      <formula>"2 Add"</formula>
    </cfRule>
  </conditionalFormatting>
  <conditionalFormatting sqref="C454">
    <cfRule type="cellIs" dxfId="4731" priority="1359" stopIfTrue="1" operator="equal">
      <formula>"3 Delete"</formula>
    </cfRule>
  </conditionalFormatting>
  <conditionalFormatting sqref="C455">
    <cfRule type="cellIs" dxfId="4730" priority="1360" stopIfTrue="1" operator="equal">
      <formula>"1 Modify"</formula>
    </cfRule>
  </conditionalFormatting>
  <conditionalFormatting sqref="C455">
    <cfRule type="cellIs" dxfId="4729" priority="1361" stopIfTrue="1" operator="equal">
      <formula>"2 Add"</formula>
    </cfRule>
  </conditionalFormatting>
  <conditionalFormatting sqref="C455">
    <cfRule type="cellIs" dxfId="4728" priority="1362" stopIfTrue="1" operator="equal">
      <formula>"3 Delete"</formula>
    </cfRule>
  </conditionalFormatting>
  <conditionalFormatting sqref="C456">
    <cfRule type="cellIs" dxfId="4727" priority="1363" stopIfTrue="1" operator="equal">
      <formula>"1 Modify"</formula>
    </cfRule>
  </conditionalFormatting>
  <conditionalFormatting sqref="C456">
    <cfRule type="cellIs" dxfId="4726" priority="1364" stopIfTrue="1" operator="equal">
      <formula>"2 Add"</formula>
    </cfRule>
  </conditionalFormatting>
  <conditionalFormatting sqref="C456">
    <cfRule type="cellIs" dxfId="4725" priority="1365" stopIfTrue="1" operator="equal">
      <formula>"3 Delete"</formula>
    </cfRule>
  </conditionalFormatting>
  <conditionalFormatting sqref="C457">
    <cfRule type="cellIs" dxfId="4724" priority="1366" stopIfTrue="1" operator="equal">
      <formula>"1 Modify"</formula>
    </cfRule>
  </conditionalFormatting>
  <conditionalFormatting sqref="C457">
    <cfRule type="cellIs" dxfId="4723" priority="1367" stopIfTrue="1" operator="equal">
      <formula>"2 Add"</formula>
    </cfRule>
  </conditionalFormatting>
  <conditionalFormatting sqref="C457">
    <cfRule type="cellIs" dxfId="4722" priority="1368" stopIfTrue="1" operator="equal">
      <formula>"3 Delete"</formula>
    </cfRule>
  </conditionalFormatting>
  <conditionalFormatting sqref="C458">
    <cfRule type="cellIs" dxfId="4721" priority="1369" stopIfTrue="1" operator="equal">
      <formula>"1 Modify"</formula>
    </cfRule>
  </conditionalFormatting>
  <conditionalFormatting sqref="C458">
    <cfRule type="cellIs" dxfId="4720" priority="1370" stopIfTrue="1" operator="equal">
      <formula>"2 Add"</formula>
    </cfRule>
  </conditionalFormatting>
  <conditionalFormatting sqref="C458">
    <cfRule type="cellIs" dxfId="4719" priority="1371" stopIfTrue="1" operator="equal">
      <formula>"3 Delete"</formula>
    </cfRule>
  </conditionalFormatting>
  <conditionalFormatting sqref="C459">
    <cfRule type="cellIs" dxfId="4718" priority="1372" stopIfTrue="1" operator="equal">
      <formula>"1 Modify"</formula>
    </cfRule>
  </conditionalFormatting>
  <conditionalFormatting sqref="C459">
    <cfRule type="cellIs" dxfId="4717" priority="1373" stopIfTrue="1" operator="equal">
      <formula>"2 Add"</formula>
    </cfRule>
  </conditionalFormatting>
  <conditionalFormatting sqref="C459">
    <cfRule type="cellIs" dxfId="4716" priority="1374" stopIfTrue="1" operator="equal">
      <formula>"3 Delete"</formula>
    </cfRule>
  </conditionalFormatting>
  <conditionalFormatting sqref="C460">
    <cfRule type="cellIs" dxfId="4715" priority="1375" stopIfTrue="1" operator="equal">
      <formula>"1 Modify"</formula>
    </cfRule>
  </conditionalFormatting>
  <conditionalFormatting sqref="C460">
    <cfRule type="cellIs" dxfId="4714" priority="1376" stopIfTrue="1" operator="equal">
      <formula>"2 Add"</formula>
    </cfRule>
  </conditionalFormatting>
  <conditionalFormatting sqref="C460">
    <cfRule type="cellIs" dxfId="4713" priority="1377" stopIfTrue="1" operator="equal">
      <formula>"3 Delete"</formula>
    </cfRule>
  </conditionalFormatting>
  <conditionalFormatting sqref="C461">
    <cfRule type="cellIs" dxfId="4712" priority="1378" stopIfTrue="1" operator="equal">
      <formula>"1 Modify"</formula>
    </cfRule>
  </conditionalFormatting>
  <conditionalFormatting sqref="C461">
    <cfRule type="cellIs" dxfId="4711" priority="1379" stopIfTrue="1" operator="equal">
      <formula>"2 Add"</formula>
    </cfRule>
  </conditionalFormatting>
  <conditionalFormatting sqref="C461">
    <cfRule type="cellIs" dxfId="4710" priority="1380" stopIfTrue="1" operator="equal">
      <formula>"3 Delete"</formula>
    </cfRule>
  </conditionalFormatting>
  <conditionalFormatting sqref="C462">
    <cfRule type="cellIs" dxfId="4709" priority="1381" stopIfTrue="1" operator="equal">
      <formula>"1 Modify"</formula>
    </cfRule>
  </conditionalFormatting>
  <conditionalFormatting sqref="C462">
    <cfRule type="cellIs" dxfId="4708" priority="1382" stopIfTrue="1" operator="equal">
      <formula>"2 Add"</formula>
    </cfRule>
  </conditionalFormatting>
  <conditionalFormatting sqref="C462">
    <cfRule type="cellIs" dxfId="4707" priority="1383" stopIfTrue="1" operator="equal">
      <formula>"3 Delete"</formula>
    </cfRule>
  </conditionalFormatting>
  <conditionalFormatting sqref="C463">
    <cfRule type="cellIs" dxfId="4706" priority="1384" stopIfTrue="1" operator="equal">
      <formula>"1 Modify"</formula>
    </cfRule>
  </conditionalFormatting>
  <conditionalFormatting sqref="C463">
    <cfRule type="cellIs" dxfId="4705" priority="1385" stopIfTrue="1" operator="equal">
      <formula>"2 Add"</formula>
    </cfRule>
  </conditionalFormatting>
  <conditionalFormatting sqref="C463">
    <cfRule type="cellIs" dxfId="4704" priority="1386" stopIfTrue="1" operator="equal">
      <formula>"3 Delete"</formula>
    </cfRule>
  </conditionalFormatting>
  <conditionalFormatting sqref="C464">
    <cfRule type="cellIs" dxfId="4703" priority="1387" stopIfTrue="1" operator="equal">
      <formula>"1 Modify"</formula>
    </cfRule>
  </conditionalFormatting>
  <conditionalFormatting sqref="C464">
    <cfRule type="cellIs" dxfId="4702" priority="1388" stopIfTrue="1" operator="equal">
      <formula>"2 Add"</formula>
    </cfRule>
  </conditionalFormatting>
  <conditionalFormatting sqref="C464">
    <cfRule type="cellIs" dxfId="4701" priority="1389" stopIfTrue="1" operator="equal">
      <formula>"3 Delete"</formula>
    </cfRule>
  </conditionalFormatting>
  <conditionalFormatting sqref="C465">
    <cfRule type="cellIs" dxfId="4700" priority="1390" stopIfTrue="1" operator="equal">
      <formula>"1 Modify"</formula>
    </cfRule>
  </conditionalFormatting>
  <conditionalFormatting sqref="C465">
    <cfRule type="cellIs" dxfId="4699" priority="1391" stopIfTrue="1" operator="equal">
      <formula>"2 Add"</formula>
    </cfRule>
  </conditionalFormatting>
  <conditionalFormatting sqref="C465">
    <cfRule type="cellIs" dxfId="4698" priority="1392" stopIfTrue="1" operator="equal">
      <formula>"3 Delete"</formula>
    </cfRule>
  </conditionalFormatting>
  <conditionalFormatting sqref="C466">
    <cfRule type="cellIs" dxfId="4697" priority="1393" stopIfTrue="1" operator="equal">
      <formula>"1 Modify"</formula>
    </cfRule>
  </conditionalFormatting>
  <conditionalFormatting sqref="C466">
    <cfRule type="cellIs" dxfId="4696" priority="1394" stopIfTrue="1" operator="equal">
      <formula>"2 Add"</formula>
    </cfRule>
  </conditionalFormatting>
  <conditionalFormatting sqref="C466">
    <cfRule type="cellIs" dxfId="4695" priority="1395" stopIfTrue="1" operator="equal">
      <formula>"3 Delete"</formula>
    </cfRule>
  </conditionalFormatting>
  <conditionalFormatting sqref="C467">
    <cfRule type="cellIs" dxfId="4694" priority="1396" stopIfTrue="1" operator="equal">
      <formula>"1 Modify"</formula>
    </cfRule>
  </conditionalFormatting>
  <conditionalFormatting sqref="C467">
    <cfRule type="cellIs" dxfId="4693" priority="1397" stopIfTrue="1" operator="equal">
      <formula>"2 Add"</formula>
    </cfRule>
  </conditionalFormatting>
  <conditionalFormatting sqref="C467">
    <cfRule type="cellIs" dxfId="4692" priority="1398" stopIfTrue="1" operator="equal">
      <formula>"3 Delete"</formula>
    </cfRule>
  </conditionalFormatting>
  <conditionalFormatting sqref="C468">
    <cfRule type="cellIs" dxfId="4691" priority="1399" stopIfTrue="1" operator="equal">
      <formula>"1 Modify"</formula>
    </cfRule>
  </conditionalFormatting>
  <conditionalFormatting sqref="C468">
    <cfRule type="cellIs" dxfId="4690" priority="1400" stopIfTrue="1" operator="equal">
      <formula>"2 Add"</formula>
    </cfRule>
  </conditionalFormatting>
  <conditionalFormatting sqref="C468">
    <cfRule type="cellIs" dxfId="4689" priority="1401" stopIfTrue="1" operator="equal">
      <formula>"3 Delete"</formula>
    </cfRule>
  </conditionalFormatting>
  <conditionalFormatting sqref="C469">
    <cfRule type="cellIs" dxfId="4688" priority="1402" stopIfTrue="1" operator="equal">
      <formula>"1 Modify"</formula>
    </cfRule>
  </conditionalFormatting>
  <conditionalFormatting sqref="C469">
    <cfRule type="cellIs" dxfId="4687" priority="1403" stopIfTrue="1" operator="equal">
      <formula>"2 Add"</formula>
    </cfRule>
  </conditionalFormatting>
  <conditionalFormatting sqref="C469">
    <cfRule type="cellIs" dxfId="4686" priority="1404" stopIfTrue="1" operator="equal">
      <formula>"3 Delete"</formula>
    </cfRule>
  </conditionalFormatting>
  <conditionalFormatting sqref="C470">
    <cfRule type="cellIs" dxfId="4685" priority="1405" stopIfTrue="1" operator="equal">
      <formula>"1 Modify"</formula>
    </cfRule>
  </conditionalFormatting>
  <conditionalFormatting sqref="C470">
    <cfRule type="cellIs" dxfId="4684" priority="1406" stopIfTrue="1" operator="equal">
      <formula>"2 Add"</formula>
    </cfRule>
  </conditionalFormatting>
  <conditionalFormatting sqref="C470">
    <cfRule type="cellIs" dxfId="4683" priority="1407" stopIfTrue="1" operator="equal">
      <formula>"3 Delete"</formula>
    </cfRule>
  </conditionalFormatting>
  <conditionalFormatting sqref="C471">
    <cfRule type="cellIs" dxfId="4682" priority="1408" stopIfTrue="1" operator="equal">
      <formula>"1 Modify"</formula>
    </cfRule>
  </conditionalFormatting>
  <conditionalFormatting sqref="C471">
    <cfRule type="cellIs" dxfId="4681" priority="1409" stopIfTrue="1" operator="equal">
      <formula>"2 Add"</formula>
    </cfRule>
  </conditionalFormatting>
  <conditionalFormatting sqref="C471">
    <cfRule type="cellIs" dxfId="4680" priority="1410" stopIfTrue="1" operator="equal">
      <formula>"3 Delete"</formula>
    </cfRule>
  </conditionalFormatting>
  <conditionalFormatting sqref="C472">
    <cfRule type="cellIs" dxfId="4679" priority="1411" stopIfTrue="1" operator="equal">
      <formula>"1 Modify"</formula>
    </cfRule>
  </conditionalFormatting>
  <conditionalFormatting sqref="C472">
    <cfRule type="cellIs" dxfId="4678" priority="1412" stopIfTrue="1" operator="equal">
      <formula>"2 Add"</formula>
    </cfRule>
  </conditionalFormatting>
  <conditionalFormatting sqref="C472">
    <cfRule type="cellIs" dxfId="4677" priority="1413" stopIfTrue="1" operator="equal">
      <formula>"3 Delete"</formula>
    </cfRule>
  </conditionalFormatting>
  <conditionalFormatting sqref="C473">
    <cfRule type="cellIs" dxfId="4676" priority="1414" stopIfTrue="1" operator="equal">
      <formula>"1 Modify"</formula>
    </cfRule>
  </conditionalFormatting>
  <conditionalFormatting sqref="C473">
    <cfRule type="cellIs" dxfId="4675" priority="1415" stopIfTrue="1" operator="equal">
      <formula>"2 Add"</formula>
    </cfRule>
  </conditionalFormatting>
  <conditionalFormatting sqref="C473">
    <cfRule type="cellIs" dxfId="4674" priority="1416" stopIfTrue="1" operator="equal">
      <formula>"3 Delete"</formula>
    </cfRule>
  </conditionalFormatting>
  <conditionalFormatting sqref="C474">
    <cfRule type="cellIs" dxfId="4673" priority="1417" stopIfTrue="1" operator="equal">
      <formula>"1 Modify"</formula>
    </cfRule>
  </conditionalFormatting>
  <conditionalFormatting sqref="C474">
    <cfRule type="cellIs" dxfId="4672" priority="1418" stopIfTrue="1" operator="equal">
      <formula>"2 Add"</formula>
    </cfRule>
  </conditionalFormatting>
  <conditionalFormatting sqref="C474">
    <cfRule type="cellIs" dxfId="4671" priority="1419" stopIfTrue="1" operator="equal">
      <formula>"3 Delete"</formula>
    </cfRule>
  </conditionalFormatting>
  <conditionalFormatting sqref="C475">
    <cfRule type="cellIs" dxfId="4670" priority="1420" stopIfTrue="1" operator="equal">
      <formula>"1 Modify"</formula>
    </cfRule>
  </conditionalFormatting>
  <conditionalFormatting sqref="C475">
    <cfRule type="cellIs" dxfId="4669" priority="1421" stopIfTrue="1" operator="equal">
      <formula>"2 Add"</formula>
    </cfRule>
  </conditionalFormatting>
  <conditionalFormatting sqref="C475">
    <cfRule type="cellIs" dxfId="4668" priority="1422" stopIfTrue="1" operator="equal">
      <formula>"3 Delete"</formula>
    </cfRule>
  </conditionalFormatting>
  <conditionalFormatting sqref="C476">
    <cfRule type="cellIs" dxfId="4667" priority="1423" stopIfTrue="1" operator="equal">
      <formula>"1 Modify"</formula>
    </cfRule>
  </conditionalFormatting>
  <conditionalFormatting sqref="C476">
    <cfRule type="cellIs" dxfId="4666" priority="1424" stopIfTrue="1" operator="equal">
      <formula>"2 Add"</formula>
    </cfRule>
  </conditionalFormatting>
  <conditionalFormatting sqref="C476">
    <cfRule type="cellIs" dxfId="4665" priority="1425" stopIfTrue="1" operator="equal">
      <formula>"3 Delete"</formula>
    </cfRule>
  </conditionalFormatting>
  <conditionalFormatting sqref="C477">
    <cfRule type="cellIs" dxfId="4664" priority="1426" stopIfTrue="1" operator="equal">
      <formula>"1 Modify"</formula>
    </cfRule>
  </conditionalFormatting>
  <conditionalFormatting sqref="C477">
    <cfRule type="cellIs" dxfId="4663" priority="1427" stopIfTrue="1" operator="equal">
      <formula>"2 Add"</formula>
    </cfRule>
  </conditionalFormatting>
  <conditionalFormatting sqref="C477">
    <cfRule type="cellIs" dxfId="4662" priority="1428" stopIfTrue="1" operator="equal">
      <formula>"3 Delete"</formula>
    </cfRule>
  </conditionalFormatting>
  <conditionalFormatting sqref="C478">
    <cfRule type="cellIs" dxfId="4661" priority="1429" stopIfTrue="1" operator="equal">
      <formula>"1 Modify"</formula>
    </cfRule>
  </conditionalFormatting>
  <conditionalFormatting sqref="C478">
    <cfRule type="cellIs" dxfId="4660" priority="1430" stopIfTrue="1" operator="equal">
      <formula>"2 Add"</formula>
    </cfRule>
  </conditionalFormatting>
  <conditionalFormatting sqref="C478">
    <cfRule type="cellIs" dxfId="4659" priority="1431" stopIfTrue="1" operator="equal">
      <formula>"3 Delete"</formula>
    </cfRule>
  </conditionalFormatting>
  <conditionalFormatting sqref="C479">
    <cfRule type="cellIs" dxfId="4658" priority="1432" stopIfTrue="1" operator="equal">
      <formula>"1 Modify"</formula>
    </cfRule>
  </conditionalFormatting>
  <conditionalFormatting sqref="C479">
    <cfRule type="cellIs" dxfId="4657" priority="1433" stopIfTrue="1" operator="equal">
      <formula>"2 Add"</formula>
    </cfRule>
  </conditionalFormatting>
  <conditionalFormatting sqref="C479">
    <cfRule type="cellIs" dxfId="4656" priority="1434" stopIfTrue="1" operator="equal">
      <formula>"3 Delete"</formula>
    </cfRule>
  </conditionalFormatting>
  <conditionalFormatting sqref="C480">
    <cfRule type="cellIs" dxfId="4655" priority="1435" stopIfTrue="1" operator="equal">
      <formula>"1 Modify"</formula>
    </cfRule>
  </conditionalFormatting>
  <conditionalFormatting sqref="C480">
    <cfRule type="cellIs" dxfId="4654" priority="1436" stopIfTrue="1" operator="equal">
      <formula>"2 Add"</formula>
    </cfRule>
  </conditionalFormatting>
  <conditionalFormatting sqref="C480">
    <cfRule type="cellIs" dxfId="4653" priority="1437" stopIfTrue="1" operator="equal">
      <formula>"3 Delete"</formula>
    </cfRule>
  </conditionalFormatting>
  <conditionalFormatting sqref="C481">
    <cfRule type="cellIs" dxfId="4652" priority="1438" stopIfTrue="1" operator="equal">
      <formula>"1 Modify"</formula>
    </cfRule>
  </conditionalFormatting>
  <conditionalFormatting sqref="C481">
    <cfRule type="cellIs" dxfId="4651" priority="1439" stopIfTrue="1" operator="equal">
      <formula>"2 Add"</formula>
    </cfRule>
  </conditionalFormatting>
  <conditionalFormatting sqref="C481">
    <cfRule type="cellIs" dxfId="4650" priority="1440" stopIfTrue="1" operator="equal">
      <formula>"3 Delete"</formula>
    </cfRule>
  </conditionalFormatting>
  <conditionalFormatting sqref="C482">
    <cfRule type="cellIs" dxfId="4649" priority="1441" stopIfTrue="1" operator="equal">
      <formula>"1 Modify"</formula>
    </cfRule>
  </conditionalFormatting>
  <conditionalFormatting sqref="C482">
    <cfRule type="cellIs" dxfId="4648" priority="1442" stopIfTrue="1" operator="equal">
      <formula>"2 Add"</formula>
    </cfRule>
  </conditionalFormatting>
  <conditionalFormatting sqref="C482">
    <cfRule type="cellIs" dxfId="4647" priority="1443" stopIfTrue="1" operator="equal">
      <formula>"3 Delete"</formula>
    </cfRule>
  </conditionalFormatting>
  <conditionalFormatting sqref="C483">
    <cfRule type="cellIs" dxfId="4646" priority="1444" stopIfTrue="1" operator="equal">
      <formula>"1 Modify"</formula>
    </cfRule>
  </conditionalFormatting>
  <conditionalFormatting sqref="C483">
    <cfRule type="cellIs" dxfId="4645" priority="1445" stopIfTrue="1" operator="equal">
      <formula>"2 Add"</formula>
    </cfRule>
  </conditionalFormatting>
  <conditionalFormatting sqref="C483">
    <cfRule type="cellIs" dxfId="4644" priority="1446" stopIfTrue="1" operator="equal">
      <formula>"3 Delete"</formula>
    </cfRule>
  </conditionalFormatting>
  <conditionalFormatting sqref="C484">
    <cfRule type="cellIs" dxfId="4643" priority="1447" stopIfTrue="1" operator="equal">
      <formula>"1 Modify"</formula>
    </cfRule>
  </conditionalFormatting>
  <conditionalFormatting sqref="C484">
    <cfRule type="cellIs" dxfId="4642" priority="1448" stopIfTrue="1" operator="equal">
      <formula>"2 Add"</formula>
    </cfRule>
  </conditionalFormatting>
  <conditionalFormatting sqref="C484">
    <cfRule type="cellIs" dxfId="4641" priority="1449" stopIfTrue="1" operator="equal">
      <formula>"3 Delete"</formula>
    </cfRule>
  </conditionalFormatting>
  <conditionalFormatting sqref="C485">
    <cfRule type="cellIs" dxfId="4640" priority="1450" stopIfTrue="1" operator="equal">
      <formula>"1 Modify"</formula>
    </cfRule>
  </conditionalFormatting>
  <conditionalFormatting sqref="C485">
    <cfRule type="cellIs" dxfId="4639" priority="1451" stopIfTrue="1" operator="equal">
      <formula>"2 Add"</formula>
    </cfRule>
  </conditionalFormatting>
  <conditionalFormatting sqref="C485">
    <cfRule type="cellIs" dxfId="4638" priority="1452" stopIfTrue="1" operator="equal">
      <formula>"3 Delete"</formula>
    </cfRule>
  </conditionalFormatting>
  <conditionalFormatting sqref="C486">
    <cfRule type="cellIs" dxfId="4637" priority="1453" stopIfTrue="1" operator="equal">
      <formula>"1 Modify"</formula>
    </cfRule>
  </conditionalFormatting>
  <conditionalFormatting sqref="C486">
    <cfRule type="cellIs" dxfId="4636" priority="1454" stopIfTrue="1" operator="equal">
      <formula>"2 Add"</formula>
    </cfRule>
  </conditionalFormatting>
  <conditionalFormatting sqref="C486">
    <cfRule type="cellIs" dxfId="4635" priority="1455" stopIfTrue="1" operator="equal">
      <formula>"3 Delete"</formula>
    </cfRule>
  </conditionalFormatting>
  <conditionalFormatting sqref="C487">
    <cfRule type="cellIs" dxfId="4634" priority="1456" stopIfTrue="1" operator="equal">
      <formula>"1 Modify"</formula>
    </cfRule>
  </conditionalFormatting>
  <conditionalFormatting sqref="C487">
    <cfRule type="cellIs" dxfId="4633" priority="1457" stopIfTrue="1" operator="equal">
      <formula>"2 Add"</formula>
    </cfRule>
  </conditionalFormatting>
  <conditionalFormatting sqref="C487">
    <cfRule type="cellIs" dxfId="4632" priority="1458" stopIfTrue="1" operator="equal">
      <formula>"3 Delete"</formula>
    </cfRule>
  </conditionalFormatting>
  <conditionalFormatting sqref="C488">
    <cfRule type="cellIs" dxfId="4631" priority="1459" stopIfTrue="1" operator="equal">
      <formula>"1 Modify"</formula>
    </cfRule>
  </conditionalFormatting>
  <conditionalFormatting sqref="C488">
    <cfRule type="cellIs" dxfId="4630" priority="1460" stopIfTrue="1" operator="equal">
      <formula>"2 Add"</formula>
    </cfRule>
  </conditionalFormatting>
  <conditionalFormatting sqref="C488">
    <cfRule type="cellIs" dxfId="4629" priority="1461" stopIfTrue="1" operator="equal">
      <formula>"3 Delete"</formula>
    </cfRule>
  </conditionalFormatting>
  <conditionalFormatting sqref="C489">
    <cfRule type="cellIs" dxfId="4628" priority="1462" stopIfTrue="1" operator="equal">
      <formula>"1 Modify"</formula>
    </cfRule>
  </conditionalFormatting>
  <conditionalFormatting sqref="C489">
    <cfRule type="cellIs" dxfId="4627" priority="1463" stopIfTrue="1" operator="equal">
      <formula>"2 Add"</formula>
    </cfRule>
  </conditionalFormatting>
  <conditionalFormatting sqref="C489">
    <cfRule type="cellIs" dxfId="4626" priority="1464" stopIfTrue="1" operator="equal">
      <formula>"3 Delete"</formula>
    </cfRule>
  </conditionalFormatting>
  <conditionalFormatting sqref="C490">
    <cfRule type="cellIs" dxfId="4625" priority="1465" stopIfTrue="1" operator="equal">
      <formula>"1 Modify"</formula>
    </cfRule>
  </conditionalFormatting>
  <conditionalFormatting sqref="C490">
    <cfRule type="cellIs" dxfId="4624" priority="1466" stopIfTrue="1" operator="equal">
      <formula>"2 Add"</formula>
    </cfRule>
  </conditionalFormatting>
  <conditionalFormatting sqref="C490">
    <cfRule type="cellIs" dxfId="4623" priority="1467" stopIfTrue="1" operator="equal">
      <formula>"3 Delete"</formula>
    </cfRule>
  </conditionalFormatting>
  <conditionalFormatting sqref="C491">
    <cfRule type="cellIs" dxfId="4622" priority="1468" stopIfTrue="1" operator="equal">
      <formula>"1 Modify"</formula>
    </cfRule>
  </conditionalFormatting>
  <conditionalFormatting sqref="C491">
    <cfRule type="cellIs" dxfId="4621" priority="1469" stopIfTrue="1" operator="equal">
      <formula>"2 Add"</formula>
    </cfRule>
  </conditionalFormatting>
  <conditionalFormatting sqref="C491">
    <cfRule type="cellIs" dxfId="4620" priority="1470" stopIfTrue="1" operator="equal">
      <formula>"3 Delete"</formula>
    </cfRule>
  </conditionalFormatting>
  <conditionalFormatting sqref="C492">
    <cfRule type="cellIs" dxfId="4619" priority="1471" stopIfTrue="1" operator="equal">
      <formula>"1 Modify"</formula>
    </cfRule>
  </conditionalFormatting>
  <conditionalFormatting sqref="C492">
    <cfRule type="cellIs" dxfId="4618" priority="1472" stopIfTrue="1" operator="equal">
      <formula>"2 Add"</formula>
    </cfRule>
  </conditionalFormatting>
  <conditionalFormatting sqref="C492">
    <cfRule type="cellIs" dxfId="4617" priority="1473" stopIfTrue="1" operator="equal">
      <formula>"3 Delete"</formula>
    </cfRule>
  </conditionalFormatting>
  <conditionalFormatting sqref="C493">
    <cfRule type="cellIs" dxfId="4616" priority="1474" stopIfTrue="1" operator="equal">
      <formula>"1 Modify"</formula>
    </cfRule>
  </conditionalFormatting>
  <conditionalFormatting sqref="C493">
    <cfRule type="cellIs" dxfId="4615" priority="1475" stopIfTrue="1" operator="equal">
      <formula>"2 Add"</formula>
    </cfRule>
  </conditionalFormatting>
  <conditionalFormatting sqref="C493">
    <cfRule type="cellIs" dxfId="4614" priority="1476" stopIfTrue="1" operator="equal">
      <formula>"3 Delete"</formula>
    </cfRule>
  </conditionalFormatting>
  <conditionalFormatting sqref="C494">
    <cfRule type="cellIs" dxfId="4613" priority="1477" stopIfTrue="1" operator="equal">
      <formula>"1 Modify"</formula>
    </cfRule>
  </conditionalFormatting>
  <conditionalFormatting sqref="C494">
    <cfRule type="cellIs" dxfId="4612" priority="1478" stopIfTrue="1" operator="equal">
      <formula>"2 Add"</formula>
    </cfRule>
  </conditionalFormatting>
  <conditionalFormatting sqref="C494">
    <cfRule type="cellIs" dxfId="4611" priority="1479" stopIfTrue="1" operator="equal">
      <formula>"3 Delete"</formula>
    </cfRule>
  </conditionalFormatting>
  <conditionalFormatting sqref="C495">
    <cfRule type="cellIs" dxfId="4610" priority="1480" stopIfTrue="1" operator="equal">
      <formula>"1 Modify"</formula>
    </cfRule>
  </conditionalFormatting>
  <conditionalFormatting sqref="C495">
    <cfRule type="cellIs" dxfId="4609" priority="1481" stopIfTrue="1" operator="equal">
      <formula>"2 Add"</formula>
    </cfRule>
  </conditionalFormatting>
  <conditionalFormatting sqref="C495">
    <cfRule type="cellIs" dxfId="4608" priority="1482" stopIfTrue="1" operator="equal">
      <formula>"3 Delete"</formula>
    </cfRule>
  </conditionalFormatting>
  <conditionalFormatting sqref="C496">
    <cfRule type="cellIs" dxfId="4607" priority="1483" stopIfTrue="1" operator="equal">
      <formula>"1 Modify"</formula>
    </cfRule>
  </conditionalFormatting>
  <conditionalFormatting sqref="C496">
    <cfRule type="cellIs" dxfId="4606" priority="1484" stopIfTrue="1" operator="equal">
      <formula>"2 Add"</formula>
    </cfRule>
  </conditionalFormatting>
  <conditionalFormatting sqref="C496">
    <cfRule type="cellIs" dxfId="4605" priority="1485" stopIfTrue="1" operator="equal">
      <formula>"3 Delete"</formula>
    </cfRule>
  </conditionalFormatting>
  <conditionalFormatting sqref="C497">
    <cfRule type="cellIs" dxfId="4604" priority="1486" stopIfTrue="1" operator="equal">
      <formula>"1 Modify"</formula>
    </cfRule>
  </conditionalFormatting>
  <conditionalFormatting sqref="C497">
    <cfRule type="cellIs" dxfId="4603" priority="1487" stopIfTrue="1" operator="equal">
      <formula>"2 Add"</formula>
    </cfRule>
  </conditionalFormatting>
  <conditionalFormatting sqref="C497">
    <cfRule type="cellIs" dxfId="4602" priority="1488" stopIfTrue="1" operator="equal">
      <formula>"3 Delete"</formula>
    </cfRule>
  </conditionalFormatting>
  <conditionalFormatting sqref="C498">
    <cfRule type="cellIs" dxfId="4601" priority="1489" stopIfTrue="1" operator="equal">
      <formula>"1 Modify"</formula>
    </cfRule>
  </conditionalFormatting>
  <conditionalFormatting sqref="C498">
    <cfRule type="cellIs" dxfId="4600" priority="1490" stopIfTrue="1" operator="equal">
      <formula>"2 Add"</formula>
    </cfRule>
  </conditionalFormatting>
  <conditionalFormatting sqref="C498">
    <cfRule type="cellIs" dxfId="4599" priority="1491" stopIfTrue="1" operator="equal">
      <formula>"3 Delete"</formula>
    </cfRule>
  </conditionalFormatting>
  <conditionalFormatting sqref="C499">
    <cfRule type="cellIs" dxfId="4598" priority="1492" stopIfTrue="1" operator="equal">
      <formula>"1 Modify"</formula>
    </cfRule>
  </conditionalFormatting>
  <conditionalFormatting sqref="C499">
    <cfRule type="cellIs" dxfId="4597" priority="1493" stopIfTrue="1" operator="equal">
      <formula>"2 Add"</formula>
    </cfRule>
  </conditionalFormatting>
  <conditionalFormatting sqref="C499">
    <cfRule type="cellIs" dxfId="4596" priority="1494" stopIfTrue="1" operator="equal">
      <formula>"3 Delete"</formula>
    </cfRule>
  </conditionalFormatting>
  <conditionalFormatting sqref="C500">
    <cfRule type="cellIs" dxfId="4595" priority="1495" stopIfTrue="1" operator="equal">
      <formula>"1 Modify"</formula>
    </cfRule>
  </conditionalFormatting>
  <conditionalFormatting sqref="C500">
    <cfRule type="cellIs" dxfId="4594" priority="1496" stopIfTrue="1" operator="equal">
      <formula>"2 Add"</formula>
    </cfRule>
  </conditionalFormatting>
  <conditionalFormatting sqref="C500">
    <cfRule type="cellIs" dxfId="4593" priority="1497" stopIfTrue="1" operator="equal">
      <formula>"3 Delete"</formula>
    </cfRule>
  </conditionalFormatting>
  <conditionalFormatting sqref="C501">
    <cfRule type="cellIs" dxfId="4592" priority="1498" stopIfTrue="1" operator="equal">
      <formula>"1 Modify"</formula>
    </cfRule>
  </conditionalFormatting>
  <conditionalFormatting sqref="C501">
    <cfRule type="cellIs" dxfId="4591" priority="1499" stopIfTrue="1" operator="equal">
      <formula>"2 Add"</formula>
    </cfRule>
  </conditionalFormatting>
  <conditionalFormatting sqref="C501">
    <cfRule type="cellIs" dxfId="4590" priority="1500" stopIfTrue="1" operator="equal">
      <formula>"3 Delete"</formula>
    </cfRule>
  </conditionalFormatting>
  <conditionalFormatting sqref="C502">
    <cfRule type="cellIs" dxfId="4589" priority="1501" stopIfTrue="1" operator="equal">
      <formula>"1 Modify"</formula>
    </cfRule>
  </conditionalFormatting>
  <conditionalFormatting sqref="C502">
    <cfRule type="cellIs" dxfId="4588" priority="1502" stopIfTrue="1" operator="equal">
      <formula>"2 Add"</formula>
    </cfRule>
  </conditionalFormatting>
  <conditionalFormatting sqref="C502">
    <cfRule type="cellIs" dxfId="4587" priority="1503" stopIfTrue="1" operator="equal">
      <formula>"3 Delete"</formula>
    </cfRule>
  </conditionalFormatting>
  <conditionalFormatting sqref="C503">
    <cfRule type="cellIs" dxfId="4586" priority="1504" stopIfTrue="1" operator="equal">
      <formula>"1 Modify"</formula>
    </cfRule>
  </conditionalFormatting>
  <conditionalFormatting sqref="C503">
    <cfRule type="cellIs" dxfId="4585" priority="1505" stopIfTrue="1" operator="equal">
      <formula>"2 Add"</formula>
    </cfRule>
  </conditionalFormatting>
  <conditionalFormatting sqref="C503">
    <cfRule type="cellIs" dxfId="4584" priority="1506" stopIfTrue="1" operator="equal">
      <formula>"3 Delete"</formula>
    </cfRule>
  </conditionalFormatting>
  <conditionalFormatting sqref="C504">
    <cfRule type="cellIs" dxfId="4583" priority="1507" stopIfTrue="1" operator="equal">
      <formula>"1 Modify"</formula>
    </cfRule>
  </conditionalFormatting>
  <conditionalFormatting sqref="C504">
    <cfRule type="cellIs" dxfId="4582" priority="1508" stopIfTrue="1" operator="equal">
      <formula>"2 Add"</formula>
    </cfRule>
  </conditionalFormatting>
  <conditionalFormatting sqref="C504">
    <cfRule type="cellIs" dxfId="4581" priority="1509" stopIfTrue="1" operator="equal">
      <formula>"3 Delete"</formula>
    </cfRule>
  </conditionalFormatting>
  <conditionalFormatting sqref="C505">
    <cfRule type="cellIs" dxfId="4580" priority="1510" stopIfTrue="1" operator="equal">
      <formula>"1 Modify"</formula>
    </cfRule>
  </conditionalFormatting>
  <conditionalFormatting sqref="C505">
    <cfRule type="cellIs" dxfId="4579" priority="1511" stopIfTrue="1" operator="equal">
      <formula>"2 Add"</formula>
    </cfRule>
  </conditionalFormatting>
  <conditionalFormatting sqref="C505">
    <cfRule type="cellIs" dxfId="4578" priority="1512" stopIfTrue="1" operator="equal">
      <formula>"3 Delete"</formula>
    </cfRule>
  </conditionalFormatting>
  <conditionalFormatting sqref="C506">
    <cfRule type="cellIs" dxfId="4577" priority="1513" stopIfTrue="1" operator="equal">
      <formula>"1 Modify"</formula>
    </cfRule>
  </conditionalFormatting>
  <conditionalFormatting sqref="C506">
    <cfRule type="cellIs" dxfId="4576" priority="1514" stopIfTrue="1" operator="equal">
      <formula>"2 Add"</formula>
    </cfRule>
  </conditionalFormatting>
  <conditionalFormatting sqref="C506">
    <cfRule type="cellIs" dxfId="4575" priority="1515" stopIfTrue="1" operator="equal">
      <formula>"3 Delete"</formula>
    </cfRule>
  </conditionalFormatting>
  <conditionalFormatting sqref="C507">
    <cfRule type="cellIs" dxfId="4574" priority="1516" stopIfTrue="1" operator="equal">
      <formula>"1 Modify"</formula>
    </cfRule>
  </conditionalFormatting>
  <conditionalFormatting sqref="C507">
    <cfRule type="cellIs" dxfId="4573" priority="1517" stopIfTrue="1" operator="equal">
      <formula>"2 Add"</formula>
    </cfRule>
  </conditionalFormatting>
  <conditionalFormatting sqref="C507">
    <cfRule type="cellIs" dxfId="4572" priority="1518" stopIfTrue="1" operator="equal">
      <formula>"3 Delete"</formula>
    </cfRule>
  </conditionalFormatting>
  <conditionalFormatting sqref="C508">
    <cfRule type="cellIs" dxfId="4571" priority="1519" stopIfTrue="1" operator="equal">
      <formula>"1 Modify"</formula>
    </cfRule>
  </conditionalFormatting>
  <conditionalFormatting sqref="C508">
    <cfRule type="cellIs" dxfId="4570" priority="1520" stopIfTrue="1" operator="equal">
      <formula>"2 Add"</formula>
    </cfRule>
  </conditionalFormatting>
  <conditionalFormatting sqref="C508">
    <cfRule type="cellIs" dxfId="4569" priority="1521" stopIfTrue="1" operator="equal">
      <formula>"3 Delete"</formula>
    </cfRule>
  </conditionalFormatting>
  <conditionalFormatting sqref="C509">
    <cfRule type="cellIs" dxfId="4568" priority="1522" stopIfTrue="1" operator="equal">
      <formula>"1 Modify"</formula>
    </cfRule>
  </conditionalFormatting>
  <conditionalFormatting sqref="C509">
    <cfRule type="cellIs" dxfId="4567" priority="1523" stopIfTrue="1" operator="equal">
      <formula>"2 Add"</formula>
    </cfRule>
  </conditionalFormatting>
  <conditionalFormatting sqref="C509">
    <cfRule type="cellIs" dxfId="4566" priority="1524" stopIfTrue="1" operator="equal">
      <formula>"3 Delete"</formula>
    </cfRule>
  </conditionalFormatting>
  <conditionalFormatting sqref="C510">
    <cfRule type="cellIs" dxfId="4565" priority="1525" stopIfTrue="1" operator="equal">
      <formula>"1 Modify"</formula>
    </cfRule>
  </conditionalFormatting>
  <conditionalFormatting sqref="C510">
    <cfRule type="cellIs" dxfId="4564" priority="1526" stopIfTrue="1" operator="equal">
      <formula>"2 Add"</formula>
    </cfRule>
  </conditionalFormatting>
  <conditionalFormatting sqref="C510">
    <cfRule type="cellIs" dxfId="4563" priority="1527" stopIfTrue="1" operator="equal">
      <formula>"3 Delete"</formula>
    </cfRule>
  </conditionalFormatting>
  <conditionalFormatting sqref="C511">
    <cfRule type="cellIs" dxfId="4562" priority="1528" stopIfTrue="1" operator="equal">
      <formula>"1 Modify"</formula>
    </cfRule>
  </conditionalFormatting>
  <conditionalFormatting sqref="C511">
    <cfRule type="cellIs" dxfId="4561" priority="1529" stopIfTrue="1" operator="equal">
      <formula>"2 Add"</formula>
    </cfRule>
  </conditionalFormatting>
  <conditionalFormatting sqref="C511">
    <cfRule type="cellIs" dxfId="4560" priority="1530" stopIfTrue="1" operator="equal">
      <formula>"3 Delete"</formula>
    </cfRule>
  </conditionalFormatting>
  <conditionalFormatting sqref="C512">
    <cfRule type="cellIs" dxfId="4559" priority="1531" stopIfTrue="1" operator="equal">
      <formula>"1 Modify"</formula>
    </cfRule>
  </conditionalFormatting>
  <conditionalFormatting sqref="C512">
    <cfRule type="cellIs" dxfId="4558" priority="1532" stopIfTrue="1" operator="equal">
      <formula>"2 Add"</formula>
    </cfRule>
  </conditionalFormatting>
  <conditionalFormatting sqref="C512">
    <cfRule type="cellIs" dxfId="4557" priority="1533" stopIfTrue="1" operator="equal">
      <formula>"3 Delete"</formula>
    </cfRule>
  </conditionalFormatting>
  <conditionalFormatting sqref="C513">
    <cfRule type="cellIs" dxfId="4556" priority="1534" stopIfTrue="1" operator="equal">
      <formula>"1 Modify"</formula>
    </cfRule>
  </conditionalFormatting>
  <conditionalFormatting sqref="C513">
    <cfRule type="cellIs" dxfId="4555" priority="1535" stopIfTrue="1" operator="equal">
      <formula>"2 Add"</formula>
    </cfRule>
  </conditionalFormatting>
  <conditionalFormatting sqref="C513">
    <cfRule type="cellIs" dxfId="4554" priority="1536" stopIfTrue="1" operator="equal">
      <formula>"3 Delete"</formula>
    </cfRule>
  </conditionalFormatting>
  <conditionalFormatting sqref="C514">
    <cfRule type="cellIs" dxfId="4553" priority="1537" stopIfTrue="1" operator="equal">
      <formula>"1 Modify"</formula>
    </cfRule>
  </conditionalFormatting>
  <conditionalFormatting sqref="C514">
    <cfRule type="cellIs" dxfId="4552" priority="1538" stopIfTrue="1" operator="equal">
      <formula>"2 Add"</formula>
    </cfRule>
  </conditionalFormatting>
  <conditionalFormatting sqref="C514">
    <cfRule type="cellIs" dxfId="4551" priority="1539" stopIfTrue="1" operator="equal">
      <formula>"3 Delete"</formula>
    </cfRule>
  </conditionalFormatting>
  <conditionalFormatting sqref="C515">
    <cfRule type="cellIs" dxfId="4550" priority="1540" stopIfTrue="1" operator="equal">
      <formula>"1 Modify"</formula>
    </cfRule>
  </conditionalFormatting>
  <conditionalFormatting sqref="C515">
    <cfRule type="cellIs" dxfId="4549" priority="1541" stopIfTrue="1" operator="equal">
      <formula>"2 Add"</formula>
    </cfRule>
  </conditionalFormatting>
  <conditionalFormatting sqref="C515">
    <cfRule type="cellIs" dxfId="4548" priority="1542" stopIfTrue="1" operator="equal">
      <formula>"3 Delete"</formula>
    </cfRule>
  </conditionalFormatting>
  <conditionalFormatting sqref="C516">
    <cfRule type="cellIs" dxfId="4547" priority="1543" stopIfTrue="1" operator="equal">
      <formula>"1 Modify"</formula>
    </cfRule>
  </conditionalFormatting>
  <conditionalFormatting sqref="C516">
    <cfRule type="cellIs" dxfId="4546" priority="1544" stopIfTrue="1" operator="equal">
      <formula>"2 Add"</formula>
    </cfRule>
  </conditionalFormatting>
  <conditionalFormatting sqref="C516">
    <cfRule type="cellIs" dxfId="4545" priority="1545" stopIfTrue="1" operator="equal">
      <formula>"3 Delete"</formula>
    </cfRule>
  </conditionalFormatting>
  <conditionalFormatting sqref="C517">
    <cfRule type="cellIs" dxfId="4544" priority="1546" stopIfTrue="1" operator="equal">
      <formula>"1 Modify"</formula>
    </cfRule>
  </conditionalFormatting>
  <conditionalFormatting sqref="C517">
    <cfRule type="cellIs" dxfId="4543" priority="1547" stopIfTrue="1" operator="equal">
      <formula>"2 Add"</formula>
    </cfRule>
  </conditionalFormatting>
  <conditionalFormatting sqref="C517">
    <cfRule type="cellIs" dxfId="4542" priority="1548" stopIfTrue="1" operator="equal">
      <formula>"3 Delete"</formula>
    </cfRule>
  </conditionalFormatting>
  <conditionalFormatting sqref="C518">
    <cfRule type="cellIs" dxfId="4541" priority="1549" stopIfTrue="1" operator="equal">
      <formula>"1 Modify"</formula>
    </cfRule>
  </conditionalFormatting>
  <conditionalFormatting sqref="C518">
    <cfRule type="cellIs" dxfId="4540" priority="1550" stopIfTrue="1" operator="equal">
      <formula>"2 Add"</formula>
    </cfRule>
  </conditionalFormatting>
  <conditionalFormatting sqref="C518">
    <cfRule type="cellIs" dxfId="4539" priority="1551" stopIfTrue="1" operator="equal">
      <formula>"3 Delete"</formula>
    </cfRule>
  </conditionalFormatting>
  <conditionalFormatting sqref="C519">
    <cfRule type="cellIs" dxfId="4538" priority="1552" stopIfTrue="1" operator="equal">
      <formula>"1 Modify"</formula>
    </cfRule>
  </conditionalFormatting>
  <conditionalFormatting sqref="C519">
    <cfRule type="cellIs" dxfId="4537" priority="1553" stopIfTrue="1" operator="equal">
      <formula>"2 Add"</formula>
    </cfRule>
  </conditionalFormatting>
  <conditionalFormatting sqref="C519">
    <cfRule type="cellIs" dxfId="4536" priority="1554" stopIfTrue="1" operator="equal">
      <formula>"3 Delete"</formula>
    </cfRule>
  </conditionalFormatting>
  <conditionalFormatting sqref="C520">
    <cfRule type="cellIs" dxfId="4535" priority="1555" stopIfTrue="1" operator="equal">
      <formula>"1 Modify"</formula>
    </cfRule>
  </conditionalFormatting>
  <conditionalFormatting sqref="C520">
    <cfRule type="cellIs" dxfId="4534" priority="1556" stopIfTrue="1" operator="equal">
      <formula>"2 Add"</formula>
    </cfRule>
  </conditionalFormatting>
  <conditionalFormatting sqref="C520">
    <cfRule type="cellIs" dxfId="4533" priority="1557" stopIfTrue="1" operator="equal">
      <formula>"3 Delete"</formula>
    </cfRule>
  </conditionalFormatting>
  <conditionalFormatting sqref="C521">
    <cfRule type="cellIs" dxfId="4532" priority="1558" stopIfTrue="1" operator="equal">
      <formula>"1 Modify"</formula>
    </cfRule>
  </conditionalFormatting>
  <conditionalFormatting sqref="C521">
    <cfRule type="cellIs" dxfId="4531" priority="1559" stopIfTrue="1" operator="equal">
      <formula>"2 Add"</formula>
    </cfRule>
  </conditionalFormatting>
  <conditionalFormatting sqref="C521">
    <cfRule type="cellIs" dxfId="4530" priority="1560" stopIfTrue="1" operator="equal">
      <formula>"3 Delete"</formula>
    </cfRule>
  </conditionalFormatting>
  <conditionalFormatting sqref="C522">
    <cfRule type="cellIs" dxfId="4529" priority="1561" stopIfTrue="1" operator="equal">
      <formula>"1 Modify"</formula>
    </cfRule>
  </conditionalFormatting>
  <conditionalFormatting sqref="C522">
    <cfRule type="cellIs" dxfId="4528" priority="1562" stopIfTrue="1" operator="equal">
      <formula>"2 Add"</formula>
    </cfRule>
  </conditionalFormatting>
  <conditionalFormatting sqref="C522">
    <cfRule type="cellIs" dxfId="4527" priority="1563" stopIfTrue="1" operator="equal">
      <formula>"3 Delete"</formula>
    </cfRule>
  </conditionalFormatting>
  <conditionalFormatting sqref="C523">
    <cfRule type="cellIs" dxfId="4526" priority="1564" stopIfTrue="1" operator="equal">
      <formula>"1 Modify"</formula>
    </cfRule>
  </conditionalFormatting>
  <conditionalFormatting sqref="C523">
    <cfRule type="cellIs" dxfId="4525" priority="1565" stopIfTrue="1" operator="equal">
      <formula>"2 Add"</formula>
    </cfRule>
  </conditionalFormatting>
  <conditionalFormatting sqref="C523">
    <cfRule type="cellIs" dxfId="4524" priority="1566" stopIfTrue="1" operator="equal">
      <formula>"3 Delete"</formula>
    </cfRule>
  </conditionalFormatting>
  <conditionalFormatting sqref="C524">
    <cfRule type="cellIs" dxfId="4523" priority="1567" stopIfTrue="1" operator="equal">
      <formula>"1 Modify"</formula>
    </cfRule>
  </conditionalFormatting>
  <conditionalFormatting sqref="C524">
    <cfRule type="cellIs" dxfId="4522" priority="1568" stopIfTrue="1" operator="equal">
      <formula>"2 Add"</formula>
    </cfRule>
  </conditionalFormatting>
  <conditionalFormatting sqref="C524">
    <cfRule type="cellIs" dxfId="4521" priority="1569" stopIfTrue="1" operator="equal">
      <formula>"3 Delete"</formula>
    </cfRule>
  </conditionalFormatting>
  <conditionalFormatting sqref="C525">
    <cfRule type="cellIs" dxfId="4520" priority="1570" stopIfTrue="1" operator="equal">
      <formula>"1 Modify"</formula>
    </cfRule>
  </conditionalFormatting>
  <conditionalFormatting sqref="C525">
    <cfRule type="cellIs" dxfId="4519" priority="1571" stopIfTrue="1" operator="equal">
      <formula>"2 Add"</formula>
    </cfRule>
  </conditionalFormatting>
  <conditionalFormatting sqref="C525">
    <cfRule type="cellIs" dxfId="4518" priority="1572" stopIfTrue="1" operator="equal">
      <formula>"3 Delete"</formula>
    </cfRule>
  </conditionalFormatting>
  <conditionalFormatting sqref="C526">
    <cfRule type="cellIs" dxfId="4517" priority="1573" stopIfTrue="1" operator="equal">
      <formula>"1 Modify"</formula>
    </cfRule>
  </conditionalFormatting>
  <conditionalFormatting sqref="C526">
    <cfRule type="cellIs" dxfId="4516" priority="1574" stopIfTrue="1" operator="equal">
      <formula>"2 Add"</formula>
    </cfRule>
  </conditionalFormatting>
  <conditionalFormatting sqref="C526">
    <cfRule type="cellIs" dxfId="4515" priority="1575" stopIfTrue="1" operator="equal">
      <formula>"3 Delete"</formula>
    </cfRule>
  </conditionalFormatting>
  <conditionalFormatting sqref="C527">
    <cfRule type="cellIs" dxfId="4514" priority="1576" stopIfTrue="1" operator="equal">
      <formula>"1 Modify"</formula>
    </cfRule>
  </conditionalFormatting>
  <conditionalFormatting sqref="C527">
    <cfRule type="cellIs" dxfId="4513" priority="1577" stopIfTrue="1" operator="equal">
      <formula>"2 Add"</formula>
    </cfRule>
  </conditionalFormatting>
  <conditionalFormatting sqref="C527">
    <cfRule type="cellIs" dxfId="4512" priority="1578" stopIfTrue="1" operator="equal">
      <formula>"3 Delete"</formula>
    </cfRule>
  </conditionalFormatting>
  <conditionalFormatting sqref="C528">
    <cfRule type="cellIs" dxfId="4511" priority="1579" stopIfTrue="1" operator="equal">
      <formula>"1 Modify"</formula>
    </cfRule>
  </conditionalFormatting>
  <conditionalFormatting sqref="C528">
    <cfRule type="cellIs" dxfId="4510" priority="1580" stopIfTrue="1" operator="equal">
      <formula>"2 Add"</formula>
    </cfRule>
  </conditionalFormatting>
  <conditionalFormatting sqref="C528">
    <cfRule type="cellIs" dxfId="4509" priority="1581" stopIfTrue="1" operator="equal">
      <formula>"3 Delete"</formula>
    </cfRule>
  </conditionalFormatting>
  <conditionalFormatting sqref="C529">
    <cfRule type="cellIs" dxfId="4508" priority="1582" stopIfTrue="1" operator="equal">
      <formula>"1 Modify"</formula>
    </cfRule>
  </conditionalFormatting>
  <conditionalFormatting sqref="C529">
    <cfRule type="cellIs" dxfId="4507" priority="1583" stopIfTrue="1" operator="equal">
      <formula>"2 Add"</formula>
    </cfRule>
  </conditionalFormatting>
  <conditionalFormatting sqref="C529">
    <cfRule type="cellIs" dxfId="4506" priority="1584" stopIfTrue="1" operator="equal">
      <formula>"3 Delete"</formula>
    </cfRule>
  </conditionalFormatting>
  <conditionalFormatting sqref="C530">
    <cfRule type="cellIs" dxfId="4505" priority="1585" stopIfTrue="1" operator="equal">
      <formula>"1 Modify"</formula>
    </cfRule>
  </conditionalFormatting>
  <conditionalFormatting sqref="C530">
    <cfRule type="cellIs" dxfId="4504" priority="1586" stopIfTrue="1" operator="equal">
      <formula>"2 Add"</formula>
    </cfRule>
  </conditionalFormatting>
  <conditionalFormatting sqref="C530">
    <cfRule type="cellIs" dxfId="4503" priority="1587" stopIfTrue="1" operator="equal">
      <formula>"3 Delete"</formula>
    </cfRule>
  </conditionalFormatting>
  <conditionalFormatting sqref="C531">
    <cfRule type="cellIs" dxfId="4502" priority="1588" stopIfTrue="1" operator="equal">
      <formula>"1 Modify"</formula>
    </cfRule>
  </conditionalFormatting>
  <conditionalFormatting sqref="C531">
    <cfRule type="cellIs" dxfId="4501" priority="1589" stopIfTrue="1" operator="equal">
      <formula>"2 Add"</formula>
    </cfRule>
  </conditionalFormatting>
  <conditionalFormatting sqref="C531">
    <cfRule type="cellIs" dxfId="4500" priority="1590" stopIfTrue="1" operator="equal">
      <formula>"3 Delete"</formula>
    </cfRule>
  </conditionalFormatting>
  <conditionalFormatting sqref="C532">
    <cfRule type="cellIs" dxfId="4499" priority="1591" stopIfTrue="1" operator="equal">
      <formula>"1 Modify"</formula>
    </cfRule>
  </conditionalFormatting>
  <conditionalFormatting sqref="C532">
    <cfRule type="cellIs" dxfId="4498" priority="1592" stopIfTrue="1" operator="equal">
      <formula>"2 Add"</formula>
    </cfRule>
  </conditionalFormatting>
  <conditionalFormatting sqref="C532">
    <cfRule type="cellIs" dxfId="4497" priority="1593" stopIfTrue="1" operator="equal">
      <formula>"3 Delete"</formula>
    </cfRule>
  </conditionalFormatting>
  <conditionalFormatting sqref="C533">
    <cfRule type="cellIs" dxfId="4496" priority="1594" stopIfTrue="1" operator="equal">
      <formula>"1 Modify"</formula>
    </cfRule>
  </conditionalFormatting>
  <conditionalFormatting sqref="C533">
    <cfRule type="cellIs" dxfId="4495" priority="1595" stopIfTrue="1" operator="equal">
      <formula>"2 Add"</formula>
    </cfRule>
  </conditionalFormatting>
  <conditionalFormatting sqref="C533">
    <cfRule type="cellIs" dxfId="4494" priority="1596" stopIfTrue="1" operator="equal">
      <formula>"3 Delete"</formula>
    </cfRule>
  </conditionalFormatting>
  <conditionalFormatting sqref="C534">
    <cfRule type="cellIs" dxfId="4493" priority="1597" stopIfTrue="1" operator="equal">
      <formula>"1 Modify"</formula>
    </cfRule>
  </conditionalFormatting>
  <conditionalFormatting sqref="C534">
    <cfRule type="cellIs" dxfId="4492" priority="1598" stopIfTrue="1" operator="equal">
      <formula>"2 Add"</formula>
    </cfRule>
  </conditionalFormatting>
  <conditionalFormatting sqref="C534">
    <cfRule type="cellIs" dxfId="4491" priority="1599" stopIfTrue="1" operator="equal">
      <formula>"3 Delete"</formula>
    </cfRule>
  </conditionalFormatting>
  <conditionalFormatting sqref="C535">
    <cfRule type="cellIs" dxfId="4490" priority="1600" stopIfTrue="1" operator="equal">
      <formula>"1 Modify"</formula>
    </cfRule>
  </conditionalFormatting>
  <conditionalFormatting sqref="C535">
    <cfRule type="cellIs" dxfId="4489" priority="1601" stopIfTrue="1" operator="equal">
      <formula>"2 Add"</formula>
    </cfRule>
  </conditionalFormatting>
  <conditionalFormatting sqref="C535">
    <cfRule type="cellIs" dxfId="4488" priority="1602" stopIfTrue="1" operator="equal">
      <formula>"3 Delete"</formula>
    </cfRule>
  </conditionalFormatting>
  <conditionalFormatting sqref="C536">
    <cfRule type="cellIs" dxfId="4487" priority="1603" stopIfTrue="1" operator="equal">
      <formula>"1 Modify"</formula>
    </cfRule>
  </conditionalFormatting>
  <conditionalFormatting sqref="C536">
    <cfRule type="cellIs" dxfId="4486" priority="1604" stopIfTrue="1" operator="equal">
      <formula>"2 Add"</formula>
    </cfRule>
  </conditionalFormatting>
  <conditionalFormatting sqref="C536">
    <cfRule type="cellIs" dxfId="4485" priority="1605" stopIfTrue="1" operator="equal">
      <formula>"3 Delete"</formula>
    </cfRule>
  </conditionalFormatting>
  <conditionalFormatting sqref="C537">
    <cfRule type="cellIs" dxfId="4484" priority="1606" stopIfTrue="1" operator="equal">
      <formula>"1 Modify"</formula>
    </cfRule>
  </conditionalFormatting>
  <conditionalFormatting sqref="C537">
    <cfRule type="cellIs" dxfId="4483" priority="1607" stopIfTrue="1" operator="equal">
      <formula>"2 Add"</formula>
    </cfRule>
  </conditionalFormatting>
  <conditionalFormatting sqref="C537">
    <cfRule type="cellIs" dxfId="4482" priority="1608" stopIfTrue="1" operator="equal">
      <formula>"3 Delete"</formula>
    </cfRule>
  </conditionalFormatting>
  <conditionalFormatting sqref="C538">
    <cfRule type="cellIs" dxfId="4481" priority="1609" stopIfTrue="1" operator="equal">
      <formula>"1 Modify"</formula>
    </cfRule>
  </conditionalFormatting>
  <conditionalFormatting sqref="C538">
    <cfRule type="cellIs" dxfId="4480" priority="1610" stopIfTrue="1" operator="equal">
      <formula>"2 Add"</formula>
    </cfRule>
  </conditionalFormatting>
  <conditionalFormatting sqref="C538">
    <cfRule type="cellIs" dxfId="4479" priority="1611" stopIfTrue="1" operator="equal">
      <formula>"3 Delete"</formula>
    </cfRule>
  </conditionalFormatting>
  <conditionalFormatting sqref="C539">
    <cfRule type="cellIs" dxfId="4478" priority="1612" stopIfTrue="1" operator="equal">
      <formula>"1 Modify"</formula>
    </cfRule>
  </conditionalFormatting>
  <conditionalFormatting sqref="C539">
    <cfRule type="cellIs" dxfId="4477" priority="1613" stopIfTrue="1" operator="equal">
      <formula>"2 Add"</formula>
    </cfRule>
  </conditionalFormatting>
  <conditionalFormatting sqref="C539">
    <cfRule type="cellIs" dxfId="4476" priority="1614" stopIfTrue="1" operator="equal">
      <formula>"3 Delete"</formula>
    </cfRule>
  </conditionalFormatting>
  <conditionalFormatting sqref="C540">
    <cfRule type="cellIs" dxfId="4475" priority="1615" stopIfTrue="1" operator="equal">
      <formula>"1 Modify"</formula>
    </cfRule>
  </conditionalFormatting>
  <conditionalFormatting sqref="C540">
    <cfRule type="cellIs" dxfId="4474" priority="1616" stopIfTrue="1" operator="equal">
      <formula>"2 Add"</formula>
    </cfRule>
  </conditionalFormatting>
  <conditionalFormatting sqref="C540">
    <cfRule type="cellIs" dxfId="4473" priority="1617" stopIfTrue="1" operator="equal">
      <formula>"3 Delete"</formula>
    </cfRule>
  </conditionalFormatting>
  <conditionalFormatting sqref="C541">
    <cfRule type="cellIs" dxfId="4472" priority="1618" stopIfTrue="1" operator="equal">
      <formula>"1 Modify"</formula>
    </cfRule>
  </conditionalFormatting>
  <conditionalFormatting sqref="C541">
    <cfRule type="cellIs" dxfId="4471" priority="1619" stopIfTrue="1" operator="equal">
      <formula>"2 Add"</formula>
    </cfRule>
  </conditionalFormatting>
  <conditionalFormatting sqref="C541">
    <cfRule type="cellIs" dxfId="4470" priority="1620" stopIfTrue="1" operator="equal">
      <formula>"3 Delete"</formula>
    </cfRule>
  </conditionalFormatting>
  <conditionalFormatting sqref="C542">
    <cfRule type="cellIs" dxfId="4469" priority="1621" stopIfTrue="1" operator="equal">
      <formula>"1 Modify"</formula>
    </cfRule>
  </conditionalFormatting>
  <conditionalFormatting sqref="C542">
    <cfRule type="cellIs" dxfId="4468" priority="1622" stopIfTrue="1" operator="equal">
      <formula>"2 Add"</formula>
    </cfRule>
  </conditionalFormatting>
  <conditionalFormatting sqref="C542">
    <cfRule type="cellIs" dxfId="4467" priority="1623" stopIfTrue="1" operator="equal">
      <formula>"3 Delete"</formula>
    </cfRule>
  </conditionalFormatting>
  <conditionalFormatting sqref="C543">
    <cfRule type="cellIs" dxfId="4466" priority="1624" stopIfTrue="1" operator="equal">
      <formula>"1 Modify"</formula>
    </cfRule>
  </conditionalFormatting>
  <conditionalFormatting sqref="C543">
    <cfRule type="cellIs" dxfId="4465" priority="1625" stopIfTrue="1" operator="equal">
      <formula>"2 Add"</formula>
    </cfRule>
  </conditionalFormatting>
  <conditionalFormatting sqref="C543">
    <cfRule type="cellIs" dxfId="4464" priority="1626" stopIfTrue="1" operator="equal">
      <formula>"3 Delete"</formula>
    </cfRule>
  </conditionalFormatting>
  <conditionalFormatting sqref="C544">
    <cfRule type="cellIs" dxfId="4463" priority="1627" stopIfTrue="1" operator="equal">
      <formula>"1 Modify"</formula>
    </cfRule>
  </conditionalFormatting>
  <conditionalFormatting sqref="C544">
    <cfRule type="cellIs" dxfId="4462" priority="1628" stopIfTrue="1" operator="equal">
      <formula>"2 Add"</formula>
    </cfRule>
  </conditionalFormatting>
  <conditionalFormatting sqref="C544">
    <cfRule type="cellIs" dxfId="4461" priority="1629" stopIfTrue="1" operator="equal">
      <formula>"3 Delete"</formula>
    </cfRule>
  </conditionalFormatting>
  <conditionalFormatting sqref="C545">
    <cfRule type="cellIs" dxfId="4460" priority="1630" stopIfTrue="1" operator="equal">
      <formula>"1 Modify"</formula>
    </cfRule>
  </conditionalFormatting>
  <conditionalFormatting sqref="C545">
    <cfRule type="cellIs" dxfId="4459" priority="1631" stopIfTrue="1" operator="equal">
      <formula>"2 Add"</formula>
    </cfRule>
  </conditionalFormatting>
  <conditionalFormatting sqref="C545">
    <cfRule type="cellIs" dxfId="4458" priority="1632" stopIfTrue="1" operator="equal">
      <formula>"3 Delete"</formula>
    </cfRule>
  </conditionalFormatting>
  <conditionalFormatting sqref="C546">
    <cfRule type="cellIs" dxfId="4457" priority="1633" stopIfTrue="1" operator="equal">
      <formula>"1 Modify"</formula>
    </cfRule>
  </conditionalFormatting>
  <conditionalFormatting sqref="C546">
    <cfRule type="cellIs" dxfId="4456" priority="1634" stopIfTrue="1" operator="equal">
      <formula>"2 Add"</formula>
    </cfRule>
  </conditionalFormatting>
  <conditionalFormatting sqref="C546">
    <cfRule type="cellIs" dxfId="4455" priority="1635" stopIfTrue="1" operator="equal">
      <formula>"3 Delete"</formula>
    </cfRule>
  </conditionalFormatting>
  <conditionalFormatting sqref="C547">
    <cfRule type="cellIs" dxfId="4454" priority="1636" stopIfTrue="1" operator="equal">
      <formula>"1 Modify"</formula>
    </cfRule>
  </conditionalFormatting>
  <conditionalFormatting sqref="C547">
    <cfRule type="cellIs" dxfId="4453" priority="1637" stopIfTrue="1" operator="equal">
      <formula>"2 Add"</formula>
    </cfRule>
  </conditionalFormatting>
  <conditionalFormatting sqref="C547">
    <cfRule type="cellIs" dxfId="4452" priority="1638" stopIfTrue="1" operator="equal">
      <formula>"3 Delete"</formula>
    </cfRule>
  </conditionalFormatting>
  <conditionalFormatting sqref="C548">
    <cfRule type="cellIs" dxfId="4451" priority="1639" stopIfTrue="1" operator="equal">
      <formula>"1 Modify"</formula>
    </cfRule>
  </conditionalFormatting>
  <conditionalFormatting sqref="C548">
    <cfRule type="cellIs" dxfId="4450" priority="1640" stopIfTrue="1" operator="equal">
      <formula>"2 Add"</formula>
    </cfRule>
  </conditionalFormatting>
  <conditionalFormatting sqref="C548">
    <cfRule type="cellIs" dxfId="4449" priority="1641" stopIfTrue="1" operator="equal">
      <formula>"3 Delete"</formula>
    </cfRule>
  </conditionalFormatting>
  <conditionalFormatting sqref="C549">
    <cfRule type="cellIs" dxfId="4448" priority="1642" stopIfTrue="1" operator="equal">
      <formula>"1 Modify"</formula>
    </cfRule>
  </conditionalFormatting>
  <conditionalFormatting sqref="C549">
    <cfRule type="cellIs" dxfId="4447" priority="1643" stopIfTrue="1" operator="equal">
      <formula>"2 Add"</formula>
    </cfRule>
  </conditionalFormatting>
  <conditionalFormatting sqref="C549">
    <cfRule type="cellIs" dxfId="4446" priority="1644" stopIfTrue="1" operator="equal">
      <formula>"3 Delete"</formula>
    </cfRule>
  </conditionalFormatting>
  <conditionalFormatting sqref="C550">
    <cfRule type="cellIs" dxfId="4445" priority="1645" stopIfTrue="1" operator="equal">
      <formula>"1 Modify"</formula>
    </cfRule>
  </conditionalFormatting>
  <conditionalFormatting sqref="C550">
    <cfRule type="cellIs" dxfId="4444" priority="1646" stopIfTrue="1" operator="equal">
      <formula>"2 Add"</formula>
    </cfRule>
  </conditionalFormatting>
  <conditionalFormatting sqref="C550">
    <cfRule type="cellIs" dxfId="4443" priority="1647" stopIfTrue="1" operator="equal">
      <formula>"3 Delete"</formula>
    </cfRule>
  </conditionalFormatting>
  <conditionalFormatting sqref="C551">
    <cfRule type="cellIs" dxfId="4442" priority="1648" stopIfTrue="1" operator="equal">
      <formula>"1 Modify"</formula>
    </cfRule>
  </conditionalFormatting>
  <conditionalFormatting sqref="C551">
    <cfRule type="cellIs" dxfId="4441" priority="1649" stopIfTrue="1" operator="equal">
      <formula>"2 Add"</formula>
    </cfRule>
  </conditionalFormatting>
  <conditionalFormatting sqref="C551">
    <cfRule type="cellIs" dxfId="4440" priority="1650" stopIfTrue="1" operator="equal">
      <formula>"3 Delete"</formula>
    </cfRule>
  </conditionalFormatting>
  <conditionalFormatting sqref="C552">
    <cfRule type="cellIs" dxfId="4439" priority="1651" stopIfTrue="1" operator="equal">
      <formula>"1 Modify"</formula>
    </cfRule>
  </conditionalFormatting>
  <conditionalFormatting sqref="C552">
    <cfRule type="cellIs" dxfId="4438" priority="1652" stopIfTrue="1" operator="equal">
      <formula>"2 Add"</formula>
    </cfRule>
  </conditionalFormatting>
  <conditionalFormatting sqref="C552">
    <cfRule type="cellIs" dxfId="4437" priority="1653" stopIfTrue="1" operator="equal">
      <formula>"3 Delete"</formula>
    </cfRule>
  </conditionalFormatting>
  <conditionalFormatting sqref="C553">
    <cfRule type="cellIs" dxfId="4436" priority="1654" stopIfTrue="1" operator="equal">
      <formula>"1 Modify"</formula>
    </cfRule>
  </conditionalFormatting>
  <conditionalFormatting sqref="C553">
    <cfRule type="cellIs" dxfId="4435" priority="1655" stopIfTrue="1" operator="equal">
      <formula>"2 Add"</formula>
    </cfRule>
  </conditionalFormatting>
  <conditionalFormatting sqref="C553">
    <cfRule type="cellIs" dxfId="4434" priority="1656" stopIfTrue="1" operator="equal">
      <formula>"3 Delete"</formula>
    </cfRule>
  </conditionalFormatting>
  <conditionalFormatting sqref="C554">
    <cfRule type="cellIs" dxfId="4433" priority="1657" stopIfTrue="1" operator="equal">
      <formula>"1 Modify"</formula>
    </cfRule>
  </conditionalFormatting>
  <conditionalFormatting sqref="C554">
    <cfRule type="cellIs" dxfId="4432" priority="1658" stopIfTrue="1" operator="equal">
      <formula>"2 Add"</formula>
    </cfRule>
  </conditionalFormatting>
  <conditionalFormatting sqref="C554">
    <cfRule type="cellIs" dxfId="4431" priority="1659" stopIfTrue="1" operator="equal">
      <formula>"3 Delete"</formula>
    </cfRule>
  </conditionalFormatting>
  <conditionalFormatting sqref="C555">
    <cfRule type="cellIs" dxfId="4430" priority="1660" stopIfTrue="1" operator="equal">
      <formula>"1 Modify"</formula>
    </cfRule>
  </conditionalFormatting>
  <conditionalFormatting sqref="C555">
    <cfRule type="cellIs" dxfId="4429" priority="1661" stopIfTrue="1" operator="equal">
      <formula>"2 Add"</formula>
    </cfRule>
  </conditionalFormatting>
  <conditionalFormatting sqref="C555">
    <cfRule type="cellIs" dxfId="4428" priority="1662" stopIfTrue="1" operator="equal">
      <formula>"3 Delete"</formula>
    </cfRule>
  </conditionalFormatting>
  <conditionalFormatting sqref="C556">
    <cfRule type="cellIs" dxfId="4427" priority="1663" stopIfTrue="1" operator="equal">
      <formula>"1 Modify"</formula>
    </cfRule>
  </conditionalFormatting>
  <conditionalFormatting sqref="C556">
    <cfRule type="cellIs" dxfId="4426" priority="1664" stopIfTrue="1" operator="equal">
      <formula>"2 Add"</formula>
    </cfRule>
  </conditionalFormatting>
  <conditionalFormatting sqref="C556">
    <cfRule type="cellIs" dxfId="4425" priority="1665" stopIfTrue="1" operator="equal">
      <formula>"3 Delete"</formula>
    </cfRule>
  </conditionalFormatting>
  <conditionalFormatting sqref="C557">
    <cfRule type="cellIs" dxfId="4424" priority="1666" stopIfTrue="1" operator="equal">
      <formula>"1 Modify"</formula>
    </cfRule>
  </conditionalFormatting>
  <conditionalFormatting sqref="C557">
    <cfRule type="cellIs" dxfId="4423" priority="1667" stopIfTrue="1" operator="equal">
      <formula>"2 Add"</formula>
    </cfRule>
  </conditionalFormatting>
  <conditionalFormatting sqref="C557">
    <cfRule type="cellIs" dxfId="4422" priority="1668" stopIfTrue="1" operator="equal">
      <formula>"3 Delete"</formula>
    </cfRule>
  </conditionalFormatting>
  <conditionalFormatting sqref="C558">
    <cfRule type="cellIs" dxfId="4421" priority="1669" stopIfTrue="1" operator="equal">
      <formula>"1 Modify"</formula>
    </cfRule>
  </conditionalFormatting>
  <conditionalFormatting sqref="C558">
    <cfRule type="cellIs" dxfId="4420" priority="1670" stopIfTrue="1" operator="equal">
      <formula>"2 Add"</formula>
    </cfRule>
  </conditionalFormatting>
  <conditionalFormatting sqref="C558">
    <cfRule type="cellIs" dxfId="4419" priority="1671" stopIfTrue="1" operator="equal">
      <formula>"3 Delete"</formula>
    </cfRule>
  </conditionalFormatting>
  <conditionalFormatting sqref="C559">
    <cfRule type="cellIs" dxfId="4418" priority="1672" stopIfTrue="1" operator="equal">
      <formula>"1 Modify"</formula>
    </cfRule>
  </conditionalFormatting>
  <conditionalFormatting sqref="C559">
    <cfRule type="cellIs" dxfId="4417" priority="1673" stopIfTrue="1" operator="equal">
      <formula>"2 Add"</formula>
    </cfRule>
  </conditionalFormatting>
  <conditionalFormatting sqref="C559">
    <cfRule type="cellIs" dxfId="4416" priority="1674" stopIfTrue="1" operator="equal">
      <formula>"3 Delete"</formula>
    </cfRule>
  </conditionalFormatting>
  <conditionalFormatting sqref="C560">
    <cfRule type="cellIs" dxfId="4415" priority="1675" stopIfTrue="1" operator="equal">
      <formula>"1 Modify"</formula>
    </cfRule>
  </conditionalFormatting>
  <conditionalFormatting sqref="C560">
    <cfRule type="cellIs" dxfId="4414" priority="1676" stopIfTrue="1" operator="equal">
      <formula>"2 Add"</formula>
    </cfRule>
  </conditionalFormatting>
  <conditionalFormatting sqref="C560">
    <cfRule type="cellIs" dxfId="4413" priority="1677" stopIfTrue="1" operator="equal">
      <formula>"3 Delete"</formula>
    </cfRule>
  </conditionalFormatting>
  <conditionalFormatting sqref="C561">
    <cfRule type="cellIs" dxfId="4412" priority="1678" stopIfTrue="1" operator="equal">
      <formula>"1 Modify"</formula>
    </cfRule>
  </conditionalFormatting>
  <conditionalFormatting sqref="C561">
    <cfRule type="cellIs" dxfId="4411" priority="1679" stopIfTrue="1" operator="equal">
      <formula>"2 Add"</formula>
    </cfRule>
  </conditionalFormatting>
  <conditionalFormatting sqref="C561">
    <cfRule type="cellIs" dxfId="4410" priority="1680" stopIfTrue="1" operator="equal">
      <formula>"3 Delete"</formula>
    </cfRule>
  </conditionalFormatting>
  <conditionalFormatting sqref="C562">
    <cfRule type="cellIs" dxfId="4409" priority="1681" stopIfTrue="1" operator="equal">
      <formula>"1 Modify"</formula>
    </cfRule>
  </conditionalFormatting>
  <conditionalFormatting sqref="C562">
    <cfRule type="cellIs" dxfId="4408" priority="1682" stopIfTrue="1" operator="equal">
      <formula>"2 Add"</formula>
    </cfRule>
  </conditionalFormatting>
  <conditionalFormatting sqref="C562">
    <cfRule type="cellIs" dxfId="4407" priority="1683" stopIfTrue="1" operator="equal">
      <formula>"3 Delete"</formula>
    </cfRule>
  </conditionalFormatting>
  <conditionalFormatting sqref="C563">
    <cfRule type="cellIs" dxfId="4406" priority="1684" stopIfTrue="1" operator="equal">
      <formula>"1 Modify"</formula>
    </cfRule>
  </conditionalFormatting>
  <conditionalFormatting sqref="C563">
    <cfRule type="cellIs" dxfId="4405" priority="1685" stopIfTrue="1" operator="equal">
      <formula>"2 Add"</formula>
    </cfRule>
  </conditionalFormatting>
  <conditionalFormatting sqref="C563">
    <cfRule type="cellIs" dxfId="4404" priority="1686" stopIfTrue="1" operator="equal">
      <formula>"3 Delete"</formula>
    </cfRule>
  </conditionalFormatting>
  <conditionalFormatting sqref="C564">
    <cfRule type="cellIs" dxfId="4403" priority="1687" stopIfTrue="1" operator="equal">
      <formula>"1 Modify"</formula>
    </cfRule>
  </conditionalFormatting>
  <conditionalFormatting sqref="C564">
    <cfRule type="cellIs" dxfId="4402" priority="1688" stopIfTrue="1" operator="equal">
      <formula>"2 Add"</formula>
    </cfRule>
  </conditionalFormatting>
  <conditionalFormatting sqref="C564">
    <cfRule type="cellIs" dxfId="4401" priority="1689" stopIfTrue="1" operator="equal">
      <formula>"3 Delete"</formula>
    </cfRule>
  </conditionalFormatting>
  <conditionalFormatting sqref="C565">
    <cfRule type="cellIs" dxfId="4400" priority="1690" stopIfTrue="1" operator="equal">
      <formula>"1 Modify"</formula>
    </cfRule>
  </conditionalFormatting>
  <conditionalFormatting sqref="C565">
    <cfRule type="cellIs" dxfId="4399" priority="1691" stopIfTrue="1" operator="equal">
      <formula>"2 Add"</formula>
    </cfRule>
  </conditionalFormatting>
  <conditionalFormatting sqref="C565">
    <cfRule type="cellIs" dxfId="4398" priority="1692" stopIfTrue="1" operator="equal">
      <formula>"3 Delete"</formula>
    </cfRule>
  </conditionalFormatting>
  <conditionalFormatting sqref="C566">
    <cfRule type="cellIs" dxfId="4397" priority="1693" stopIfTrue="1" operator="equal">
      <formula>"1 Modify"</formula>
    </cfRule>
  </conditionalFormatting>
  <conditionalFormatting sqref="C566">
    <cfRule type="cellIs" dxfId="4396" priority="1694" stopIfTrue="1" operator="equal">
      <formula>"2 Add"</formula>
    </cfRule>
  </conditionalFormatting>
  <conditionalFormatting sqref="C566">
    <cfRule type="cellIs" dxfId="4395" priority="1695" stopIfTrue="1" operator="equal">
      <formula>"3 Delete"</formula>
    </cfRule>
  </conditionalFormatting>
  <conditionalFormatting sqref="C567">
    <cfRule type="cellIs" dxfId="4394" priority="1696" stopIfTrue="1" operator="equal">
      <formula>"1 Modify"</formula>
    </cfRule>
  </conditionalFormatting>
  <conditionalFormatting sqref="C567">
    <cfRule type="cellIs" dxfId="4393" priority="1697" stopIfTrue="1" operator="equal">
      <formula>"2 Add"</formula>
    </cfRule>
  </conditionalFormatting>
  <conditionalFormatting sqref="C567">
    <cfRule type="cellIs" dxfId="4392" priority="1698" stopIfTrue="1" operator="equal">
      <formula>"3 Delete"</formula>
    </cfRule>
  </conditionalFormatting>
  <conditionalFormatting sqref="C568">
    <cfRule type="cellIs" dxfId="4391" priority="1699" stopIfTrue="1" operator="equal">
      <formula>"1 Modify"</formula>
    </cfRule>
  </conditionalFormatting>
  <conditionalFormatting sqref="C568">
    <cfRule type="cellIs" dxfId="4390" priority="1700" stopIfTrue="1" operator="equal">
      <formula>"2 Add"</formula>
    </cfRule>
  </conditionalFormatting>
  <conditionalFormatting sqref="C568">
    <cfRule type="cellIs" dxfId="4389" priority="1701" stopIfTrue="1" operator="equal">
      <formula>"3 Delete"</formula>
    </cfRule>
  </conditionalFormatting>
  <conditionalFormatting sqref="C569">
    <cfRule type="cellIs" dxfId="4388" priority="1702" stopIfTrue="1" operator="equal">
      <formula>"1 Modify"</formula>
    </cfRule>
  </conditionalFormatting>
  <conditionalFormatting sqref="C569">
    <cfRule type="cellIs" dxfId="4387" priority="1703" stopIfTrue="1" operator="equal">
      <formula>"2 Add"</formula>
    </cfRule>
  </conditionalFormatting>
  <conditionalFormatting sqref="C569">
    <cfRule type="cellIs" dxfId="4386" priority="1704" stopIfTrue="1" operator="equal">
      <formula>"3 Delete"</formula>
    </cfRule>
  </conditionalFormatting>
  <conditionalFormatting sqref="C570">
    <cfRule type="cellIs" dxfId="4385" priority="1705" stopIfTrue="1" operator="equal">
      <formula>"1 Modify"</formula>
    </cfRule>
  </conditionalFormatting>
  <conditionalFormatting sqref="C570">
    <cfRule type="cellIs" dxfId="4384" priority="1706" stopIfTrue="1" operator="equal">
      <formula>"2 Add"</formula>
    </cfRule>
  </conditionalFormatting>
  <conditionalFormatting sqref="C570">
    <cfRule type="cellIs" dxfId="4383" priority="1707" stopIfTrue="1" operator="equal">
      <formula>"3 Delete"</formula>
    </cfRule>
  </conditionalFormatting>
  <conditionalFormatting sqref="C571">
    <cfRule type="cellIs" dxfId="4382" priority="1708" stopIfTrue="1" operator="equal">
      <formula>"1 Modify"</formula>
    </cfRule>
  </conditionalFormatting>
  <conditionalFormatting sqref="C571">
    <cfRule type="cellIs" dxfId="4381" priority="1709" stopIfTrue="1" operator="equal">
      <formula>"2 Add"</formula>
    </cfRule>
  </conditionalFormatting>
  <conditionalFormatting sqref="C571">
    <cfRule type="cellIs" dxfId="4380" priority="1710" stopIfTrue="1" operator="equal">
      <formula>"3 Delete"</formula>
    </cfRule>
  </conditionalFormatting>
  <conditionalFormatting sqref="C572">
    <cfRule type="cellIs" dxfId="4379" priority="1711" stopIfTrue="1" operator="equal">
      <formula>"1 Modify"</formula>
    </cfRule>
  </conditionalFormatting>
  <conditionalFormatting sqref="C572">
    <cfRule type="cellIs" dxfId="4378" priority="1712" stopIfTrue="1" operator="equal">
      <formula>"2 Add"</formula>
    </cfRule>
  </conditionalFormatting>
  <conditionalFormatting sqref="C572">
    <cfRule type="cellIs" dxfId="4377" priority="1713" stopIfTrue="1" operator="equal">
      <formula>"3 Delete"</formula>
    </cfRule>
  </conditionalFormatting>
  <conditionalFormatting sqref="C573">
    <cfRule type="cellIs" dxfId="4376" priority="1714" stopIfTrue="1" operator="equal">
      <formula>"1 Modify"</formula>
    </cfRule>
  </conditionalFormatting>
  <conditionalFormatting sqref="C573">
    <cfRule type="cellIs" dxfId="4375" priority="1715" stopIfTrue="1" operator="equal">
      <formula>"2 Add"</formula>
    </cfRule>
  </conditionalFormatting>
  <conditionalFormatting sqref="C573">
    <cfRule type="cellIs" dxfId="4374" priority="1716" stopIfTrue="1" operator="equal">
      <formula>"3 Delete"</formula>
    </cfRule>
  </conditionalFormatting>
  <conditionalFormatting sqref="C574">
    <cfRule type="cellIs" dxfId="4373" priority="1717" stopIfTrue="1" operator="equal">
      <formula>"1 Modify"</formula>
    </cfRule>
  </conditionalFormatting>
  <conditionalFormatting sqref="C574">
    <cfRule type="cellIs" dxfId="4372" priority="1718" stopIfTrue="1" operator="equal">
      <formula>"2 Add"</formula>
    </cfRule>
  </conditionalFormatting>
  <conditionalFormatting sqref="C574">
    <cfRule type="cellIs" dxfId="4371" priority="1719" stopIfTrue="1" operator="equal">
      <formula>"3 Delete"</formula>
    </cfRule>
  </conditionalFormatting>
  <conditionalFormatting sqref="C575">
    <cfRule type="cellIs" dxfId="4370" priority="1720" stopIfTrue="1" operator="equal">
      <formula>"1 Modify"</formula>
    </cfRule>
  </conditionalFormatting>
  <conditionalFormatting sqref="C575">
    <cfRule type="cellIs" dxfId="4369" priority="1721" stopIfTrue="1" operator="equal">
      <formula>"2 Add"</formula>
    </cfRule>
  </conditionalFormatting>
  <conditionalFormatting sqref="C575">
    <cfRule type="cellIs" dxfId="4368" priority="1722" stopIfTrue="1" operator="equal">
      <formula>"3 Delete"</formula>
    </cfRule>
  </conditionalFormatting>
  <conditionalFormatting sqref="C576">
    <cfRule type="cellIs" dxfId="4367" priority="1723" stopIfTrue="1" operator="equal">
      <formula>"1 Modify"</formula>
    </cfRule>
  </conditionalFormatting>
  <conditionalFormatting sqref="C576">
    <cfRule type="cellIs" dxfId="4366" priority="1724" stopIfTrue="1" operator="equal">
      <formula>"2 Add"</formula>
    </cfRule>
  </conditionalFormatting>
  <conditionalFormatting sqref="C576">
    <cfRule type="cellIs" dxfId="4365" priority="1725" stopIfTrue="1" operator="equal">
      <formula>"3 Delete"</formula>
    </cfRule>
  </conditionalFormatting>
  <conditionalFormatting sqref="C577">
    <cfRule type="cellIs" dxfId="4364" priority="1726" stopIfTrue="1" operator="equal">
      <formula>"1 Modify"</formula>
    </cfRule>
  </conditionalFormatting>
  <conditionalFormatting sqref="C577">
    <cfRule type="cellIs" dxfId="4363" priority="1727" stopIfTrue="1" operator="equal">
      <formula>"2 Add"</formula>
    </cfRule>
  </conditionalFormatting>
  <conditionalFormatting sqref="C577">
    <cfRule type="cellIs" dxfId="4362" priority="1728" stopIfTrue="1" operator="equal">
      <formula>"3 Delete"</formula>
    </cfRule>
  </conditionalFormatting>
  <conditionalFormatting sqref="C578">
    <cfRule type="cellIs" dxfId="4361" priority="1729" stopIfTrue="1" operator="equal">
      <formula>"1 Modify"</formula>
    </cfRule>
  </conditionalFormatting>
  <conditionalFormatting sqref="C578">
    <cfRule type="cellIs" dxfId="4360" priority="1730" stopIfTrue="1" operator="equal">
      <formula>"2 Add"</formula>
    </cfRule>
  </conditionalFormatting>
  <conditionalFormatting sqref="C578">
    <cfRule type="cellIs" dxfId="4359" priority="1731" stopIfTrue="1" operator="equal">
      <formula>"3 Delete"</formula>
    </cfRule>
  </conditionalFormatting>
  <conditionalFormatting sqref="C579">
    <cfRule type="cellIs" dxfId="4358" priority="1732" stopIfTrue="1" operator="equal">
      <formula>"1 Modify"</formula>
    </cfRule>
  </conditionalFormatting>
  <conditionalFormatting sqref="C579">
    <cfRule type="cellIs" dxfId="4357" priority="1733" stopIfTrue="1" operator="equal">
      <formula>"2 Add"</formula>
    </cfRule>
  </conditionalFormatting>
  <conditionalFormatting sqref="C579">
    <cfRule type="cellIs" dxfId="4356" priority="1734" stopIfTrue="1" operator="equal">
      <formula>"3 Delete"</formula>
    </cfRule>
  </conditionalFormatting>
  <conditionalFormatting sqref="C580">
    <cfRule type="cellIs" dxfId="4355" priority="1735" stopIfTrue="1" operator="equal">
      <formula>"1 Modify"</formula>
    </cfRule>
  </conditionalFormatting>
  <conditionalFormatting sqref="C580">
    <cfRule type="cellIs" dxfId="4354" priority="1736" stopIfTrue="1" operator="equal">
      <formula>"2 Add"</formula>
    </cfRule>
  </conditionalFormatting>
  <conditionalFormatting sqref="C580">
    <cfRule type="cellIs" dxfId="4353" priority="1737" stopIfTrue="1" operator="equal">
      <formula>"3 Delete"</formula>
    </cfRule>
  </conditionalFormatting>
  <conditionalFormatting sqref="C581">
    <cfRule type="cellIs" dxfId="4352" priority="1738" stopIfTrue="1" operator="equal">
      <formula>"1 Modify"</formula>
    </cfRule>
  </conditionalFormatting>
  <conditionalFormatting sqref="C581">
    <cfRule type="cellIs" dxfId="4351" priority="1739" stopIfTrue="1" operator="equal">
      <formula>"2 Add"</formula>
    </cfRule>
  </conditionalFormatting>
  <conditionalFormatting sqref="C581">
    <cfRule type="cellIs" dxfId="4350" priority="1740" stopIfTrue="1" operator="equal">
      <formula>"3 Delete"</formula>
    </cfRule>
  </conditionalFormatting>
  <conditionalFormatting sqref="C582">
    <cfRule type="cellIs" dxfId="4349" priority="1741" stopIfTrue="1" operator="equal">
      <formula>"1 Modify"</formula>
    </cfRule>
  </conditionalFormatting>
  <conditionalFormatting sqref="C582">
    <cfRule type="cellIs" dxfId="4348" priority="1742" stopIfTrue="1" operator="equal">
      <formula>"2 Add"</formula>
    </cfRule>
  </conditionalFormatting>
  <conditionalFormatting sqref="C582">
    <cfRule type="cellIs" dxfId="4347" priority="1743" stopIfTrue="1" operator="equal">
      <formula>"3 Delete"</formula>
    </cfRule>
  </conditionalFormatting>
  <conditionalFormatting sqref="C583">
    <cfRule type="cellIs" dxfId="4346" priority="1744" stopIfTrue="1" operator="equal">
      <formula>"1 Modify"</formula>
    </cfRule>
  </conditionalFormatting>
  <conditionalFormatting sqref="C583">
    <cfRule type="cellIs" dxfId="4345" priority="1745" stopIfTrue="1" operator="equal">
      <formula>"2 Add"</formula>
    </cfRule>
  </conditionalFormatting>
  <conditionalFormatting sqref="C583">
    <cfRule type="cellIs" dxfId="4344" priority="1746" stopIfTrue="1" operator="equal">
      <formula>"3 Delete"</formula>
    </cfRule>
  </conditionalFormatting>
  <conditionalFormatting sqref="C584">
    <cfRule type="cellIs" dxfId="4343" priority="1747" stopIfTrue="1" operator="equal">
      <formula>"1 Modify"</formula>
    </cfRule>
  </conditionalFormatting>
  <conditionalFormatting sqref="C584">
    <cfRule type="cellIs" dxfId="4342" priority="1748" stopIfTrue="1" operator="equal">
      <formula>"2 Add"</formula>
    </cfRule>
  </conditionalFormatting>
  <conditionalFormatting sqref="C584">
    <cfRule type="cellIs" dxfId="4341" priority="1749" stopIfTrue="1" operator="equal">
      <formula>"3 Delete"</formula>
    </cfRule>
  </conditionalFormatting>
  <conditionalFormatting sqref="C585">
    <cfRule type="cellIs" dxfId="4340" priority="1750" stopIfTrue="1" operator="equal">
      <formula>"1 Modify"</formula>
    </cfRule>
  </conditionalFormatting>
  <conditionalFormatting sqref="C585">
    <cfRule type="cellIs" dxfId="4339" priority="1751" stopIfTrue="1" operator="equal">
      <formula>"2 Add"</formula>
    </cfRule>
  </conditionalFormatting>
  <conditionalFormatting sqref="C585">
    <cfRule type="cellIs" dxfId="4338" priority="1752" stopIfTrue="1" operator="equal">
      <formula>"3 Delete"</formula>
    </cfRule>
  </conditionalFormatting>
  <conditionalFormatting sqref="C586">
    <cfRule type="cellIs" dxfId="4337" priority="1753" stopIfTrue="1" operator="equal">
      <formula>"1 Modify"</formula>
    </cfRule>
  </conditionalFormatting>
  <conditionalFormatting sqref="C586">
    <cfRule type="cellIs" dxfId="4336" priority="1754" stopIfTrue="1" operator="equal">
      <formula>"2 Add"</formula>
    </cfRule>
  </conditionalFormatting>
  <conditionalFormatting sqref="C586">
    <cfRule type="cellIs" dxfId="4335" priority="1755" stopIfTrue="1" operator="equal">
      <formula>"3 Delete"</formula>
    </cfRule>
  </conditionalFormatting>
  <conditionalFormatting sqref="C587">
    <cfRule type="cellIs" dxfId="4334" priority="1756" stopIfTrue="1" operator="equal">
      <formula>"1 Modify"</formula>
    </cfRule>
  </conditionalFormatting>
  <conditionalFormatting sqref="C587">
    <cfRule type="cellIs" dxfId="4333" priority="1757" stopIfTrue="1" operator="equal">
      <formula>"2 Add"</formula>
    </cfRule>
  </conditionalFormatting>
  <conditionalFormatting sqref="C587">
    <cfRule type="cellIs" dxfId="4332" priority="1758" stopIfTrue="1" operator="equal">
      <formula>"3 Delete"</formula>
    </cfRule>
  </conditionalFormatting>
  <conditionalFormatting sqref="C588">
    <cfRule type="cellIs" dxfId="4331" priority="1759" stopIfTrue="1" operator="equal">
      <formula>"1 Modify"</formula>
    </cfRule>
  </conditionalFormatting>
  <conditionalFormatting sqref="C588">
    <cfRule type="cellIs" dxfId="4330" priority="1760" stopIfTrue="1" operator="equal">
      <formula>"2 Add"</formula>
    </cfRule>
  </conditionalFormatting>
  <conditionalFormatting sqref="C588">
    <cfRule type="cellIs" dxfId="4329" priority="1761" stopIfTrue="1" operator="equal">
      <formula>"3 Delete"</formula>
    </cfRule>
  </conditionalFormatting>
  <conditionalFormatting sqref="C589">
    <cfRule type="cellIs" dxfId="4328" priority="1762" stopIfTrue="1" operator="equal">
      <formula>"1 Modify"</formula>
    </cfRule>
  </conditionalFormatting>
  <conditionalFormatting sqref="C589">
    <cfRule type="cellIs" dxfId="4327" priority="1763" stopIfTrue="1" operator="equal">
      <formula>"2 Add"</formula>
    </cfRule>
  </conditionalFormatting>
  <conditionalFormatting sqref="C589">
    <cfRule type="cellIs" dxfId="4326" priority="1764" stopIfTrue="1" operator="equal">
      <formula>"3 Delete"</formula>
    </cfRule>
  </conditionalFormatting>
  <conditionalFormatting sqref="C590">
    <cfRule type="cellIs" dxfId="4325" priority="1765" stopIfTrue="1" operator="equal">
      <formula>"1 Modify"</formula>
    </cfRule>
  </conditionalFormatting>
  <conditionalFormatting sqref="C590">
    <cfRule type="cellIs" dxfId="4324" priority="1766" stopIfTrue="1" operator="equal">
      <formula>"2 Add"</formula>
    </cfRule>
  </conditionalFormatting>
  <conditionalFormatting sqref="C590">
    <cfRule type="cellIs" dxfId="4323" priority="1767" stopIfTrue="1" operator="equal">
      <formula>"3 Delete"</formula>
    </cfRule>
  </conditionalFormatting>
  <conditionalFormatting sqref="C591">
    <cfRule type="cellIs" dxfId="4322" priority="1768" stopIfTrue="1" operator="equal">
      <formula>"1 Modify"</formula>
    </cfRule>
  </conditionalFormatting>
  <conditionalFormatting sqref="C591">
    <cfRule type="cellIs" dxfId="4321" priority="1769" stopIfTrue="1" operator="equal">
      <formula>"2 Add"</formula>
    </cfRule>
  </conditionalFormatting>
  <conditionalFormatting sqref="C591">
    <cfRule type="cellIs" dxfId="4320" priority="1770" stopIfTrue="1" operator="equal">
      <formula>"3 Delete"</formula>
    </cfRule>
  </conditionalFormatting>
  <conditionalFormatting sqref="C592">
    <cfRule type="cellIs" dxfId="4319" priority="1771" stopIfTrue="1" operator="equal">
      <formula>"1 Modify"</formula>
    </cfRule>
  </conditionalFormatting>
  <conditionalFormatting sqref="C592">
    <cfRule type="cellIs" dxfId="4318" priority="1772" stopIfTrue="1" operator="equal">
      <formula>"2 Add"</formula>
    </cfRule>
  </conditionalFormatting>
  <conditionalFormatting sqref="C592">
    <cfRule type="cellIs" dxfId="4317" priority="1773" stopIfTrue="1" operator="equal">
      <formula>"3 Delete"</formula>
    </cfRule>
  </conditionalFormatting>
  <conditionalFormatting sqref="C593">
    <cfRule type="cellIs" dxfId="4316" priority="1774" stopIfTrue="1" operator="equal">
      <formula>"1 Modify"</formula>
    </cfRule>
  </conditionalFormatting>
  <conditionalFormatting sqref="C593">
    <cfRule type="cellIs" dxfId="4315" priority="1775" stopIfTrue="1" operator="equal">
      <formula>"2 Add"</formula>
    </cfRule>
  </conditionalFormatting>
  <conditionalFormatting sqref="C593">
    <cfRule type="cellIs" dxfId="4314" priority="1776" stopIfTrue="1" operator="equal">
      <formula>"3 Delete"</formula>
    </cfRule>
  </conditionalFormatting>
  <conditionalFormatting sqref="C594">
    <cfRule type="cellIs" dxfId="4313" priority="1777" stopIfTrue="1" operator="equal">
      <formula>"1 Modify"</formula>
    </cfRule>
  </conditionalFormatting>
  <conditionalFormatting sqref="C594">
    <cfRule type="cellIs" dxfId="4312" priority="1778" stopIfTrue="1" operator="equal">
      <formula>"2 Add"</formula>
    </cfRule>
  </conditionalFormatting>
  <conditionalFormatting sqref="C594">
    <cfRule type="cellIs" dxfId="4311" priority="1779" stopIfTrue="1" operator="equal">
      <formula>"3 Delete"</formula>
    </cfRule>
  </conditionalFormatting>
  <conditionalFormatting sqref="C595">
    <cfRule type="cellIs" dxfId="4310" priority="1780" stopIfTrue="1" operator="equal">
      <formula>"1 Modify"</formula>
    </cfRule>
  </conditionalFormatting>
  <conditionalFormatting sqref="C595">
    <cfRule type="cellIs" dxfId="4309" priority="1781" stopIfTrue="1" operator="equal">
      <formula>"2 Add"</formula>
    </cfRule>
  </conditionalFormatting>
  <conditionalFormatting sqref="C595">
    <cfRule type="cellIs" dxfId="4308" priority="1782" stopIfTrue="1" operator="equal">
      <formula>"3 Delete"</formula>
    </cfRule>
  </conditionalFormatting>
  <conditionalFormatting sqref="C596">
    <cfRule type="cellIs" dxfId="4307" priority="1783" stopIfTrue="1" operator="equal">
      <formula>"1 Modify"</formula>
    </cfRule>
  </conditionalFormatting>
  <conditionalFormatting sqref="C596">
    <cfRule type="cellIs" dxfId="4306" priority="1784" stopIfTrue="1" operator="equal">
      <formula>"2 Add"</formula>
    </cfRule>
  </conditionalFormatting>
  <conditionalFormatting sqref="C596">
    <cfRule type="cellIs" dxfId="4305" priority="1785" stopIfTrue="1" operator="equal">
      <formula>"3 Delete"</formula>
    </cfRule>
  </conditionalFormatting>
  <conditionalFormatting sqref="C597">
    <cfRule type="cellIs" dxfId="4304" priority="1786" stopIfTrue="1" operator="equal">
      <formula>"1 Modify"</formula>
    </cfRule>
  </conditionalFormatting>
  <conditionalFormatting sqref="C597">
    <cfRule type="cellIs" dxfId="4303" priority="1787" stopIfTrue="1" operator="equal">
      <formula>"2 Add"</formula>
    </cfRule>
  </conditionalFormatting>
  <conditionalFormatting sqref="C597">
    <cfRule type="cellIs" dxfId="4302" priority="1788" stopIfTrue="1" operator="equal">
      <formula>"3 Delete"</formula>
    </cfRule>
  </conditionalFormatting>
  <conditionalFormatting sqref="C598">
    <cfRule type="cellIs" dxfId="4301" priority="1789" stopIfTrue="1" operator="equal">
      <formula>"1 Modify"</formula>
    </cfRule>
  </conditionalFormatting>
  <conditionalFormatting sqref="C598">
    <cfRule type="cellIs" dxfId="4300" priority="1790" stopIfTrue="1" operator="equal">
      <formula>"2 Add"</formula>
    </cfRule>
  </conditionalFormatting>
  <conditionalFormatting sqref="C598">
    <cfRule type="cellIs" dxfId="4299" priority="1791" stopIfTrue="1" operator="equal">
      <formula>"3 Delete"</formula>
    </cfRule>
  </conditionalFormatting>
  <conditionalFormatting sqref="C599">
    <cfRule type="cellIs" dxfId="4298" priority="1792" stopIfTrue="1" operator="equal">
      <formula>"1 Modify"</formula>
    </cfRule>
  </conditionalFormatting>
  <conditionalFormatting sqref="C599">
    <cfRule type="cellIs" dxfId="4297" priority="1793" stopIfTrue="1" operator="equal">
      <formula>"2 Add"</formula>
    </cfRule>
  </conditionalFormatting>
  <conditionalFormatting sqref="C599">
    <cfRule type="cellIs" dxfId="4296" priority="1794" stopIfTrue="1" operator="equal">
      <formula>"3 Delete"</formula>
    </cfRule>
  </conditionalFormatting>
  <conditionalFormatting sqref="C600">
    <cfRule type="cellIs" dxfId="4295" priority="1795" stopIfTrue="1" operator="equal">
      <formula>"1 Modify"</formula>
    </cfRule>
  </conditionalFormatting>
  <conditionalFormatting sqref="C600">
    <cfRule type="cellIs" dxfId="4294" priority="1796" stopIfTrue="1" operator="equal">
      <formula>"2 Add"</formula>
    </cfRule>
  </conditionalFormatting>
  <conditionalFormatting sqref="C600">
    <cfRule type="cellIs" dxfId="4293" priority="1797" stopIfTrue="1" operator="equal">
      <formula>"3 Delete"</formula>
    </cfRule>
  </conditionalFormatting>
  <conditionalFormatting sqref="C601">
    <cfRule type="cellIs" dxfId="4292" priority="1798" stopIfTrue="1" operator="equal">
      <formula>"1 Modify"</formula>
    </cfRule>
  </conditionalFormatting>
  <conditionalFormatting sqref="C601">
    <cfRule type="cellIs" dxfId="4291" priority="1799" stopIfTrue="1" operator="equal">
      <formula>"2 Add"</formula>
    </cfRule>
  </conditionalFormatting>
  <conditionalFormatting sqref="C601">
    <cfRule type="cellIs" dxfId="4290" priority="1800" stopIfTrue="1" operator="equal">
      <formula>"3 Delete"</formula>
    </cfRule>
  </conditionalFormatting>
  <conditionalFormatting sqref="C602">
    <cfRule type="cellIs" dxfId="4289" priority="1801" stopIfTrue="1" operator="equal">
      <formula>"1 Modify"</formula>
    </cfRule>
  </conditionalFormatting>
  <conditionalFormatting sqref="C602">
    <cfRule type="cellIs" dxfId="4288" priority="1802" stopIfTrue="1" operator="equal">
      <formula>"2 Add"</formula>
    </cfRule>
  </conditionalFormatting>
  <conditionalFormatting sqref="C602">
    <cfRule type="cellIs" dxfId="4287" priority="1803" stopIfTrue="1" operator="equal">
      <formula>"3 Delete"</formula>
    </cfRule>
  </conditionalFormatting>
  <conditionalFormatting sqref="C603">
    <cfRule type="cellIs" dxfId="4286" priority="1804" stopIfTrue="1" operator="equal">
      <formula>"1 Modify"</formula>
    </cfRule>
  </conditionalFormatting>
  <conditionalFormatting sqref="C603">
    <cfRule type="cellIs" dxfId="4285" priority="1805" stopIfTrue="1" operator="equal">
      <formula>"2 Add"</formula>
    </cfRule>
  </conditionalFormatting>
  <conditionalFormatting sqref="C603">
    <cfRule type="cellIs" dxfId="4284" priority="1806" stopIfTrue="1" operator="equal">
      <formula>"3 Delete"</formula>
    </cfRule>
  </conditionalFormatting>
  <conditionalFormatting sqref="C604">
    <cfRule type="cellIs" dxfId="4283" priority="1807" stopIfTrue="1" operator="equal">
      <formula>"1 Modify"</formula>
    </cfRule>
  </conditionalFormatting>
  <conditionalFormatting sqref="C604">
    <cfRule type="cellIs" dxfId="4282" priority="1808" stopIfTrue="1" operator="equal">
      <formula>"2 Add"</formula>
    </cfRule>
  </conditionalFormatting>
  <conditionalFormatting sqref="C604">
    <cfRule type="cellIs" dxfId="4281" priority="1809" stopIfTrue="1" operator="equal">
      <formula>"3 Delete"</formula>
    </cfRule>
  </conditionalFormatting>
  <conditionalFormatting sqref="C605">
    <cfRule type="cellIs" dxfId="4280" priority="1810" stopIfTrue="1" operator="equal">
      <formula>"1 Modify"</formula>
    </cfRule>
  </conditionalFormatting>
  <conditionalFormatting sqref="C605">
    <cfRule type="cellIs" dxfId="4279" priority="1811" stopIfTrue="1" operator="equal">
      <formula>"2 Add"</formula>
    </cfRule>
  </conditionalFormatting>
  <conditionalFormatting sqref="C605">
    <cfRule type="cellIs" dxfId="4278" priority="1812" stopIfTrue="1" operator="equal">
      <formula>"3 Delete"</formula>
    </cfRule>
  </conditionalFormatting>
  <conditionalFormatting sqref="C606">
    <cfRule type="cellIs" dxfId="4277" priority="1813" stopIfTrue="1" operator="equal">
      <formula>"1 Modify"</formula>
    </cfRule>
  </conditionalFormatting>
  <conditionalFormatting sqref="C606">
    <cfRule type="cellIs" dxfId="4276" priority="1814" stopIfTrue="1" operator="equal">
      <formula>"2 Add"</formula>
    </cfRule>
  </conditionalFormatting>
  <conditionalFormatting sqref="C606">
    <cfRule type="cellIs" dxfId="4275" priority="1815" stopIfTrue="1" operator="equal">
      <formula>"3 Delete"</formula>
    </cfRule>
  </conditionalFormatting>
  <conditionalFormatting sqref="C607">
    <cfRule type="cellIs" dxfId="4274" priority="1816" stopIfTrue="1" operator="equal">
      <formula>"1 Modify"</formula>
    </cfRule>
  </conditionalFormatting>
  <conditionalFormatting sqref="C607">
    <cfRule type="cellIs" dxfId="4273" priority="1817" stopIfTrue="1" operator="equal">
      <formula>"2 Add"</formula>
    </cfRule>
  </conditionalFormatting>
  <conditionalFormatting sqref="C607">
    <cfRule type="cellIs" dxfId="4272" priority="1818" stopIfTrue="1" operator="equal">
      <formula>"3 Delete"</formula>
    </cfRule>
  </conditionalFormatting>
  <conditionalFormatting sqref="C608">
    <cfRule type="cellIs" dxfId="4271" priority="1819" stopIfTrue="1" operator="equal">
      <formula>"1 Modify"</formula>
    </cfRule>
  </conditionalFormatting>
  <conditionalFormatting sqref="C608">
    <cfRule type="cellIs" dxfId="4270" priority="1820" stopIfTrue="1" operator="equal">
      <formula>"2 Add"</formula>
    </cfRule>
  </conditionalFormatting>
  <conditionalFormatting sqref="C608">
    <cfRule type="cellIs" dxfId="4269" priority="1821" stopIfTrue="1" operator="equal">
      <formula>"3 Delete"</formula>
    </cfRule>
  </conditionalFormatting>
  <conditionalFormatting sqref="C609">
    <cfRule type="cellIs" dxfId="4268" priority="1822" stopIfTrue="1" operator="equal">
      <formula>"1 Modify"</formula>
    </cfRule>
  </conditionalFormatting>
  <conditionalFormatting sqref="C609">
    <cfRule type="cellIs" dxfId="4267" priority="1823" stopIfTrue="1" operator="equal">
      <formula>"2 Add"</formula>
    </cfRule>
  </conditionalFormatting>
  <conditionalFormatting sqref="C609">
    <cfRule type="cellIs" dxfId="4266" priority="1824" stopIfTrue="1" operator="equal">
      <formula>"3 Delete"</formula>
    </cfRule>
  </conditionalFormatting>
  <conditionalFormatting sqref="C610">
    <cfRule type="cellIs" dxfId="4265" priority="1825" stopIfTrue="1" operator="equal">
      <formula>"1 Modify"</formula>
    </cfRule>
  </conditionalFormatting>
  <conditionalFormatting sqref="C610">
    <cfRule type="cellIs" dxfId="4264" priority="1826" stopIfTrue="1" operator="equal">
      <formula>"2 Add"</formula>
    </cfRule>
  </conditionalFormatting>
  <conditionalFormatting sqref="C610">
    <cfRule type="cellIs" dxfId="4263" priority="1827" stopIfTrue="1" operator="equal">
      <formula>"3 Delete"</formula>
    </cfRule>
  </conditionalFormatting>
  <conditionalFormatting sqref="C611">
    <cfRule type="cellIs" dxfId="4262" priority="1828" stopIfTrue="1" operator="equal">
      <formula>"1 Modify"</formula>
    </cfRule>
  </conditionalFormatting>
  <conditionalFormatting sqref="C611">
    <cfRule type="cellIs" dxfId="4261" priority="1829" stopIfTrue="1" operator="equal">
      <formula>"2 Add"</formula>
    </cfRule>
  </conditionalFormatting>
  <conditionalFormatting sqref="C611">
    <cfRule type="cellIs" dxfId="4260" priority="1830" stopIfTrue="1" operator="equal">
      <formula>"3 Delete"</formula>
    </cfRule>
  </conditionalFormatting>
  <conditionalFormatting sqref="C612">
    <cfRule type="cellIs" dxfId="4259" priority="1831" stopIfTrue="1" operator="equal">
      <formula>"1 Modify"</formula>
    </cfRule>
  </conditionalFormatting>
  <conditionalFormatting sqref="C612">
    <cfRule type="cellIs" dxfId="4258" priority="1832" stopIfTrue="1" operator="equal">
      <formula>"2 Add"</formula>
    </cfRule>
  </conditionalFormatting>
  <conditionalFormatting sqref="C612">
    <cfRule type="cellIs" dxfId="4257" priority="1833" stopIfTrue="1" operator="equal">
      <formula>"3 Delete"</formula>
    </cfRule>
  </conditionalFormatting>
  <conditionalFormatting sqref="C613">
    <cfRule type="cellIs" dxfId="4256" priority="1834" stopIfTrue="1" operator="equal">
      <formula>"1 Modify"</formula>
    </cfRule>
  </conditionalFormatting>
  <conditionalFormatting sqref="C613">
    <cfRule type="cellIs" dxfId="4255" priority="1835" stopIfTrue="1" operator="equal">
      <formula>"2 Add"</formula>
    </cfRule>
  </conditionalFormatting>
  <conditionalFormatting sqref="C613">
    <cfRule type="cellIs" dxfId="4254" priority="1836" stopIfTrue="1" operator="equal">
      <formula>"3 Delete"</formula>
    </cfRule>
  </conditionalFormatting>
  <conditionalFormatting sqref="C614">
    <cfRule type="cellIs" dxfId="4253" priority="1837" stopIfTrue="1" operator="equal">
      <formula>"1 Modify"</formula>
    </cfRule>
  </conditionalFormatting>
  <conditionalFormatting sqref="C614">
    <cfRule type="cellIs" dxfId="4252" priority="1838" stopIfTrue="1" operator="equal">
      <formula>"2 Add"</formula>
    </cfRule>
  </conditionalFormatting>
  <conditionalFormatting sqref="C614">
    <cfRule type="cellIs" dxfId="4251" priority="1839" stopIfTrue="1" operator="equal">
      <formula>"3 Delete"</formula>
    </cfRule>
  </conditionalFormatting>
  <conditionalFormatting sqref="C615">
    <cfRule type="cellIs" dxfId="4250" priority="1840" stopIfTrue="1" operator="equal">
      <formula>"1 Modify"</formula>
    </cfRule>
  </conditionalFormatting>
  <conditionalFormatting sqref="C615">
    <cfRule type="cellIs" dxfId="4249" priority="1841" stopIfTrue="1" operator="equal">
      <formula>"2 Add"</formula>
    </cfRule>
  </conditionalFormatting>
  <conditionalFormatting sqref="C615">
    <cfRule type="cellIs" dxfId="4248" priority="1842" stopIfTrue="1" operator="equal">
      <formula>"3 Delete"</formula>
    </cfRule>
  </conditionalFormatting>
  <conditionalFormatting sqref="C616">
    <cfRule type="cellIs" dxfId="4247" priority="1843" stopIfTrue="1" operator="equal">
      <formula>"1 Modify"</formula>
    </cfRule>
  </conditionalFormatting>
  <conditionalFormatting sqref="C616">
    <cfRule type="cellIs" dxfId="4246" priority="1844" stopIfTrue="1" operator="equal">
      <formula>"2 Add"</formula>
    </cfRule>
  </conditionalFormatting>
  <conditionalFormatting sqref="C616">
    <cfRule type="cellIs" dxfId="4245" priority="1845" stopIfTrue="1" operator="equal">
      <formula>"3 Delete"</formula>
    </cfRule>
  </conditionalFormatting>
  <conditionalFormatting sqref="C617">
    <cfRule type="cellIs" dxfId="4244" priority="1846" stopIfTrue="1" operator="equal">
      <formula>"1 Modify"</formula>
    </cfRule>
  </conditionalFormatting>
  <conditionalFormatting sqref="C617">
    <cfRule type="cellIs" dxfId="4243" priority="1847" stopIfTrue="1" operator="equal">
      <formula>"2 Add"</formula>
    </cfRule>
  </conditionalFormatting>
  <conditionalFormatting sqref="C617">
    <cfRule type="cellIs" dxfId="4242" priority="1848" stopIfTrue="1" operator="equal">
      <formula>"3 Delete"</formula>
    </cfRule>
  </conditionalFormatting>
  <conditionalFormatting sqref="C618">
    <cfRule type="cellIs" dxfId="4241" priority="1849" stopIfTrue="1" operator="equal">
      <formula>"1 Modify"</formula>
    </cfRule>
  </conditionalFormatting>
  <conditionalFormatting sqref="C618">
    <cfRule type="cellIs" dxfId="4240" priority="1850" stopIfTrue="1" operator="equal">
      <formula>"2 Add"</formula>
    </cfRule>
  </conditionalFormatting>
  <conditionalFormatting sqref="C618">
    <cfRule type="cellIs" dxfId="4239" priority="1851" stopIfTrue="1" operator="equal">
      <formula>"3 Delete"</formula>
    </cfRule>
  </conditionalFormatting>
  <conditionalFormatting sqref="C619">
    <cfRule type="cellIs" dxfId="4238" priority="1852" stopIfTrue="1" operator="equal">
      <formula>"1 Modify"</formula>
    </cfRule>
  </conditionalFormatting>
  <conditionalFormatting sqref="C619">
    <cfRule type="cellIs" dxfId="4237" priority="1853" stopIfTrue="1" operator="equal">
      <formula>"2 Add"</formula>
    </cfRule>
  </conditionalFormatting>
  <conditionalFormatting sqref="C619">
    <cfRule type="cellIs" dxfId="4236" priority="1854" stopIfTrue="1" operator="equal">
      <formula>"3 Delete"</formula>
    </cfRule>
  </conditionalFormatting>
  <conditionalFormatting sqref="C620">
    <cfRule type="cellIs" dxfId="4235" priority="1855" stopIfTrue="1" operator="equal">
      <formula>"1 Modify"</formula>
    </cfRule>
  </conditionalFormatting>
  <conditionalFormatting sqref="C620">
    <cfRule type="cellIs" dxfId="4234" priority="1856" stopIfTrue="1" operator="equal">
      <formula>"2 Add"</formula>
    </cfRule>
  </conditionalFormatting>
  <conditionalFormatting sqref="C620">
    <cfRule type="cellIs" dxfId="4233" priority="1857" stopIfTrue="1" operator="equal">
      <formula>"3 Delete"</formula>
    </cfRule>
  </conditionalFormatting>
  <conditionalFormatting sqref="C621">
    <cfRule type="cellIs" dxfId="4232" priority="1858" stopIfTrue="1" operator="equal">
      <formula>"1 Modify"</formula>
    </cfRule>
  </conditionalFormatting>
  <conditionalFormatting sqref="C621">
    <cfRule type="cellIs" dxfId="4231" priority="1859" stopIfTrue="1" operator="equal">
      <formula>"2 Add"</formula>
    </cfRule>
  </conditionalFormatting>
  <conditionalFormatting sqref="C621">
    <cfRule type="cellIs" dxfId="4230" priority="1860" stopIfTrue="1" operator="equal">
      <formula>"3 Delete"</formula>
    </cfRule>
  </conditionalFormatting>
  <conditionalFormatting sqref="C622">
    <cfRule type="cellIs" dxfId="4229" priority="1861" stopIfTrue="1" operator="equal">
      <formula>"1 Modify"</formula>
    </cfRule>
  </conditionalFormatting>
  <conditionalFormatting sqref="C622">
    <cfRule type="cellIs" dxfId="4228" priority="1862" stopIfTrue="1" operator="equal">
      <formula>"2 Add"</formula>
    </cfRule>
  </conditionalFormatting>
  <conditionalFormatting sqref="C622">
    <cfRule type="cellIs" dxfId="4227" priority="1863" stopIfTrue="1" operator="equal">
      <formula>"3 Delete"</formula>
    </cfRule>
  </conditionalFormatting>
  <conditionalFormatting sqref="C623">
    <cfRule type="cellIs" dxfId="4226" priority="1864" stopIfTrue="1" operator="equal">
      <formula>"1 Modify"</formula>
    </cfRule>
  </conditionalFormatting>
  <conditionalFormatting sqref="C623">
    <cfRule type="cellIs" dxfId="4225" priority="1865" stopIfTrue="1" operator="equal">
      <formula>"2 Add"</formula>
    </cfRule>
  </conditionalFormatting>
  <conditionalFormatting sqref="C623">
    <cfRule type="cellIs" dxfId="4224" priority="1866" stopIfTrue="1" operator="equal">
      <formula>"3 Delete"</formula>
    </cfRule>
  </conditionalFormatting>
  <conditionalFormatting sqref="C624">
    <cfRule type="cellIs" dxfId="4223" priority="1867" stopIfTrue="1" operator="equal">
      <formula>"1 Modify"</formula>
    </cfRule>
  </conditionalFormatting>
  <conditionalFormatting sqref="C624">
    <cfRule type="cellIs" dxfId="4222" priority="1868" stopIfTrue="1" operator="equal">
      <formula>"2 Add"</formula>
    </cfRule>
  </conditionalFormatting>
  <conditionalFormatting sqref="C624">
    <cfRule type="cellIs" dxfId="4221" priority="1869" stopIfTrue="1" operator="equal">
      <formula>"3 Delete"</formula>
    </cfRule>
  </conditionalFormatting>
  <conditionalFormatting sqref="C625">
    <cfRule type="cellIs" dxfId="4220" priority="1870" stopIfTrue="1" operator="equal">
      <formula>"1 Modify"</formula>
    </cfRule>
  </conditionalFormatting>
  <conditionalFormatting sqref="C625">
    <cfRule type="cellIs" dxfId="4219" priority="1871" stopIfTrue="1" operator="equal">
      <formula>"2 Add"</formula>
    </cfRule>
  </conditionalFormatting>
  <conditionalFormatting sqref="C625">
    <cfRule type="cellIs" dxfId="4218" priority="1872" stopIfTrue="1" operator="equal">
      <formula>"3 Delete"</formula>
    </cfRule>
  </conditionalFormatting>
  <conditionalFormatting sqref="C626">
    <cfRule type="cellIs" dxfId="4217" priority="1873" stopIfTrue="1" operator="equal">
      <formula>"1 Modify"</formula>
    </cfRule>
  </conditionalFormatting>
  <conditionalFormatting sqref="C626">
    <cfRule type="cellIs" dxfId="4216" priority="1874" stopIfTrue="1" operator="equal">
      <formula>"2 Add"</formula>
    </cfRule>
  </conditionalFormatting>
  <conditionalFormatting sqref="C626">
    <cfRule type="cellIs" dxfId="4215" priority="1875" stopIfTrue="1" operator="equal">
      <formula>"3 Delete"</formula>
    </cfRule>
  </conditionalFormatting>
  <conditionalFormatting sqref="C627">
    <cfRule type="cellIs" dxfId="4214" priority="1876" stopIfTrue="1" operator="equal">
      <formula>"1 Modify"</formula>
    </cfRule>
  </conditionalFormatting>
  <conditionalFormatting sqref="C627">
    <cfRule type="cellIs" dxfId="4213" priority="1877" stopIfTrue="1" operator="equal">
      <formula>"2 Add"</formula>
    </cfRule>
  </conditionalFormatting>
  <conditionalFormatting sqref="C627">
    <cfRule type="cellIs" dxfId="4212" priority="1878" stopIfTrue="1" operator="equal">
      <formula>"3 Delete"</formula>
    </cfRule>
  </conditionalFormatting>
  <conditionalFormatting sqref="C628">
    <cfRule type="cellIs" dxfId="4211" priority="1879" stopIfTrue="1" operator="equal">
      <formula>"1 Modify"</formula>
    </cfRule>
  </conditionalFormatting>
  <conditionalFormatting sqref="C628">
    <cfRule type="cellIs" dxfId="4210" priority="1880" stopIfTrue="1" operator="equal">
      <formula>"2 Add"</formula>
    </cfRule>
  </conditionalFormatting>
  <conditionalFormatting sqref="C628">
    <cfRule type="cellIs" dxfId="4209" priority="1881" stopIfTrue="1" operator="equal">
      <formula>"3 Delete"</formula>
    </cfRule>
  </conditionalFormatting>
  <conditionalFormatting sqref="C629">
    <cfRule type="cellIs" dxfId="4208" priority="1882" stopIfTrue="1" operator="equal">
      <formula>"1 Modify"</formula>
    </cfRule>
  </conditionalFormatting>
  <conditionalFormatting sqref="C629">
    <cfRule type="cellIs" dxfId="4207" priority="1883" stopIfTrue="1" operator="equal">
      <formula>"2 Add"</formula>
    </cfRule>
  </conditionalFormatting>
  <conditionalFormatting sqref="C629">
    <cfRule type="cellIs" dxfId="4206" priority="1884" stopIfTrue="1" operator="equal">
      <formula>"3 Delete"</formula>
    </cfRule>
  </conditionalFormatting>
  <conditionalFormatting sqref="C630">
    <cfRule type="cellIs" dxfId="4205" priority="1885" stopIfTrue="1" operator="equal">
      <formula>"1 Modify"</formula>
    </cfRule>
  </conditionalFormatting>
  <conditionalFormatting sqref="C630">
    <cfRule type="cellIs" dxfId="4204" priority="1886" stopIfTrue="1" operator="equal">
      <formula>"2 Add"</formula>
    </cfRule>
  </conditionalFormatting>
  <conditionalFormatting sqref="C630">
    <cfRule type="cellIs" dxfId="4203" priority="1887" stopIfTrue="1" operator="equal">
      <formula>"3 Delete"</formula>
    </cfRule>
  </conditionalFormatting>
  <conditionalFormatting sqref="C631">
    <cfRule type="cellIs" dxfId="4202" priority="1888" stopIfTrue="1" operator="equal">
      <formula>"1 Modify"</formula>
    </cfRule>
  </conditionalFormatting>
  <conditionalFormatting sqref="C631">
    <cfRule type="cellIs" dxfId="4201" priority="1889" stopIfTrue="1" operator="equal">
      <formula>"2 Add"</formula>
    </cfRule>
  </conditionalFormatting>
  <conditionalFormatting sqref="C631">
    <cfRule type="cellIs" dxfId="4200" priority="1890" stopIfTrue="1" operator="equal">
      <formula>"3 Delete"</formula>
    </cfRule>
  </conditionalFormatting>
  <conditionalFormatting sqref="C632">
    <cfRule type="cellIs" dxfId="4199" priority="1891" stopIfTrue="1" operator="equal">
      <formula>"1 Modify"</formula>
    </cfRule>
  </conditionalFormatting>
  <conditionalFormatting sqref="C632">
    <cfRule type="cellIs" dxfId="4198" priority="1892" stopIfTrue="1" operator="equal">
      <formula>"2 Add"</formula>
    </cfRule>
  </conditionalFormatting>
  <conditionalFormatting sqref="C632">
    <cfRule type="cellIs" dxfId="4197" priority="1893" stopIfTrue="1" operator="equal">
      <formula>"3 Delete"</formula>
    </cfRule>
  </conditionalFormatting>
  <conditionalFormatting sqref="C633">
    <cfRule type="cellIs" dxfId="4196" priority="1894" stopIfTrue="1" operator="equal">
      <formula>"1 Modify"</formula>
    </cfRule>
  </conditionalFormatting>
  <conditionalFormatting sqref="C633">
    <cfRule type="cellIs" dxfId="4195" priority="1895" stopIfTrue="1" operator="equal">
      <formula>"2 Add"</formula>
    </cfRule>
  </conditionalFormatting>
  <conditionalFormatting sqref="C633">
    <cfRule type="cellIs" dxfId="4194" priority="1896" stopIfTrue="1" operator="equal">
      <formula>"3 Delete"</formula>
    </cfRule>
  </conditionalFormatting>
  <conditionalFormatting sqref="C634">
    <cfRule type="cellIs" dxfId="4193" priority="1897" stopIfTrue="1" operator="equal">
      <formula>"1 Modify"</formula>
    </cfRule>
  </conditionalFormatting>
  <conditionalFormatting sqref="C634">
    <cfRule type="cellIs" dxfId="4192" priority="1898" stopIfTrue="1" operator="equal">
      <formula>"2 Add"</formula>
    </cfRule>
  </conditionalFormatting>
  <conditionalFormatting sqref="C634">
    <cfRule type="cellIs" dxfId="4191" priority="1899" stopIfTrue="1" operator="equal">
      <formula>"3 Delete"</formula>
    </cfRule>
  </conditionalFormatting>
  <conditionalFormatting sqref="C635">
    <cfRule type="cellIs" dxfId="4190" priority="1900" stopIfTrue="1" operator="equal">
      <formula>"1 Modify"</formula>
    </cfRule>
  </conditionalFormatting>
  <conditionalFormatting sqref="C635">
    <cfRule type="cellIs" dxfId="4189" priority="1901" stopIfTrue="1" operator="equal">
      <formula>"2 Add"</formula>
    </cfRule>
  </conditionalFormatting>
  <conditionalFormatting sqref="C635">
    <cfRule type="cellIs" dxfId="4188" priority="1902" stopIfTrue="1" operator="equal">
      <formula>"3 Delete"</formula>
    </cfRule>
  </conditionalFormatting>
  <conditionalFormatting sqref="C636">
    <cfRule type="cellIs" dxfId="4187" priority="1903" stopIfTrue="1" operator="equal">
      <formula>"1 Modify"</formula>
    </cfRule>
  </conditionalFormatting>
  <conditionalFormatting sqref="C636">
    <cfRule type="cellIs" dxfId="4186" priority="1904" stopIfTrue="1" operator="equal">
      <formula>"2 Add"</formula>
    </cfRule>
  </conditionalFormatting>
  <conditionalFormatting sqref="C636">
    <cfRule type="cellIs" dxfId="4185" priority="1905" stopIfTrue="1" operator="equal">
      <formula>"3 Delete"</formula>
    </cfRule>
  </conditionalFormatting>
  <conditionalFormatting sqref="C637">
    <cfRule type="cellIs" dxfId="4184" priority="1906" stopIfTrue="1" operator="equal">
      <formula>"1 Modify"</formula>
    </cfRule>
  </conditionalFormatting>
  <conditionalFormatting sqref="C637">
    <cfRule type="cellIs" dxfId="4183" priority="1907" stopIfTrue="1" operator="equal">
      <formula>"2 Add"</formula>
    </cfRule>
  </conditionalFormatting>
  <conditionalFormatting sqref="C637">
    <cfRule type="cellIs" dxfId="4182" priority="1908" stopIfTrue="1" operator="equal">
      <formula>"3 Delete"</formula>
    </cfRule>
  </conditionalFormatting>
  <conditionalFormatting sqref="C638">
    <cfRule type="cellIs" dxfId="4181" priority="1909" stopIfTrue="1" operator="equal">
      <formula>"1 Modify"</formula>
    </cfRule>
  </conditionalFormatting>
  <conditionalFormatting sqref="C638">
    <cfRule type="cellIs" dxfId="4180" priority="1910" stopIfTrue="1" operator="equal">
      <formula>"2 Add"</formula>
    </cfRule>
  </conditionalFormatting>
  <conditionalFormatting sqref="C638">
    <cfRule type="cellIs" dxfId="4179" priority="1911" stopIfTrue="1" operator="equal">
      <formula>"3 Delete"</formula>
    </cfRule>
  </conditionalFormatting>
  <conditionalFormatting sqref="C639">
    <cfRule type="cellIs" dxfId="4178" priority="1912" stopIfTrue="1" operator="equal">
      <formula>"1 Modify"</formula>
    </cfRule>
  </conditionalFormatting>
  <conditionalFormatting sqref="C639">
    <cfRule type="cellIs" dxfId="4177" priority="1913" stopIfTrue="1" operator="equal">
      <formula>"2 Add"</formula>
    </cfRule>
  </conditionalFormatting>
  <conditionalFormatting sqref="C639">
    <cfRule type="cellIs" dxfId="4176" priority="1914" stopIfTrue="1" operator="equal">
      <formula>"3 Delete"</formula>
    </cfRule>
  </conditionalFormatting>
  <conditionalFormatting sqref="C640">
    <cfRule type="cellIs" dxfId="4175" priority="1915" stopIfTrue="1" operator="equal">
      <formula>"1 Modify"</formula>
    </cfRule>
  </conditionalFormatting>
  <conditionalFormatting sqref="C640">
    <cfRule type="cellIs" dxfId="4174" priority="1916" stopIfTrue="1" operator="equal">
      <formula>"2 Add"</formula>
    </cfRule>
  </conditionalFormatting>
  <conditionalFormatting sqref="C640">
    <cfRule type="cellIs" dxfId="4173" priority="1917" stopIfTrue="1" operator="equal">
      <formula>"3 Delete"</formula>
    </cfRule>
  </conditionalFormatting>
  <conditionalFormatting sqref="C641">
    <cfRule type="cellIs" dxfId="4172" priority="1918" stopIfTrue="1" operator="equal">
      <formula>"1 Modify"</formula>
    </cfRule>
  </conditionalFormatting>
  <conditionalFormatting sqref="C641">
    <cfRule type="cellIs" dxfId="4171" priority="1919" stopIfTrue="1" operator="equal">
      <formula>"2 Add"</formula>
    </cfRule>
  </conditionalFormatting>
  <conditionalFormatting sqref="C641">
    <cfRule type="cellIs" dxfId="4170" priority="1920" stopIfTrue="1" operator="equal">
      <formula>"3 Delete"</formula>
    </cfRule>
  </conditionalFormatting>
  <conditionalFormatting sqref="C642">
    <cfRule type="cellIs" dxfId="4169" priority="1921" stopIfTrue="1" operator="equal">
      <formula>"1 Modify"</formula>
    </cfRule>
  </conditionalFormatting>
  <conditionalFormatting sqref="C642">
    <cfRule type="cellIs" dxfId="4168" priority="1922" stopIfTrue="1" operator="equal">
      <formula>"2 Add"</formula>
    </cfRule>
  </conditionalFormatting>
  <conditionalFormatting sqref="C642">
    <cfRule type="cellIs" dxfId="4167" priority="1923" stopIfTrue="1" operator="equal">
      <formula>"3 Delete"</formula>
    </cfRule>
  </conditionalFormatting>
  <conditionalFormatting sqref="C643">
    <cfRule type="cellIs" dxfId="4166" priority="1924" stopIfTrue="1" operator="equal">
      <formula>"1 Modify"</formula>
    </cfRule>
  </conditionalFormatting>
  <conditionalFormatting sqref="C643">
    <cfRule type="cellIs" dxfId="4165" priority="1925" stopIfTrue="1" operator="equal">
      <formula>"2 Add"</formula>
    </cfRule>
  </conditionalFormatting>
  <conditionalFormatting sqref="C643">
    <cfRule type="cellIs" dxfId="4164" priority="1926" stopIfTrue="1" operator="equal">
      <formula>"3 Delete"</formula>
    </cfRule>
  </conditionalFormatting>
  <conditionalFormatting sqref="C644">
    <cfRule type="cellIs" dxfId="4163" priority="1927" stopIfTrue="1" operator="equal">
      <formula>"1 Modify"</formula>
    </cfRule>
  </conditionalFormatting>
  <conditionalFormatting sqref="C644">
    <cfRule type="cellIs" dxfId="4162" priority="1928" stopIfTrue="1" operator="equal">
      <formula>"2 Add"</formula>
    </cfRule>
  </conditionalFormatting>
  <conditionalFormatting sqref="C644">
    <cfRule type="cellIs" dxfId="4161" priority="1929" stopIfTrue="1" operator="equal">
      <formula>"3 Delete"</formula>
    </cfRule>
  </conditionalFormatting>
  <conditionalFormatting sqref="C645">
    <cfRule type="cellIs" dxfId="4160" priority="1930" stopIfTrue="1" operator="equal">
      <formula>"1 Modify"</formula>
    </cfRule>
  </conditionalFormatting>
  <conditionalFormatting sqref="C645">
    <cfRule type="cellIs" dxfId="4159" priority="1931" stopIfTrue="1" operator="equal">
      <formula>"2 Add"</formula>
    </cfRule>
  </conditionalFormatting>
  <conditionalFormatting sqref="C645">
    <cfRule type="cellIs" dxfId="4158" priority="1932" stopIfTrue="1" operator="equal">
      <formula>"3 Delete"</formula>
    </cfRule>
  </conditionalFormatting>
  <conditionalFormatting sqref="C646">
    <cfRule type="cellIs" dxfId="4157" priority="1933" stopIfTrue="1" operator="equal">
      <formula>"1 Modify"</formula>
    </cfRule>
  </conditionalFormatting>
  <conditionalFormatting sqref="C646">
    <cfRule type="cellIs" dxfId="4156" priority="1934" stopIfTrue="1" operator="equal">
      <formula>"2 Add"</formula>
    </cfRule>
  </conditionalFormatting>
  <conditionalFormatting sqref="C646">
    <cfRule type="cellIs" dxfId="4155" priority="1935" stopIfTrue="1" operator="equal">
      <formula>"3 Delete"</formula>
    </cfRule>
  </conditionalFormatting>
  <conditionalFormatting sqref="C647">
    <cfRule type="cellIs" dxfId="4154" priority="1936" stopIfTrue="1" operator="equal">
      <formula>"1 Modify"</formula>
    </cfRule>
  </conditionalFormatting>
  <conditionalFormatting sqref="C647">
    <cfRule type="cellIs" dxfId="4153" priority="1937" stopIfTrue="1" operator="equal">
      <formula>"2 Add"</formula>
    </cfRule>
  </conditionalFormatting>
  <conditionalFormatting sqref="C647">
    <cfRule type="cellIs" dxfId="4152" priority="1938" stopIfTrue="1" operator="equal">
      <formula>"3 Delete"</formula>
    </cfRule>
  </conditionalFormatting>
  <conditionalFormatting sqref="C648">
    <cfRule type="cellIs" dxfId="4151" priority="1939" stopIfTrue="1" operator="equal">
      <formula>"1 Modify"</formula>
    </cfRule>
  </conditionalFormatting>
  <conditionalFormatting sqref="C648">
    <cfRule type="cellIs" dxfId="4150" priority="1940" stopIfTrue="1" operator="equal">
      <formula>"2 Add"</formula>
    </cfRule>
  </conditionalFormatting>
  <conditionalFormatting sqref="C648">
    <cfRule type="cellIs" dxfId="4149" priority="1941" stopIfTrue="1" operator="equal">
      <formula>"3 Delete"</formula>
    </cfRule>
  </conditionalFormatting>
  <conditionalFormatting sqref="C649">
    <cfRule type="cellIs" dxfId="4148" priority="1942" stopIfTrue="1" operator="equal">
      <formula>"1 Modify"</formula>
    </cfRule>
  </conditionalFormatting>
  <conditionalFormatting sqref="C649">
    <cfRule type="cellIs" dxfId="4147" priority="1943" stopIfTrue="1" operator="equal">
      <formula>"2 Add"</formula>
    </cfRule>
  </conditionalFormatting>
  <conditionalFormatting sqref="C649">
    <cfRule type="cellIs" dxfId="4146" priority="1944" stopIfTrue="1" operator="equal">
      <formula>"3 Delete"</formula>
    </cfRule>
  </conditionalFormatting>
  <conditionalFormatting sqref="C650">
    <cfRule type="cellIs" dxfId="4145" priority="1945" stopIfTrue="1" operator="equal">
      <formula>"1 Modify"</formula>
    </cfRule>
  </conditionalFormatting>
  <conditionalFormatting sqref="C650">
    <cfRule type="cellIs" dxfId="4144" priority="1946" stopIfTrue="1" operator="equal">
      <formula>"2 Add"</formula>
    </cfRule>
  </conditionalFormatting>
  <conditionalFormatting sqref="C650">
    <cfRule type="cellIs" dxfId="4143" priority="1947" stopIfTrue="1" operator="equal">
      <formula>"3 Delete"</formula>
    </cfRule>
  </conditionalFormatting>
  <conditionalFormatting sqref="C651">
    <cfRule type="cellIs" dxfId="4142" priority="1948" stopIfTrue="1" operator="equal">
      <formula>"1 Modify"</formula>
    </cfRule>
  </conditionalFormatting>
  <conditionalFormatting sqref="C651">
    <cfRule type="cellIs" dxfId="4141" priority="1949" stopIfTrue="1" operator="equal">
      <formula>"2 Add"</formula>
    </cfRule>
  </conditionalFormatting>
  <conditionalFormatting sqref="C651">
    <cfRule type="cellIs" dxfId="4140" priority="1950" stopIfTrue="1" operator="equal">
      <formula>"3 Delete"</formula>
    </cfRule>
  </conditionalFormatting>
  <conditionalFormatting sqref="C652">
    <cfRule type="cellIs" dxfId="4139" priority="1951" stopIfTrue="1" operator="equal">
      <formula>"1 Modify"</formula>
    </cfRule>
  </conditionalFormatting>
  <conditionalFormatting sqref="C652">
    <cfRule type="cellIs" dxfId="4138" priority="1952" stopIfTrue="1" operator="equal">
      <formula>"2 Add"</formula>
    </cfRule>
  </conditionalFormatting>
  <conditionalFormatting sqref="C652">
    <cfRule type="cellIs" dxfId="4137" priority="1953" stopIfTrue="1" operator="equal">
      <formula>"3 Delete"</formula>
    </cfRule>
  </conditionalFormatting>
  <conditionalFormatting sqref="C653">
    <cfRule type="cellIs" dxfId="4136" priority="1954" stopIfTrue="1" operator="equal">
      <formula>"1 Modify"</formula>
    </cfRule>
  </conditionalFormatting>
  <conditionalFormatting sqref="C653">
    <cfRule type="cellIs" dxfId="4135" priority="1955" stopIfTrue="1" operator="equal">
      <formula>"2 Add"</formula>
    </cfRule>
  </conditionalFormatting>
  <conditionalFormatting sqref="C653">
    <cfRule type="cellIs" dxfId="4134" priority="1956" stopIfTrue="1" operator="equal">
      <formula>"3 Delete"</formula>
    </cfRule>
  </conditionalFormatting>
  <conditionalFormatting sqref="C654">
    <cfRule type="cellIs" dxfId="4133" priority="1957" stopIfTrue="1" operator="equal">
      <formula>"1 Modify"</formula>
    </cfRule>
  </conditionalFormatting>
  <conditionalFormatting sqref="C654">
    <cfRule type="cellIs" dxfId="4132" priority="1958" stopIfTrue="1" operator="equal">
      <formula>"2 Add"</formula>
    </cfRule>
  </conditionalFormatting>
  <conditionalFormatting sqref="C654">
    <cfRule type="cellIs" dxfId="4131" priority="1959" stopIfTrue="1" operator="equal">
      <formula>"3 Delete"</formula>
    </cfRule>
  </conditionalFormatting>
  <conditionalFormatting sqref="C655">
    <cfRule type="cellIs" dxfId="4130" priority="1960" stopIfTrue="1" operator="equal">
      <formula>"1 Modify"</formula>
    </cfRule>
  </conditionalFormatting>
  <conditionalFormatting sqref="C655">
    <cfRule type="cellIs" dxfId="4129" priority="1961" stopIfTrue="1" operator="equal">
      <formula>"2 Add"</formula>
    </cfRule>
  </conditionalFormatting>
  <conditionalFormatting sqref="C655">
    <cfRule type="cellIs" dxfId="4128" priority="1962" stopIfTrue="1" operator="equal">
      <formula>"3 Delete"</formula>
    </cfRule>
  </conditionalFormatting>
  <conditionalFormatting sqref="C656">
    <cfRule type="cellIs" dxfId="4127" priority="1963" stopIfTrue="1" operator="equal">
      <formula>"1 Modify"</formula>
    </cfRule>
  </conditionalFormatting>
  <conditionalFormatting sqref="C656">
    <cfRule type="cellIs" dxfId="4126" priority="1964" stopIfTrue="1" operator="equal">
      <formula>"2 Add"</formula>
    </cfRule>
  </conditionalFormatting>
  <conditionalFormatting sqref="C656">
    <cfRule type="cellIs" dxfId="4125" priority="1965" stopIfTrue="1" operator="equal">
      <formula>"3 Delete"</formula>
    </cfRule>
  </conditionalFormatting>
  <conditionalFormatting sqref="C657">
    <cfRule type="cellIs" dxfId="4124" priority="1966" stopIfTrue="1" operator="equal">
      <formula>"1 Modify"</formula>
    </cfRule>
  </conditionalFormatting>
  <conditionalFormatting sqref="C657">
    <cfRule type="cellIs" dxfId="4123" priority="1967" stopIfTrue="1" operator="equal">
      <formula>"2 Add"</formula>
    </cfRule>
  </conditionalFormatting>
  <conditionalFormatting sqref="C657">
    <cfRule type="cellIs" dxfId="4122" priority="1968" stopIfTrue="1" operator="equal">
      <formula>"3 Delete"</formula>
    </cfRule>
  </conditionalFormatting>
  <conditionalFormatting sqref="C658">
    <cfRule type="cellIs" dxfId="4121" priority="1969" stopIfTrue="1" operator="equal">
      <formula>"1 Modify"</formula>
    </cfRule>
  </conditionalFormatting>
  <conditionalFormatting sqref="C658">
    <cfRule type="cellIs" dxfId="4120" priority="1970" stopIfTrue="1" operator="equal">
      <formula>"2 Add"</formula>
    </cfRule>
  </conditionalFormatting>
  <conditionalFormatting sqref="C658">
    <cfRule type="cellIs" dxfId="4119" priority="1971" stopIfTrue="1" operator="equal">
      <formula>"3 Delete"</formula>
    </cfRule>
  </conditionalFormatting>
  <conditionalFormatting sqref="C659">
    <cfRule type="cellIs" dxfId="4118" priority="1972" stopIfTrue="1" operator="equal">
      <formula>"1 Modify"</formula>
    </cfRule>
  </conditionalFormatting>
  <conditionalFormatting sqref="C659">
    <cfRule type="cellIs" dxfId="4117" priority="1973" stopIfTrue="1" operator="equal">
      <formula>"2 Add"</formula>
    </cfRule>
  </conditionalFormatting>
  <conditionalFormatting sqref="C659">
    <cfRule type="cellIs" dxfId="4116" priority="1974" stopIfTrue="1" operator="equal">
      <formula>"3 Delete"</formula>
    </cfRule>
  </conditionalFormatting>
  <conditionalFormatting sqref="C660">
    <cfRule type="cellIs" dxfId="4115" priority="1975" stopIfTrue="1" operator="equal">
      <formula>"1 Modify"</formula>
    </cfRule>
  </conditionalFormatting>
  <conditionalFormatting sqref="C660">
    <cfRule type="cellIs" dxfId="4114" priority="1976" stopIfTrue="1" operator="equal">
      <formula>"2 Add"</formula>
    </cfRule>
  </conditionalFormatting>
  <conditionalFormatting sqref="C660">
    <cfRule type="cellIs" dxfId="4113" priority="1977" stopIfTrue="1" operator="equal">
      <formula>"3 Delete"</formula>
    </cfRule>
  </conditionalFormatting>
  <conditionalFormatting sqref="C661">
    <cfRule type="cellIs" dxfId="4112" priority="1978" stopIfTrue="1" operator="equal">
      <formula>"1 Modify"</formula>
    </cfRule>
  </conditionalFormatting>
  <conditionalFormatting sqref="C661">
    <cfRule type="cellIs" dxfId="4111" priority="1979" stopIfTrue="1" operator="equal">
      <formula>"2 Add"</formula>
    </cfRule>
  </conditionalFormatting>
  <conditionalFormatting sqref="C661">
    <cfRule type="cellIs" dxfId="4110" priority="1980" stopIfTrue="1" operator="equal">
      <formula>"3 Delete"</formula>
    </cfRule>
  </conditionalFormatting>
  <conditionalFormatting sqref="C662">
    <cfRule type="cellIs" dxfId="4109" priority="1981" stopIfTrue="1" operator="equal">
      <formula>"1 Modify"</formula>
    </cfRule>
  </conditionalFormatting>
  <conditionalFormatting sqref="C662">
    <cfRule type="cellIs" dxfId="4108" priority="1982" stopIfTrue="1" operator="equal">
      <formula>"2 Add"</formula>
    </cfRule>
  </conditionalFormatting>
  <conditionalFormatting sqref="C662">
    <cfRule type="cellIs" dxfId="4107" priority="1983" stopIfTrue="1" operator="equal">
      <formula>"3 Delete"</formula>
    </cfRule>
  </conditionalFormatting>
  <conditionalFormatting sqref="C663">
    <cfRule type="cellIs" dxfId="4106" priority="1984" stopIfTrue="1" operator="equal">
      <formula>"1 Modify"</formula>
    </cfRule>
  </conditionalFormatting>
  <conditionalFormatting sqref="C663">
    <cfRule type="cellIs" dxfId="4105" priority="1985" stopIfTrue="1" operator="equal">
      <formula>"2 Add"</formula>
    </cfRule>
  </conditionalFormatting>
  <conditionalFormatting sqref="C663">
    <cfRule type="cellIs" dxfId="4104" priority="1986" stopIfTrue="1" operator="equal">
      <formula>"3 Delete"</formula>
    </cfRule>
  </conditionalFormatting>
  <conditionalFormatting sqref="C664">
    <cfRule type="cellIs" dxfId="4103" priority="1987" stopIfTrue="1" operator="equal">
      <formula>"1 Modify"</formula>
    </cfRule>
  </conditionalFormatting>
  <conditionalFormatting sqref="C664">
    <cfRule type="cellIs" dxfId="4102" priority="1988" stopIfTrue="1" operator="equal">
      <formula>"2 Add"</formula>
    </cfRule>
  </conditionalFormatting>
  <conditionalFormatting sqref="C664">
    <cfRule type="cellIs" dxfId="4101" priority="1989" stopIfTrue="1" operator="equal">
      <formula>"3 Delete"</formula>
    </cfRule>
  </conditionalFormatting>
  <conditionalFormatting sqref="C665">
    <cfRule type="cellIs" dxfId="4100" priority="1990" stopIfTrue="1" operator="equal">
      <formula>"1 Modify"</formula>
    </cfRule>
  </conditionalFormatting>
  <conditionalFormatting sqref="C665">
    <cfRule type="cellIs" dxfId="4099" priority="1991" stopIfTrue="1" operator="equal">
      <formula>"2 Add"</formula>
    </cfRule>
  </conditionalFormatting>
  <conditionalFormatting sqref="C665">
    <cfRule type="cellIs" dxfId="4098" priority="1992" stopIfTrue="1" operator="equal">
      <formula>"3 Delete"</formula>
    </cfRule>
  </conditionalFormatting>
  <conditionalFormatting sqref="C666">
    <cfRule type="cellIs" dxfId="4097" priority="1993" stopIfTrue="1" operator="equal">
      <formula>"1 Modify"</formula>
    </cfRule>
  </conditionalFormatting>
  <conditionalFormatting sqref="C666">
    <cfRule type="cellIs" dxfId="4096" priority="1994" stopIfTrue="1" operator="equal">
      <formula>"2 Add"</formula>
    </cfRule>
  </conditionalFormatting>
  <conditionalFormatting sqref="C666">
    <cfRule type="cellIs" dxfId="4095" priority="1995" stopIfTrue="1" operator="equal">
      <formula>"3 Delete"</formula>
    </cfRule>
  </conditionalFormatting>
  <conditionalFormatting sqref="C667">
    <cfRule type="cellIs" dxfId="4094" priority="1996" stopIfTrue="1" operator="equal">
      <formula>"1 Modify"</formula>
    </cfRule>
  </conditionalFormatting>
  <conditionalFormatting sqref="C667">
    <cfRule type="cellIs" dxfId="4093" priority="1997" stopIfTrue="1" operator="equal">
      <formula>"2 Add"</formula>
    </cfRule>
  </conditionalFormatting>
  <conditionalFormatting sqref="C667">
    <cfRule type="cellIs" dxfId="4092" priority="1998" stopIfTrue="1" operator="equal">
      <formula>"3 Delete"</formula>
    </cfRule>
  </conditionalFormatting>
  <conditionalFormatting sqref="C668">
    <cfRule type="cellIs" dxfId="4091" priority="1999" stopIfTrue="1" operator="equal">
      <formula>"1 Modify"</formula>
    </cfRule>
  </conditionalFormatting>
  <conditionalFormatting sqref="C668">
    <cfRule type="cellIs" dxfId="4090" priority="2000" stopIfTrue="1" operator="equal">
      <formula>"2 Add"</formula>
    </cfRule>
  </conditionalFormatting>
  <conditionalFormatting sqref="C668">
    <cfRule type="cellIs" dxfId="4089" priority="2001" stopIfTrue="1" operator="equal">
      <formula>"3 Delete"</formula>
    </cfRule>
  </conditionalFormatting>
  <conditionalFormatting sqref="C669">
    <cfRule type="cellIs" dxfId="4088" priority="2002" stopIfTrue="1" operator="equal">
      <formula>"1 Modify"</formula>
    </cfRule>
  </conditionalFormatting>
  <conditionalFormatting sqref="C669">
    <cfRule type="cellIs" dxfId="4087" priority="2003" stopIfTrue="1" operator="equal">
      <formula>"2 Add"</formula>
    </cfRule>
  </conditionalFormatting>
  <conditionalFormatting sqref="C669">
    <cfRule type="cellIs" dxfId="4086" priority="2004" stopIfTrue="1" operator="equal">
      <formula>"3 Delete"</formula>
    </cfRule>
  </conditionalFormatting>
  <conditionalFormatting sqref="C670">
    <cfRule type="cellIs" dxfId="4085" priority="2005" stopIfTrue="1" operator="equal">
      <formula>"1 Modify"</formula>
    </cfRule>
  </conditionalFormatting>
  <conditionalFormatting sqref="C670">
    <cfRule type="cellIs" dxfId="4084" priority="2006" stopIfTrue="1" operator="equal">
      <formula>"2 Add"</formula>
    </cfRule>
  </conditionalFormatting>
  <conditionalFormatting sqref="C670">
    <cfRule type="cellIs" dxfId="4083" priority="2007" stopIfTrue="1" operator="equal">
      <formula>"3 Delete"</formula>
    </cfRule>
  </conditionalFormatting>
  <conditionalFormatting sqref="C671">
    <cfRule type="cellIs" dxfId="4082" priority="2008" stopIfTrue="1" operator="equal">
      <formula>"1 Modify"</formula>
    </cfRule>
  </conditionalFormatting>
  <conditionalFormatting sqref="C671">
    <cfRule type="cellIs" dxfId="4081" priority="2009" stopIfTrue="1" operator="equal">
      <formula>"2 Add"</formula>
    </cfRule>
  </conditionalFormatting>
  <conditionalFormatting sqref="C671">
    <cfRule type="cellIs" dxfId="4080" priority="2010" stopIfTrue="1" operator="equal">
      <formula>"3 Delete"</formula>
    </cfRule>
  </conditionalFormatting>
  <conditionalFormatting sqref="C672">
    <cfRule type="cellIs" dxfId="4079" priority="2011" stopIfTrue="1" operator="equal">
      <formula>"1 Modify"</formula>
    </cfRule>
  </conditionalFormatting>
  <conditionalFormatting sqref="C672">
    <cfRule type="cellIs" dxfId="4078" priority="2012" stopIfTrue="1" operator="equal">
      <formula>"2 Add"</formula>
    </cfRule>
  </conditionalFormatting>
  <conditionalFormatting sqref="C672">
    <cfRule type="cellIs" dxfId="4077" priority="2013" stopIfTrue="1" operator="equal">
      <formula>"3 Delete"</formula>
    </cfRule>
  </conditionalFormatting>
  <conditionalFormatting sqref="C673">
    <cfRule type="cellIs" dxfId="4076" priority="2014" stopIfTrue="1" operator="equal">
      <formula>"1 Modify"</formula>
    </cfRule>
  </conditionalFormatting>
  <conditionalFormatting sqref="C673">
    <cfRule type="cellIs" dxfId="4075" priority="2015" stopIfTrue="1" operator="equal">
      <formula>"2 Add"</formula>
    </cfRule>
  </conditionalFormatting>
  <conditionalFormatting sqref="C673">
    <cfRule type="cellIs" dxfId="4074" priority="2016" stopIfTrue="1" operator="equal">
      <formula>"3 Delete"</formula>
    </cfRule>
  </conditionalFormatting>
  <conditionalFormatting sqref="C674">
    <cfRule type="cellIs" dxfId="4073" priority="2017" stopIfTrue="1" operator="equal">
      <formula>"1 Modify"</formula>
    </cfRule>
  </conditionalFormatting>
  <conditionalFormatting sqref="C674">
    <cfRule type="cellIs" dxfId="4072" priority="2018" stopIfTrue="1" operator="equal">
      <formula>"2 Add"</formula>
    </cfRule>
  </conditionalFormatting>
  <conditionalFormatting sqref="C674">
    <cfRule type="cellIs" dxfId="4071" priority="2019" stopIfTrue="1" operator="equal">
      <formula>"3 Delete"</formula>
    </cfRule>
  </conditionalFormatting>
  <conditionalFormatting sqref="C675">
    <cfRule type="cellIs" dxfId="4070" priority="2020" stopIfTrue="1" operator="equal">
      <formula>"1 Modify"</formula>
    </cfRule>
  </conditionalFormatting>
  <conditionalFormatting sqref="C675">
    <cfRule type="cellIs" dxfId="4069" priority="2021" stopIfTrue="1" operator="equal">
      <formula>"2 Add"</formula>
    </cfRule>
  </conditionalFormatting>
  <conditionalFormatting sqref="C675">
    <cfRule type="cellIs" dxfId="4068" priority="2022" stopIfTrue="1" operator="equal">
      <formula>"3 Delete"</formula>
    </cfRule>
  </conditionalFormatting>
  <conditionalFormatting sqref="C676">
    <cfRule type="cellIs" dxfId="4067" priority="2023" stopIfTrue="1" operator="equal">
      <formula>"1 Modify"</formula>
    </cfRule>
  </conditionalFormatting>
  <conditionalFormatting sqref="C676">
    <cfRule type="cellIs" dxfId="4066" priority="2024" stopIfTrue="1" operator="equal">
      <formula>"2 Add"</formula>
    </cfRule>
  </conditionalFormatting>
  <conditionalFormatting sqref="C676">
    <cfRule type="cellIs" dxfId="4065" priority="2025" stopIfTrue="1" operator="equal">
      <formula>"3 Delete"</formula>
    </cfRule>
  </conditionalFormatting>
  <conditionalFormatting sqref="C677">
    <cfRule type="cellIs" dxfId="4064" priority="2026" stopIfTrue="1" operator="equal">
      <formula>"1 Modify"</formula>
    </cfRule>
  </conditionalFormatting>
  <conditionalFormatting sqref="C677">
    <cfRule type="cellIs" dxfId="4063" priority="2027" stopIfTrue="1" operator="equal">
      <formula>"2 Add"</formula>
    </cfRule>
  </conditionalFormatting>
  <conditionalFormatting sqref="C677">
    <cfRule type="cellIs" dxfId="4062" priority="2028" stopIfTrue="1" operator="equal">
      <formula>"3 Delete"</formula>
    </cfRule>
  </conditionalFormatting>
  <conditionalFormatting sqref="C678">
    <cfRule type="cellIs" dxfId="4061" priority="2029" stopIfTrue="1" operator="equal">
      <formula>"1 Modify"</formula>
    </cfRule>
  </conditionalFormatting>
  <conditionalFormatting sqref="C678">
    <cfRule type="cellIs" dxfId="4060" priority="2030" stopIfTrue="1" operator="equal">
      <formula>"2 Add"</formula>
    </cfRule>
  </conditionalFormatting>
  <conditionalFormatting sqref="C678">
    <cfRule type="cellIs" dxfId="4059" priority="2031" stopIfTrue="1" operator="equal">
      <formula>"3 Delete"</formula>
    </cfRule>
  </conditionalFormatting>
  <conditionalFormatting sqref="C679">
    <cfRule type="cellIs" dxfId="4058" priority="2032" stopIfTrue="1" operator="equal">
      <formula>"1 Modify"</formula>
    </cfRule>
  </conditionalFormatting>
  <conditionalFormatting sqref="C679">
    <cfRule type="cellIs" dxfId="4057" priority="2033" stopIfTrue="1" operator="equal">
      <formula>"2 Add"</formula>
    </cfRule>
  </conditionalFormatting>
  <conditionalFormatting sqref="C679">
    <cfRule type="cellIs" dxfId="4056" priority="2034" stopIfTrue="1" operator="equal">
      <formula>"3 Delete"</formula>
    </cfRule>
  </conditionalFormatting>
  <conditionalFormatting sqref="C680">
    <cfRule type="cellIs" dxfId="4055" priority="2035" stopIfTrue="1" operator="equal">
      <formula>"1 Modify"</formula>
    </cfRule>
  </conditionalFormatting>
  <conditionalFormatting sqref="C680">
    <cfRule type="cellIs" dxfId="4054" priority="2036" stopIfTrue="1" operator="equal">
      <formula>"2 Add"</formula>
    </cfRule>
  </conditionalFormatting>
  <conditionalFormatting sqref="C680">
    <cfRule type="cellIs" dxfId="4053" priority="2037" stopIfTrue="1" operator="equal">
      <formula>"3 Delete"</formula>
    </cfRule>
  </conditionalFormatting>
  <conditionalFormatting sqref="C681">
    <cfRule type="cellIs" dxfId="4052" priority="2038" stopIfTrue="1" operator="equal">
      <formula>"1 Modify"</formula>
    </cfRule>
  </conditionalFormatting>
  <conditionalFormatting sqref="C681">
    <cfRule type="cellIs" dxfId="4051" priority="2039" stopIfTrue="1" operator="equal">
      <formula>"2 Add"</formula>
    </cfRule>
  </conditionalFormatting>
  <conditionalFormatting sqref="C681">
    <cfRule type="cellIs" dxfId="4050" priority="2040" stopIfTrue="1" operator="equal">
      <formula>"3 Delete"</formula>
    </cfRule>
  </conditionalFormatting>
  <conditionalFormatting sqref="C682">
    <cfRule type="cellIs" dxfId="4049" priority="2041" stopIfTrue="1" operator="equal">
      <formula>"1 Modify"</formula>
    </cfRule>
  </conditionalFormatting>
  <conditionalFormatting sqref="C682">
    <cfRule type="cellIs" dxfId="4048" priority="2042" stopIfTrue="1" operator="equal">
      <formula>"2 Add"</formula>
    </cfRule>
  </conditionalFormatting>
  <conditionalFormatting sqref="C682">
    <cfRule type="cellIs" dxfId="4047" priority="2043" stopIfTrue="1" operator="equal">
      <formula>"3 Delete"</formula>
    </cfRule>
  </conditionalFormatting>
  <conditionalFormatting sqref="C683">
    <cfRule type="cellIs" dxfId="4046" priority="2044" stopIfTrue="1" operator="equal">
      <formula>"1 Modify"</formula>
    </cfRule>
  </conditionalFormatting>
  <conditionalFormatting sqref="C683">
    <cfRule type="cellIs" dxfId="4045" priority="2045" stopIfTrue="1" operator="equal">
      <formula>"2 Add"</formula>
    </cfRule>
  </conditionalFormatting>
  <conditionalFormatting sqref="C683">
    <cfRule type="cellIs" dxfId="4044" priority="2046" stopIfTrue="1" operator="equal">
      <formula>"3 Delete"</formula>
    </cfRule>
  </conditionalFormatting>
  <conditionalFormatting sqref="C684">
    <cfRule type="cellIs" dxfId="4043" priority="2047" stopIfTrue="1" operator="equal">
      <formula>"1 Modify"</formula>
    </cfRule>
  </conditionalFormatting>
  <conditionalFormatting sqref="C684">
    <cfRule type="cellIs" dxfId="4042" priority="2048" stopIfTrue="1" operator="equal">
      <formula>"2 Add"</formula>
    </cfRule>
  </conditionalFormatting>
  <conditionalFormatting sqref="C684">
    <cfRule type="cellIs" dxfId="4041" priority="2049" stopIfTrue="1" operator="equal">
      <formula>"3 Delete"</formula>
    </cfRule>
  </conditionalFormatting>
  <conditionalFormatting sqref="C685">
    <cfRule type="cellIs" dxfId="4040" priority="2050" stopIfTrue="1" operator="equal">
      <formula>"1 Modify"</formula>
    </cfRule>
  </conditionalFormatting>
  <conditionalFormatting sqref="C685">
    <cfRule type="cellIs" dxfId="4039" priority="2051" stopIfTrue="1" operator="equal">
      <formula>"2 Add"</formula>
    </cfRule>
  </conditionalFormatting>
  <conditionalFormatting sqref="C685">
    <cfRule type="cellIs" dxfId="4038" priority="2052" stopIfTrue="1" operator="equal">
      <formula>"3 Delete"</formula>
    </cfRule>
  </conditionalFormatting>
  <conditionalFormatting sqref="C686">
    <cfRule type="cellIs" dxfId="4037" priority="2053" stopIfTrue="1" operator="equal">
      <formula>"1 Modify"</formula>
    </cfRule>
  </conditionalFormatting>
  <conditionalFormatting sqref="C686">
    <cfRule type="cellIs" dxfId="4036" priority="2054" stopIfTrue="1" operator="equal">
      <formula>"2 Add"</formula>
    </cfRule>
  </conditionalFormatting>
  <conditionalFormatting sqref="C686">
    <cfRule type="cellIs" dxfId="4035" priority="2055" stopIfTrue="1" operator="equal">
      <formula>"3 Delete"</formula>
    </cfRule>
  </conditionalFormatting>
  <conditionalFormatting sqref="C687">
    <cfRule type="cellIs" dxfId="4034" priority="2056" stopIfTrue="1" operator="equal">
      <formula>"1 Modify"</formula>
    </cfRule>
  </conditionalFormatting>
  <conditionalFormatting sqref="C687">
    <cfRule type="cellIs" dxfId="4033" priority="2057" stopIfTrue="1" operator="equal">
      <formula>"2 Add"</formula>
    </cfRule>
  </conditionalFormatting>
  <conditionalFormatting sqref="C687">
    <cfRule type="cellIs" dxfId="4032" priority="2058" stopIfTrue="1" operator="equal">
      <formula>"3 Delete"</formula>
    </cfRule>
  </conditionalFormatting>
  <conditionalFormatting sqref="C688">
    <cfRule type="cellIs" dxfId="4031" priority="2059" stopIfTrue="1" operator="equal">
      <formula>"1 Modify"</formula>
    </cfRule>
  </conditionalFormatting>
  <conditionalFormatting sqref="C688">
    <cfRule type="cellIs" dxfId="4030" priority="2060" stopIfTrue="1" operator="equal">
      <formula>"2 Add"</formula>
    </cfRule>
  </conditionalFormatting>
  <conditionalFormatting sqref="C688">
    <cfRule type="cellIs" dxfId="4029" priority="2061" stopIfTrue="1" operator="equal">
      <formula>"3 Delete"</formula>
    </cfRule>
  </conditionalFormatting>
  <conditionalFormatting sqref="C689">
    <cfRule type="cellIs" dxfId="4028" priority="2062" stopIfTrue="1" operator="equal">
      <formula>"1 Modify"</formula>
    </cfRule>
  </conditionalFormatting>
  <conditionalFormatting sqref="C689">
    <cfRule type="cellIs" dxfId="4027" priority="2063" stopIfTrue="1" operator="equal">
      <formula>"2 Add"</formula>
    </cfRule>
  </conditionalFormatting>
  <conditionalFormatting sqref="C689">
    <cfRule type="cellIs" dxfId="4026" priority="2064" stopIfTrue="1" operator="equal">
      <formula>"3 Delete"</formula>
    </cfRule>
  </conditionalFormatting>
  <conditionalFormatting sqref="C690">
    <cfRule type="cellIs" dxfId="4025" priority="2065" stopIfTrue="1" operator="equal">
      <formula>"1 Modify"</formula>
    </cfRule>
  </conditionalFormatting>
  <conditionalFormatting sqref="C690">
    <cfRule type="cellIs" dxfId="4024" priority="2066" stopIfTrue="1" operator="equal">
      <formula>"2 Add"</formula>
    </cfRule>
  </conditionalFormatting>
  <conditionalFormatting sqref="C690">
    <cfRule type="cellIs" dxfId="4023" priority="2067" stopIfTrue="1" operator="equal">
      <formula>"3 Delete"</formula>
    </cfRule>
  </conditionalFormatting>
  <conditionalFormatting sqref="C691">
    <cfRule type="cellIs" dxfId="4022" priority="2068" stopIfTrue="1" operator="equal">
      <formula>"1 Modify"</formula>
    </cfRule>
  </conditionalFormatting>
  <conditionalFormatting sqref="C691">
    <cfRule type="cellIs" dxfId="4021" priority="2069" stopIfTrue="1" operator="equal">
      <formula>"2 Add"</formula>
    </cfRule>
  </conditionalFormatting>
  <conditionalFormatting sqref="C691">
    <cfRule type="cellIs" dxfId="4020" priority="2070" stopIfTrue="1" operator="equal">
      <formula>"3 Delete"</formula>
    </cfRule>
  </conditionalFormatting>
  <conditionalFormatting sqref="C692">
    <cfRule type="cellIs" dxfId="4019" priority="2071" stopIfTrue="1" operator="equal">
      <formula>"1 Modify"</formula>
    </cfRule>
  </conditionalFormatting>
  <conditionalFormatting sqref="C692">
    <cfRule type="cellIs" dxfId="4018" priority="2072" stopIfTrue="1" operator="equal">
      <formula>"2 Add"</formula>
    </cfRule>
  </conditionalFormatting>
  <conditionalFormatting sqref="C692">
    <cfRule type="cellIs" dxfId="4017" priority="2073" stopIfTrue="1" operator="equal">
      <formula>"3 Delete"</formula>
    </cfRule>
  </conditionalFormatting>
  <conditionalFormatting sqref="C693">
    <cfRule type="cellIs" dxfId="4016" priority="2074" stopIfTrue="1" operator="equal">
      <formula>"1 Modify"</formula>
    </cfRule>
  </conditionalFormatting>
  <conditionalFormatting sqref="C693">
    <cfRule type="cellIs" dxfId="4015" priority="2075" stopIfTrue="1" operator="equal">
      <formula>"2 Add"</formula>
    </cfRule>
  </conditionalFormatting>
  <conditionalFormatting sqref="C693">
    <cfRule type="cellIs" dxfId="4014" priority="2076" stopIfTrue="1" operator="equal">
      <formula>"3 Delete"</formula>
    </cfRule>
  </conditionalFormatting>
  <conditionalFormatting sqref="C694">
    <cfRule type="cellIs" dxfId="4013" priority="2077" stopIfTrue="1" operator="equal">
      <formula>"1 Modify"</formula>
    </cfRule>
  </conditionalFormatting>
  <conditionalFormatting sqref="C694">
    <cfRule type="cellIs" dxfId="4012" priority="2078" stopIfTrue="1" operator="equal">
      <formula>"2 Add"</formula>
    </cfRule>
  </conditionalFormatting>
  <conditionalFormatting sqref="C694">
    <cfRule type="cellIs" dxfId="4011" priority="2079" stopIfTrue="1" operator="equal">
      <formula>"3 Delete"</formula>
    </cfRule>
  </conditionalFormatting>
  <conditionalFormatting sqref="C695">
    <cfRule type="cellIs" dxfId="4010" priority="2080" stopIfTrue="1" operator="equal">
      <formula>"1 Modify"</formula>
    </cfRule>
  </conditionalFormatting>
  <conditionalFormatting sqref="C695">
    <cfRule type="cellIs" dxfId="4009" priority="2081" stopIfTrue="1" operator="equal">
      <formula>"2 Add"</formula>
    </cfRule>
  </conditionalFormatting>
  <conditionalFormatting sqref="C695">
    <cfRule type="cellIs" dxfId="4008" priority="2082" stopIfTrue="1" operator="equal">
      <formula>"3 Delete"</formula>
    </cfRule>
  </conditionalFormatting>
  <conditionalFormatting sqref="C696">
    <cfRule type="cellIs" dxfId="4007" priority="2083" stopIfTrue="1" operator="equal">
      <formula>"1 Modify"</formula>
    </cfRule>
  </conditionalFormatting>
  <conditionalFormatting sqref="C696">
    <cfRule type="cellIs" dxfId="4006" priority="2084" stopIfTrue="1" operator="equal">
      <formula>"2 Add"</formula>
    </cfRule>
  </conditionalFormatting>
  <conditionalFormatting sqref="C696">
    <cfRule type="cellIs" dxfId="4005" priority="2085" stopIfTrue="1" operator="equal">
      <formula>"3 Delete"</formula>
    </cfRule>
  </conditionalFormatting>
  <conditionalFormatting sqref="C697">
    <cfRule type="cellIs" dxfId="4004" priority="2086" stopIfTrue="1" operator="equal">
      <formula>"1 Modify"</formula>
    </cfRule>
  </conditionalFormatting>
  <conditionalFormatting sqref="C697">
    <cfRule type="cellIs" dxfId="4003" priority="2087" stopIfTrue="1" operator="equal">
      <formula>"2 Add"</formula>
    </cfRule>
  </conditionalFormatting>
  <conditionalFormatting sqref="C697">
    <cfRule type="cellIs" dxfId="4002" priority="2088" stopIfTrue="1" operator="equal">
      <formula>"3 Delete"</formula>
    </cfRule>
  </conditionalFormatting>
  <conditionalFormatting sqref="C698">
    <cfRule type="cellIs" dxfId="4001" priority="2089" stopIfTrue="1" operator="equal">
      <formula>"1 Modify"</formula>
    </cfRule>
  </conditionalFormatting>
  <conditionalFormatting sqref="C698">
    <cfRule type="cellIs" dxfId="4000" priority="2090" stopIfTrue="1" operator="equal">
      <formula>"2 Add"</formula>
    </cfRule>
  </conditionalFormatting>
  <conditionalFormatting sqref="C698">
    <cfRule type="cellIs" dxfId="3999" priority="2091" stopIfTrue="1" operator="equal">
      <formula>"3 Delete"</formula>
    </cfRule>
  </conditionalFormatting>
  <conditionalFormatting sqref="C699">
    <cfRule type="cellIs" dxfId="3998" priority="2092" stopIfTrue="1" operator="equal">
      <formula>"1 Modify"</formula>
    </cfRule>
  </conditionalFormatting>
  <conditionalFormatting sqref="C699">
    <cfRule type="cellIs" dxfId="3997" priority="2093" stopIfTrue="1" operator="equal">
      <formula>"2 Add"</formula>
    </cfRule>
  </conditionalFormatting>
  <conditionalFormatting sqref="C699">
    <cfRule type="cellIs" dxfId="3996" priority="2094" stopIfTrue="1" operator="equal">
      <formula>"3 Delete"</formula>
    </cfRule>
  </conditionalFormatting>
  <conditionalFormatting sqref="C700">
    <cfRule type="cellIs" dxfId="3995" priority="2095" stopIfTrue="1" operator="equal">
      <formula>"1 Modify"</formula>
    </cfRule>
  </conditionalFormatting>
  <conditionalFormatting sqref="C700">
    <cfRule type="cellIs" dxfId="3994" priority="2096" stopIfTrue="1" operator="equal">
      <formula>"2 Add"</formula>
    </cfRule>
  </conditionalFormatting>
  <conditionalFormatting sqref="C700">
    <cfRule type="cellIs" dxfId="3993" priority="2097" stopIfTrue="1" operator="equal">
      <formula>"3 Delete"</formula>
    </cfRule>
  </conditionalFormatting>
  <conditionalFormatting sqref="C701">
    <cfRule type="cellIs" dxfId="3992" priority="2098" stopIfTrue="1" operator="equal">
      <formula>"1 Modify"</formula>
    </cfRule>
  </conditionalFormatting>
  <conditionalFormatting sqref="C701">
    <cfRule type="cellIs" dxfId="3991" priority="2099" stopIfTrue="1" operator="equal">
      <formula>"2 Add"</formula>
    </cfRule>
  </conditionalFormatting>
  <conditionalFormatting sqref="C701">
    <cfRule type="cellIs" dxfId="3990" priority="2100" stopIfTrue="1" operator="equal">
      <formula>"3 Delete"</formula>
    </cfRule>
  </conditionalFormatting>
  <conditionalFormatting sqref="C702">
    <cfRule type="cellIs" dxfId="3989" priority="2101" stopIfTrue="1" operator="equal">
      <formula>"1 Modify"</formula>
    </cfRule>
  </conditionalFormatting>
  <conditionalFormatting sqref="C702">
    <cfRule type="cellIs" dxfId="3988" priority="2102" stopIfTrue="1" operator="equal">
      <formula>"2 Add"</formula>
    </cfRule>
  </conditionalFormatting>
  <conditionalFormatting sqref="C702">
    <cfRule type="cellIs" dxfId="3987" priority="2103" stopIfTrue="1" operator="equal">
      <formula>"3 Delete"</formula>
    </cfRule>
  </conditionalFormatting>
  <conditionalFormatting sqref="C703">
    <cfRule type="cellIs" dxfId="3986" priority="2104" stopIfTrue="1" operator="equal">
      <formula>"1 Modify"</formula>
    </cfRule>
  </conditionalFormatting>
  <conditionalFormatting sqref="C703">
    <cfRule type="cellIs" dxfId="3985" priority="2105" stopIfTrue="1" operator="equal">
      <formula>"2 Add"</formula>
    </cfRule>
  </conditionalFormatting>
  <conditionalFormatting sqref="C703">
    <cfRule type="cellIs" dxfId="3984" priority="2106" stopIfTrue="1" operator="equal">
      <formula>"3 Delete"</formula>
    </cfRule>
  </conditionalFormatting>
  <conditionalFormatting sqref="C704">
    <cfRule type="cellIs" dxfId="3983" priority="2107" stopIfTrue="1" operator="equal">
      <formula>"1 Modify"</formula>
    </cfRule>
  </conditionalFormatting>
  <conditionalFormatting sqref="C704">
    <cfRule type="cellIs" dxfId="3982" priority="2108" stopIfTrue="1" operator="equal">
      <formula>"2 Add"</formula>
    </cfRule>
  </conditionalFormatting>
  <conditionalFormatting sqref="C704">
    <cfRule type="cellIs" dxfId="3981" priority="2109" stopIfTrue="1" operator="equal">
      <formula>"3 Delete"</formula>
    </cfRule>
  </conditionalFormatting>
  <conditionalFormatting sqref="C705">
    <cfRule type="cellIs" dxfId="3980" priority="2110" stopIfTrue="1" operator="equal">
      <formula>"1 Modify"</formula>
    </cfRule>
  </conditionalFormatting>
  <conditionalFormatting sqref="C705">
    <cfRule type="cellIs" dxfId="3979" priority="2111" stopIfTrue="1" operator="equal">
      <formula>"2 Add"</formula>
    </cfRule>
  </conditionalFormatting>
  <conditionalFormatting sqref="C705">
    <cfRule type="cellIs" dxfId="3978" priority="2112" stopIfTrue="1" operator="equal">
      <formula>"3 Delete"</formula>
    </cfRule>
  </conditionalFormatting>
  <conditionalFormatting sqref="C706">
    <cfRule type="cellIs" dxfId="3977" priority="2113" stopIfTrue="1" operator="equal">
      <formula>"1 Modify"</formula>
    </cfRule>
  </conditionalFormatting>
  <conditionalFormatting sqref="C706">
    <cfRule type="cellIs" dxfId="3976" priority="2114" stopIfTrue="1" operator="equal">
      <formula>"2 Add"</formula>
    </cfRule>
  </conditionalFormatting>
  <conditionalFormatting sqref="C706">
    <cfRule type="cellIs" dxfId="3975" priority="2115" stopIfTrue="1" operator="equal">
      <formula>"3 Delete"</formula>
    </cfRule>
  </conditionalFormatting>
  <conditionalFormatting sqref="C707">
    <cfRule type="cellIs" dxfId="3974" priority="2116" stopIfTrue="1" operator="equal">
      <formula>"1 Modify"</formula>
    </cfRule>
  </conditionalFormatting>
  <conditionalFormatting sqref="C707">
    <cfRule type="cellIs" dxfId="3973" priority="2117" stopIfTrue="1" operator="equal">
      <formula>"2 Add"</formula>
    </cfRule>
  </conditionalFormatting>
  <conditionalFormatting sqref="C707">
    <cfRule type="cellIs" dxfId="3972" priority="2118" stopIfTrue="1" operator="equal">
      <formula>"3 Delete"</formula>
    </cfRule>
  </conditionalFormatting>
  <conditionalFormatting sqref="C708">
    <cfRule type="cellIs" dxfId="3971" priority="2119" stopIfTrue="1" operator="equal">
      <formula>"1 Modify"</formula>
    </cfRule>
  </conditionalFormatting>
  <conditionalFormatting sqref="C708">
    <cfRule type="cellIs" dxfId="3970" priority="2120" stopIfTrue="1" operator="equal">
      <formula>"2 Add"</formula>
    </cfRule>
  </conditionalFormatting>
  <conditionalFormatting sqref="C708">
    <cfRule type="cellIs" dxfId="3969" priority="2121" stopIfTrue="1" operator="equal">
      <formula>"3 Delete"</formula>
    </cfRule>
  </conditionalFormatting>
  <conditionalFormatting sqref="C709">
    <cfRule type="cellIs" dxfId="3968" priority="2122" stopIfTrue="1" operator="equal">
      <formula>"1 Modify"</formula>
    </cfRule>
  </conditionalFormatting>
  <conditionalFormatting sqref="C709">
    <cfRule type="cellIs" dxfId="3967" priority="2123" stopIfTrue="1" operator="equal">
      <formula>"2 Add"</formula>
    </cfRule>
  </conditionalFormatting>
  <conditionalFormatting sqref="C709">
    <cfRule type="cellIs" dxfId="3966" priority="2124" stopIfTrue="1" operator="equal">
      <formula>"3 Delete"</formula>
    </cfRule>
  </conditionalFormatting>
  <conditionalFormatting sqref="C710">
    <cfRule type="cellIs" dxfId="3965" priority="2125" stopIfTrue="1" operator="equal">
      <formula>"1 Modify"</formula>
    </cfRule>
  </conditionalFormatting>
  <conditionalFormatting sqref="C710">
    <cfRule type="cellIs" dxfId="3964" priority="2126" stopIfTrue="1" operator="equal">
      <formula>"2 Add"</formula>
    </cfRule>
  </conditionalFormatting>
  <conditionalFormatting sqref="C710">
    <cfRule type="cellIs" dxfId="3963" priority="2127" stopIfTrue="1" operator="equal">
      <formula>"3 Delete"</formula>
    </cfRule>
  </conditionalFormatting>
  <conditionalFormatting sqref="C711">
    <cfRule type="cellIs" dxfId="3962" priority="2128" stopIfTrue="1" operator="equal">
      <formula>"1 Modify"</formula>
    </cfRule>
  </conditionalFormatting>
  <conditionalFormatting sqref="C711">
    <cfRule type="cellIs" dxfId="3961" priority="2129" stopIfTrue="1" operator="equal">
      <formula>"2 Add"</formula>
    </cfRule>
  </conditionalFormatting>
  <conditionalFormatting sqref="C711">
    <cfRule type="cellIs" dxfId="3960" priority="2130" stopIfTrue="1" operator="equal">
      <formula>"3 Delete"</formula>
    </cfRule>
  </conditionalFormatting>
  <conditionalFormatting sqref="C712">
    <cfRule type="cellIs" dxfId="3959" priority="2131" stopIfTrue="1" operator="equal">
      <formula>"1 Modify"</formula>
    </cfRule>
  </conditionalFormatting>
  <conditionalFormatting sqref="C712">
    <cfRule type="cellIs" dxfId="3958" priority="2132" stopIfTrue="1" operator="equal">
      <formula>"2 Add"</formula>
    </cfRule>
  </conditionalFormatting>
  <conditionalFormatting sqref="C712">
    <cfRule type="cellIs" dxfId="3957" priority="2133" stopIfTrue="1" operator="equal">
      <formula>"3 Delete"</formula>
    </cfRule>
  </conditionalFormatting>
  <conditionalFormatting sqref="C713">
    <cfRule type="cellIs" dxfId="3956" priority="2134" stopIfTrue="1" operator="equal">
      <formula>"1 Modify"</formula>
    </cfRule>
  </conditionalFormatting>
  <conditionalFormatting sqref="C713">
    <cfRule type="cellIs" dxfId="3955" priority="2135" stopIfTrue="1" operator="equal">
      <formula>"2 Add"</formula>
    </cfRule>
  </conditionalFormatting>
  <conditionalFormatting sqref="C713">
    <cfRule type="cellIs" dxfId="3954" priority="2136" stopIfTrue="1" operator="equal">
      <formula>"3 Delete"</formula>
    </cfRule>
  </conditionalFormatting>
  <conditionalFormatting sqref="C714">
    <cfRule type="cellIs" dxfId="3953" priority="2137" stopIfTrue="1" operator="equal">
      <formula>"1 Modify"</formula>
    </cfRule>
  </conditionalFormatting>
  <conditionalFormatting sqref="C714">
    <cfRule type="cellIs" dxfId="3952" priority="2138" stopIfTrue="1" operator="equal">
      <formula>"2 Add"</formula>
    </cfRule>
  </conditionalFormatting>
  <conditionalFormatting sqref="C714">
    <cfRule type="cellIs" dxfId="3951" priority="2139" stopIfTrue="1" operator="equal">
      <formula>"3 Delete"</formula>
    </cfRule>
  </conditionalFormatting>
  <conditionalFormatting sqref="C715">
    <cfRule type="cellIs" dxfId="3950" priority="2140" stopIfTrue="1" operator="equal">
      <formula>"1 Modify"</formula>
    </cfRule>
  </conditionalFormatting>
  <conditionalFormatting sqref="C715">
    <cfRule type="cellIs" dxfId="3949" priority="2141" stopIfTrue="1" operator="equal">
      <formula>"2 Add"</formula>
    </cfRule>
  </conditionalFormatting>
  <conditionalFormatting sqref="C715">
    <cfRule type="cellIs" dxfId="3948" priority="2142" stopIfTrue="1" operator="equal">
      <formula>"3 Delete"</formula>
    </cfRule>
  </conditionalFormatting>
  <conditionalFormatting sqref="C716">
    <cfRule type="cellIs" dxfId="3947" priority="2143" stopIfTrue="1" operator="equal">
      <formula>"1 Modify"</formula>
    </cfRule>
  </conditionalFormatting>
  <conditionalFormatting sqref="C716">
    <cfRule type="cellIs" dxfId="3946" priority="2144" stopIfTrue="1" operator="equal">
      <formula>"2 Add"</formula>
    </cfRule>
  </conditionalFormatting>
  <conditionalFormatting sqref="C716">
    <cfRule type="cellIs" dxfId="3945" priority="2145" stopIfTrue="1" operator="equal">
      <formula>"3 Delete"</formula>
    </cfRule>
  </conditionalFormatting>
  <conditionalFormatting sqref="C717">
    <cfRule type="cellIs" dxfId="3944" priority="2146" stopIfTrue="1" operator="equal">
      <formula>"1 Modify"</formula>
    </cfRule>
  </conditionalFormatting>
  <conditionalFormatting sqref="C717">
    <cfRule type="cellIs" dxfId="3943" priority="2147" stopIfTrue="1" operator="equal">
      <formula>"2 Add"</formula>
    </cfRule>
  </conditionalFormatting>
  <conditionalFormatting sqref="C717">
    <cfRule type="cellIs" dxfId="3942" priority="2148" stopIfTrue="1" operator="equal">
      <formula>"3 Delete"</formula>
    </cfRule>
  </conditionalFormatting>
  <conditionalFormatting sqref="C718">
    <cfRule type="cellIs" dxfId="3941" priority="2149" stopIfTrue="1" operator="equal">
      <formula>"1 Modify"</formula>
    </cfRule>
  </conditionalFormatting>
  <conditionalFormatting sqref="C718">
    <cfRule type="cellIs" dxfId="3940" priority="2150" stopIfTrue="1" operator="equal">
      <formula>"2 Add"</formula>
    </cfRule>
  </conditionalFormatting>
  <conditionalFormatting sqref="C718">
    <cfRule type="cellIs" dxfId="3939" priority="2151" stopIfTrue="1" operator="equal">
      <formula>"3 Delete"</formula>
    </cfRule>
  </conditionalFormatting>
  <conditionalFormatting sqref="C719">
    <cfRule type="cellIs" dxfId="3938" priority="2152" stopIfTrue="1" operator="equal">
      <formula>"1 Modify"</formula>
    </cfRule>
  </conditionalFormatting>
  <conditionalFormatting sqref="C719">
    <cfRule type="cellIs" dxfId="3937" priority="2153" stopIfTrue="1" operator="equal">
      <formula>"2 Add"</formula>
    </cfRule>
  </conditionalFormatting>
  <conditionalFormatting sqref="C719">
    <cfRule type="cellIs" dxfId="3936" priority="2154" stopIfTrue="1" operator="equal">
      <formula>"3 Delete"</formula>
    </cfRule>
  </conditionalFormatting>
  <conditionalFormatting sqref="C720">
    <cfRule type="cellIs" dxfId="3935" priority="2155" stopIfTrue="1" operator="equal">
      <formula>"1 Modify"</formula>
    </cfRule>
  </conditionalFormatting>
  <conditionalFormatting sqref="C720">
    <cfRule type="cellIs" dxfId="3934" priority="2156" stopIfTrue="1" operator="equal">
      <formula>"2 Add"</formula>
    </cfRule>
  </conditionalFormatting>
  <conditionalFormatting sqref="C720">
    <cfRule type="cellIs" dxfId="3933" priority="2157" stopIfTrue="1" operator="equal">
      <formula>"3 Delete"</formula>
    </cfRule>
  </conditionalFormatting>
  <conditionalFormatting sqref="C721">
    <cfRule type="cellIs" dxfId="3932" priority="2158" stopIfTrue="1" operator="equal">
      <formula>"1 Modify"</formula>
    </cfRule>
  </conditionalFormatting>
  <conditionalFormatting sqref="C721">
    <cfRule type="cellIs" dxfId="3931" priority="2159" stopIfTrue="1" operator="equal">
      <formula>"2 Add"</formula>
    </cfRule>
  </conditionalFormatting>
  <conditionalFormatting sqref="C721">
    <cfRule type="cellIs" dxfId="3930" priority="2160" stopIfTrue="1" operator="equal">
      <formula>"3 Delete"</formula>
    </cfRule>
  </conditionalFormatting>
  <conditionalFormatting sqref="C722">
    <cfRule type="cellIs" dxfId="3929" priority="2161" stopIfTrue="1" operator="equal">
      <formula>"1 Modify"</formula>
    </cfRule>
  </conditionalFormatting>
  <conditionalFormatting sqref="C722">
    <cfRule type="cellIs" dxfId="3928" priority="2162" stopIfTrue="1" operator="equal">
      <formula>"2 Add"</formula>
    </cfRule>
  </conditionalFormatting>
  <conditionalFormatting sqref="C722">
    <cfRule type="cellIs" dxfId="3927" priority="2163" stopIfTrue="1" operator="equal">
      <formula>"3 Delete"</formula>
    </cfRule>
  </conditionalFormatting>
  <conditionalFormatting sqref="C723">
    <cfRule type="cellIs" dxfId="3926" priority="2164" stopIfTrue="1" operator="equal">
      <formula>"1 Modify"</formula>
    </cfRule>
  </conditionalFormatting>
  <conditionalFormatting sqref="C723">
    <cfRule type="cellIs" dxfId="3925" priority="2165" stopIfTrue="1" operator="equal">
      <formula>"2 Add"</formula>
    </cfRule>
  </conditionalFormatting>
  <conditionalFormatting sqref="C723">
    <cfRule type="cellIs" dxfId="3924" priority="2166" stopIfTrue="1" operator="equal">
      <formula>"3 Delete"</formula>
    </cfRule>
  </conditionalFormatting>
  <conditionalFormatting sqref="C724">
    <cfRule type="cellIs" dxfId="3923" priority="2167" stopIfTrue="1" operator="equal">
      <formula>"1 Modify"</formula>
    </cfRule>
  </conditionalFormatting>
  <conditionalFormatting sqref="C724">
    <cfRule type="cellIs" dxfId="3922" priority="2168" stopIfTrue="1" operator="equal">
      <formula>"2 Add"</formula>
    </cfRule>
  </conditionalFormatting>
  <conditionalFormatting sqref="C724">
    <cfRule type="cellIs" dxfId="3921" priority="2169" stopIfTrue="1" operator="equal">
      <formula>"3 Delete"</formula>
    </cfRule>
  </conditionalFormatting>
  <conditionalFormatting sqref="C725">
    <cfRule type="cellIs" dxfId="3920" priority="2170" stopIfTrue="1" operator="equal">
      <formula>"1 Modify"</formula>
    </cfRule>
  </conditionalFormatting>
  <conditionalFormatting sqref="C725">
    <cfRule type="cellIs" dxfId="3919" priority="2171" stopIfTrue="1" operator="equal">
      <formula>"2 Add"</formula>
    </cfRule>
  </conditionalFormatting>
  <conditionalFormatting sqref="C725">
    <cfRule type="cellIs" dxfId="3918" priority="2172" stopIfTrue="1" operator="equal">
      <formula>"3 Delete"</formula>
    </cfRule>
  </conditionalFormatting>
  <conditionalFormatting sqref="C726">
    <cfRule type="cellIs" dxfId="3917" priority="2173" stopIfTrue="1" operator="equal">
      <formula>"1 Modify"</formula>
    </cfRule>
  </conditionalFormatting>
  <conditionalFormatting sqref="C726">
    <cfRule type="cellIs" dxfId="3916" priority="2174" stopIfTrue="1" operator="equal">
      <formula>"2 Add"</formula>
    </cfRule>
  </conditionalFormatting>
  <conditionalFormatting sqref="C726">
    <cfRule type="cellIs" dxfId="3915" priority="2175" stopIfTrue="1" operator="equal">
      <formula>"3 Delete"</formula>
    </cfRule>
  </conditionalFormatting>
  <conditionalFormatting sqref="C727">
    <cfRule type="cellIs" dxfId="3914" priority="2176" stopIfTrue="1" operator="equal">
      <formula>"1 Modify"</formula>
    </cfRule>
  </conditionalFormatting>
  <conditionalFormatting sqref="C727">
    <cfRule type="cellIs" dxfId="3913" priority="2177" stopIfTrue="1" operator="equal">
      <formula>"2 Add"</formula>
    </cfRule>
  </conditionalFormatting>
  <conditionalFormatting sqref="C727">
    <cfRule type="cellIs" dxfId="3912" priority="2178" stopIfTrue="1" operator="equal">
      <formula>"3 Delete"</formula>
    </cfRule>
  </conditionalFormatting>
  <conditionalFormatting sqref="C728">
    <cfRule type="cellIs" dxfId="3911" priority="2179" stopIfTrue="1" operator="equal">
      <formula>"1 Modify"</formula>
    </cfRule>
  </conditionalFormatting>
  <conditionalFormatting sqref="C728">
    <cfRule type="cellIs" dxfId="3910" priority="2180" stopIfTrue="1" operator="equal">
      <formula>"2 Add"</formula>
    </cfRule>
  </conditionalFormatting>
  <conditionalFormatting sqref="C728">
    <cfRule type="cellIs" dxfId="3909" priority="2181" stopIfTrue="1" operator="equal">
      <formula>"3 Delete"</formula>
    </cfRule>
  </conditionalFormatting>
  <conditionalFormatting sqref="C729">
    <cfRule type="cellIs" dxfId="3908" priority="2182" stopIfTrue="1" operator="equal">
      <formula>"1 Modify"</formula>
    </cfRule>
  </conditionalFormatting>
  <conditionalFormatting sqref="C729">
    <cfRule type="cellIs" dxfId="3907" priority="2183" stopIfTrue="1" operator="equal">
      <formula>"2 Add"</formula>
    </cfRule>
  </conditionalFormatting>
  <conditionalFormatting sqref="C729">
    <cfRule type="cellIs" dxfId="3906" priority="2184" stopIfTrue="1" operator="equal">
      <formula>"3 Delete"</formula>
    </cfRule>
  </conditionalFormatting>
  <conditionalFormatting sqref="C730">
    <cfRule type="cellIs" dxfId="3905" priority="2185" stopIfTrue="1" operator="equal">
      <formula>"1 Modify"</formula>
    </cfRule>
  </conditionalFormatting>
  <conditionalFormatting sqref="C730">
    <cfRule type="cellIs" dxfId="3904" priority="2186" stopIfTrue="1" operator="equal">
      <formula>"2 Add"</formula>
    </cfRule>
  </conditionalFormatting>
  <conditionalFormatting sqref="C730">
    <cfRule type="cellIs" dxfId="3903" priority="2187" stopIfTrue="1" operator="equal">
      <formula>"3 Delete"</formula>
    </cfRule>
  </conditionalFormatting>
  <conditionalFormatting sqref="C731">
    <cfRule type="cellIs" dxfId="3902" priority="2188" stopIfTrue="1" operator="equal">
      <formula>"1 Modify"</formula>
    </cfRule>
  </conditionalFormatting>
  <conditionalFormatting sqref="C731">
    <cfRule type="cellIs" dxfId="3901" priority="2189" stopIfTrue="1" operator="equal">
      <formula>"2 Add"</formula>
    </cfRule>
  </conditionalFormatting>
  <conditionalFormatting sqref="C731">
    <cfRule type="cellIs" dxfId="3900" priority="2190" stopIfTrue="1" operator="equal">
      <formula>"3 Delete"</formula>
    </cfRule>
  </conditionalFormatting>
  <conditionalFormatting sqref="C732">
    <cfRule type="cellIs" dxfId="3899" priority="2191" stopIfTrue="1" operator="equal">
      <formula>"1 Modify"</formula>
    </cfRule>
  </conditionalFormatting>
  <conditionalFormatting sqref="C732">
    <cfRule type="cellIs" dxfId="3898" priority="2192" stopIfTrue="1" operator="equal">
      <formula>"2 Add"</formula>
    </cfRule>
  </conditionalFormatting>
  <conditionalFormatting sqref="C732">
    <cfRule type="cellIs" dxfId="3897" priority="2193" stopIfTrue="1" operator="equal">
      <formula>"3 Delete"</formula>
    </cfRule>
  </conditionalFormatting>
  <conditionalFormatting sqref="C733">
    <cfRule type="cellIs" dxfId="3896" priority="2194" stopIfTrue="1" operator="equal">
      <formula>"1 Modify"</formula>
    </cfRule>
  </conditionalFormatting>
  <conditionalFormatting sqref="C733">
    <cfRule type="cellIs" dxfId="3895" priority="2195" stopIfTrue="1" operator="equal">
      <formula>"2 Add"</formula>
    </cfRule>
  </conditionalFormatting>
  <conditionalFormatting sqref="C733">
    <cfRule type="cellIs" dxfId="3894" priority="2196" stopIfTrue="1" operator="equal">
      <formula>"3 Delete"</formula>
    </cfRule>
  </conditionalFormatting>
  <conditionalFormatting sqref="C734">
    <cfRule type="cellIs" dxfId="3893" priority="2197" stopIfTrue="1" operator="equal">
      <formula>"1 Modify"</formula>
    </cfRule>
  </conditionalFormatting>
  <conditionalFormatting sqref="C734">
    <cfRule type="cellIs" dxfId="3892" priority="2198" stopIfTrue="1" operator="equal">
      <formula>"2 Add"</formula>
    </cfRule>
  </conditionalFormatting>
  <conditionalFormatting sqref="C734">
    <cfRule type="cellIs" dxfId="3891" priority="2199" stopIfTrue="1" operator="equal">
      <formula>"3 Delete"</formula>
    </cfRule>
  </conditionalFormatting>
  <conditionalFormatting sqref="C735">
    <cfRule type="cellIs" dxfId="3890" priority="2200" stopIfTrue="1" operator="equal">
      <formula>"1 Modify"</formula>
    </cfRule>
  </conditionalFormatting>
  <conditionalFormatting sqref="C735">
    <cfRule type="cellIs" dxfId="3889" priority="2201" stopIfTrue="1" operator="equal">
      <formula>"2 Add"</formula>
    </cfRule>
  </conditionalFormatting>
  <conditionalFormatting sqref="C735">
    <cfRule type="cellIs" dxfId="3888" priority="2202" stopIfTrue="1" operator="equal">
      <formula>"3 Delete"</formula>
    </cfRule>
  </conditionalFormatting>
  <conditionalFormatting sqref="C736">
    <cfRule type="cellIs" dxfId="3887" priority="2203" stopIfTrue="1" operator="equal">
      <formula>"1 Modify"</formula>
    </cfRule>
  </conditionalFormatting>
  <conditionalFormatting sqref="C736">
    <cfRule type="cellIs" dxfId="3886" priority="2204" stopIfTrue="1" operator="equal">
      <formula>"2 Add"</formula>
    </cfRule>
  </conditionalFormatting>
  <conditionalFormatting sqref="C736">
    <cfRule type="cellIs" dxfId="3885" priority="2205" stopIfTrue="1" operator="equal">
      <formula>"3 Delete"</formula>
    </cfRule>
  </conditionalFormatting>
  <conditionalFormatting sqref="C737">
    <cfRule type="cellIs" dxfId="3884" priority="2206" stopIfTrue="1" operator="equal">
      <formula>"1 Modify"</formula>
    </cfRule>
  </conditionalFormatting>
  <conditionalFormatting sqref="C737">
    <cfRule type="cellIs" dxfId="3883" priority="2207" stopIfTrue="1" operator="equal">
      <formula>"2 Add"</formula>
    </cfRule>
  </conditionalFormatting>
  <conditionalFormatting sqref="C737">
    <cfRule type="cellIs" dxfId="3882" priority="2208" stopIfTrue="1" operator="equal">
      <formula>"3 Delete"</formula>
    </cfRule>
  </conditionalFormatting>
  <conditionalFormatting sqref="C738">
    <cfRule type="cellIs" dxfId="3881" priority="2209" stopIfTrue="1" operator="equal">
      <formula>"1 Modify"</formula>
    </cfRule>
  </conditionalFormatting>
  <conditionalFormatting sqref="C738">
    <cfRule type="cellIs" dxfId="3880" priority="2210" stopIfTrue="1" operator="equal">
      <formula>"2 Add"</formula>
    </cfRule>
  </conditionalFormatting>
  <conditionalFormatting sqref="C738">
    <cfRule type="cellIs" dxfId="3879" priority="2211" stopIfTrue="1" operator="equal">
      <formula>"3 Delete"</formula>
    </cfRule>
  </conditionalFormatting>
  <conditionalFormatting sqref="C739">
    <cfRule type="cellIs" dxfId="3878" priority="2212" stopIfTrue="1" operator="equal">
      <formula>"1 Modify"</formula>
    </cfRule>
  </conditionalFormatting>
  <conditionalFormatting sqref="C739">
    <cfRule type="cellIs" dxfId="3877" priority="2213" stopIfTrue="1" operator="equal">
      <formula>"2 Add"</formula>
    </cfRule>
  </conditionalFormatting>
  <conditionalFormatting sqref="C739">
    <cfRule type="cellIs" dxfId="3876" priority="2214" stopIfTrue="1" operator="equal">
      <formula>"3 Delete"</formula>
    </cfRule>
  </conditionalFormatting>
  <conditionalFormatting sqref="C740">
    <cfRule type="cellIs" dxfId="3875" priority="2215" stopIfTrue="1" operator="equal">
      <formula>"1 Modify"</formula>
    </cfRule>
  </conditionalFormatting>
  <conditionalFormatting sqref="C740">
    <cfRule type="cellIs" dxfId="3874" priority="2216" stopIfTrue="1" operator="equal">
      <formula>"2 Add"</formula>
    </cfRule>
  </conditionalFormatting>
  <conditionalFormatting sqref="C740">
    <cfRule type="cellIs" dxfId="3873" priority="2217" stopIfTrue="1" operator="equal">
      <formula>"3 Delete"</formula>
    </cfRule>
  </conditionalFormatting>
  <conditionalFormatting sqref="C741">
    <cfRule type="cellIs" dxfId="3872" priority="2218" stopIfTrue="1" operator="equal">
      <formula>"1 Modify"</formula>
    </cfRule>
  </conditionalFormatting>
  <conditionalFormatting sqref="C741">
    <cfRule type="cellIs" dxfId="3871" priority="2219" stopIfTrue="1" operator="equal">
      <formula>"2 Add"</formula>
    </cfRule>
  </conditionalFormatting>
  <conditionalFormatting sqref="C741">
    <cfRule type="cellIs" dxfId="3870" priority="2220" stopIfTrue="1" operator="equal">
      <formula>"3 Delete"</formula>
    </cfRule>
  </conditionalFormatting>
  <conditionalFormatting sqref="C742">
    <cfRule type="cellIs" dxfId="3869" priority="2221" stopIfTrue="1" operator="equal">
      <formula>"1 Modify"</formula>
    </cfRule>
  </conditionalFormatting>
  <conditionalFormatting sqref="C742">
    <cfRule type="cellIs" dxfId="3868" priority="2222" stopIfTrue="1" operator="equal">
      <formula>"2 Add"</formula>
    </cfRule>
  </conditionalFormatting>
  <conditionalFormatting sqref="C742">
    <cfRule type="cellIs" dxfId="3867" priority="2223" stopIfTrue="1" operator="equal">
      <formula>"3 Delete"</formula>
    </cfRule>
  </conditionalFormatting>
  <conditionalFormatting sqref="C743">
    <cfRule type="cellIs" dxfId="3866" priority="2224" stopIfTrue="1" operator="equal">
      <formula>"1 Modify"</formula>
    </cfRule>
  </conditionalFormatting>
  <conditionalFormatting sqref="C743">
    <cfRule type="cellIs" dxfId="3865" priority="2225" stopIfTrue="1" operator="equal">
      <formula>"2 Add"</formula>
    </cfRule>
  </conditionalFormatting>
  <conditionalFormatting sqref="C743">
    <cfRule type="cellIs" dxfId="3864" priority="2226" stopIfTrue="1" operator="equal">
      <formula>"3 Delete"</formula>
    </cfRule>
  </conditionalFormatting>
  <conditionalFormatting sqref="C744">
    <cfRule type="cellIs" dxfId="3863" priority="2227" stopIfTrue="1" operator="equal">
      <formula>"1 Modify"</formula>
    </cfRule>
  </conditionalFormatting>
  <conditionalFormatting sqref="C744">
    <cfRule type="cellIs" dxfId="3862" priority="2228" stopIfTrue="1" operator="equal">
      <formula>"2 Add"</formula>
    </cfRule>
  </conditionalFormatting>
  <conditionalFormatting sqref="C744">
    <cfRule type="cellIs" dxfId="3861" priority="2229" stopIfTrue="1" operator="equal">
      <formula>"3 Delete"</formula>
    </cfRule>
  </conditionalFormatting>
  <conditionalFormatting sqref="C745">
    <cfRule type="cellIs" dxfId="3860" priority="2230" stopIfTrue="1" operator="equal">
      <formula>"1 Modify"</formula>
    </cfRule>
  </conditionalFormatting>
  <conditionalFormatting sqref="C745">
    <cfRule type="cellIs" dxfId="3859" priority="2231" stopIfTrue="1" operator="equal">
      <formula>"2 Add"</formula>
    </cfRule>
  </conditionalFormatting>
  <conditionalFormatting sqref="C745">
    <cfRule type="cellIs" dxfId="3858" priority="2232" stopIfTrue="1" operator="equal">
      <formula>"3 Delete"</formula>
    </cfRule>
  </conditionalFormatting>
  <conditionalFormatting sqref="C746">
    <cfRule type="cellIs" dxfId="3857" priority="2233" stopIfTrue="1" operator="equal">
      <formula>"1 Modify"</formula>
    </cfRule>
  </conditionalFormatting>
  <conditionalFormatting sqref="C746">
    <cfRule type="cellIs" dxfId="3856" priority="2234" stopIfTrue="1" operator="equal">
      <formula>"2 Add"</formula>
    </cfRule>
  </conditionalFormatting>
  <conditionalFormatting sqref="C746">
    <cfRule type="cellIs" dxfId="3855" priority="2235" stopIfTrue="1" operator="equal">
      <formula>"3 Delete"</formula>
    </cfRule>
  </conditionalFormatting>
  <conditionalFormatting sqref="C747">
    <cfRule type="cellIs" dxfId="3854" priority="2236" stopIfTrue="1" operator="equal">
      <formula>"1 Modify"</formula>
    </cfRule>
  </conditionalFormatting>
  <conditionalFormatting sqref="C747">
    <cfRule type="cellIs" dxfId="3853" priority="2237" stopIfTrue="1" operator="equal">
      <formula>"2 Add"</formula>
    </cfRule>
  </conditionalFormatting>
  <conditionalFormatting sqref="C747">
    <cfRule type="cellIs" dxfId="3852" priority="2238" stopIfTrue="1" operator="equal">
      <formula>"3 Delete"</formula>
    </cfRule>
  </conditionalFormatting>
  <conditionalFormatting sqref="C748">
    <cfRule type="cellIs" dxfId="3851" priority="2239" stopIfTrue="1" operator="equal">
      <formula>"1 Modify"</formula>
    </cfRule>
  </conditionalFormatting>
  <conditionalFormatting sqref="C748">
    <cfRule type="cellIs" dxfId="3850" priority="2240" stopIfTrue="1" operator="equal">
      <formula>"2 Add"</formula>
    </cfRule>
  </conditionalFormatting>
  <conditionalFormatting sqref="C748">
    <cfRule type="cellIs" dxfId="3849" priority="2241" stopIfTrue="1" operator="equal">
      <formula>"3 Delete"</formula>
    </cfRule>
  </conditionalFormatting>
  <conditionalFormatting sqref="C749">
    <cfRule type="cellIs" dxfId="3848" priority="2242" stopIfTrue="1" operator="equal">
      <formula>"1 Modify"</formula>
    </cfRule>
  </conditionalFormatting>
  <conditionalFormatting sqref="C749">
    <cfRule type="cellIs" dxfId="3847" priority="2243" stopIfTrue="1" operator="equal">
      <formula>"2 Add"</formula>
    </cfRule>
  </conditionalFormatting>
  <conditionalFormatting sqref="C749">
    <cfRule type="cellIs" dxfId="3846" priority="2244" stopIfTrue="1" operator="equal">
      <formula>"3 Delete"</formula>
    </cfRule>
  </conditionalFormatting>
  <conditionalFormatting sqref="C750">
    <cfRule type="cellIs" dxfId="3845" priority="2245" stopIfTrue="1" operator="equal">
      <formula>"1 Modify"</formula>
    </cfRule>
  </conditionalFormatting>
  <conditionalFormatting sqref="C750">
    <cfRule type="cellIs" dxfId="3844" priority="2246" stopIfTrue="1" operator="equal">
      <formula>"2 Add"</formula>
    </cfRule>
  </conditionalFormatting>
  <conditionalFormatting sqref="C750">
    <cfRule type="cellIs" dxfId="3843" priority="2247" stopIfTrue="1" operator="equal">
      <formula>"3 Delete"</formula>
    </cfRule>
  </conditionalFormatting>
  <conditionalFormatting sqref="C751">
    <cfRule type="cellIs" dxfId="3842" priority="2248" stopIfTrue="1" operator="equal">
      <formula>"1 Modify"</formula>
    </cfRule>
  </conditionalFormatting>
  <conditionalFormatting sqref="C751">
    <cfRule type="cellIs" dxfId="3841" priority="2249" stopIfTrue="1" operator="equal">
      <formula>"2 Add"</formula>
    </cfRule>
  </conditionalFormatting>
  <conditionalFormatting sqref="C751">
    <cfRule type="cellIs" dxfId="3840" priority="2250" stopIfTrue="1" operator="equal">
      <formula>"3 Delete"</formula>
    </cfRule>
  </conditionalFormatting>
  <conditionalFormatting sqref="C752">
    <cfRule type="cellIs" dxfId="3839" priority="2251" stopIfTrue="1" operator="equal">
      <formula>"1 Modify"</formula>
    </cfRule>
  </conditionalFormatting>
  <conditionalFormatting sqref="C752">
    <cfRule type="cellIs" dxfId="3838" priority="2252" stopIfTrue="1" operator="equal">
      <formula>"2 Add"</formula>
    </cfRule>
  </conditionalFormatting>
  <conditionalFormatting sqref="C752">
    <cfRule type="cellIs" dxfId="3837" priority="2253" stopIfTrue="1" operator="equal">
      <formula>"3 Delete"</formula>
    </cfRule>
  </conditionalFormatting>
  <conditionalFormatting sqref="C753">
    <cfRule type="cellIs" dxfId="3836" priority="2254" stopIfTrue="1" operator="equal">
      <formula>"1 Modify"</formula>
    </cfRule>
  </conditionalFormatting>
  <conditionalFormatting sqref="C753">
    <cfRule type="cellIs" dxfId="3835" priority="2255" stopIfTrue="1" operator="equal">
      <formula>"2 Add"</formula>
    </cfRule>
  </conditionalFormatting>
  <conditionalFormatting sqref="C753">
    <cfRule type="cellIs" dxfId="3834" priority="2256" stopIfTrue="1" operator="equal">
      <formula>"3 Delete"</formula>
    </cfRule>
  </conditionalFormatting>
  <conditionalFormatting sqref="C754">
    <cfRule type="cellIs" dxfId="3833" priority="2257" stopIfTrue="1" operator="equal">
      <formula>"1 Modify"</formula>
    </cfRule>
  </conditionalFormatting>
  <conditionalFormatting sqref="C754">
    <cfRule type="cellIs" dxfId="3832" priority="2258" stopIfTrue="1" operator="equal">
      <formula>"2 Add"</formula>
    </cfRule>
  </conditionalFormatting>
  <conditionalFormatting sqref="C754">
    <cfRule type="cellIs" dxfId="3831" priority="2259" stopIfTrue="1" operator="equal">
      <formula>"3 Delete"</formula>
    </cfRule>
  </conditionalFormatting>
  <conditionalFormatting sqref="C755">
    <cfRule type="cellIs" dxfId="3830" priority="2260" stopIfTrue="1" operator="equal">
      <formula>"1 Modify"</formula>
    </cfRule>
  </conditionalFormatting>
  <conditionalFormatting sqref="C755">
    <cfRule type="cellIs" dxfId="3829" priority="2261" stopIfTrue="1" operator="equal">
      <formula>"2 Add"</formula>
    </cfRule>
  </conditionalFormatting>
  <conditionalFormatting sqref="C755">
    <cfRule type="cellIs" dxfId="3828" priority="2262" stopIfTrue="1" operator="equal">
      <formula>"3 Delete"</formula>
    </cfRule>
  </conditionalFormatting>
  <conditionalFormatting sqref="C756">
    <cfRule type="cellIs" dxfId="3827" priority="2263" stopIfTrue="1" operator="equal">
      <formula>"1 Modify"</formula>
    </cfRule>
  </conditionalFormatting>
  <conditionalFormatting sqref="C756">
    <cfRule type="cellIs" dxfId="3826" priority="2264" stopIfTrue="1" operator="equal">
      <formula>"2 Add"</formula>
    </cfRule>
  </conditionalFormatting>
  <conditionalFormatting sqref="C756">
    <cfRule type="cellIs" dxfId="3825" priority="2265" stopIfTrue="1" operator="equal">
      <formula>"3 Delete"</formula>
    </cfRule>
  </conditionalFormatting>
  <conditionalFormatting sqref="C757">
    <cfRule type="cellIs" dxfId="3824" priority="2266" stopIfTrue="1" operator="equal">
      <formula>"1 Modify"</formula>
    </cfRule>
  </conditionalFormatting>
  <conditionalFormatting sqref="C757">
    <cfRule type="cellIs" dxfId="3823" priority="2267" stopIfTrue="1" operator="equal">
      <formula>"2 Add"</formula>
    </cfRule>
  </conditionalFormatting>
  <conditionalFormatting sqref="C757">
    <cfRule type="cellIs" dxfId="3822" priority="2268" stopIfTrue="1" operator="equal">
      <formula>"3 Delete"</formula>
    </cfRule>
  </conditionalFormatting>
  <conditionalFormatting sqref="C758">
    <cfRule type="cellIs" dxfId="3821" priority="2269" stopIfTrue="1" operator="equal">
      <formula>"1 Modify"</formula>
    </cfRule>
  </conditionalFormatting>
  <conditionalFormatting sqref="C758">
    <cfRule type="cellIs" dxfId="3820" priority="2270" stopIfTrue="1" operator="equal">
      <formula>"2 Add"</formula>
    </cfRule>
  </conditionalFormatting>
  <conditionalFormatting sqref="C758">
    <cfRule type="cellIs" dxfId="3819" priority="2271" stopIfTrue="1" operator="equal">
      <formula>"3 Delete"</formula>
    </cfRule>
  </conditionalFormatting>
  <conditionalFormatting sqref="C759">
    <cfRule type="cellIs" dxfId="3818" priority="2272" stopIfTrue="1" operator="equal">
      <formula>"1 Modify"</formula>
    </cfRule>
  </conditionalFormatting>
  <conditionalFormatting sqref="C759">
    <cfRule type="cellIs" dxfId="3817" priority="2273" stopIfTrue="1" operator="equal">
      <formula>"2 Add"</formula>
    </cfRule>
  </conditionalFormatting>
  <conditionalFormatting sqref="C759">
    <cfRule type="cellIs" dxfId="3816" priority="2274" stopIfTrue="1" operator="equal">
      <formula>"3 Delete"</formula>
    </cfRule>
  </conditionalFormatting>
  <conditionalFormatting sqref="C760">
    <cfRule type="cellIs" dxfId="3815" priority="2275" stopIfTrue="1" operator="equal">
      <formula>"1 Modify"</formula>
    </cfRule>
  </conditionalFormatting>
  <conditionalFormatting sqref="C760">
    <cfRule type="cellIs" dxfId="3814" priority="2276" stopIfTrue="1" operator="equal">
      <formula>"2 Add"</formula>
    </cfRule>
  </conditionalFormatting>
  <conditionalFormatting sqref="C760">
    <cfRule type="cellIs" dxfId="3813" priority="2277" stopIfTrue="1" operator="equal">
      <formula>"3 Delete"</formula>
    </cfRule>
  </conditionalFormatting>
  <conditionalFormatting sqref="C761">
    <cfRule type="cellIs" dxfId="3812" priority="2278" stopIfTrue="1" operator="equal">
      <formula>"1 Modify"</formula>
    </cfRule>
  </conditionalFormatting>
  <conditionalFormatting sqref="C761">
    <cfRule type="cellIs" dxfId="3811" priority="2279" stopIfTrue="1" operator="equal">
      <formula>"2 Add"</formula>
    </cfRule>
  </conditionalFormatting>
  <conditionalFormatting sqref="C761">
    <cfRule type="cellIs" dxfId="3810" priority="2280" stopIfTrue="1" operator="equal">
      <formula>"3 Delete"</formula>
    </cfRule>
  </conditionalFormatting>
  <conditionalFormatting sqref="C762">
    <cfRule type="cellIs" dxfId="3809" priority="2281" stopIfTrue="1" operator="equal">
      <formula>"1 Modify"</formula>
    </cfRule>
  </conditionalFormatting>
  <conditionalFormatting sqref="C762">
    <cfRule type="cellIs" dxfId="3808" priority="2282" stopIfTrue="1" operator="equal">
      <formula>"2 Add"</formula>
    </cfRule>
  </conditionalFormatting>
  <conditionalFormatting sqref="C762">
    <cfRule type="cellIs" dxfId="3807" priority="2283" stopIfTrue="1" operator="equal">
      <formula>"3 Delete"</formula>
    </cfRule>
  </conditionalFormatting>
  <conditionalFormatting sqref="C763">
    <cfRule type="cellIs" dxfId="3806" priority="2284" stopIfTrue="1" operator="equal">
      <formula>"1 Modify"</formula>
    </cfRule>
  </conditionalFormatting>
  <conditionalFormatting sqref="C763">
    <cfRule type="cellIs" dxfId="3805" priority="2285" stopIfTrue="1" operator="equal">
      <formula>"2 Add"</formula>
    </cfRule>
  </conditionalFormatting>
  <conditionalFormatting sqref="C763">
    <cfRule type="cellIs" dxfId="3804" priority="2286" stopIfTrue="1" operator="equal">
      <formula>"3 Delete"</formula>
    </cfRule>
  </conditionalFormatting>
  <conditionalFormatting sqref="C764">
    <cfRule type="cellIs" dxfId="3803" priority="2287" stopIfTrue="1" operator="equal">
      <formula>"1 Modify"</formula>
    </cfRule>
  </conditionalFormatting>
  <conditionalFormatting sqref="C764">
    <cfRule type="cellIs" dxfId="3802" priority="2288" stopIfTrue="1" operator="equal">
      <formula>"2 Add"</formula>
    </cfRule>
  </conditionalFormatting>
  <conditionalFormatting sqref="C764">
    <cfRule type="cellIs" dxfId="3801" priority="2289" stopIfTrue="1" operator="equal">
      <formula>"3 Delete"</formula>
    </cfRule>
  </conditionalFormatting>
  <conditionalFormatting sqref="C765">
    <cfRule type="cellIs" dxfId="3800" priority="2290" stopIfTrue="1" operator="equal">
      <formula>"1 Modify"</formula>
    </cfRule>
  </conditionalFormatting>
  <conditionalFormatting sqref="C765">
    <cfRule type="cellIs" dxfId="3799" priority="2291" stopIfTrue="1" operator="equal">
      <formula>"2 Add"</formula>
    </cfRule>
  </conditionalFormatting>
  <conditionalFormatting sqref="C765">
    <cfRule type="cellIs" dxfId="3798" priority="2292" stopIfTrue="1" operator="equal">
      <formula>"3 Delete"</formula>
    </cfRule>
  </conditionalFormatting>
  <conditionalFormatting sqref="C766">
    <cfRule type="cellIs" dxfId="3797" priority="2293" stopIfTrue="1" operator="equal">
      <formula>"1 Modify"</formula>
    </cfRule>
  </conditionalFormatting>
  <conditionalFormatting sqref="C766">
    <cfRule type="cellIs" dxfId="3796" priority="2294" stopIfTrue="1" operator="equal">
      <formula>"2 Add"</formula>
    </cfRule>
  </conditionalFormatting>
  <conditionalFormatting sqref="C766">
    <cfRule type="cellIs" dxfId="3795" priority="2295" stopIfTrue="1" operator="equal">
      <formula>"3 Delete"</formula>
    </cfRule>
  </conditionalFormatting>
  <conditionalFormatting sqref="C767">
    <cfRule type="cellIs" dxfId="3794" priority="2296" stopIfTrue="1" operator="equal">
      <formula>"1 Modify"</formula>
    </cfRule>
  </conditionalFormatting>
  <conditionalFormatting sqref="C767">
    <cfRule type="cellIs" dxfId="3793" priority="2297" stopIfTrue="1" operator="equal">
      <formula>"2 Add"</formula>
    </cfRule>
  </conditionalFormatting>
  <conditionalFormatting sqref="C767">
    <cfRule type="cellIs" dxfId="3792" priority="2298" stopIfTrue="1" operator="equal">
      <formula>"3 Delete"</formula>
    </cfRule>
  </conditionalFormatting>
  <conditionalFormatting sqref="C768">
    <cfRule type="cellIs" dxfId="3791" priority="2299" stopIfTrue="1" operator="equal">
      <formula>"1 Modify"</formula>
    </cfRule>
  </conditionalFormatting>
  <conditionalFormatting sqref="C768">
    <cfRule type="cellIs" dxfId="3790" priority="2300" stopIfTrue="1" operator="equal">
      <formula>"2 Add"</formula>
    </cfRule>
  </conditionalFormatting>
  <conditionalFormatting sqref="C768">
    <cfRule type="cellIs" dxfId="3789" priority="2301" stopIfTrue="1" operator="equal">
      <formula>"3 Delete"</formula>
    </cfRule>
  </conditionalFormatting>
  <conditionalFormatting sqref="C769">
    <cfRule type="cellIs" dxfId="3788" priority="2302" stopIfTrue="1" operator="equal">
      <formula>"1 Modify"</formula>
    </cfRule>
  </conditionalFormatting>
  <conditionalFormatting sqref="C769">
    <cfRule type="cellIs" dxfId="3787" priority="2303" stopIfTrue="1" operator="equal">
      <formula>"2 Add"</formula>
    </cfRule>
  </conditionalFormatting>
  <conditionalFormatting sqref="C769">
    <cfRule type="cellIs" dxfId="3786" priority="2304" stopIfTrue="1" operator="equal">
      <formula>"3 Delete"</formula>
    </cfRule>
  </conditionalFormatting>
  <conditionalFormatting sqref="C770">
    <cfRule type="cellIs" dxfId="3785" priority="2305" stopIfTrue="1" operator="equal">
      <formula>"1 Modify"</formula>
    </cfRule>
  </conditionalFormatting>
  <conditionalFormatting sqref="C770">
    <cfRule type="cellIs" dxfId="3784" priority="2306" stopIfTrue="1" operator="equal">
      <formula>"2 Add"</formula>
    </cfRule>
  </conditionalFormatting>
  <conditionalFormatting sqref="C770">
    <cfRule type="cellIs" dxfId="3783" priority="2307" stopIfTrue="1" operator="equal">
      <formula>"3 Delete"</formula>
    </cfRule>
  </conditionalFormatting>
  <conditionalFormatting sqref="C771">
    <cfRule type="cellIs" dxfId="3782" priority="2308" stopIfTrue="1" operator="equal">
      <formula>"1 Modify"</formula>
    </cfRule>
  </conditionalFormatting>
  <conditionalFormatting sqref="C771">
    <cfRule type="cellIs" dxfId="3781" priority="2309" stopIfTrue="1" operator="equal">
      <formula>"2 Add"</formula>
    </cfRule>
  </conditionalFormatting>
  <conditionalFormatting sqref="C771">
    <cfRule type="cellIs" dxfId="3780" priority="2310" stopIfTrue="1" operator="equal">
      <formula>"3 Delete"</formula>
    </cfRule>
  </conditionalFormatting>
  <conditionalFormatting sqref="C772">
    <cfRule type="cellIs" dxfId="3779" priority="2311" stopIfTrue="1" operator="equal">
      <formula>"1 Modify"</formula>
    </cfRule>
  </conditionalFormatting>
  <conditionalFormatting sqref="C772">
    <cfRule type="cellIs" dxfId="3778" priority="2312" stopIfTrue="1" operator="equal">
      <formula>"2 Add"</formula>
    </cfRule>
  </conditionalFormatting>
  <conditionalFormatting sqref="C772">
    <cfRule type="cellIs" dxfId="3777" priority="2313" stopIfTrue="1" operator="equal">
      <formula>"3 Delete"</formula>
    </cfRule>
  </conditionalFormatting>
  <conditionalFormatting sqref="C773">
    <cfRule type="cellIs" dxfId="3776" priority="2314" stopIfTrue="1" operator="equal">
      <formula>"1 Modify"</formula>
    </cfRule>
  </conditionalFormatting>
  <conditionalFormatting sqref="C773">
    <cfRule type="cellIs" dxfId="3775" priority="2315" stopIfTrue="1" operator="equal">
      <formula>"2 Add"</formula>
    </cfRule>
  </conditionalFormatting>
  <conditionalFormatting sqref="C773">
    <cfRule type="cellIs" dxfId="3774" priority="2316" stopIfTrue="1" operator="equal">
      <formula>"3 Delete"</formula>
    </cfRule>
  </conditionalFormatting>
  <conditionalFormatting sqref="C774">
    <cfRule type="cellIs" dxfId="3773" priority="2317" stopIfTrue="1" operator="equal">
      <formula>"1 Modify"</formula>
    </cfRule>
  </conditionalFormatting>
  <conditionalFormatting sqref="C774">
    <cfRule type="cellIs" dxfId="3772" priority="2318" stopIfTrue="1" operator="equal">
      <formula>"2 Add"</formula>
    </cfRule>
  </conditionalFormatting>
  <conditionalFormatting sqref="C774">
    <cfRule type="cellIs" dxfId="3771" priority="2319" stopIfTrue="1" operator="equal">
      <formula>"3 Delete"</formula>
    </cfRule>
  </conditionalFormatting>
  <conditionalFormatting sqref="C775">
    <cfRule type="cellIs" dxfId="3770" priority="2320" stopIfTrue="1" operator="equal">
      <formula>"1 Modify"</formula>
    </cfRule>
  </conditionalFormatting>
  <conditionalFormatting sqref="C775">
    <cfRule type="cellIs" dxfId="3769" priority="2321" stopIfTrue="1" operator="equal">
      <formula>"2 Add"</formula>
    </cfRule>
  </conditionalFormatting>
  <conditionalFormatting sqref="C775">
    <cfRule type="cellIs" dxfId="3768" priority="2322" stopIfTrue="1" operator="equal">
      <formula>"3 Delete"</formula>
    </cfRule>
  </conditionalFormatting>
  <conditionalFormatting sqref="C776">
    <cfRule type="cellIs" dxfId="3767" priority="2323" stopIfTrue="1" operator="equal">
      <formula>"1 Modify"</formula>
    </cfRule>
  </conditionalFormatting>
  <conditionalFormatting sqref="C776">
    <cfRule type="cellIs" dxfId="3766" priority="2324" stopIfTrue="1" operator="equal">
      <formula>"2 Add"</formula>
    </cfRule>
  </conditionalFormatting>
  <conditionalFormatting sqref="C776">
    <cfRule type="cellIs" dxfId="3765" priority="2325" stopIfTrue="1" operator="equal">
      <formula>"3 Delete"</formula>
    </cfRule>
  </conditionalFormatting>
  <conditionalFormatting sqref="C777">
    <cfRule type="cellIs" dxfId="3764" priority="2326" stopIfTrue="1" operator="equal">
      <formula>"1 Modify"</formula>
    </cfRule>
  </conditionalFormatting>
  <conditionalFormatting sqref="C777">
    <cfRule type="cellIs" dxfId="3763" priority="2327" stopIfTrue="1" operator="equal">
      <formula>"2 Add"</formula>
    </cfRule>
  </conditionalFormatting>
  <conditionalFormatting sqref="C777">
    <cfRule type="cellIs" dxfId="3762" priority="2328" stopIfTrue="1" operator="equal">
      <formula>"3 Delete"</formula>
    </cfRule>
  </conditionalFormatting>
  <conditionalFormatting sqref="C778">
    <cfRule type="cellIs" dxfId="3761" priority="2329" stopIfTrue="1" operator="equal">
      <formula>"1 Modify"</formula>
    </cfRule>
  </conditionalFormatting>
  <conditionalFormatting sqref="C778">
    <cfRule type="cellIs" dxfId="3760" priority="2330" stopIfTrue="1" operator="equal">
      <formula>"2 Add"</formula>
    </cfRule>
  </conditionalFormatting>
  <conditionalFormatting sqref="C778">
    <cfRule type="cellIs" dxfId="3759" priority="2331" stopIfTrue="1" operator="equal">
      <formula>"3 Delete"</formula>
    </cfRule>
  </conditionalFormatting>
  <conditionalFormatting sqref="C779">
    <cfRule type="cellIs" dxfId="3758" priority="2332" stopIfTrue="1" operator="equal">
      <formula>"1 Modify"</formula>
    </cfRule>
  </conditionalFormatting>
  <conditionalFormatting sqref="C779">
    <cfRule type="cellIs" dxfId="3757" priority="2333" stopIfTrue="1" operator="equal">
      <formula>"2 Add"</formula>
    </cfRule>
  </conditionalFormatting>
  <conditionalFormatting sqref="C779">
    <cfRule type="cellIs" dxfId="3756" priority="2334" stopIfTrue="1" operator="equal">
      <formula>"3 Delete"</formula>
    </cfRule>
  </conditionalFormatting>
  <conditionalFormatting sqref="C780">
    <cfRule type="cellIs" dxfId="3755" priority="2335" stopIfTrue="1" operator="equal">
      <formula>"1 Modify"</formula>
    </cfRule>
  </conditionalFormatting>
  <conditionalFormatting sqref="C780">
    <cfRule type="cellIs" dxfId="3754" priority="2336" stopIfTrue="1" operator="equal">
      <formula>"2 Add"</formula>
    </cfRule>
  </conditionalFormatting>
  <conditionalFormatting sqref="C780">
    <cfRule type="cellIs" dxfId="3753" priority="2337" stopIfTrue="1" operator="equal">
      <formula>"3 Delete"</formula>
    </cfRule>
  </conditionalFormatting>
  <conditionalFormatting sqref="C781">
    <cfRule type="cellIs" dxfId="3752" priority="2338" stopIfTrue="1" operator="equal">
      <formula>"1 Modify"</formula>
    </cfRule>
  </conditionalFormatting>
  <conditionalFormatting sqref="C781">
    <cfRule type="cellIs" dxfId="3751" priority="2339" stopIfTrue="1" operator="equal">
      <formula>"2 Add"</formula>
    </cfRule>
  </conditionalFormatting>
  <conditionalFormatting sqref="C781">
    <cfRule type="cellIs" dxfId="3750" priority="2340" stopIfTrue="1" operator="equal">
      <formula>"3 Delete"</formula>
    </cfRule>
  </conditionalFormatting>
  <conditionalFormatting sqref="C782">
    <cfRule type="cellIs" dxfId="3749" priority="2341" stopIfTrue="1" operator="equal">
      <formula>"1 Modify"</formula>
    </cfRule>
  </conditionalFormatting>
  <conditionalFormatting sqref="C782">
    <cfRule type="cellIs" dxfId="3748" priority="2342" stopIfTrue="1" operator="equal">
      <formula>"2 Add"</formula>
    </cfRule>
  </conditionalFormatting>
  <conditionalFormatting sqref="C782">
    <cfRule type="cellIs" dxfId="3747" priority="2343" stopIfTrue="1" operator="equal">
      <formula>"3 Delete"</formula>
    </cfRule>
  </conditionalFormatting>
  <conditionalFormatting sqref="C783">
    <cfRule type="cellIs" dxfId="3746" priority="2344" stopIfTrue="1" operator="equal">
      <formula>"1 Modify"</formula>
    </cfRule>
  </conditionalFormatting>
  <conditionalFormatting sqref="C783">
    <cfRule type="cellIs" dxfId="3745" priority="2345" stopIfTrue="1" operator="equal">
      <formula>"2 Add"</formula>
    </cfRule>
  </conditionalFormatting>
  <conditionalFormatting sqref="C783">
    <cfRule type="cellIs" dxfId="3744" priority="2346" stopIfTrue="1" operator="equal">
      <formula>"3 Delete"</formula>
    </cfRule>
  </conditionalFormatting>
  <conditionalFormatting sqref="C784">
    <cfRule type="cellIs" dxfId="3743" priority="2347" stopIfTrue="1" operator="equal">
      <formula>"1 Modify"</formula>
    </cfRule>
  </conditionalFormatting>
  <conditionalFormatting sqref="C784">
    <cfRule type="cellIs" dxfId="3742" priority="2348" stopIfTrue="1" operator="equal">
      <formula>"2 Add"</formula>
    </cfRule>
  </conditionalFormatting>
  <conditionalFormatting sqref="C784">
    <cfRule type="cellIs" dxfId="3741" priority="2349" stopIfTrue="1" operator="equal">
      <formula>"3 Delete"</formula>
    </cfRule>
  </conditionalFormatting>
  <conditionalFormatting sqref="C785">
    <cfRule type="cellIs" dxfId="3740" priority="2350" stopIfTrue="1" operator="equal">
      <formula>"1 Modify"</formula>
    </cfRule>
  </conditionalFormatting>
  <conditionalFormatting sqref="C785">
    <cfRule type="cellIs" dxfId="3739" priority="2351" stopIfTrue="1" operator="equal">
      <formula>"2 Add"</formula>
    </cfRule>
  </conditionalFormatting>
  <conditionalFormatting sqref="C785">
    <cfRule type="cellIs" dxfId="3738" priority="2352" stopIfTrue="1" operator="equal">
      <formula>"3 Delete"</formula>
    </cfRule>
  </conditionalFormatting>
  <conditionalFormatting sqref="C786">
    <cfRule type="cellIs" dxfId="3737" priority="2353" stopIfTrue="1" operator="equal">
      <formula>"1 Modify"</formula>
    </cfRule>
  </conditionalFormatting>
  <conditionalFormatting sqref="C786">
    <cfRule type="cellIs" dxfId="3736" priority="2354" stopIfTrue="1" operator="equal">
      <formula>"2 Add"</formula>
    </cfRule>
  </conditionalFormatting>
  <conditionalFormatting sqref="C786">
    <cfRule type="cellIs" dxfId="3735" priority="2355" stopIfTrue="1" operator="equal">
      <formula>"3 Delete"</formula>
    </cfRule>
  </conditionalFormatting>
  <conditionalFormatting sqref="C787">
    <cfRule type="cellIs" dxfId="3734" priority="2356" stopIfTrue="1" operator="equal">
      <formula>"1 Modify"</formula>
    </cfRule>
  </conditionalFormatting>
  <conditionalFormatting sqref="C787">
    <cfRule type="cellIs" dxfId="3733" priority="2357" stopIfTrue="1" operator="equal">
      <formula>"2 Add"</formula>
    </cfRule>
  </conditionalFormatting>
  <conditionalFormatting sqref="C787">
    <cfRule type="cellIs" dxfId="3732" priority="2358" stopIfTrue="1" operator="equal">
      <formula>"3 Delete"</formula>
    </cfRule>
  </conditionalFormatting>
  <conditionalFormatting sqref="C788">
    <cfRule type="cellIs" dxfId="3731" priority="2359" stopIfTrue="1" operator="equal">
      <formula>"1 Modify"</formula>
    </cfRule>
  </conditionalFormatting>
  <conditionalFormatting sqref="C788">
    <cfRule type="cellIs" dxfId="3730" priority="2360" stopIfTrue="1" operator="equal">
      <formula>"2 Add"</formula>
    </cfRule>
  </conditionalFormatting>
  <conditionalFormatting sqref="C788">
    <cfRule type="cellIs" dxfId="3729" priority="2361" stopIfTrue="1" operator="equal">
      <formula>"3 Delete"</formula>
    </cfRule>
  </conditionalFormatting>
  <conditionalFormatting sqref="C789">
    <cfRule type="cellIs" dxfId="3728" priority="2362" stopIfTrue="1" operator="equal">
      <formula>"1 Modify"</formula>
    </cfRule>
  </conditionalFormatting>
  <conditionalFormatting sqref="C789">
    <cfRule type="cellIs" dxfId="3727" priority="2363" stopIfTrue="1" operator="equal">
      <formula>"2 Add"</formula>
    </cfRule>
  </conditionalFormatting>
  <conditionalFormatting sqref="C789">
    <cfRule type="cellIs" dxfId="3726" priority="2364" stopIfTrue="1" operator="equal">
      <formula>"3 Delete"</formula>
    </cfRule>
  </conditionalFormatting>
  <conditionalFormatting sqref="C790">
    <cfRule type="cellIs" dxfId="3725" priority="2365" stopIfTrue="1" operator="equal">
      <formula>"1 Modify"</formula>
    </cfRule>
  </conditionalFormatting>
  <conditionalFormatting sqref="C790">
    <cfRule type="cellIs" dxfId="3724" priority="2366" stopIfTrue="1" operator="equal">
      <formula>"2 Add"</formula>
    </cfRule>
  </conditionalFormatting>
  <conditionalFormatting sqref="C790">
    <cfRule type="cellIs" dxfId="3723" priority="2367" stopIfTrue="1" operator="equal">
      <formula>"3 Delete"</formula>
    </cfRule>
  </conditionalFormatting>
  <conditionalFormatting sqref="C791">
    <cfRule type="cellIs" dxfId="3722" priority="2368" stopIfTrue="1" operator="equal">
      <formula>"1 Modify"</formula>
    </cfRule>
  </conditionalFormatting>
  <conditionalFormatting sqref="C791">
    <cfRule type="cellIs" dxfId="3721" priority="2369" stopIfTrue="1" operator="equal">
      <formula>"2 Add"</formula>
    </cfRule>
  </conditionalFormatting>
  <conditionalFormatting sqref="C791">
    <cfRule type="cellIs" dxfId="3720" priority="2370" stopIfTrue="1" operator="equal">
      <formula>"3 Delete"</formula>
    </cfRule>
  </conditionalFormatting>
  <conditionalFormatting sqref="C792">
    <cfRule type="cellIs" dxfId="3719" priority="2371" stopIfTrue="1" operator="equal">
      <formula>"1 Modify"</formula>
    </cfRule>
  </conditionalFormatting>
  <conditionalFormatting sqref="C792">
    <cfRule type="cellIs" dxfId="3718" priority="2372" stopIfTrue="1" operator="equal">
      <formula>"2 Add"</formula>
    </cfRule>
  </conditionalFormatting>
  <conditionalFormatting sqref="C792">
    <cfRule type="cellIs" dxfId="3717" priority="2373" stopIfTrue="1" operator="equal">
      <formula>"3 Delete"</formula>
    </cfRule>
  </conditionalFormatting>
  <conditionalFormatting sqref="C793">
    <cfRule type="cellIs" dxfId="3716" priority="2374" stopIfTrue="1" operator="equal">
      <formula>"1 Modify"</formula>
    </cfRule>
  </conditionalFormatting>
  <conditionalFormatting sqref="C793">
    <cfRule type="cellIs" dxfId="3715" priority="2375" stopIfTrue="1" operator="equal">
      <formula>"2 Add"</formula>
    </cfRule>
  </conditionalFormatting>
  <conditionalFormatting sqref="C793">
    <cfRule type="cellIs" dxfId="3714" priority="2376" stopIfTrue="1" operator="equal">
      <formula>"3 Delete"</formula>
    </cfRule>
  </conditionalFormatting>
  <conditionalFormatting sqref="C794">
    <cfRule type="cellIs" dxfId="3713" priority="2377" stopIfTrue="1" operator="equal">
      <formula>"1 Modify"</formula>
    </cfRule>
  </conditionalFormatting>
  <conditionalFormatting sqref="C794">
    <cfRule type="cellIs" dxfId="3712" priority="2378" stopIfTrue="1" operator="equal">
      <formula>"2 Add"</formula>
    </cfRule>
  </conditionalFormatting>
  <conditionalFormatting sqref="C794">
    <cfRule type="cellIs" dxfId="3711" priority="2379" stopIfTrue="1" operator="equal">
      <formula>"3 Delete"</formula>
    </cfRule>
  </conditionalFormatting>
  <conditionalFormatting sqref="C795">
    <cfRule type="cellIs" dxfId="3710" priority="2380" stopIfTrue="1" operator="equal">
      <formula>"1 Modify"</formula>
    </cfRule>
  </conditionalFormatting>
  <conditionalFormatting sqref="C795">
    <cfRule type="cellIs" dxfId="3709" priority="2381" stopIfTrue="1" operator="equal">
      <formula>"2 Add"</formula>
    </cfRule>
  </conditionalFormatting>
  <conditionalFormatting sqref="C795">
    <cfRule type="cellIs" dxfId="3708" priority="2382" stopIfTrue="1" operator="equal">
      <formula>"3 Delete"</formula>
    </cfRule>
  </conditionalFormatting>
  <conditionalFormatting sqref="C796">
    <cfRule type="cellIs" dxfId="3707" priority="2383" stopIfTrue="1" operator="equal">
      <formula>"1 Modify"</formula>
    </cfRule>
  </conditionalFormatting>
  <conditionalFormatting sqref="C796">
    <cfRule type="cellIs" dxfId="3706" priority="2384" stopIfTrue="1" operator="equal">
      <formula>"2 Add"</formula>
    </cfRule>
  </conditionalFormatting>
  <conditionalFormatting sqref="C796">
    <cfRule type="cellIs" dxfId="3705" priority="2385" stopIfTrue="1" operator="equal">
      <formula>"3 Delete"</formula>
    </cfRule>
  </conditionalFormatting>
  <conditionalFormatting sqref="C797">
    <cfRule type="cellIs" dxfId="3704" priority="2386" stopIfTrue="1" operator="equal">
      <formula>"1 Modify"</formula>
    </cfRule>
  </conditionalFormatting>
  <conditionalFormatting sqref="C797">
    <cfRule type="cellIs" dxfId="3703" priority="2387" stopIfTrue="1" operator="equal">
      <formula>"2 Add"</formula>
    </cfRule>
  </conditionalFormatting>
  <conditionalFormatting sqref="C797">
    <cfRule type="cellIs" dxfId="3702" priority="2388" stopIfTrue="1" operator="equal">
      <formula>"3 Delete"</formula>
    </cfRule>
  </conditionalFormatting>
  <conditionalFormatting sqref="C798">
    <cfRule type="cellIs" dxfId="3701" priority="2389" stopIfTrue="1" operator="equal">
      <formula>"1 Modify"</formula>
    </cfRule>
  </conditionalFormatting>
  <conditionalFormatting sqref="C798">
    <cfRule type="cellIs" dxfId="3700" priority="2390" stopIfTrue="1" operator="equal">
      <formula>"2 Add"</formula>
    </cfRule>
  </conditionalFormatting>
  <conditionalFormatting sqref="C798">
    <cfRule type="cellIs" dxfId="3699" priority="2391" stopIfTrue="1" operator="equal">
      <formula>"3 Delete"</formula>
    </cfRule>
  </conditionalFormatting>
  <conditionalFormatting sqref="C799">
    <cfRule type="cellIs" dxfId="3698" priority="2392" stopIfTrue="1" operator="equal">
      <formula>"1 Modify"</formula>
    </cfRule>
  </conditionalFormatting>
  <conditionalFormatting sqref="C799">
    <cfRule type="cellIs" dxfId="3697" priority="2393" stopIfTrue="1" operator="equal">
      <formula>"2 Add"</formula>
    </cfRule>
  </conditionalFormatting>
  <conditionalFormatting sqref="C799">
    <cfRule type="cellIs" dxfId="3696" priority="2394" stopIfTrue="1" operator="equal">
      <formula>"3 Delete"</formula>
    </cfRule>
  </conditionalFormatting>
  <conditionalFormatting sqref="C800">
    <cfRule type="cellIs" dxfId="3695" priority="2395" stopIfTrue="1" operator="equal">
      <formula>"1 Modify"</formula>
    </cfRule>
  </conditionalFormatting>
  <conditionalFormatting sqref="C800">
    <cfRule type="cellIs" dxfId="3694" priority="2396" stopIfTrue="1" operator="equal">
      <formula>"2 Add"</formula>
    </cfRule>
  </conditionalFormatting>
  <conditionalFormatting sqref="C800">
    <cfRule type="cellIs" dxfId="3693" priority="2397" stopIfTrue="1" operator="equal">
      <formula>"3 Delete"</formula>
    </cfRule>
  </conditionalFormatting>
  <conditionalFormatting sqref="C801">
    <cfRule type="cellIs" dxfId="3692" priority="2398" stopIfTrue="1" operator="equal">
      <formula>"1 Modify"</formula>
    </cfRule>
  </conditionalFormatting>
  <conditionalFormatting sqref="C801">
    <cfRule type="cellIs" dxfId="3691" priority="2399" stopIfTrue="1" operator="equal">
      <formula>"2 Add"</formula>
    </cfRule>
  </conditionalFormatting>
  <conditionalFormatting sqref="C801">
    <cfRule type="cellIs" dxfId="3690" priority="2400" stopIfTrue="1" operator="equal">
      <formula>"3 Delete"</formula>
    </cfRule>
  </conditionalFormatting>
  <conditionalFormatting sqref="C802">
    <cfRule type="cellIs" dxfId="3689" priority="2401" stopIfTrue="1" operator="equal">
      <formula>"1 Modify"</formula>
    </cfRule>
  </conditionalFormatting>
  <conditionalFormatting sqref="C802">
    <cfRule type="cellIs" dxfId="3688" priority="2402" stopIfTrue="1" operator="equal">
      <formula>"2 Add"</formula>
    </cfRule>
  </conditionalFormatting>
  <conditionalFormatting sqref="C802">
    <cfRule type="cellIs" dxfId="3687" priority="2403" stopIfTrue="1" operator="equal">
      <formula>"3 Delete"</formula>
    </cfRule>
  </conditionalFormatting>
  <conditionalFormatting sqref="C803">
    <cfRule type="cellIs" dxfId="3686" priority="2404" stopIfTrue="1" operator="equal">
      <formula>"1 Modify"</formula>
    </cfRule>
  </conditionalFormatting>
  <conditionalFormatting sqref="C803">
    <cfRule type="cellIs" dxfId="3685" priority="2405" stopIfTrue="1" operator="equal">
      <formula>"2 Add"</formula>
    </cfRule>
  </conditionalFormatting>
  <conditionalFormatting sqref="C803">
    <cfRule type="cellIs" dxfId="3684" priority="2406" stopIfTrue="1" operator="equal">
      <formula>"3 Delete"</formula>
    </cfRule>
  </conditionalFormatting>
  <conditionalFormatting sqref="C804">
    <cfRule type="cellIs" dxfId="3683" priority="2407" stopIfTrue="1" operator="equal">
      <formula>"1 Modify"</formula>
    </cfRule>
  </conditionalFormatting>
  <conditionalFormatting sqref="C804">
    <cfRule type="cellIs" dxfId="3682" priority="2408" stopIfTrue="1" operator="equal">
      <formula>"2 Add"</formula>
    </cfRule>
  </conditionalFormatting>
  <conditionalFormatting sqref="C804">
    <cfRule type="cellIs" dxfId="3681" priority="2409" stopIfTrue="1" operator="equal">
      <formula>"3 Delete"</formula>
    </cfRule>
  </conditionalFormatting>
  <conditionalFormatting sqref="C805">
    <cfRule type="cellIs" dxfId="3680" priority="2410" stopIfTrue="1" operator="equal">
      <formula>"1 Modify"</formula>
    </cfRule>
  </conditionalFormatting>
  <conditionalFormatting sqref="C805">
    <cfRule type="cellIs" dxfId="3679" priority="2411" stopIfTrue="1" operator="equal">
      <formula>"2 Add"</formula>
    </cfRule>
  </conditionalFormatting>
  <conditionalFormatting sqref="C805">
    <cfRule type="cellIs" dxfId="3678" priority="2412" stopIfTrue="1" operator="equal">
      <formula>"3 Delete"</formula>
    </cfRule>
  </conditionalFormatting>
  <conditionalFormatting sqref="C806">
    <cfRule type="cellIs" dxfId="3677" priority="2413" stopIfTrue="1" operator="equal">
      <formula>"1 Modify"</formula>
    </cfRule>
  </conditionalFormatting>
  <conditionalFormatting sqref="C806">
    <cfRule type="cellIs" dxfId="3676" priority="2414" stopIfTrue="1" operator="equal">
      <formula>"2 Add"</formula>
    </cfRule>
  </conditionalFormatting>
  <conditionalFormatting sqref="C806">
    <cfRule type="cellIs" dxfId="3675" priority="2415" stopIfTrue="1" operator="equal">
      <formula>"3 Delete"</formula>
    </cfRule>
  </conditionalFormatting>
  <conditionalFormatting sqref="C807">
    <cfRule type="cellIs" dxfId="3674" priority="2416" stopIfTrue="1" operator="equal">
      <formula>"1 Modify"</formula>
    </cfRule>
  </conditionalFormatting>
  <conditionalFormatting sqref="C807">
    <cfRule type="cellIs" dxfId="3673" priority="2417" stopIfTrue="1" operator="equal">
      <formula>"2 Add"</formula>
    </cfRule>
  </conditionalFormatting>
  <conditionalFormatting sqref="C807">
    <cfRule type="cellIs" dxfId="3672" priority="2418" stopIfTrue="1" operator="equal">
      <formula>"3 Delete"</formula>
    </cfRule>
  </conditionalFormatting>
  <conditionalFormatting sqref="C808">
    <cfRule type="cellIs" dxfId="3671" priority="2419" stopIfTrue="1" operator="equal">
      <formula>"1 Modify"</formula>
    </cfRule>
  </conditionalFormatting>
  <conditionalFormatting sqref="C808">
    <cfRule type="cellIs" dxfId="3670" priority="2420" stopIfTrue="1" operator="equal">
      <formula>"2 Add"</formula>
    </cfRule>
  </conditionalFormatting>
  <conditionalFormatting sqref="C808">
    <cfRule type="cellIs" dxfId="3669" priority="2421" stopIfTrue="1" operator="equal">
      <formula>"3 Delete"</formula>
    </cfRule>
  </conditionalFormatting>
  <conditionalFormatting sqref="C809">
    <cfRule type="cellIs" dxfId="3668" priority="2422" stopIfTrue="1" operator="equal">
      <formula>"1 Modify"</formula>
    </cfRule>
  </conditionalFormatting>
  <conditionalFormatting sqref="C809">
    <cfRule type="cellIs" dxfId="3667" priority="2423" stopIfTrue="1" operator="equal">
      <formula>"2 Add"</formula>
    </cfRule>
  </conditionalFormatting>
  <conditionalFormatting sqref="C809">
    <cfRule type="cellIs" dxfId="3666" priority="2424" stopIfTrue="1" operator="equal">
      <formula>"3 Delete"</formula>
    </cfRule>
  </conditionalFormatting>
  <conditionalFormatting sqref="C810">
    <cfRule type="cellIs" dxfId="3665" priority="2425" stopIfTrue="1" operator="equal">
      <formula>"1 Modify"</formula>
    </cfRule>
  </conditionalFormatting>
  <conditionalFormatting sqref="C810">
    <cfRule type="cellIs" dxfId="3664" priority="2426" stopIfTrue="1" operator="equal">
      <formula>"2 Add"</formula>
    </cfRule>
  </conditionalFormatting>
  <conditionalFormatting sqref="C810">
    <cfRule type="cellIs" dxfId="3663" priority="2427" stopIfTrue="1" operator="equal">
      <formula>"3 Delete"</formula>
    </cfRule>
  </conditionalFormatting>
  <conditionalFormatting sqref="C811">
    <cfRule type="cellIs" dxfId="3662" priority="2428" stopIfTrue="1" operator="equal">
      <formula>"1 Modify"</formula>
    </cfRule>
  </conditionalFormatting>
  <conditionalFormatting sqref="C811">
    <cfRule type="cellIs" dxfId="3661" priority="2429" stopIfTrue="1" operator="equal">
      <formula>"2 Add"</formula>
    </cfRule>
  </conditionalFormatting>
  <conditionalFormatting sqref="C811">
    <cfRule type="cellIs" dxfId="3660" priority="2430" stopIfTrue="1" operator="equal">
      <formula>"3 Delete"</formula>
    </cfRule>
  </conditionalFormatting>
  <conditionalFormatting sqref="C812">
    <cfRule type="cellIs" dxfId="3659" priority="2431" stopIfTrue="1" operator="equal">
      <formula>"1 Modify"</formula>
    </cfRule>
  </conditionalFormatting>
  <conditionalFormatting sqref="C812">
    <cfRule type="cellIs" dxfId="3658" priority="2432" stopIfTrue="1" operator="equal">
      <formula>"2 Add"</formula>
    </cfRule>
  </conditionalFormatting>
  <conditionalFormatting sqref="C812">
    <cfRule type="cellIs" dxfId="3657" priority="2433" stopIfTrue="1" operator="equal">
      <formula>"3 Delete"</formula>
    </cfRule>
  </conditionalFormatting>
  <conditionalFormatting sqref="C813">
    <cfRule type="cellIs" dxfId="3656" priority="2434" stopIfTrue="1" operator="equal">
      <formula>"1 Modify"</formula>
    </cfRule>
  </conditionalFormatting>
  <conditionalFormatting sqref="C813">
    <cfRule type="cellIs" dxfId="3655" priority="2435" stopIfTrue="1" operator="equal">
      <formula>"2 Add"</formula>
    </cfRule>
  </conditionalFormatting>
  <conditionalFormatting sqref="C813">
    <cfRule type="cellIs" dxfId="3654" priority="2436" stopIfTrue="1" operator="equal">
      <formula>"3 Delete"</formula>
    </cfRule>
  </conditionalFormatting>
  <conditionalFormatting sqref="C814">
    <cfRule type="cellIs" dxfId="3653" priority="2437" stopIfTrue="1" operator="equal">
      <formula>"1 Modify"</formula>
    </cfRule>
  </conditionalFormatting>
  <conditionalFormatting sqref="C814">
    <cfRule type="cellIs" dxfId="3652" priority="2438" stopIfTrue="1" operator="equal">
      <formula>"2 Add"</formula>
    </cfRule>
  </conditionalFormatting>
  <conditionalFormatting sqref="C814">
    <cfRule type="cellIs" dxfId="3651" priority="2439" stopIfTrue="1" operator="equal">
      <formula>"3 Delete"</formula>
    </cfRule>
  </conditionalFormatting>
  <conditionalFormatting sqref="C815">
    <cfRule type="cellIs" dxfId="3650" priority="2440" stopIfTrue="1" operator="equal">
      <formula>"1 Modify"</formula>
    </cfRule>
  </conditionalFormatting>
  <conditionalFormatting sqref="C815">
    <cfRule type="cellIs" dxfId="3649" priority="2441" stopIfTrue="1" operator="equal">
      <formula>"2 Add"</formula>
    </cfRule>
  </conditionalFormatting>
  <conditionalFormatting sqref="C815">
    <cfRule type="cellIs" dxfId="3648" priority="2442" stopIfTrue="1" operator="equal">
      <formula>"3 Delete"</formula>
    </cfRule>
  </conditionalFormatting>
  <conditionalFormatting sqref="C816">
    <cfRule type="cellIs" dxfId="3647" priority="2443" stopIfTrue="1" operator="equal">
      <formula>"1 Modify"</formula>
    </cfRule>
  </conditionalFormatting>
  <conditionalFormatting sqref="C816">
    <cfRule type="cellIs" dxfId="3646" priority="2444" stopIfTrue="1" operator="equal">
      <formula>"2 Add"</formula>
    </cfRule>
  </conditionalFormatting>
  <conditionalFormatting sqref="C816">
    <cfRule type="cellIs" dxfId="3645" priority="2445" stopIfTrue="1" operator="equal">
      <formula>"3 Delete"</formula>
    </cfRule>
  </conditionalFormatting>
  <conditionalFormatting sqref="C817">
    <cfRule type="cellIs" dxfId="3644" priority="2446" stopIfTrue="1" operator="equal">
      <formula>"1 Modify"</formula>
    </cfRule>
  </conditionalFormatting>
  <conditionalFormatting sqref="C817">
    <cfRule type="cellIs" dxfId="3643" priority="2447" stopIfTrue="1" operator="equal">
      <formula>"2 Add"</formula>
    </cfRule>
  </conditionalFormatting>
  <conditionalFormatting sqref="C817">
    <cfRule type="cellIs" dxfId="3642" priority="2448" stopIfTrue="1" operator="equal">
      <formula>"3 Delete"</formula>
    </cfRule>
  </conditionalFormatting>
  <conditionalFormatting sqref="C818">
    <cfRule type="cellIs" dxfId="3641" priority="2449" stopIfTrue="1" operator="equal">
      <formula>"1 Modify"</formula>
    </cfRule>
  </conditionalFormatting>
  <conditionalFormatting sqref="C818">
    <cfRule type="cellIs" dxfId="3640" priority="2450" stopIfTrue="1" operator="equal">
      <formula>"2 Add"</formula>
    </cfRule>
  </conditionalFormatting>
  <conditionalFormatting sqref="C818">
    <cfRule type="cellIs" dxfId="3639" priority="2451" stopIfTrue="1" operator="equal">
      <formula>"3 Delete"</formula>
    </cfRule>
  </conditionalFormatting>
  <conditionalFormatting sqref="C819">
    <cfRule type="cellIs" dxfId="3638" priority="2452" stopIfTrue="1" operator="equal">
      <formula>"1 Modify"</formula>
    </cfRule>
  </conditionalFormatting>
  <conditionalFormatting sqref="C819">
    <cfRule type="cellIs" dxfId="3637" priority="2453" stopIfTrue="1" operator="equal">
      <formula>"2 Add"</formula>
    </cfRule>
  </conditionalFormatting>
  <conditionalFormatting sqref="C819">
    <cfRule type="cellIs" dxfId="3636" priority="2454" stopIfTrue="1" operator="equal">
      <formula>"3 Delete"</formula>
    </cfRule>
  </conditionalFormatting>
  <conditionalFormatting sqref="C820">
    <cfRule type="cellIs" dxfId="3635" priority="2455" stopIfTrue="1" operator="equal">
      <formula>"1 Modify"</formula>
    </cfRule>
  </conditionalFormatting>
  <conditionalFormatting sqref="C820">
    <cfRule type="cellIs" dxfId="3634" priority="2456" stopIfTrue="1" operator="equal">
      <formula>"2 Add"</formula>
    </cfRule>
  </conditionalFormatting>
  <conditionalFormatting sqref="C820">
    <cfRule type="cellIs" dxfId="3633" priority="2457" stopIfTrue="1" operator="equal">
      <formula>"3 Delete"</formula>
    </cfRule>
  </conditionalFormatting>
  <conditionalFormatting sqref="C821">
    <cfRule type="cellIs" dxfId="3632" priority="2458" stopIfTrue="1" operator="equal">
      <formula>"1 Modify"</formula>
    </cfRule>
  </conditionalFormatting>
  <conditionalFormatting sqref="C821">
    <cfRule type="cellIs" dxfId="3631" priority="2459" stopIfTrue="1" operator="equal">
      <formula>"2 Add"</formula>
    </cfRule>
  </conditionalFormatting>
  <conditionalFormatting sqref="C821">
    <cfRule type="cellIs" dxfId="3630" priority="2460" stopIfTrue="1" operator="equal">
      <formula>"3 Delete"</formula>
    </cfRule>
  </conditionalFormatting>
  <conditionalFormatting sqref="C822">
    <cfRule type="cellIs" dxfId="3629" priority="2461" stopIfTrue="1" operator="equal">
      <formula>"1 Modify"</formula>
    </cfRule>
  </conditionalFormatting>
  <conditionalFormatting sqref="C822">
    <cfRule type="cellIs" dxfId="3628" priority="2462" stopIfTrue="1" operator="equal">
      <formula>"2 Add"</formula>
    </cfRule>
  </conditionalFormatting>
  <conditionalFormatting sqref="C822">
    <cfRule type="cellIs" dxfId="3627" priority="2463" stopIfTrue="1" operator="equal">
      <formula>"3 Delete"</formula>
    </cfRule>
  </conditionalFormatting>
  <conditionalFormatting sqref="C823">
    <cfRule type="cellIs" dxfId="3626" priority="2464" stopIfTrue="1" operator="equal">
      <formula>"1 Modify"</formula>
    </cfRule>
  </conditionalFormatting>
  <conditionalFormatting sqref="C823">
    <cfRule type="cellIs" dxfId="3625" priority="2465" stopIfTrue="1" operator="equal">
      <formula>"2 Add"</formula>
    </cfRule>
  </conditionalFormatting>
  <conditionalFormatting sqref="C823">
    <cfRule type="cellIs" dxfId="3624" priority="2466" stopIfTrue="1" operator="equal">
      <formula>"3 Delete"</formula>
    </cfRule>
  </conditionalFormatting>
  <conditionalFormatting sqref="C824">
    <cfRule type="cellIs" dxfId="3623" priority="2467" stopIfTrue="1" operator="equal">
      <formula>"1 Modify"</formula>
    </cfRule>
  </conditionalFormatting>
  <conditionalFormatting sqref="C824">
    <cfRule type="cellIs" dxfId="3622" priority="2468" stopIfTrue="1" operator="equal">
      <formula>"2 Add"</formula>
    </cfRule>
  </conditionalFormatting>
  <conditionalFormatting sqref="C824">
    <cfRule type="cellIs" dxfId="3621" priority="2469" stopIfTrue="1" operator="equal">
      <formula>"3 Delete"</formula>
    </cfRule>
  </conditionalFormatting>
  <conditionalFormatting sqref="C825">
    <cfRule type="cellIs" dxfId="3620" priority="2470" stopIfTrue="1" operator="equal">
      <formula>"1 Modify"</formula>
    </cfRule>
  </conditionalFormatting>
  <conditionalFormatting sqref="C825">
    <cfRule type="cellIs" dxfId="3619" priority="2471" stopIfTrue="1" operator="equal">
      <formula>"2 Add"</formula>
    </cfRule>
  </conditionalFormatting>
  <conditionalFormatting sqref="C825">
    <cfRule type="cellIs" dxfId="3618" priority="2472" stopIfTrue="1" operator="equal">
      <formula>"3 Delete"</formula>
    </cfRule>
  </conditionalFormatting>
  <conditionalFormatting sqref="C826">
    <cfRule type="cellIs" dxfId="3617" priority="2473" stopIfTrue="1" operator="equal">
      <formula>"1 Modify"</formula>
    </cfRule>
  </conditionalFormatting>
  <conditionalFormatting sqref="C826">
    <cfRule type="cellIs" dxfId="3616" priority="2474" stopIfTrue="1" operator="equal">
      <formula>"2 Add"</formula>
    </cfRule>
  </conditionalFormatting>
  <conditionalFormatting sqref="C826">
    <cfRule type="cellIs" dxfId="3615" priority="2475" stopIfTrue="1" operator="equal">
      <formula>"3 Delete"</formula>
    </cfRule>
  </conditionalFormatting>
  <conditionalFormatting sqref="C827">
    <cfRule type="cellIs" dxfId="3614" priority="2476" stopIfTrue="1" operator="equal">
      <formula>"1 Modify"</formula>
    </cfRule>
  </conditionalFormatting>
  <conditionalFormatting sqref="C827">
    <cfRule type="cellIs" dxfId="3613" priority="2477" stopIfTrue="1" operator="equal">
      <formula>"2 Add"</formula>
    </cfRule>
  </conditionalFormatting>
  <conditionalFormatting sqref="C827">
    <cfRule type="cellIs" dxfId="3612" priority="2478" stopIfTrue="1" operator="equal">
      <formula>"3 Delete"</formula>
    </cfRule>
  </conditionalFormatting>
  <conditionalFormatting sqref="C828">
    <cfRule type="cellIs" dxfId="3611" priority="2479" stopIfTrue="1" operator="equal">
      <formula>"1 Modify"</formula>
    </cfRule>
  </conditionalFormatting>
  <conditionalFormatting sqref="C828">
    <cfRule type="cellIs" dxfId="3610" priority="2480" stopIfTrue="1" operator="equal">
      <formula>"2 Add"</formula>
    </cfRule>
  </conditionalFormatting>
  <conditionalFormatting sqref="C828">
    <cfRule type="cellIs" dxfId="3609" priority="2481" stopIfTrue="1" operator="equal">
      <formula>"3 Delete"</formula>
    </cfRule>
  </conditionalFormatting>
  <conditionalFormatting sqref="C829">
    <cfRule type="cellIs" dxfId="3608" priority="2482" stopIfTrue="1" operator="equal">
      <formula>"1 Modify"</formula>
    </cfRule>
  </conditionalFormatting>
  <conditionalFormatting sqref="C829">
    <cfRule type="cellIs" dxfId="3607" priority="2483" stopIfTrue="1" operator="equal">
      <formula>"2 Add"</formula>
    </cfRule>
  </conditionalFormatting>
  <conditionalFormatting sqref="C829">
    <cfRule type="cellIs" dxfId="3606" priority="2484" stopIfTrue="1" operator="equal">
      <formula>"3 Delete"</formula>
    </cfRule>
  </conditionalFormatting>
  <conditionalFormatting sqref="C830">
    <cfRule type="cellIs" dxfId="3605" priority="2485" stopIfTrue="1" operator="equal">
      <formula>"1 Modify"</formula>
    </cfRule>
  </conditionalFormatting>
  <conditionalFormatting sqref="C830">
    <cfRule type="cellIs" dxfId="3604" priority="2486" stopIfTrue="1" operator="equal">
      <formula>"2 Add"</formula>
    </cfRule>
  </conditionalFormatting>
  <conditionalFormatting sqref="C830">
    <cfRule type="cellIs" dxfId="3603" priority="2487" stopIfTrue="1" operator="equal">
      <formula>"3 Delete"</formula>
    </cfRule>
  </conditionalFormatting>
  <conditionalFormatting sqref="C831">
    <cfRule type="cellIs" dxfId="3602" priority="2488" stopIfTrue="1" operator="equal">
      <formula>"1 Modify"</formula>
    </cfRule>
  </conditionalFormatting>
  <conditionalFormatting sqref="C831">
    <cfRule type="cellIs" dxfId="3601" priority="2489" stopIfTrue="1" operator="equal">
      <formula>"2 Add"</formula>
    </cfRule>
  </conditionalFormatting>
  <conditionalFormatting sqref="C831">
    <cfRule type="cellIs" dxfId="3600" priority="2490" stopIfTrue="1" operator="equal">
      <formula>"3 Delete"</formula>
    </cfRule>
  </conditionalFormatting>
  <conditionalFormatting sqref="C832">
    <cfRule type="cellIs" dxfId="3599" priority="2491" stopIfTrue="1" operator="equal">
      <formula>"1 Modify"</formula>
    </cfRule>
  </conditionalFormatting>
  <conditionalFormatting sqref="C832">
    <cfRule type="cellIs" dxfId="3598" priority="2492" stopIfTrue="1" operator="equal">
      <formula>"2 Add"</formula>
    </cfRule>
  </conditionalFormatting>
  <conditionalFormatting sqref="C832">
    <cfRule type="cellIs" dxfId="3597" priority="2493" stopIfTrue="1" operator="equal">
      <formula>"3 Delete"</formula>
    </cfRule>
  </conditionalFormatting>
  <conditionalFormatting sqref="C833">
    <cfRule type="cellIs" dxfId="3596" priority="2494" stopIfTrue="1" operator="equal">
      <formula>"1 Modify"</formula>
    </cfRule>
  </conditionalFormatting>
  <conditionalFormatting sqref="C833">
    <cfRule type="cellIs" dxfId="3595" priority="2495" stopIfTrue="1" operator="equal">
      <formula>"2 Add"</formula>
    </cfRule>
  </conditionalFormatting>
  <conditionalFormatting sqref="C833">
    <cfRule type="cellIs" dxfId="3594" priority="2496" stopIfTrue="1" operator="equal">
      <formula>"3 Delete"</formula>
    </cfRule>
  </conditionalFormatting>
  <conditionalFormatting sqref="C834">
    <cfRule type="cellIs" dxfId="3593" priority="2497" stopIfTrue="1" operator="equal">
      <formula>"1 Modify"</formula>
    </cfRule>
  </conditionalFormatting>
  <conditionalFormatting sqref="C834">
    <cfRule type="cellIs" dxfId="3592" priority="2498" stopIfTrue="1" operator="equal">
      <formula>"2 Add"</formula>
    </cfRule>
  </conditionalFormatting>
  <conditionalFormatting sqref="C834">
    <cfRule type="cellIs" dxfId="3591" priority="2499" stopIfTrue="1" operator="equal">
      <formula>"3 Delete"</formula>
    </cfRule>
  </conditionalFormatting>
  <conditionalFormatting sqref="C835">
    <cfRule type="cellIs" dxfId="3590" priority="2500" stopIfTrue="1" operator="equal">
      <formula>"1 Modify"</formula>
    </cfRule>
  </conditionalFormatting>
  <conditionalFormatting sqref="C835">
    <cfRule type="cellIs" dxfId="3589" priority="2501" stopIfTrue="1" operator="equal">
      <formula>"2 Add"</formula>
    </cfRule>
  </conditionalFormatting>
  <conditionalFormatting sqref="C835">
    <cfRule type="cellIs" dxfId="3588" priority="2502" stopIfTrue="1" operator="equal">
      <formula>"3 Delete"</formula>
    </cfRule>
  </conditionalFormatting>
  <conditionalFormatting sqref="C836">
    <cfRule type="cellIs" dxfId="3587" priority="2503" stopIfTrue="1" operator="equal">
      <formula>"1 Modify"</formula>
    </cfRule>
  </conditionalFormatting>
  <conditionalFormatting sqref="C836">
    <cfRule type="cellIs" dxfId="3586" priority="2504" stopIfTrue="1" operator="equal">
      <formula>"2 Add"</formula>
    </cfRule>
  </conditionalFormatting>
  <conditionalFormatting sqref="C836">
    <cfRule type="cellIs" dxfId="3585" priority="2505" stopIfTrue="1" operator="equal">
      <formula>"3 Delete"</formula>
    </cfRule>
  </conditionalFormatting>
  <conditionalFormatting sqref="C837">
    <cfRule type="cellIs" dxfId="3584" priority="2506" stopIfTrue="1" operator="equal">
      <formula>"1 Modify"</formula>
    </cfRule>
  </conditionalFormatting>
  <conditionalFormatting sqref="C837">
    <cfRule type="cellIs" dxfId="3583" priority="2507" stopIfTrue="1" operator="equal">
      <formula>"2 Add"</formula>
    </cfRule>
  </conditionalFormatting>
  <conditionalFormatting sqref="C837">
    <cfRule type="cellIs" dxfId="3582" priority="2508" stopIfTrue="1" operator="equal">
      <formula>"3 Delete"</formula>
    </cfRule>
  </conditionalFormatting>
  <conditionalFormatting sqref="C838">
    <cfRule type="cellIs" dxfId="3581" priority="2509" stopIfTrue="1" operator="equal">
      <formula>"1 Modify"</formula>
    </cfRule>
  </conditionalFormatting>
  <conditionalFormatting sqref="C838">
    <cfRule type="cellIs" dxfId="3580" priority="2510" stopIfTrue="1" operator="equal">
      <formula>"2 Add"</formula>
    </cfRule>
  </conditionalFormatting>
  <conditionalFormatting sqref="C838">
    <cfRule type="cellIs" dxfId="3579" priority="2511" stopIfTrue="1" operator="equal">
      <formula>"3 Delete"</formula>
    </cfRule>
  </conditionalFormatting>
  <conditionalFormatting sqref="C839">
    <cfRule type="cellIs" dxfId="3578" priority="2512" stopIfTrue="1" operator="equal">
      <formula>"1 Modify"</formula>
    </cfRule>
  </conditionalFormatting>
  <conditionalFormatting sqref="C839">
    <cfRule type="cellIs" dxfId="3577" priority="2513" stopIfTrue="1" operator="equal">
      <formula>"2 Add"</formula>
    </cfRule>
  </conditionalFormatting>
  <conditionalFormatting sqref="C839">
    <cfRule type="cellIs" dxfId="3576" priority="2514" stopIfTrue="1" operator="equal">
      <formula>"3 Delete"</formula>
    </cfRule>
  </conditionalFormatting>
  <conditionalFormatting sqref="C840">
    <cfRule type="cellIs" dxfId="3575" priority="2515" stopIfTrue="1" operator="equal">
      <formula>"1 Modify"</formula>
    </cfRule>
  </conditionalFormatting>
  <conditionalFormatting sqref="C840">
    <cfRule type="cellIs" dxfId="3574" priority="2516" stopIfTrue="1" operator="equal">
      <formula>"2 Add"</formula>
    </cfRule>
  </conditionalFormatting>
  <conditionalFormatting sqref="C840">
    <cfRule type="cellIs" dxfId="3573" priority="2517" stopIfTrue="1" operator="equal">
      <formula>"3 Delete"</formula>
    </cfRule>
  </conditionalFormatting>
  <conditionalFormatting sqref="C841">
    <cfRule type="cellIs" dxfId="3572" priority="2518" stopIfTrue="1" operator="equal">
      <formula>"1 Modify"</formula>
    </cfRule>
  </conditionalFormatting>
  <conditionalFormatting sqref="C841">
    <cfRule type="cellIs" dxfId="3571" priority="2519" stopIfTrue="1" operator="equal">
      <formula>"2 Add"</formula>
    </cfRule>
  </conditionalFormatting>
  <conditionalFormatting sqref="C841">
    <cfRule type="cellIs" dxfId="3570" priority="2520" stopIfTrue="1" operator="equal">
      <formula>"3 Delete"</formula>
    </cfRule>
  </conditionalFormatting>
  <conditionalFormatting sqref="C842">
    <cfRule type="cellIs" dxfId="3569" priority="2521" stopIfTrue="1" operator="equal">
      <formula>"1 Modify"</formula>
    </cfRule>
  </conditionalFormatting>
  <conditionalFormatting sqref="C842">
    <cfRule type="cellIs" dxfId="3568" priority="2522" stopIfTrue="1" operator="equal">
      <formula>"2 Add"</formula>
    </cfRule>
  </conditionalFormatting>
  <conditionalFormatting sqref="C842">
    <cfRule type="cellIs" dxfId="3567" priority="2523" stopIfTrue="1" operator="equal">
      <formula>"3 Delete"</formula>
    </cfRule>
  </conditionalFormatting>
  <conditionalFormatting sqref="C843">
    <cfRule type="cellIs" dxfId="3566" priority="2524" stopIfTrue="1" operator="equal">
      <formula>"1 Modify"</formula>
    </cfRule>
  </conditionalFormatting>
  <conditionalFormatting sqref="C843">
    <cfRule type="cellIs" dxfId="3565" priority="2525" stopIfTrue="1" operator="equal">
      <formula>"2 Add"</formula>
    </cfRule>
  </conditionalFormatting>
  <conditionalFormatting sqref="C843">
    <cfRule type="cellIs" dxfId="3564" priority="2526" stopIfTrue="1" operator="equal">
      <formula>"3 Delete"</formula>
    </cfRule>
  </conditionalFormatting>
  <conditionalFormatting sqref="C844">
    <cfRule type="cellIs" dxfId="3563" priority="2527" stopIfTrue="1" operator="equal">
      <formula>"1 Modify"</formula>
    </cfRule>
  </conditionalFormatting>
  <conditionalFormatting sqref="C844">
    <cfRule type="cellIs" dxfId="3562" priority="2528" stopIfTrue="1" operator="equal">
      <formula>"2 Add"</formula>
    </cfRule>
  </conditionalFormatting>
  <conditionalFormatting sqref="C844">
    <cfRule type="cellIs" dxfId="3561" priority="2529" stopIfTrue="1" operator="equal">
      <formula>"3 Delete"</formula>
    </cfRule>
  </conditionalFormatting>
  <conditionalFormatting sqref="C845">
    <cfRule type="cellIs" dxfId="3560" priority="2530" stopIfTrue="1" operator="equal">
      <formula>"1 Modify"</formula>
    </cfRule>
  </conditionalFormatting>
  <conditionalFormatting sqref="C845">
    <cfRule type="cellIs" dxfId="3559" priority="2531" stopIfTrue="1" operator="equal">
      <formula>"2 Add"</formula>
    </cfRule>
  </conditionalFormatting>
  <conditionalFormatting sqref="C845">
    <cfRule type="cellIs" dxfId="3558" priority="2532" stopIfTrue="1" operator="equal">
      <formula>"3 Delete"</formula>
    </cfRule>
  </conditionalFormatting>
  <conditionalFormatting sqref="C846">
    <cfRule type="cellIs" dxfId="3557" priority="2533" stopIfTrue="1" operator="equal">
      <formula>"1 Modify"</formula>
    </cfRule>
  </conditionalFormatting>
  <conditionalFormatting sqref="C846">
    <cfRule type="cellIs" dxfId="3556" priority="2534" stopIfTrue="1" operator="equal">
      <formula>"2 Add"</formula>
    </cfRule>
  </conditionalFormatting>
  <conditionalFormatting sqref="C846">
    <cfRule type="cellIs" dxfId="3555" priority="2535" stopIfTrue="1" operator="equal">
      <formula>"3 Delete"</formula>
    </cfRule>
  </conditionalFormatting>
  <conditionalFormatting sqref="C847">
    <cfRule type="cellIs" dxfId="3554" priority="2536" stopIfTrue="1" operator="equal">
      <formula>"1 Modify"</formula>
    </cfRule>
  </conditionalFormatting>
  <conditionalFormatting sqref="C847">
    <cfRule type="cellIs" dxfId="3553" priority="2537" stopIfTrue="1" operator="equal">
      <formula>"2 Add"</formula>
    </cfRule>
  </conditionalFormatting>
  <conditionalFormatting sqref="C847">
    <cfRule type="cellIs" dxfId="3552" priority="2538" stopIfTrue="1" operator="equal">
      <formula>"3 Delete"</formula>
    </cfRule>
  </conditionalFormatting>
  <conditionalFormatting sqref="C848">
    <cfRule type="cellIs" dxfId="3551" priority="2539" stopIfTrue="1" operator="equal">
      <formula>"1 Modify"</formula>
    </cfRule>
  </conditionalFormatting>
  <conditionalFormatting sqref="C848">
    <cfRule type="cellIs" dxfId="3550" priority="2540" stopIfTrue="1" operator="equal">
      <formula>"2 Add"</formula>
    </cfRule>
  </conditionalFormatting>
  <conditionalFormatting sqref="C848">
    <cfRule type="cellIs" dxfId="3549" priority="2541" stopIfTrue="1" operator="equal">
      <formula>"3 Delete"</formula>
    </cfRule>
  </conditionalFormatting>
  <conditionalFormatting sqref="C849">
    <cfRule type="cellIs" dxfId="3548" priority="2542" stopIfTrue="1" operator="equal">
      <formula>"1 Modify"</formula>
    </cfRule>
  </conditionalFormatting>
  <conditionalFormatting sqref="C849">
    <cfRule type="cellIs" dxfId="3547" priority="2543" stopIfTrue="1" operator="equal">
      <formula>"2 Add"</formula>
    </cfRule>
  </conditionalFormatting>
  <conditionalFormatting sqref="C849">
    <cfRule type="cellIs" dxfId="3546" priority="2544" stopIfTrue="1" operator="equal">
      <formula>"3 Delete"</formula>
    </cfRule>
  </conditionalFormatting>
  <conditionalFormatting sqref="C850">
    <cfRule type="cellIs" dxfId="3545" priority="2545" stopIfTrue="1" operator="equal">
      <formula>"1 Modify"</formula>
    </cfRule>
  </conditionalFormatting>
  <conditionalFormatting sqref="C850">
    <cfRule type="cellIs" dxfId="3544" priority="2546" stopIfTrue="1" operator="equal">
      <formula>"2 Add"</formula>
    </cfRule>
  </conditionalFormatting>
  <conditionalFormatting sqref="C850">
    <cfRule type="cellIs" dxfId="3543" priority="2547" stopIfTrue="1" operator="equal">
      <formula>"3 Delete"</formula>
    </cfRule>
  </conditionalFormatting>
  <conditionalFormatting sqref="C851">
    <cfRule type="cellIs" dxfId="3542" priority="2548" stopIfTrue="1" operator="equal">
      <formula>"1 Modify"</formula>
    </cfRule>
  </conditionalFormatting>
  <conditionalFormatting sqref="C851">
    <cfRule type="cellIs" dxfId="3541" priority="2549" stopIfTrue="1" operator="equal">
      <formula>"2 Add"</formula>
    </cfRule>
  </conditionalFormatting>
  <conditionalFormatting sqref="C851">
    <cfRule type="cellIs" dxfId="3540" priority="2550" stopIfTrue="1" operator="equal">
      <formula>"3 Delete"</formula>
    </cfRule>
  </conditionalFormatting>
  <conditionalFormatting sqref="C852">
    <cfRule type="cellIs" dxfId="3539" priority="2551" stopIfTrue="1" operator="equal">
      <formula>"1 Modify"</formula>
    </cfRule>
  </conditionalFormatting>
  <conditionalFormatting sqref="C852">
    <cfRule type="cellIs" dxfId="3538" priority="2552" stopIfTrue="1" operator="equal">
      <formula>"2 Add"</formula>
    </cfRule>
  </conditionalFormatting>
  <conditionalFormatting sqref="C852">
    <cfRule type="cellIs" dxfId="3537" priority="2553" stopIfTrue="1" operator="equal">
      <formula>"3 Delete"</formula>
    </cfRule>
  </conditionalFormatting>
  <conditionalFormatting sqref="C853">
    <cfRule type="cellIs" dxfId="3536" priority="2554" stopIfTrue="1" operator="equal">
      <formula>"1 Modify"</formula>
    </cfRule>
  </conditionalFormatting>
  <conditionalFormatting sqref="C853">
    <cfRule type="cellIs" dxfId="3535" priority="2555" stopIfTrue="1" operator="equal">
      <formula>"2 Add"</formula>
    </cfRule>
  </conditionalFormatting>
  <conditionalFormatting sqref="C853">
    <cfRule type="cellIs" dxfId="3534" priority="2556" stopIfTrue="1" operator="equal">
      <formula>"3 Delete"</formula>
    </cfRule>
  </conditionalFormatting>
  <conditionalFormatting sqref="C854">
    <cfRule type="cellIs" dxfId="3533" priority="2557" stopIfTrue="1" operator="equal">
      <formula>"1 Modify"</formula>
    </cfRule>
  </conditionalFormatting>
  <conditionalFormatting sqref="C854">
    <cfRule type="cellIs" dxfId="3532" priority="2558" stopIfTrue="1" operator="equal">
      <formula>"2 Add"</formula>
    </cfRule>
  </conditionalFormatting>
  <conditionalFormatting sqref="C854">
    <cfRule type="cellIs" dxfId="3531" priority="2559" stopIfTrue="1" operator="equal">
      <formula>"3 Delete"</formula>
    </cfRule>
  </conditionalFormatting>
  <conditionalFormatting sqref="C855">
    <cfRule type="cellIs" dxfId="3530" priority="2560" stopIfTrue="1" operator="equal">
      <formula>"1 Modify"</formula>
    </cfRule>
  </conditionalFormatting>
  <conditionalFormatting sqref="C855">
    <cfRule type="cellIs" dxfId="3529" priority="2561" stopIfTrue="1" operator="equal">
      <formula>"2 Add"</formula>
    </cfRule>
  </conditionalFormatting>
  <conditionalFormatting sqref="C855">
    <cfRule type="cellIs" dxfId="3528" priority="2562" stopIfTrue="1" operator="equal">
      <formula>"3 Delete"</formula>
    </cfRule>
  </conditionalFormatting>
  <conditionalFormatting sqref="C856">
    <cfRule type="cellIs" dxfId="3527" priority="2563" stopIfTrue="1" operator="equal">
      <formula>"1 Modify"</formula>
    </cfRule>
  </conditionalFormatting>
  <conditionalFormatting sqref="C856">
    <cfRule type="cellIs" dxfId="3526" priority="2564" stopIfTrue="1" operator="equal">
      <formula>"2 Add"</formula>
    </cfRule>
  </conditionalFormatting>
  <conditionalFormatting sqref="C856">
    <cfRule type="cellIs" dxfId="3525" priority="2565" stopIfTrue="1" operator="equal">
      <formula>"3 Delete"</formula>
    </cfRule>
  </conditionalFormatting>
  <conditionalFormatting sqref="C857">
    <cfRule type="cellIs" dxfId="3524" priority="2566" stopIfTrue="1" operator="equal">
      <formula>"1 Modify"</formula>
    </cfRule>
  </conditionalFormatting>
  <conditionalFormatting sqref="C857">
    <cfRule type="cellIs" dxfId="3523" priority="2567" stopIfTrue="1" operator="equal">
      <formula>"2 Add"</formula>
    </cfRule>
  </conditionalFormatting>
  <conditionalFormatting sqref="C857">
    <cfRule type="cellIs" dxfId="3522" priority="2568" stopIfTrue="1" operator="equal">
      <formula>"3 Delete"</formula>
    </cfRule>
  </conditionalFormatting>
  <conditionalFormatting sqref="C858">
    <cfRule type="cellIs" dxfId="3521" priority="2569" stopIfTrue="1" operator="equal">
      <formula>"1 Modify"</formula>
    </cfRule>
  </conditionalFormatting>
  <conditionalFormatting sqref="C858">
    <cfRule type="cellIs" dxfId="3520" priority="2570" stopIfTrue="1" operator="equal">
      <formula>"2 Add"</formula>
    </cfRule>
  </conditionalFormatting>
  <conditionalFormatting sqref="C858">
    <cfRule type="cellIs" dxfId="3519" priority="2571" stopIfTrue="1" operator="equal">
      <formula>"3 Delete"</formula>
    </cfRule>
  </conditionalFormatting>
  <conditionalFormatting sqref="C859">
    <cfRule type="cellIs" dxfId="3518" priority="2572" stopIfTrue="1" operator="equal">
      <formula>"1 Modify"</formula>
    </cfRule>
  </conditionalFormatting>
  <conditionalFormatting sqref="C859">
    <cfRule type="cellIs" dxfId="3517" priority="2573" stopIfTrue="1" operator="equal">
      <formula>"2 Add"</formula>
    </cfRule>
  </conditionalFormatting>
  <conditionalFormatting sqref="C859">
    <cfRule type="cellIs" dxfId="3516" priority="2574" stopIfTrue="1" operator="equal">
      <formula>"3 Delete"</formula>
    </cfRule>
  </conditionalFormatting>
  <conditionalFormatting sqref="C860">
    <cfRule type="cellIs" dxfId="3515" priority="2575" stopIfTrue="1" operator="equal">
      <formula>"1 Modify"</formula>
    </cfRule>
  </conditionalFormatting>
  <conditionalFormatting sqref="C860">
    <cfRule type="cellIs" dxfId="3514" priority="2576" stopIfTrue="1" operator="equal">
      <formula>"2 Add"</formula>
    </cfRule>
  </conditionalFormatting>
  <conditionalFormatting sqref="C860">
    <cfRule type="cellIs" dxfId="3513" priority="2577" stopIfTrue="1" operator="equal">
      <formula>"3 Delete"</formula>
    </cfRule>
  </conditionalFormatting>
  <conditionalFormatting sqref="C861">
    <cfRule type="cellIs" dxfId="3512" priority="2578" stopIfTrue="1" operator="equal">
      <formula>"1 Modify"</formula>
    </cfRule>
  </conditionalFormatting>
  <conditionalFormatting sqref="C861">
    <cfRule type="cellIs" dxfId="3511" priority="2579" stopIfTrue="1" operator="equal">
      <formula>"2 Add"</formula>
    </cfRule>
  </conditionalFormatting>
  <conditionalFormatting sqref="C861">
    <cfRule type="cellIs" dxfId="3510" priority="2580" stopIfTrue="1" operator="equal">
      <formula>"3 Delete"</formula>
    </cfRule>
  </conditionalFormatting>
  <conditionalFormatting sqref="C862">
    <cfRule type="cellIs" dxfId="3509" priority="2581" stopIfTrue="1" operator="equal">
      <formula>"1 Modify"</formula>
    </cfRule>
  </conditionalFormatting>
  <conditionalFormatting sqref="C862">
    <cfRule type="cellIs" dxfId="3508" priority="2582" stopIfTrue="1" operator="equal">
      <formula>"2 Add"</formula>
    </cfRule>
  </conditionalFormatting>
  <conditionalFormatting sqref="C862">
    <cfRule type="cellIs" dxfId="3507" priority="2583" stopIfTrue="1" operator="equal">
      <formula>"3 Delete"</formula>
    </cfRule>
  </conditionalFormatting>
  <conditionalFormatting sqref="C863">
    <cfRule type="cellIs" dxfId="3506" priority="2584" stopIfTrue="1" operator="equal">
      <formula>"1 Modify"</formula>
    </cfRule>
  </conditionalFormatting>
  <conditionalFormatting sqref="C863">
    <cfRule type="cellIs" dxfId="3505" priority="2585" stopIfTrue="1" operator="equal">
      <formula>"2 Add"</formula>
    </cfRule>
  </conditionalFormatting>
  <conditionalFormatting sqref="C863">
    <cfRule type="cellIs" dxfId="3504" priority="2586" stopIfTrue="1" operator="equal">
      <formula>"3 Delete"</formula>
    </cfRule>
  </conditionalFormatting>
  <conditionalFormatting sqref="C864">
    <cfRule type="cellIs" dxfId="3503" priority="2587" stopIfTrue="1" operator="equal">
      <formula>"1 Modify"</formula>
    </cfRule>
  </conditionalFormatting>
  <conditionalFormatting sqref="C864">
    <cfRule type="cellIs" dxfId="3502" priority="2588" stopIfTrue="1" operator="equal">
      <formula>"2 Add"</formula>
    </cfRule>
  </conditionalFormatting>
  <conditionalFormatting sqref="C864">
    <cfRule type="cellIs" dxfId="3501" priority="2589" stopIfTrue="1" operator="equal">
      <formula>"3 Delete"</formula>
    </cfRule>
  </conditionalFormatting>
  <conditionalFormatting sqref="C865">
    <cfRule type="cellIs" dxfId="3500" priority="2590" stopIfTrue="1" operator="equal">
      <formula>"1 Modify"</formula>
    </cfRule>
  </conditionalFormatting>
  <conditionalFormatting sqref="C865">
    <cfRule type="cellIs" dxfId="3499" priority="2591" stopIfTrue="1" operator="equal">
      <formula>"2 Add"</formula>
    </cfRule>
  </conditionalFormatting>
  <conditionalFormatting sqref="C865">
    <cfRule type="cellIs" dxfId="3498" priority="2592" stopIfTrue="1" operator="equal">
      <formula>"3 Delete"</formula>
    </cfRule>
  </conditionalFormatting>
  <conditionalFormatting sqref="C866">
    <cfRule type="cellIs" dxfId="3497" priority="2593" stopIfTrue="1" operator="equal">
      <formula>"1 Modify"</formula>
    </cfRule>
  </conditionalFormatting>
  <conditionalFormatting sqref="C866">
    <cfRule type="cellIs" dxfId="3496" priority="2594" stopIfTrue="1" operator="equal">
      <formula>"2 Add"</formula>
    </cfRule>
  </conditionalFormatting>
  <conditionalFormatting sqref="C866">
    <cfRule type="cellIs" dxfId="3495" priority="2595" stopIfTrue="1" operator="equal">
      <formula>"3 Delete"</formula>
    </cfRule>
  </conditionalFormatting>
  <conditionalFormatting sqref="C867">
    <cfRule type="cellIs" dxfId="3494" priority="2596" stopIfTrue="1" operator="equal">
      <formula>"1 Modify"</formula>
    </cfRule>
  </conditionalFormatting>
  <conditionalFormatting sqref="C867">
    <cfRule type="cellIs" dxfId="3493" priority="2597" stopIfTrue="1" operator="equal">
      <formula>"2 Add"</formula>
    </cfRule>
  </conditionalFormatting>
  <conditionalFormatting sqref="C867">
    <cfRule type="cellIs" dxfId="3492" priority="2598" stopIfTrue="1" operator="equal">
      <formula>"3 Delete"</formula>
    </cfRule>
  </conditionalFormatting>
  <conditionalFormatting sqref="C868">
    <cfRule type="cellIs" dxfId="3491" priority="2599" stopIfTrue="1" operator="equal">
      <formula>"1 Modify"</formula>
    </cfRule>
  </conditionalFormatting>
  <conditionalFormatting sqref="C868">
    <cfRule type="cellIs" dxfId="3490" priority="2600" stopIfTrue="1" operator="equal">
      <formula>"2 Add"</formula>
    </cfRule>
  </conditionalFormatting>
  <conditionalFormatting sqref="C868">
    <cfRule type="cellIs" dxfId="3489" priority="2601" stopIfTrue="1" operator="equal">
      <formula>"3 Delete"</formula>
    </cfRule>
  </conditionalFormatting>
  <conditionalFormatting sqref="C869">
    <cfRule type="cellIs" dxfId="3488" priority="2602" stopIfTrue="1" operator="equal">
      <formula>"1 Modify"</formula>
    </cfRule>
  </conditionalFormatting>
  <conditionalFormatting sqref="C869">
    <cfRule type="cellIs" dxfId="3487" priority="2603" stopIfTrue="1" operator="equal">
      <formula>"2 Add"</formula>
    </cfRule>
  </conditionalFormatting>
  <conditionalFormatting sqref="C869">
    <cfRule type="cellIs" dxfId="3486" priority="2604" stopIfTrue="1" operator="equal">
      <formula>"3 Delete"</formula>
    </cfRule>
  </conditionalFormatting>
  <conditionalFormatting sqref="C870">
    <cfRule type="cellIs" dxfId="3485" priority="2605" stopIfTrue="1" operator="equal">
      <formula>"1 Modify"</formula>
    </cfRule>
  </conditionalFormatting>
  <conditionalFormatting sqref="C870">
    <cfRule type="cellIs" dxfId="3484" priority="2606" stopIfTrue="1" operator="equal">
      <formula>"2 Add"</formula>
    </cfRule>
  </conditionalFormatting>
  <conditionalFormatting sqref="C870">
    <cfRule type="cellIs" dxfId="3483" priority="2607" stopIfTrue="1" operator="equal">
      <formula>"3 Delete"</formula>
    </cfRule>
  </conditionalFormatting>
  <conditionalFormatting sqref="C871">
    <cfRule type="cellIs" dxfId="3482" priority="2608" stopIfTrue="1" operator="equal">
      <formula>"1 Modify"</formula>
    </cfRule>
  </conditionalFormatting>
  <conditionalFormatting sqref="C871">
    <cfRule type="cellIs" dxfId="3481" priority="2609" stopIfTrue="1" operator="equal">
      <formula>"2 Add"</formula>
    </cfRule>
  </conditionalFormatting>
  <conditionalFormatting sqref="C871">
    <cfRule type="cellIs" dxfId="3480" priority="2610" stopIfTrue="1" operator="equal">
      <formula>"3 Delete"</formula>
    </cfRule>
  </conditionalFormatting>
  <conditionalFormatting sqref="C872">
    <cfRule type="cellIs" dxfId="3479" priority="2611" stopIfTrue="1" operator="equal">
      <formula>"1 Modify"</formula>
    </cfRule>
  </conditionalFormatting>
  <conditionalFormatting sqref="C872">
    <cfRule type="cellIs" dxfId="3478" priority="2612" stopIfTrue="1" operator="equal">
      <formula>"2 Add"</formula>
    </cfRule>
  </conditionalFormatting>
  <conditionalFormatting sqref="C872">
    <cfRule type="cellIs" dxfId="3477" priority="2613" stopIfTrue="1" operator="equal">
      <formula>"3 Delete"</formula>
    </cfRule>
  </conditionalFormatting>
  <conditionalFormatting sqref="C873">
    <cfRule type="cellIs" dxfId="3476" priority="2614" stopIfTrue="1" operator="equal">
      <formula>"1 Modify"</formula>
    </cfRule>
  </conditionalFormatting>
  <conditionalFormatting sqref="C873">
    <cfRule type="cellIs" dxfId="3475" priority="2615" stopIfTrue="1" operator="equal">
      <formula>"2 Add"</formula>
    </cfRule>
  </conditionalFormatting>
  <conditionalFormatting sqref="C873">
    <cfRule type="cellIs" dxfId="3474" priority="2616" stopIfTrue="1" operator="equal">
      <formula>"3 Delete"</formula>
    </cfRule>
  </conditionalFormatting>
  <conditionalFormatting sqref="C874">
    <cfRule type="cellIs" dxfId="3473" priority="2617" stopIfTrue="1" operator="equal">
      <formula>"1 Modify"</formula>
    </cfRule>
  </conditionalFormatting>
  <conditionalFormatting sqref="C874">
    <cfRule type="cellIs" dxfId="3472" priority="2618" stopIfTrue="1" operator="equal">
      <formula>"2 Add"</formula>
    </cfRule>
  </conditionalFormatting>
  <conditionalFormatting sqref="C874">
    <cfRule type="cellIs" dxfId="3471" priority="2619" stopIfTrue="1" operator="equal">
      <formula>"3 Delete"</formula>
    </cfRule>
  </conditionalFormatting>
  <conditionalFormatting sqref="C875">
    <cfRule type="cellIs" dxfId="3470" priority="2620" stopIfTrue="1" operator="equal">
      <formula>"1 Modify"</formula>
    </cfRule>
  </conditionalFormatting>
  <conditionalFormatting sqref="C875">
    <cfRule type="cellIs" dxfId="3469" priority="2621" stopIfTrue="1" operator="equal">
      <formula>"2 Add"</formula>
    </cfRule>
  </conditionalFormatting>
  <conditionalFormatting sqref="C875">
    <cfRule type="cellIs" dxfId="3468" priority="2622" stopIfTrue="1" operator="equal">
      <formula>"3 Delete"</formula>
    </cfRule>
  </conditionalFormatting>
  <conditionalFormatting sqref="C876">
    <cfRule type="cellIs" dxfId="3467" priority="2623" stopIfTrue="1" operator="equal">
      <formula>"1 Modify"</formula>
    </cfRule>
  </conditionalFormatting>
  <conditionalFormatting sqref="C876">
    <cfRule type="cellIs" dxfId="3466" priority="2624" stopIfTrue="1" operator="equal">
      <formula>"2 Add"</formula>
    </cfRule>
  </conditionalFormatting>
  <conditionalFormatting sqref="C876">
    <cfRule type="cellIs" dxfId="3465" priority="2625" stopIfTrue="1" operator="equal">
      <formula>"3 Delete"</formula>
    </cfRule>
  </conditionalFormatting>
  <conditionalFormatting sqref="C877">
    <cfRule type="cellIs" dxfId="3464" priority="2626" stopIfTrue="1" operator="equal">
      <formula>"1 Modify"</formula>
    </cfRule>
  </conditionalFormatting>
  <conditionalFormatting sqref="C877">
    <cfRule type="cellIs" dxfId="3463" priority="2627" stopIfTrue="1" operator="equal">
      <formula>"2 Add"</formula>
    </cfRule>
  </conditionalFormatting>
  <conditionalFormatting sqref="C877">
    <cfRule type="cellIs" dxfId="3462" priority="2628" stopIfTrue="1" operator="equal">
      <formula>"3 Delete"</formula>
    </cfRule>
  </conditionalFormatting>
  <conditionalFormatting sqref="C878">
    <cfRule type="cellIs" dxfId="3461" priority="2629" stopIfTrue="1" operator="equal">
      <formula>"1 Modify"</formula>
    </cfRule>
  </conditionalFormatting>
  <conditionalFormatting sqref="C878">
    <cfRule type="cellIs" dxfId="3460" priority="2630" stopIfTrue="1" operator="equal">
      <formula>"2 Add"</formula>
    </cfRule>
  </conditionalFormatting>
  <conditionalFormatting sqref="C878">
    <cfRule type="cellIs" dxfId="3459" priority="2631" stopIfTrue="1" operator="equal">
      <formula>"3 Delete"</formula>
    </cfRule>
  </conditionalFormatting>
  <conditionalFormatting sqref="C879">
    <cfRule type="cellIs" dxfId="3458" priority="2632" stopIfTrue="1" operator="equal">
      <formula>"1 Modify"</formula>
    </cfRule>
  </conditionalFormatting>
  <conditionalFormatting sqref="C879">
    <cfRule type="cellIs" dxfId="3457" priority="2633" stopIfTrue="1" operator="equal">
      <formula>"2 Add"</formula>
    </cfRule>
  </conditionalFormatting>
  <conditionalFormatting sqref="C879">
    <cfRule type="cellIs" dxfId="3456" priority="2634" stopIfTrue="1" operator="equal">
      <formula>"3 Delete"</formula>
    </cfRule>
  </conditionalFormatting>
  <conditionalFormatting sqref="C880">
    <cfRule type="cellIs" dxfId="3455" priority="2635" stopIfTrue="1" operator="equal">
      <formula>"1 Modify"</formula>
    </cfRule>
  </conditionalFormatting>
  <conditionalFormatting sqref="C880">
    <cfRule type="cellIs" dxfId="3454" priority="2636" stopIfTrue="1" operator="equal">
      <formula>"2 Add"</formula>
    </cfRule>
  </conditionalFormatting>
  <conditionalFormatting sqref="C880">
    <cfRule type="cellIs" dxfId="3453" priority="2637" stopIfTrue="1" operator="equal">
      <formula>"3 Delete"</formula>
    </cfRule>
  </conditionalFormatting>
  <conditionalFormatting sqref="C881">
    <cfRule type="cellIs" dxfId="3452" priority="2638" stopIfTrue="1" operator="equal">
      <formula>"1 Modify"</formula>
    </cfRule>
  </conditionalFormatting>
  <conditionalFormatting sqref="C881">
    <cfRule type="cellIs" dxfId="3451" priority="2639" stopIfTrue="1" operator="equal">
      <formula>"2 Add"</formula>
    </cfRule>
  </conditionalFormatting>
  <conditionalFormatting sqref="C881">
    <cfRule type="cellIs" dxfId="3450" priority="2640" stopIfTrue="1" operator="equal">
      <formula>"3 Delete"</formula>
    </cfRule>
  </conditionalFormatting>
  <conditionalFormatting sqref="C882">
    <cfRule type="cellIs" dxfId="3449" priority="2641" stopIfTrue="1" operator="equal">
      <formula>"1 Modify"</formula>
    </cfRule>
  </conditionalFormatting>
  <conditionalFormatting sqref="C882">
    <cfRule type="cellIs" dxfId="3448" priority="2642" stopIfTrue="1" operator="equal">
      <formula>"2 Add"</formula>
    </cfRule>
  </conditionalFormatting>
  <conditionalFormatting sqref="C882">
    <cfRule type="cellIs" dxfId="3447" priority="2643" stopIfTrue="1" operator="equal">
      <formula>"3 Delete"</formula>
    </cfRule>
  </conditionalFormatting>
  <conditionalFormatting sqref="C883">
    <cfRule type="cellIs" dxfId="3446" priority="2644" stopIfTrue="1" operator="equal">
      <formula>"1 Modify"</formula>
    </cfRule>
  </conditionalFormatting>
  <conditionalFormatting sqref="C883">
    <cfRule type="cellIs" dxfId="3445" priority="2645" stopIfTrue="1" operator="equal">
      <formula>"2 Add"</formula>
    </cfRule>
  </conditionalFormatting>
  <conditionalFormatting sqref="C883">
    <cfRule type="cellIs" dxfId="3444" priority="2646" stopIfTrue="1" operator="equal">
      <formula>"3 Delete"</formula>
    </cfRule>
  </conditionalFormatting>
  <conditionalFormatting sqref="C884">
    <cfRule type="cellIs" dxfId="3443" priority="2647" stopIfTrue="1" operator="equal">
      <formula>"1 Modify"</formula>
    </cfRule>
  </conditionalFormatting>
  <conditionalFormatting sqref="C884">
    <cfRule type="cellIs" dxfId="3442" priority="2648" stopIfTrue="1" operator="equal">
      <formula>"2 Add"</formula>
    </cfRule>
  </conditionalFormatting>
  <conditionalFormatting sqref="C884">
    <cfRule type="cellIs" dxfId="3441" priority="2649" stopIfTrue="1" operator="equal">
      <formula>"3 Delete"</formula>
    </cfRule>
  </conditionalFormatting>
  <conditionalFormatting sqref="C885">
    <cfRule type="cellIs" dxfId="3440" priority="2650" stopIfTrue="1" operator="equal">
      <formula>"1 Modify"</formula>
    </cfRule>
  </conditionalFormatting>
  <conditionalFormatting sqref="C885">
    <cfRule type="cellIs" dxfId="3439" priority="2651" stopIfTrue="1" operator="equal">
      <formula>"2 Add"</formula>
    </cfRule>
  </conditionalFormatting>
  <conditionalFormatting sqref="C885">
    <cfRule type="cellIs" dxfId="3438" priority="2652" stopIfTrue="1" operator="equal">
      <formula>"3 Delete"</formula>
    </cfRule>
  </conditionalFormatting>
  <conditionalFormatting sqref="C886">
    <cfRule type="cellIs" dxfId="3437" priority="2653" stopIfTrue="1" operator="equal">
      <formula>"1 Modify"</formula>
    </cfRule>
  </conditionalFormatting>
  <conditionalFormatting sqref="C886">
    <cfRule type="cellIs" dxfId="3436" priority="2654" stopIfTrue="1" operator="equal">
      <formula>"2 Add"</formula>
    </cfRule>
  </conditionalFormatting>
  <conditionalFormatting sqref="C886">
    <cfRule type="cellIs" dxfId="3435" priority="2655" stopIfTrue="1" operator="equal">
      <formula>"3 Delete"</formula>
    </cfRule>
  </conditionalFormatting>
  <conditionalFormatting sqref="C887">
    <cfRule type="cellIs" dxfId="3434" priority="2656" stopIfTrue="1" operator="equal">
      <formula>"1 Modify"</formula>
    </cfRule>
  </conditionalFormatting>
  <conditionalFormatting sqref="C887">
    <cfRule type="cellIs" dxfId="3433" priority="2657" stopIfTrue="1" operator="equal">
      <formula>"2 Add"</formula>
    </cfRule>
  </conditionalFormatting>
  <conditionalFormatting sqref="C887">
    <cfRule type="cellIs" dxfId="3432" priority="2658" stopIfTrue="1" operator="equal">
      <formula>"3 Delete"</formula>
    </cfRule>
  </conditionalFormatting>
  <conditionalFormatting sqref="C888">
    <cfRule type="cellIs" dxfId="3431" priority="2659" stopIfTrue="1" operator="equal">
      <formula>"1 Modify"</formula>
    </cfRule>
  </conditionalFormatting>
  <conditionalFormatting sqref="C888">
    <cfRule type="cellIs" dxfId="3430" priority="2660" stopIfTrue="1" operator="equal">
      <formula>"2 Add"</formula>
    </cfRule>
  </conditionalFormatting>
  <conditionalFormatting sqref="C888">
    <cfRule type="cellIs" dxfId="3429" priority="2661" stopIfTrue="1" operator="equal">
      <formula>"3 Delete"</formula>
    </cfRule>
  </conditionalFormatting>
  <conditionalFormatting sqref="C889">
    <cfRule type="cellIs" dxfId="3428" priority="2662" stopIfTrue="1" operator="equal">
      <formula>"1 Modify"</formula>
    </cfRule>
  </conditionalFormatting>
  <conditionalFormatting sqref="C889">
    <cfRule type="cellIs" dxfId="3427" priority="2663" stopIfTrue="1" operator="equal">
      <formula>"2 Add"</formula>
    </cfRule>
  </conditionalFormatting>
  <conditionalFormatting sqref="C889">
    <cfRule type="cellIs" dxfId="3426" priority="2664" stopIfTrue="1" operator="equal">
      <formula>"3 Delete"</formula>
    </cfRule>
  </conditionalFormatting>
  <conditionalFormatting sqref="C890">
    <cfRule type="cellIs" dxfId="3425" priority="2665" stopIfTrue="1" operator="equal">
      <formula>"1 Modify"</formula>
    </cfRule>
  </conditionalFormatting>
  <conditionalFormatting sqref="C890">
    <cfRule type="cellIs" dxfId="3424" priority="2666" stopIfTrue="1" operator="equal">
      <formula>"2 Add"</formula>
    </cfRule>
  </conditionalFormatting>
  <conditionalFormatting sqref="C890">
    <cfRule type="cellIs" dxfId="3423" priority="2667" stopIfTrue="1" operator="equal">
      <formula>"3 Delete"</formula>
    </cfRule>
  </conditionalFormatting>
  <conditionalFormatting sqref="C891">
    <cfRule type="cellIs" dxfId="3422" priority="2668" stopIfTrue="1" operator="equal">
      <formula>"1 Modify"</formula>
    </cfRule>
  </conditionalFormatting>
  <conditionalFormatting sqref="C891">
    <cfRule type="cellIs" dxfId="3421" priority="2669" stopIfTrue="1" operator="equal">
      <formula>"2 Add"</formula>
    </cfRule>
  </conditionalFormatting>
  <conditionalFormatting sqref="C891">
    <cfRule type="cellIs" dxfId="3420" priority="2670" stopIfTrue="1" operator="equal">
      <formula>"3 Delete"</formula>
    </cfRule>
  </conditionalFormatting>
  <conditionalFormatting sqref="C892">
    <cfRule type="cellIs" dxfId="3419" priority="2671" stopIfTrue="1" operator="equal">
      <formula>"1 Modify"</formula>
    </cfRule>
  </conditionalFormatting>
  <conditionalFormatting sqref="C892">
    <cfRule type="cellIs" dxfId="3418" priority="2672" stopIfTrue="1" operator="equal">
      <formula>"2 Add"</formula>
    </cfRule>
  </conditionalFormatting>
  <conditionalFormatting sqref="C892">
    <cfRule type="cellIs" dxfId="3417" priority="2673" stopIfTrue="1" operator="equal">
      <formula>"3 Delete"</formula>
    </cfRule>
  </conditionalFormatting>
  <conditionalFormatting sqref="C893">
    <cfRule type="cellIs" dxfId="3416" priority="2674" stopIfTrue="1" operator="equal">
      <formula>"1 Modify"</formula>
    </cfRule>
  </conditionalFormatting>
  <conditionalFormatting sqref="C893">
    <cfRule type="cellIs" dxfId="3415" priority="2675" stopIfTrue="1" operator="equal">
      <formula>"2 Add"</formula>
    </cfRule>
  </conditionalFormatting>
  <conditionalFormatting sqref="C893">
    <cfRule type="cellIs" dxfId="3414" priority="2676" stopIfTrue="1" operator="equal">
      <formula>"3 Delete"</formula>
    </cfRule>
  </conditionalFormatting>
  <conditionalFormatting sqref="C894">
    <cfRule type="cellIs" dxfId="3413" priority="2677" stopIfTrue="1" operator="equal">
      <formula>"1 Modify"</formula>
    </cfRule>
  </conditionalFormatting>
  <conditionalFormatting sqref="C894">
    <cfRule type="cellIs" dxfId="3412" priority="2678" stopIfTrue="1" operator="equal">
      <formula>"2 Add"</formula>
    </cfRule>
  </conditionalFormatting>
  <conditionalFormatting sqref="C894">
    <cfRule type="cellIs" dxfId="3411" priority="2679" stopIfTrue="1" operator="equal">
      <formula>"3 Delete"</formula>
    </cfRule>
  </conditionalFormatting>
  <conditionalFormatting sqref="C895">
    <cfRule type="cellIs" dxfId="3410" priority="2680" stopIfTrue="1" operator="equal">
      <formula>"1 Modify"</formula>
    </cfRule>
  </conditionalFormatting>
  <conditionalFormatting sqref="C895">
    <cfRule type="cellIs" dxfId="3409" priority="2681" stopIfTrue="1" operator="equal">
      <formula>"2 Add"</formula>
    </cfRule>
  </conditionalFormatting>
  <conditionalFormatting sqref="C895">
    <cfRule type="cellIs" dxfId="3408" priority="2682" stopIfTrue="1" operator="equal">
      <formula>"3 Delete"</formula>
    </cfRule>
  </conditionalFormatting>
  <conditionalFormatting sqref="C896">
    <cfRule type="cellIs" dxfId="3407" priority="2683" stopIfTrue="1" operator="equal">
      <formula>"1 Modify"</formula>
    </cfRule>
  </conditionalFormatting>
  <conditionalFormatting sqref="C896">
    <cfRule type="cellIs" dxfId="3406" priority="2684" stopIfTrue="1" operator="equal">
      <formula>"2 Add"</formula>
    </cfRule>
  </conditionalFormatting>
  <conditionalFormatting sqref="C896">
    <cfRule type="cellIs" dxfId="3405" priority="2685" stopIfTrue="1" operator="equal">
      <formula>"3 Delete"</formula>
    </cfRule>
  </conditionalFormatting>
  <conditionalFormatting sqref="C897">
    <cfRule type="cellIs" dxfId="3404" priority="2686" stopIfTrue="1" operator="equal">
      <formula>"1 Modify"</formula>
    </cfRule>
  </conditionalFormatting>
  <conditionalFormatting sqref="C897">
    <cfRule type="cellIs" dxfId="3403" priority="2687" stopIfTrue="1" operator="equal">
      <formula>"2 Add"</formula>
    </cfRule>
  </conditionalFormatting>
  <conditionalFormatting sqref="C897">
    <cfRule type="cellIs" dxfId="3402" priority="2688" stopIfTrue="1" operator="equal">
      <formula>"3 Delete"</formula>
    </cfRule>
  </conditionalFormatting>
  <conditionalFormatting sqref="C898">
    <cfRule type="cellIs" dxfId="3401" priority="2689" stopIfTrue="1" operator="equal">
      <formula>"1 Modify"</formula>
    </cfRule>
  </conditionalFormatting>
  <conditionalFormatting sqref="C898">
    <cfRule type="cellIs" dxfId="3400" priority="2690" stopIfTrue="1" operator="equal">
      <formula>"2 Add"</formula>
    </cfRule>
  </conditionalFormatting>
  <conditionalFormatting sqref="C898">
    <cfRule type="cellIs" dxfId="3399" priority="2691" stopIfTrue="1" operator="equal">
      <formula>"3 Delete"</formula>
    </cfRule>
  </conditionalFormatting>
  <conditionalFormatting sqref="C899">
    <cfRule type="cellIs" dxfId="3398" priority="2692" stopIfTrue="1" operator="equal">
      <formula>"1 Modify"</formula>
    </cfRule>
  </conditionalFormatting>
  <conditionalFormatting sqref="C899">
    <cfRule type="cellIs" dxfId="3397" priority="2693" stopIfTrue="1" operator="equal">
      <formula>"2 Add"</formula>
    </cfRule>
  </conditionalFormatting>
  <conditionalFormatting sqref="C899">
    <cfRule type="cellIs" dxfId="3396" priority="2694" stopIfTrue="1" operator="equal">
      <formula>"3 Delete"</formula>
    </cfRule>
  </conditionalFormatting>
  <conditionalFormatting sqref="C900">
    <cfRule type="cellIs" dxfId="3395" priority="2695" stopIfTrue="1" operator="equal">
      <formula>"1 Modify"</formula>
    </cfRule>
  </conditionalFormatting>
  <conditionalFormatting sqref="C900">
    <cfRule type="cellIs" dxfId="3394" priority="2696" stopIfTrue="1" operator="equal">
      <formula>"2 Add"</formula>
    </cfRule>
  </conditionalFormatting>
  <conditionalFormatting sqref="C900">
    <cfRule type="cellIs" dxfId="3393" priority="2697" stopIfTrue="1" operator="equal">
      <formula>"3 Delete"</formula>
    </cfRule>
  </conditionalFormatting>
  <conditionalFormatting sqref="C901">
    <cfRule type="cellIs" dxfId="3392" priority="2698" stopIfTrue="1" operator="equal">
      <formula>"1 Modify"</formula>
    </cfRule>
  </conditionalFormatting>
  <conditionalFormatting sqref="C901">
    <cfRule type="cellIs" dxfId="3391" priority="2699" stopIfTrue="1" operator="equal">
      <formula>"2 Add"</formula>
    </cfRule>
  </conditionalFormatting>
  <conditionalFormatting sqref="C901">
    <cfRule type="cellIs" dxfId="3390" priority="2700" stopIfTrue="1" operator="equal">
      <formula>"3 Delete"</formula>
    </cfRule>
  </conditionalFormatting>
  <conditionalFormatting sqref="C902">
    <cfRule type="cellIs" dxfId="3389" priority="2701" stopIfTrue="1" operator="equal">
      <formula>"1 Modify"</formula>
    </cfRule>
  </conditionalFormatting>
  <conditionalFormatting sqref="C902">
    <cfRule type="cellIs" dxfId="3388" priority="2702" stopIfTrue="1" operator="equal">
      <formula>"2 Add"</formula>
    </cfRule>
  </conditionalFormatting>
  <conditionalFormatting sqref="C902">
    <cfRule type="cellIs" dxfId="3387" priority="2703" stopIfTrue="1" operator="equal">
      <formula>"3 Delete"</formula>
    </cfRule>
  </conditionalFormatting>
  <conditionalFormatting sqref="C903">
    <cfRule type="cellIs" dxfId="3386" priority="2704" stopIfTrue="1" operator="equal">
      <formula>"1 Modify"</formula>
    </cfRule>
  </conditionalFormatting>
  <conditionalFormatting sqref="C903">
    <cfRule type="cellIs" dxfId="3385" priority="2705" stopIfTrue="1" operator="equal">
      <formula>"2 Add"</formula>
    </cfRule>
  </conditionalFormatting>
  <conditionalFormatting sqref="C903">
    <cfRule type="cellIs" dxfId="3384" priority="2706" stopIfTrue="1" operator="equal">
      <formula>"3 Delete"</formula>
    </cfRule>
  </conditionalFormatting>
  <conditionalFormatting sqref="C904">
    <cfRule type="cellIs" dxfId="3383" priority="2707" stopIfTrue="1" operator="equal">
      <formula>"1 Modify"</formula>
    </cfRule>
  </conditionalFormatting>
  <conditionalFormatting sqref="C904">
    <cfRule type="cellIs" dxfId="3382" priority="2708" stopIfTrue="1" operator="equal">
      <formula>"2 Add"</formula>
    </cfRule>
  </conditionalFormatting>
  <conditionalFormatting sqref="C904">
    <cfRule type="cellIs" dxfId="3381" priority="2709" stopIfTrue="1" operator="equal">
      <formula>"3 Delete"</formula>
    </cfRule>
  </conditionalFormatting>
  <conditionalFormatting sqref="C905">
    <cfRule type="cellIs" dxfId="3380" priority="2710" stopIfTrue="1" operator="equal">
      <formula>"1 Modify"</formula>
    </cfRule>
  </conditionalFormatting>
  <conditionalFormatting sqref="C905">
    <cfRule type="cellIs" dxfId="3379" priority="2711" stopIfTrue="1" operator="equal">
      <formula>"2 Add"</formula>
    </cfRule>
  </conditionalFormatting>
  <conditionalFormatting sqref="C905">
    <cfRule type="cellIs" dxfId="3378" priority="2712" stopIfTrue="1" operator="equal">
      <formula>"3 Delete"</formula>
    </cfRule>
  </conditionalFormatting>
  <conditionalFormatting sqref="C906">
    <cfRule type="cellIs" dxfId="3377" priority="2713" stopIfTrue="1" operator="equal">
      <formula>"1 Modify"</formula>
    </cfRule>
  </conditionalFormatting>
  <conditionalFormatting sqref="C906">
    <cfRule type="cellIs" dxfId="3376" priority="2714" stopIfTrue="1" operator="equal">
      <formula>"2 Add"</formula>
    </cfRule>
  </conditionalFormatting>
  <conditionalFormatting sqref="C906">
    <cfRule type="cellIs" dxfId="3375" priority="2715" stopIfTrue="1" operator="equal">
      <formula>"3 Delete"</formula>
    </cfRule>
  </conditionalFormatting>
  <conditionalFormatting sqref="C907">
    <cfRule type="cellIs" dxfId="3374" priority="2716" stopIfTrue="1" operator="equal">
      <formula>"1 Modify"</formula>
    </cfRule>
  </conditionalFormatting>
  <conditionalFormatting sqref="C907">
    <cfRule type="cellIs" dxfId="3373" priority="2717" stopIfTrue="1" operator="equal">
      <formula>"2 Add"</formula>
    </cfRule>
  </conditionalFormatting>
  <conditionalFormatting sqref="C907">
    <cfRule type="cellIs" dxfId="3372" priority="2718" stopIfTrue="1" operator="equal">
      <formula>"3 Delete"</formula>
    </cfRule>
  </conditionalFormatting>
  <conditionalFormatting sqref="C908">
    <cfRule type="cellIs" dxfId="3371" priority="2719" stopIfTrue="1" operator="equal">
      <formula>"1 Modify"</formula>
    </cfRule>
  </conditionalFormatting>
  <conditionalFormatting sqref="C908">
    <cfRule type="cellIs" dxfId="3370" priority="2720" stopIfTrue="1" operator="equal">
      <formula>"2 Add"</formula>
    </cfRule>
  </conditionalFormatting>
  <conditionalFormatting sqref="C908">
    <cfRule type="cellIs" dxfId="3369" priority="2721" stopIfTrue="1" operator="equal">
      <formula>"3 Delete"</formula>
    </cfRule>
  </conditionalFormatting>
  <conditionalFormatting sqref="C909">
    <cfRule type="cellIs" dxfId="3368" priority="2722" stopIfTrue="1" operator="equal">
      <formula>"1 Modify"</formula>
    </cfRule>
  </conditionalFormatting>
  <conditionalFormatting sqref="C909">
    <cfRule type="cellIs" dxfId="3367" priority="2723" stopIfTrue="1" operator="equal">
      <formula>"2 Add"</formula>
    </cfRule>
  </conditionalFormatting>
  <conditionalFormatting sqref="C909">
    <cfRule type="cellIs" dxfId="3366" priority="2724" stopIfTrue="1" operator="equal">
      <formula>"3 Delete"</formula>
    </cfRule>
  </conditionalFormatting>
  <conditionalFormatting sqref="C910">
    <cfRule type="cellIs" dxfId="3365" priority="2725" stopIfTrue="1" operator="equal">
      <formula>"1 Modify"</formula>
    </cfRule>
  </conditionalFormatting>
  <conditionalFormatting sqref="C910">
    <cfRule type="cellIs" dxfId="3364" priority="2726" stopIfTrue="1" operator="equal">
      <formula>"2 Add"</formula>
    </cfRule>
  </conditionalFormatting>
  <conditionalFormatting sqref="C910">
    <cfRule type="cellIs" dxfId="3363" priority="2727" stopIfTrue="1" operator="equal">
      <formula>"3 Delete"</formula>
    </cfRule>
  </conditionalFormatting>
  <conditionalFormatting sqref="C911">
    <cfRule type="cellIs" dxfId="3362" priority="2728" stopIfTrue="1" operator="equal">
      <formula>"1 Modify"</formula>
    </cfRule>
  </conditionalFormatting>
  <conditionalFormatting sqref="C911">
    <cfRule type="cellIs" dxfId="3361" priority="2729" stopIfTrue="1" operator="equal">
      <formula>"2 Add"</formula>
    </cfRule>
  </conditionalFormatting>
  <conditionalFormatting sqref="C911">
    <cfRule type="cellIs" dxfId="3360" priority="2730" stopIfTrue="1" operator="equal">
      <formula>"3 Delete"</formula>
    </cfRule>
  </conditionalFormatting>
  <conditionalFormatting sqref="C912">
    <cfRule type="cellIs" dxfId="3359" priority="2731" stopIfTrue="1" operator="equal">
      <formula>"1 Modify"</formula>
    </cfRule>
  </conditionalFormatting>
  <conditionalFormatting sqref="C912">
    <cfRule type="cellIs" dxfId="3358" priority="2732" stopIfTrue="1" operator="equal">
      <formula>"2 Add"</formula>
    </cfRule>
  </conditionalFormatting>
  <conditionalFormatting sqref="C912">
    <cfRule type="cellIs" dxfId="3357" priority="2733" stopIfTrue="1" operator="equal">
      <formula>"3 Delete"</formula>
    </cfRule>
  </conditionalFormatting>
  <conditionalFormatting sqref="C913">
    <cfRule type="cellIs" dxfId="3356" priority="2734" stopIfTrue="1" operator="equal">
      <formula>"1 Modify"</formula>
    </cfRule>
  </conditionalFormatting>
  <conditionalFormatting sqref="C913">
    <cfRule type="cellIs" dxfId="3355" priority="2735" stopIfTrue="1" operator="equal">
      <formula>"2 Add"</formula>
    </cfRule>
  </conditionalFormatting>
  <conditionalFormatting sqref="C913">
    <cfRule type="cellIs" dxfId="3354" priority="2736" stopIfTrue="1" operator="equal">
      <formula>"3 Delete"</formula>
    </cfRule>
  </conditionalFormatting>
  <conditionalFormatting sqref="C914">
    <cfRule type="cellIs" dxfId="3353" priority="2737" stopIfTrue="1" operator="equal">
      <formula>"1 Modify"</formula>
    </cfRule>
  </conditionalFormatting>
  <conditionalFormatting sqref="C914">
    <cfRule type="cellIs" dxfId="3352" priority="2738" stopIfTrue="1" operator="equal">
      <formula>"2 Add"</formula>
    </cfRule>
  </conditionalFormatting>
  <conditionalFormatting sqref="C914">
    <cfRule type="cellIs" dxfId="3351" priority="2739" stopIfTrue="1" operator="equal">
      <formula>"3 Delete"</formula>
    </cfRule>
  </conditionalFormatting>
  <conditionalFormatting sqref="C915">
    <cfRule type="cellIs" dxfId="3350" priority="2740" stopIfTrue="1" operator="equal">
      <formula>"1 Modify"</formula>
    </cfRule>
  </conditionalFormatting>
  <conditionalFormatting sqref="C915">
    <cfRule type="cellIs" dxfId="3349" priority="2741" stopIfTrue="1" operator="equal">
      <formula>"2 Add"</formula>
    </cfRule>
  </conditionalFormatting>
  <conditionalFormatting sqref="C915">
    <cfRule type="cellIs" dxfId="3348" priority="2742" stopIfTrue="1" operator="equal">
      <formula>"3 Delete"</formula>
    </cfRule>
  </conditionalFormatting>
  <conditionalFormatting sqref="C916">
    <cfRule type="cellIs" dxfId="3347" priority="2743" stopIfTrue="1" operator="equal">
      <formula>"1 Modify"</formula>
    </cfRule>
  </conditionalFormatting>
  <conditionalFormatting sqref="C916">
    <cfRule type="cellIs" dxfId="3346" priority="2744" stopIfTrue="1" operator="equal">
      <formula>"2 Add"</formula>
    </cfRule>
  </conditionalFormatting>
  <conditionalFormatting sqref="C916">
    <cfRule type="cellIs" dxfId="3345" priority="2745" stopIfTrue="1" operator="equal">
      <formula>"3 Delete"</formula>
    </cfRule>
  </conditionalFormatting>
  <conditionalFormatting sqref="C917">
    <cfRule type="cellIs" dxfId="3344" priority="2746" stopIfTrue="1" operator="equal">
      <formula>"1 Modify"</formula>
    </cfRule>
  </conditionalFormatting>
  <conditionalFormatting sqref="C917">
    <cfRule type="cellIs" dxfId="3343" priority="2747" stopIfTrue="1" operator="equal">
      <formula>"2 Add"</formula>
    </cfRule>
  </conditionalFormatting>
  <conditionalFormatting sqref="C917">
    <cfRule type="cellIs" dxfId="3342" priority="2748" stopIfTrue="1" operator="equal">
      <formula>"3 Delete"</formula>
    </cfRule>
  </conditionalFormatting>
  <conditionalFormatting sqref="C918">
    <cfRule type="cellIs" dxfId="3341" priority="2749" stopIfTrue="1" operator="equal">
      <formula>"1 Modify"</formula>
    </cfRule>
  </conditionalFormatting>
  <conditionalFormatting sqref="C918">
    <cfRule type="cellIs" dxfId="3340" priority="2750" stopIfTrue="1" operator="equal">
      <formula>"2 Add"</formula>
    </cfRule>
  </conditionalFormatting>
  <conditionalFormatting sqref="C918">
    <cfRule type="cellIs" dxfId="3339" priority="2751" stopIfTrue="1" operator="equal">
      <formula>"3 Delete"</formula>
    </cfRule>
  </conditionalFormatting>
  <conditionalFormatting sqref="C919">
    <cfRule type="cellIs" dxfId="3338" priority="2752" stopIfTrue="1" operator="equal">
      <formula>"1 Modify"</formula>
    </cfRule>
  </conditionalFormatting>
  <conditionalFormatting sqref="C919">
    <cfRule type="cellIs" dxfId="3337" priority="2753" stopIfTrue="1" operator="equal">
      <formula>"2 Add"</formula>
    </cfRule>
  </conditionalFormatting>
  <conditionalFormatting sqref="C919">
    <cfRule type="cellIs" dxfId="3336" priority="2754" stopIfTrue="1" operator="equal">
      <formula>"3 Delete"</formula>
    </cfRule>
  </conditionalFormatting>
  <conditionalFormatting sqref="C920">
    <cfRule type="cellIs" dxfId="3335" priority="2755" stopIfTrue="1" operator="equal">
      <formula>"1 Modify"</formula>
    </cfRule>
  </conditionalFormatting>
  <conditionalFormatting sqref="C920">
    <cfRule type="cellIs" dxfId="3334" priority="2756" stopIfTrue="1" operator="equal">
      <formula>"2 Add"</formula>
    </cfRule>
  </conditionalFormatting>
  <conditionalFormatting sqref="C920">
    <cfRule type="cellIs" dxfId="3333" priority="2757" stopIfTrue="1" operator="equal">
      <formula>"3 Delete"</formula>
    </cfRule>
  </conditionalFormatting>
  <conditionalFormatting sqref="C921">
    <cfRule type="cellIs" dxfId="3332" priority="2758" stopIfTrue="1" operator="equal">
      <formula>"1 Modify"</formula>
    </cfRule>
  </conditionalFormatting>
  <conditionalFormatting sqref="C921">
    <cfRule type="cellIs" dxfId="3331" priority="2759" stopIfTrue="1" operator="equal">
      <formula>"2 Add"</formula>
    </cfRule>
  </conditionalFormatting>
  <conditionalFormatting sqref="C921">
    <cfRule type="cellIs" dxfId="3330" priority="2760" stopIfTrue="1" operator="equal">
      <formula>"3 Delete"</formula>
    </cfRule>
  </conditionalFormatting>
  <conditionalFormatting sqref="C922">
    <cfRule type="cellIs" dxfId="3329" priority="2761" stopIfTrue="1" operator="equal">
      <formula>"1 Modify"</formula>
    </cfRule>
  </conditionalFormatting>
  <conditionalFormatting sqref="C922">
    <cfRule type="cellIs" dxfId="3328" priority="2762" stopIfTrue="1" operator="equal">
      <formula>"2 Add"</formula>
    </cfRule>
  </conditionalFormatting>
  <conditionalFormatting sqref="C922">
    <cfRule type="cellIs" dxfId="3327" priority="2763" stopIfTrue="1" operator="equal">
      <formula>"3 Delete"</formula>
    </cfRule>
  </conditionalFormatting>
  <conditionalFormatting sqref="C923">
    <cfRule type="cellIs" dxfId="3326" priority="2764" stopIfTrue="1" operator="equal">
      <formula>"1 Modify"</formula>
    </cfRule>
  </conditionalFormatting>
  <conditionalFormatting sqref="C923">
    <cfRule type="cellIs" dxfId="3325" priority="2765" stopIfTrue="1" operator="equal">
      <formula>"2 Add"</formula>
    </cfRule>
  </conditionalFormatting>
  <conditionalFormatting sqref="C923">
    <cfRule type="cellIs" dxfId="3324" priority="2766" stopIfTrue="1" operator="equal">
      <formula>"3 Delete"</formula>
    </cfRule>
  </conditionalFormatting>
  <conditionalFormatting sqref="C924">
    <cfRule type="cellIs" dxfId="3323" priority="2767" stopIfTrue="1" operator="equal">
      <formula>"1 Modify"</formula>
    </cfRule>
  </conditionalFormatting>
  <conditionalFormatting sqref="C924">
    <cfRule type="cellIs" dxfId="3322" priority="2768" stopIfTrue="1" operator="equal">
      <formula>"2 Add"</formula>
    </cfRule>
  </conditionalFormatting>
  <conditionalFormatting sqref="C924">
    <cfRule type="cellIs" dxfId="3321" priority="2769" stopIfTrue="1" operator="equal">
      <formula>"3 Delete"</formula>
    </cfRule>
  </conditionalFormatting>
  <conditionalFormatting sqref="C925">
    <cfRule type="cellIs" dxfId="3320" priority="2770" stopIfTrue="1" operator="equal">
      <formula>"1 Modify"</formula>
    </cfRule>
  </conditionalFormatting>
  <conditionalFormatting sqref="C925">
    <cfRule type="cellIs" dxfId="3319" priority="2771" stopIfTrue="1" operator="equal">
      <formula>"2 Add"</formula>
    </cfRule>
  </conditionalFormatting>
  <conditionalFormatting sqref="C925">
    <cfRule type="cellIs" dxfId="3318" priority="2772" stopIfTrue="1" operator="equal">
      <formula>"3 Delete"</formula>
    </cfRule>
  </conditionalFormatting>
  <conditionalFormatting sqref="C926">
    <cfRule type="cellIs" dxfId="3317" priority="2773" stopIfTrue="1" operator="equal">
      <formula>"1 Modify"</formula>
    </cfRule>
  </conditionalFormatting>
  <conditionalFormatting sqref="C926">
    <cfRule type="cellIs" dxfId="3316" priority="2774" stopIfTrue="1" operator="equal">
      <formula>"2 Add"</formula>
    </cfRule>
  </conditionalFormatting>
  <conditionalFormatting sqref="C926">
    <cfRule type="cellIs" dxfId="3315" priority="2775" stopIfTrue="1" operator="equal">
      <formula>"3 Delete"</formula>
    </cfRule>
  </conditionalFormatting>
  <conditionalFormatting sqref="C927">
    <cfRule type="cellIs" dxfId="3314" priority="2776" stopIfTrue="1" operator="equal">
      <formula>"1 Modify"</formula>
    </cfRule>
  </conditionalFormatting>
  <conditionalFormatting sqref="C927">
    <cfRule type="cellIs" dxfId="3313" priority="2777" stopIfTrue="1" operator="equal">
      <formula>"2 Add"</formula>
    </cfRule>
  </conditionalFormatting>
  <conditionalFormatting sqref="C927">
    <cfRule type="cellIs" dxfId="3312" priority="2778" stopIfTrue="1" operator="equal">
      <formula>"3 Delete"</formula>
    </cfRule>
  </conditionalFormatting>
  <conditionalFormatting sqref="C928">
    <cfRule type="cellIs" dxfId="3311" priority="2779" stopIfTrue="1" operator="equal">
      <formula>"1 Modify"</formula>
    </cfRule>
  </conditionalFormatting>
  <conditionalFormatting sqref="C928">
    <cfRule type="cellIs" dxfId="3310" priority="2780" stopIfTrue="1" operator="equal">
      <formula>"2 Add"</formula>
    </cfRule>
  </conditionalFormatting>
  <conditionalFormatting sqref="C928">
    <cfRule type="cellIs" dxfId="3309" priority="2781" stopIfTrue="1" operator="equal">
      <formula>"3 Delete"</formula>
    </cfRule>
  </conditionalFormatting>
  <conditionalFormatting sqref="C929">
    <cfRule type="cellIs" dxfId="3308" priority="2782" stopIfTrue="1" operator="equal">
      <formula>"1 Modify"</formula>
    </cfRule>
  </conditionalFormatting>
  <conditionalFormatting sqref="C929">
    <cfRule type="cellIs" dxfId="3307" priority="2783" stopIfTrue="1" operator="equal">
      <formula>"2 Add"</formula>
    </cfRule>
  </conditionalFormatting>
  <conditionalFormatting sqref="C929">
    <cfRule type="cellIs" dxfId="3306" priority="2784" stopIfTrue="1" operator="equal">
      <formula>"3 Delete"</formula>
    </cfRule>
  </conditionalFormatting>
  <conditionalFormatting sqref="C930">
    <cfRule type="cellIs" dxfId="3305" priority="2785" stopIfTrue="1" operator="equal">
      <formula>"1 Modify"</formula>
    </cfRule>
  </conditionalFormatting>
  <conditionalFormatting sqref="C930">
    <cfRule type="cellIs" dxfId="3304" priority="2786" stopIfTrue="1" operator="equal">
      <formula>"2 Add"</formula>
    </cfRule>
  </conditionalFormatting>
  <conditionalFormatting sqref="C930">
    <cfRule type="cellIs" dxfId="3303" priority="2787" stopIfTrue="1" operator="equal">
      <formula>"3 Delete"</formula>
    </cfRule>
  </conditionalFormatting>
  <conditionalFormatting sqref="C931">
    <cfRule type="cellIs" dxfId="3302" priority="2788" stopIfTrue="1" operator="equal">
      <formula>"1 Modify"</formula>
    </cfRule>
  </conditionalFormatting>
  <conditionalFormatting sqref="C931">
    <cfRule type="cellIs" dxfId="3301" priority="2789" stopIfTrue="1" operator="equal">
      <formula>"2 Add"</formula>
    </cfRule>
  </conditionalFormatting>
  <conditionalFormatting sqref="C931">
    <cfRule type="cellIs" dxfId="3300" priority="2790" stopIfTrue="1" operator="equal">
      <formula>"3 Delete"</formula>
    </cfRule>
  </conditionalFormatting>
  <conditionalFormatting sqref="C932">
    <cfRule type="cellIs" dxfId="3299" priority="2791" stopIfTrue="1" operator="equal">
      <formula>"1 Modify"</formula>
    </cfRule>
  </conditionalFormatting>
  <conditionalFormatting sqref="C932">
    <cfRule type="cellIs" dxfId="3298" priority="2792" stopIfTrue="1" operator="equal">
      <formula>"2 Add"</formula>
    </cfRule>
  </conditionalFormatting>
  <conditionalFormatting sqref="C932">
    <cfRule type="cellIs" dxfId="3297" priority="2793" stopIfTrue="1" operator="equal">
      <formula>"3 Delete"</formula>
    </cfRule>
  </conditionalFormatting>
  <conditionalFormatting sqref="C933">
    <cfRule type="cellIs" dxfId="3296" priority="2794" stopIfTrue="1" operator="equal">
      <formula>"1 Modify"</formula>
    </cfRule>
  </conditionalFormatting>
  <conditionalFormatting sqref="C933">
    <cfRule type="cellIs" dxfId="3295" priority="2795" stopIfTrue="1" operator="equal">
      <formula>"2 Add"</formula>
    </cfRule>
  </conditionalFormatting>
  <conditionalFormatting sqref="C933">
    <cfRule type="cellIs" dxfId="3294" priority="2796" stopIfTrue="1" operator="equal">
      <formula>"3 Delete"</formula>
    </cfRule>
  </conditionalFormatting>
  <conditionalFormatting sqref="C934">
    <cfRule type="cellIs" dxfId="3293" priority="2797" stopIfTrue="1" operator="equal">
      <formula>"1 Modify"</formula>
    </cfRule>
  </conditionalFormatting>
  <conditionalFormatting sqref="C934">
    <cfRule type="cellIs" dxfId="3292" priority="2798" stopIfTrue="1" operator="equal">
      <formula>"2 Add"</formula>
    </cfRule>
  </conditionalFormatting>
  <conditionalFormatting sqref="C934">
    <cfRule type="cellIs" dxfId="3291" priority="2799" stopIfTrue="1" operator="equal">
      <formula>"3 Delete"</formula>
    </cfRule>
  </conditionalFormatting>
  <conditionalFormatting sqref="C935">
    <cfRule type="cellIs" dxfId="3290" priority="2800" stopIfTrue="1" operator="equal">
      <formula>"1 Modify"</formula>
    </cfRule>
  </conditionalFormatting>
  <conditionalFormatting sqref="C935">
    <cfRule type="cellIs" dxfId="3289" priority="2801" stopIfTrue="1" operator="equal">
      <formula>"2 Add"</formula>
    </cfRule>
  </conditionalFormatting>
  <conditionalFormatting sqref="C935">
    <cfRule type="cellIs" dxfId="3288" priority="2802" stopIfTrue="1" operator="equal">
      <formula>"3 Delete"</formula>
    </cfRule>
  </conditionalFormatting>
  <conditionalFormatting sqref="C936">
    <cfRule type="cellIs" dxfId="3287" priority="2803" stopIfTrue="1" operator="equal">
      <formula>"1 Modify"</formula>
    </cfRule>
  </conditionalFormatting>
  <conditionalFormatting sqref="C936">
    <cfRule type="cellIs" dxfId="3286" priority="2804" stopIfTrue="1" operator="equal">
      <formula>"2 Add"</formula>
    </cfRule>
  </conditionalFormatting>
  <conditionalFormatting sqref="C936">
    <cfRule type="cellIs" dxfId="3285" priority="2805" stopIfTrue="1" operator="equal">
      <formula>"3 Delete"</formula>
    </cfRule>
  </conditionalFormatting>
  <conditionalFormatting sqref="C937">
    <cfRule type="cellIs" dxfId="3284" priority="2806" stopIfTrue="1" operator="equal">
      <formula>"1 Modify"</formula>
    </cfRule>
  </conditionalFormatting>
  <conditionalFormatting sqref="C937">
    <cfRule type="cellIs" dxfId="3283" priority="2807" stopIfTrue="1" operator="equal">
      <formula>"2 Add"</formula>
    </cfRule>
  </conditionalFormatting>
  <conditionalFormatting sqref="C937">
    <cfRule type="cellIs" dxfId="3282" priority="2808" stopIfTrue="1" operator="equal">
      <formula>"3 Delete"</formula>
    </cfRule>
  </conditionalFormatting>
  <conditionalFormatting sqref="C938">
    <cfRule type="cellIs" dxfId="3281" priority="2809" stopIfTrue="1" operator="equal">
      <formula>"1 Modify"</formula>
    </cfRule>
  </conditionalFormatting>
  <conditionalFormatting sqref="C938">
    <cfRule type="cellIs" dxfId="3280" priority="2810" stopIfTrue="1" operator="equal">
      <formula>"2 Add"</formula>
    </cfRule>
  </conditionalFormatting>
  <conditionalFormatting sqref="C938">
    <cfRule type="cellIs" dxfId="3279" priority="2811" stopIfTrue="1" operator="equal">
      <formula>"3 Delete"</formula>
    </cfRule>
  </conditionalFormatting>
  <conditionalFormatting sqref="C939">
    <cfRule type="cellIs" dxfId="3278" priority="2812" stopIfTrue="1" operator="equal">
      <formula>"1 Modify"</formula>
    </cfRule>
  </conditionalFormatting>
  <conditionalFormatting sqref="C939">
    <cfRule type="cellIs" dxfId="3277" priority="2813" stopIfTrue="1" operator="equal">
      <formula>"2 Add"</formula>
    </cfRule>
  </conditionalFormatting>
  <conditionalFormatting sqref="C939">
    <cfRule type="cellIs" dxfId="3276" priority="2814" stopIfTrue="1" operator="equal">
      <formula>"3 Delete"</formula>
    </cfRule>
  </conditionalFormatting>
  <conditionalFormatting sqref="C940">
    <cfRule type="cellIs" dxfId="3275" priority="2815" stopIfTrue="1" operator="equal">
      <formula>"1 Modify"</formula>
    </cfRule>
  </conditionalFormatting>
  <conditionalFormatting sqref="C940">
    <cfRule type="cellIs" dxfId="3274" priority="2816" stopIfTrue="1" operator="equal">
      <formula>"2 Add"</formula>
    </cfRule>
  </conditionalFormatting>
  <conditionalFormatting sqref="C940">
    <cfRule type="cellIs" dxfId="3273" priority="2817" stopIfTrue="1" operator="equal">
      <formula>"3 Delete"</formula>
    </cfRule>
  </conditionalFormatting>
  <conditionalFormatting sqref="C941">
    <cfRule type="cellIs" dxfId="3272" priority="2818" stopIfTrue="1" operator="equal">
      <formula>"1 Modify"</formula>
    </cfRule>
  </conditionalFormatting>
  <conditionalFormatting sqref="C941">
    <cfRule type="cellIs" dxfId="3271" priority="2819" stopIfTrue="1" operator="equal">
      <formula>"2 Add"</formula>
    </cfRule>
  </conditionalFormatting>
  <conditionalFormatting sqref="C941">
    <cfRule type="cellIs" dxfId="3270" priority="2820" stopIfTrue="1" operator="equal">
      <formula>"3 Delete"</formula>
    </cfRule>
  </conditionalFormatting>
  <conditionalFormatting sqref="C942">
    <cfRule type="cellIs" dxfId="3269" priority="2821" stopIfTrue="1" operator="equal">
      <formula>"1 Modify"</formula>
    </cfRule>
  </conditionalFormatting>
  <conditionalFormatting sqref="C942">
    <cfRule type="cellIs" dxfId="3268" priority="2822" stopIfTrue="1" operator="equal">
      <formula>"2 Add"</formula>
    </cfRule>
  </conditionalFormatting>
  <conditionalFormatting sqref="C942">
    <cfRule type="cellIs" dxfId="3267" priority="2823" stopIfTrue="1" operator="equal">
      <formula>"3 Delete"</formula>
    </cfRule>
  </conditionalFormatting>
  <conditionalFormatting sqref="C943">
    <cfRule type="cellIs" dxfId="3266" priority="2824" stopIfTrue="1" operator="equal">
      <formula>"1 Modify"</formula>
    </cfRule>
  </conditionalFormatting>
  <conditionalFormatting sqref="C943">
    <cfRule type="cellIs" dxfId="3265" priority="2825" stopIfTrue="1" operator="equal">
      <formula>"2 Add"</formula>
    </cfRule>
  </conditionalFormatting>
  <conditionalFormatting sqref="C943">
    <cfRule type="cellIs" dxfId="3264" priority="2826" stopIfTrue="1" operator="equal">
      <formula>"3 Delete"</formula>
    </cfRule>
  </conditionalFormatting>
  <conditionalFormatting sqref="C944">
    <cfRule type="cellIs" dxfId="3263" priority="2827" stopIfTrue="1" operator="equal">
      <formula>"1 Modify"</formula>
    </cfRule>
  </conditionalFormatting>
  <conditionalFormatting sqref="C944">
    <cfRule type="cellIs" dxfId="3262" priority="2828" stopIfTrue="1" operator="equal">
      <formula>"2 Add"</formula>
    </cfRule>
  </conditionalFormatting>
  <conditionalFormatting sqref="C944">
    <cfRule type="cellIs" dxfId="3261" priority="2829" stopIfTrue="1" operator="equal">
      <formula>"3 Delete"</formula>
    </cfRule>
  </conditionalFormatting>
  <conditionalFormatting sqref="C945">
    <cfRule type="cellIs" dxfId="3260" priority="2830" stopIfTrue="1" operator="equal">
      <formula>"1 Modify"</formula>
    </cfRule>
  </conditionalFormatting>
  <conditionalFormatting sqref="C945">
    <cfRule type="cellIs" dxfId="3259" priority="2831" stopIfTrue="1" operator="equal">
      <formula>"2 Add"</formula>
    </cfRule>
  </conditionalFormatting>
  <conditionalFormatting sqref="C945">
    <cfRule type="cellIs" dxfId="3258" priority="2832" stopIfTrue="1" operator="equal">
      <formula>"3 Delete"</formula>
    </cfRule>
  </conditionalFormatting>
  <conditionalFormatting sqref="C946">
    <cfRule type="cellIs" dxfId="3257" priority="2833" stopIfTrue="1" operator="equal">
      <formula>"1 Modify"</formula>
    </cfRule>
  </conditionalFormatting>
  <conditionalFormatting sqref="C946">
    <cfRule type="cellIs" dxfId="3256" priority="2834" stopIfTrue="1" operator="equal">
      <formula>"2 Add"</formula>
    </cfRule>
  </conditionalFormatting>
  <conditionalFormatting sqref="C946">
    <cfRule type="cellIs" dxfId="3255" priority="2835" stopIfTrue="1" operator="equal">
      <formula>"3 Delete"</formula>
    </cfRule>
  </conditionalFormatting>
  <conditionalFormatting sqref="C947">
    <cfRule type="cellIs" dxfId="3254" priority="2836" stopIfTrue="1" operator="equal">
      <formula>"1 Modify"</formula>
    </cfRule>
  </conditionalFormatting>
  <conditionalFormatting sqref="C947">
    <cfRule type="cellIs" dxfId="3253" priority="2837" stopIfTrue="1" operator="equal">
      <formula>"2 Add"</formula>
    </cfRule>
  </conditionalFormatting>
  <conditionalFormatting sqref="C947">
    <cfRule type="cellIs" dxfId="3252" priority="2838" stopIfTrue="1" operator="equal">
      <formula>"3 Delete"</formula>
    </cfRule>
  </conditionalFormatting>
  <conditionalFormatting sqref="C948">
    <cfRule type="cellIs" dxfId="3251" priority="2839" stopIfTrue="1" operator="equal">
      <formula>"1 Modify"</formula>
    </cfRule>
  </conditionalFormatting>
  <conditionalFormatting sqref="C948">
    <cfRule type="cellIs" dxfId="3250" priority="2840" stopIfTrue="1" operator="equal">
      <formula>"2 Add"</formula>
    </cfRule>
  </conditionalFormatting>
  <conditionalFormatting sqref="C948">
    <cfRule type="cellIs" dxfId="3249" priority="2841" stopIfTrue="1" operator="equal">
      <formula>"3 Delete"</formula>
    </cfRule>
  </conditionalFormatting>
  <conditionalFormatting sqref="C949">
    <cfRule type="cellIs" dxfId="3248" priority="2842" stopIfTrue="1" operator="equal">
      <formula>"1 Modify"</formula>
    </cfRule>
  </conditionalFormatting>
  <conditionalFormatting sqref="C949">
    <cfRule type="cellIs" dxfId="3247" priority="2843" stopIfTrue="1" operator="equal">
      <formula>"2 Add"</formula>
    </cfRule>
  </conditionalFormatting>
  <conditionalFormatting sqref="C949">
    <cfRule type="cellIs" dxfId="3246" priority="2844" stopIfTrue="1" operator="equal">
      <formula>"3 Delete"</formula>
    </cfRule>
  </conditionalFormatting>
  <conditionalFormatting sqref="C950">
    <cfRule type="cellIs" dxfId="3245" priority="2845" stopIfTrue="1" operator="equal">
      <formula>"1 Modify"</formula>
    </cfRule>
  </conditionalFormatting>
  <conditionalFormatting sqref="C950">
    <cfRule type="cellIs" dxfId="3244" priority="2846" stopIfTrue="1" operator="equal">
      <formula>"2 Add"</formula>
    </cfRule>
  </conditionalFormatting>
  <conditionalFormatting sqref="C950">
    <cfRule type="cellIs" dxfId="3243" priority="2847" stopIfTrue="1" operator="equal">
      <formula>"3 Delete"</formula>
    </cfRule>
  </conditionalFormatting>
  <conditionalFormatting sqref="C951">
    <cfRule type="cellIs" dxfId="3242" priority="2848" stopIfTrue="1" operator="equal">
      <formula>"1 Modify"</formula>
    </cfRule>
  </conditionalFormatting>
  <conditionalFormatting sqref="C951">
    <cfRule type="cellIs" dxfId="3241" priority="2849" stopIfTrue="1" operator="equal">
      <formula>"2 Add"</formula>
    </cfRule>
  </conditionalFormatting>
  <conditionalFormatting sqref="C951">
    <cfRule type="cellIs" dxfId="3240" priority="2850" stopIfTrue="1" operator="equal">
      <formula>"3 Delete"</formula>
    </cfRule>
  </conditionalFormatting>
  <conditionalFormatting sqref="C952">
    <cfRule type="cellIs" dxfId="3239" priority="2851" stopIfTrue="1" operator="equal">
      <formula>"1 Modify"</formula>
    </cfRule>
  </conditionalFormatting>
  <conditionalFormatting sqref="C952">
    <cfRule type="cellIs" dxfId="3238" priority="2852" stopIfTrue="1" operator="equal">
      <formula>"2 Add"</formula>
    </cfRule>
  </conditionalFormatting>
  <conditionalFormatting sqref="C952">
    <cfRule type="cellIs" dxfId="3237" priority="2853" stopIfTrue="1" operator="equal">
      <formula>"3 Delete"</formula>
    </cfRule>
  </conditionalFormatting>
  <conditionalFormatting sqref="C953">
    <cfRule type="cellIs" dxfId="3236" priority="2854" stopIfTrue="1" operator="equal">
      <formula>"1 Modify"</formula>
    </cfRule>
  </conditionalFormatting>
  <conditionalFormatting sqref="C953">
    <cfRule type="cellIs" dxfId="3235" priority="2855" stopIfTrue="1" operator="equal">
      <formula>"2 Add"</formula>
    </cfRule>
  </conditionalFormatting>
  <conditionalFormatting sqref="C953">
    <cfRule type="cellIs" dxfId="3234" priority="2856" stopIfTrue="1" operator="equal">
      <formula>"3 Delete"</formula>
    </cfRule>
  </conditionalFormatting>
  <conditionalFormatting sqref="C954">
    <cfRule type="cellIs" dxfId="3233" priority="2857" stopIfTrue="1" operator="equal">
      <formula>"1 Modify"</formula>
    </cfRule>
  </conditionalFormatting>
  <conditionalFormatting sqref="C954">
    <cfRule type="cellIs" dxfId="3232" priority="2858" stopIfTrue="1" operator="equal">
      <formula>"2 Add"</formula>
    </cfRule>
  </conditionalFormatting>
  <conditionalFormatting sqref="C954">
    <cfRule type="cellIs" dxfId="3231" priority="2859" stopIfTrue="1" operator="equal">
      <formula>"3 Delete"</formula>
    </cfRule>
  </conditionalFormatting>
  <conditionalFormatting sqref="C955">
    <cfRule type="cellIs" dxfId="3230" priority="2860" stopIfTrue="1" operator="equal">
      <formula>"1 Modify"</formula>
    </cfRule>
  </conditionalFormatting>
  <conditionalFormatting sqref="C955">
    <cfRule type="cellIs" dxfId="3229" priority="2861" stopIfTrue="1" operator="equal">
      <formula>"2 Add"</formula>
    </cfRule>
  </conditionalFormatting>
  <conditionalFormatting sqref="C955">
    <cfRule type="cellIs" dxfId="3228" priority="2862" stopIfTrue="1" operator="equal">
      <formula>"3 Delete"</formula>
    </cfRule>
  </conditionalFormatting>
  <conditionalFormatting sqref="C956">
    <cfRule type="cellIs" dxfId="3227" priority="2863" stopIfTrue="1" operator="equal">
      <formula>"1 Modify"</formula>
    </cfRule>
  </conditionalFormatting>
  <conditionalFormatting sqref="C956">
    <cfRule type="cellIs" dxfId="3226" priority="2864" stopIfTrue="1" operator="equal">
      <formula>"2 Add"</formula>
    </cfRule>
  </conditionalFormatting>
  <conditionalFormatting sqref="C956">
    <cfRule type="cellIs" dxfId="3225" priority="2865" stopIfTrue="1" operator="equal">
      <formula>"3 Delete"</formula>
    </cfRule>
  </conditionalFormatting>
  <conditionalFormatting sqref="C957">
    <cfRule type="cellIs" dxfId="3224" priority="2866" stopIfTrue="1" operator="equal">
      <formula>"1 Modify"</formula>
    </cfRule>
  </conditionalFormatting>
  <conditionalFormatting sqref="C957">
    <cfRule type="cellIs" dxfId="3223" priority="2867" stopIfTrue="1" operator="equal">
      <formula>"2 Add"</formula>
    </cfRule>
  </conditionalFormatting>
  <conditionalFormatting sqref="C957">
    <cfRule type="cellIs" dxfId="3222" priority="2868" stopIfTrue="1" operator="equal">
      <formula>"3 Delete"</formula>
    </cfRule>
  </conditionalFormatting>
  <conditionalFormatting sqref="C958">
    <cfRule type="cellIs" dxfId="3221" priority="2869" stopIfTrue="1" operator="equal">
      <formula>"1 Modify"</formula>
    </cfRule>
  </conditionalFormatting>
  <conditionalFormatting sqref="C958">
    <cfRule type="cellIs" dxfId="3220" priority="2870" stopIfTrue="1" operator="equal">
      <formula>"2 Add"</formula>
    </cfRule>
  </conditionalFormatting>
  <conditionalFormatting sqref="C958">
    <cfRule type="cellIs" dxfId="3219" priority="2871" stopIfTrue="1" operator="equal">
      <formula>"3 Delete"</formula>
    </cfRule>
  </conditionalFormatting>
  <conditionalFormatting sqref="C959">
    <cfRule type="cellIs" dxfId="3218" priority="2872" stopIfTrue="1" operator="equal">
      <formula>"1 Modify"</formula>
    </cfRule>
  </conditionalFormatting>
  <conditionalFormatting sqref="C959">
    <cfRule type="cellIs" dxfId="3217" priority="2873" stopIfTrue="1" operator="equal">
      <formula>"2 Add"</formula>
    </cfRule>
  </conditionalFormatting>
  <conditionalFormatting sqref="C959">
    <cfRule type="cellIs" dxfId="3216" priority="2874" stopIfTrue="1" operator="equal">
      <formula>"3 Delete"</formula>
    </cfRule>
  </conditionalFormatting>
  <conditionalFormatting sqref="C960">
    <cfRule type="cellIs" dxfId="3215" priority="2875" stopIfTrue="1" operator="equal">
      <formula>"1 Modify"</formula>
    </cfRule>
  </conditionalFormatting>
  <conditionalFormatting sqref="C960">
    <cfRule type="cellIs" dxfId="3214" priority="2876" stopIfTrue="1" operator="equal">
      <formula>"2 Add"</formula>
    </cfRule>
  </conditionalFormatting>
  <conditionalFormatting sqref="C960">
    <cfRule type="cellIs" dxfId="3213" priority="2877" stopIfTrue="1" operator="equal">
      <formula>"3 Delete"</formula>
    </cfRule>
  </conditionalFormatting>
  <conditionalFormatting sqref="C961">
    <cfRule type="cellIs" dxfId="3212" priority="2878" stopIfTrue="1" operator="equal">
      <formula>"1 Modify"</formula>
    </cfRule>
  </conditionalFormatting>
  <conditionalFormatting sqref="C961">
    <cfRule type="cellIs" dxfId="3211" priority="2879" stopIfTrue="1" operator="equal">
      <formula>"2 Add"</formula>
    </cfRule>
  </conditionalFormatting>
  <conditionalFormatting sqref="C961">
    <cfRule type="cellIs" dxfId="3210" priority="2880" stopIfTrue="1" operator="equal">
      <formula>"3 Delete"</formula>
    </cfRule>
  </conditionalFormatting>
  <conditionalFormatting sqref="C962">
    <cfRule type="cellIs" dxfId="3209" priority="2881" stopIfTrue="1" operator="equal">
      <formula>"1 Modify"</formula>
    </cfRule>
  </conditionalFormatting>
  <conditionalFormatting sqref="C962">
    <cfRule type="cellIs" dxfId="3208" priority="2882" stopIfTrue="1" operator="equal">
      <formula>"2 Add"</formula>
    </cfRule>
  </conditionalFormatting>
  <conditionalFormatting sqref="C962">
    <cfRule type="cellIs" dxfId="3207" priority="2883" stopIfTrue="1" operator="equal">
      <formula>"3 Delete"</formula>
    </cfRule>
  </conditionalFormatting>
  <conditionalFormatting sqref="C963">
    <cfRule type="cellIs" dxfId="3206" priority="2884" stopIfTrue="1" operator="equal">
      <formula>"1 Modify"</formula>
    </cfRule>
  </conditionalFormatting>
  <conditionalFormatting sqref="C963">
    <cfRule type="cellIs" dxfId="3205" priority="2885" stopIfTrue="1" operator="equal">
      <formula>"2 Add"</formula>
    </cfRule>
  </conditionalFormatting>
  <conditionalFormatting sqref="C963">
    <cfRule type="cellIs" dxfId="3204" priority="2886" stopIfTrue="1" operator="equal">
      <formula>"3 Delete"</formula>
    </cfRule>
  </conditionalFormatting>
  <conditionalFormatting sqref="C964">
    <cfRule type="cellIs" dxfId="3203" priority="2887" stopIfTrue="1" operator="equal">
      <formula>"1 Modify"</formula>
    </cfRule>
  </conditionalFormatting>
  <conditionalFormatting sqref="C964">
    <cfRule type="cellIs" dxfId="3202" priority="2888" stopIfTrue="1" operator="equal">
      <formula>"2 Add"</formula>
    </cfRule>
  </conditionalFormatting>
  <conditionalFormatting sqref="C964">
    <cfRule type="cellIs" dxfId="3201" priority="2889" stopIfTrue="1" operator="equal">
      <formula>"3 Delete"</formula>
    </cfRule>
  </conditionalFormatting>
  <conditionalFormatting sqref="C965">
    <cfRule type="cellIs" dxfId="3200" priority="2890" stopIfTrue="1" operator="equal">
      <formula>"1 Modify"</formula>
    </cfRule>
  </conditionalFormatting>
  <conditionalFormatting sqref="C965">
    <cfRule type="cellIs" dxfId="3199" priority="2891" stopIfTrue="1" operator="equal">
      <formula>"2 Add"</formula>
    </cfRule>
  </conditionalFormatting>
  <conditionalFormatting sqref="C965">
    <cfRule type="cellIs" dxfId="3198" priority="2892" stopIfTrue="1" operator="equal">
      <formula>"3 Delete"</formula>
    </cfRule>
  </conditionalFormatting>
  <conditionalFormatting sqref="C966">
    <cfRule type="cellIs" dxfId="3197" priority="2893" stopIfTrue="1" operator="equal">
      <formula>"1 Modify"</formula>
    </cfRule>
  </conditionalFormatting>
  <conditionalFormatting sqref="C966">
    <cfRule type="cellIs" dxfId="3196" priority="2894" stopIfTrue="1" operator="equal">
      <formula>"2 Add"</formula>
    </cfRule>
  </conditionalFormatting>
  <conditionalFormatting sqref="C966">
    <cfRule type="cellIs" dxfId="3195" priority="2895" stopIfTrue="1" operator="equal">
      <formula>"3 Delete"</formula>
    </cfRule>
  </conditionalFormatting>
  <conditionalFormatting sqref="C967">
    <cfRule type="cellIs" dxfId="3194" priority="2896" stopIfTrue="1" operator="equal">
      <formula>"1 Modify"</formula>
    </cfRule>
  </conditionalFormatting>
  <conditionalFormatting sqref="C967">
    <cfRule type="cellIs" dxfId="3193" priority="2897" stopIfTrue="1" operator="equal">
      <formula>"2 Add"</formula>
    </cfRule>
  </conditionalFormatting>
  <conditionalFormatting sqref="C967">
    <cfRule type="cellIs" dxfId="3192" priority="2898" stopIfTrue="1" operator="equal">
      <formula>"3 Delete"</formula>
    </cfRule>
  </conditionalFormatting>
  <conditionalFormatting sqref="C968">
    <cfRule type="cellIs" dxfId="3191" priority="2899" stopIfTrue="1" operator="equal">
      <formula>"1 Modify"</formula>
    </cfRule>
  </conditionalFormatting>
  <conditionalFormatting sqref="C968">
    <cfRule type="cellIs" dxfId="3190" priority="2900" stopIfTrue="1" operator="equal">
      <formula>"2 Add"</formula>
    </cfRule>
  </conditionalFormatting>
  <conditionalFormatting sqref="C968">
    <cfRule type="cellIs" dxfId="3189" priority="2901" stopIfTrue="1" operator="equal">
      <formula>"3 Delete"</formula>
    </cfRule>
  </conditionalFormatting>
  <conditionalFormatting sqref="C969">
    <cfRule type="cellIs" dxfId="3188" priority="2902" stopIfTrue="1" operator="equal">
      <formula>"1 Modify"</formula>
    </cfRule>
  </conditionalFormatting>
  <conditionalFormatting sqref="C969">
    <cfRule type="cellIs" dxfId="3187" priority="2903" stopIfTrue="1" operator="equal">
      <formula>"2 Add"</formula>
    </cfRule>
  </conditionalFormatting>
  <conditionalFormatting sqref="C969">
    <cfRule type="cellIs" dxfId="3186" priority="2904" stopIfTrue="1" operator="equal">
      <formula>"3 Delete"</formula>
    </cfRule>
  </conditionalFormatting>
  <conditionalFormatting sqref="C970">
    <cfRule type="cellIs" dxfId="3185" priority="2905" stopIfTrue="1" operator="equal">
      <formula>"1 Modify"</formula>
    </cfRule>
  </conditionalFormatting>
  <conditionalFormatting sqref="C970">
    <cfRule type="cellIs" dxfId="3184" priority="2906" stopIfTrue="1" operator="equal">
      <formula>"2 Add"</formula>
    </cfRule>
  </conditionalFormatting>
  <conditionalFormatting sqref="C970">
    <cfRule type="cellIs" dxfId="3183" priority="2907" stopIfTrue="1" operator="equal">
      <formula>"3 Delete"</formula>
    </cfRule>
  </conditionalFormatting>
  <conditionalFormatting sqref="C971">
    <cfRule type="cellIs" dxfId="3182" priority="2908" stopIfTrue="1" operator="equal">
      <formula>"1 Modify"</formula>
    </cfRule>
  </conditionalFormatting>
  <conditionalFormatting sqref="C971">
    <cfRule type="cellIs" dxfId="3181" priority="2909" stopIfTrue="1" operator="equal">
      <formula>"2 Add"</formula>
    </cfRule>
  </conditionalFormatting>
  <conditionalFormatting sqref="C971">
    <cfRule type="cellIs" dxfId="3180" priority="2910" stopIfTrue="1" operator="equal">
      <formula>"3 Delete"</formula>
    </cfRule>
  </conditionalFormatting>
  <conditionalFormatting sqref="C972">
    <cfRule type="cellIs" dxfId="3179" priority="2911" stopIfTrue="1" operator="equal">
      <formula>"1 Modify"</formula>
    </cfRule>
  </conditionalFormatting>
  <conditionalFormatting sqref="C972">
    <cfRule type="cellIs" dxfId="3178" priority="2912" stopIfTrue="1" operator="equal">
      <formula>"2 Add"</formula>
    </cfRule>
  </conditionalFormatting>
  <conditionalFormatting sqref="C972">
    <cfRule type="cellIs" dxfId="3177" priority="2913" stopIfTrue="1" operator="equal">
      <formula>"3 Delete"</formula>
    </cfRule>
  </conditionalFormatting>
  <conditionalFormatting sqref="C973">
    <cfRule type="cellIs" dxfId="3176" priority="2914" stopIfTrue="1" operator="equal">
      <formula>"1 Modify"</formula>
    </cfRule>
  </conditionalFormatting>
  <conditionalFormatting sqref="C973">
    <cfRule type="cellIs" dxfId="3175" priority="2915" stopIfTrue="1" operator="equal">
      <formula>"2 Add"</formula>
    </cfRule>
  </conditionalFormatting>
  <conditionalFormatting sqref="C973">
    <cfRule type="cellIs" dxfId="3174" priority="2916" stopIfTrue="1" operator="equal">
      <formula>"3 Delete"</formula>
    </cfRule>
  </conditionalFormatting>
  <conditionalFormatting sqref="C974">
    <cfRule type="cellIs" dxfId="3173" priority="2917" stopIfTrue="1" operator="equal">
      <formula>"1 Modify"</formula>
    </cfRule>
  </conditionalFormatting>
  <conditionalFormatting sqref="C974">
    <cfRule type="cellIs" dxfId="3172" priority="2918" stopIfTrue="1" operator="equal">
      <formula>"2 Add"</formula>
    </cfRule>
  </conditionalFormatting>
  <conditionalFormatting sqref="C974">
    <cfRule type="cellIs" dxfId="3171" priority="2919" stopIfTrue="1" operator="equal">
      <formula>"3 Delete"</formula>
    </cfRule>
  </conditionalFormatting>
  <conditionalFormatting sqref="C975">
    <cfRule type="cellIs" dxfId="3170" priority="2920" stopIfTrue="1" operator="equal">
      <formula>"1 Modify"</formula>
    </cfRule>
  </conditionalFormatting>
  <conditionalFormatting sqref="C975">
    <cfRule type="cellIs" dxfId="3169" priority="2921" stopIfTrue="1" operator="equal">
      <formula>"2 Add"</formula>
    </cfRule>
  </conditionalFormatting>
  <conditionalFormatting sqref="C975">
    <cfRule type="cellIs" dxfId="3168" priority="2922" stopIfTrue="1" operator="equal">
      <formula>"3 Delete"</formula>
    </cfRule>
  </conditionalFormatting>
  <conditionalFormatting sqref="C976">
    <cfRule type="cellIs" dxfId="3167" priority="2923" stopIfTrue="1" operator="equal">
      <formula>"1 Modify"</formula>
    </cfRule>
  </conditionalFormatting>
  <conditionalFormatting sqref="C976">
    <cfRule type="cellIs" dxfId="3166" priority="2924" stopIfTrue="1" operator="equal">
      <formula>"2 Add"</formula>
    </cfRule>
  </conditionalFormatting>
  <conditionalFormatting sqref="C976">
    <cfRule type="cellIs" dxfId="3165" priority="2925" stopIfTrue="1" operator="equal">
      <formula>"3 Delete"</formula>
    </cfRule>
  </conditionalFormatting>
  <conditionalFormatting sqref="C977">
    <cfRule type="cellIs" dxfId="3164" priority="2926" stopIfTrue="1" operator="equal">
      <formula>"1 Modify"</formula>
    </cfRule>
  </conditionalFormatting>
  <conditionalFormatting sqref="C977">
    <cfRule type="cellIs" dxfId="3163" priority="2927" stopIfTrue="1" operator="equal">
      <formula>"2 Add"</formula>
    </cfRule>
  </conditionalFormatting>
  <conditionalFormatting sqref="C977">
    <cfRule type="cellIs" dxfId="3162" priority="2928" stopIfTrue="1" operator="equal">
      <formula>"3 Delete"</formula>
    </cfRule>
  </conditionalFormatting>
  <conditionalFormatting sqref="C978">
    <cfRule type="cellIs" dxfId="3161" priority="2929" stopIfTrue="1" operator="equal">
      <formula>"1 Modify"</formula>
    </cfRule>
  </conditionalFormatting>
  <conditionalFormatting sqref="C978">
    <cfRule type="cellIs" dxfId="3160" priority="2930" stopIfTrue="1" operator="equal">
      <formula>"2 Add"</formula>
    </cfRule>
  </conditionalFormatting>
  <conditionalFormatting sqref="C978">
    <cfRule type="cellIs" dxfId="3159" priority="2931" stopIfTrue="1" operator="equal">
      <formula>"3 Delete"</formula>
    </cfRule>
  </conditionalFormatting>
  <conditionalFormatting sqref="C979">
    <cfRule type="cellIs" dxfId="3158" priority="2932" stopIfTrue="1" operator="equal">
      <formula>"1 Modify"</formula>
    </cfRule>
  </conditionalFormatting>
  <conditionalFormatting sqref="C979">
    <cfRule type="cellIs" dxfId="3157" priority="2933" stopIfTrue="1" operator="equal">
      <formula>"2 Add"</formula>
    </cfRule>
  </conditionalFormatting>
  <conditionalFormatting sqref="C979">
    <cfRule type="cellIs" dxfId="3156" priority="2934" stopIfTrue="1" operator="equal">
      <formula>"3 Delete"</formula>
    </cfRule>
  </conditionalFormatting>
  <conditionalFormatting sqref="C980">
    <cfRule type="cellIs" dxfId="3155" priority="2935" stopIfTrue="1" operator="equal">
      <formula>"1 Modify"</formula>
    </cfRule>
  </conditionalFormatting>
  <conditionalFormatting sqref="C980">
    <cfRule type="cellIs" dxfId="3154" priority="2936" stopIfTrue="1" operator="equal">
      <formula>"2 Add"</formula>
    </cfRule>
  </conditionalFormatting>
  <conditionalFormatting sqref="C980">
    <cfRule type="cellIs" dxfId="3153" priority="2937" stopIfTrue="1" operator="equal">
      <formula>"3 Delete"</formula>
    </cfRule>
  </conditionalFormatting>
  <conditionalFormatting sqref="C981">
    <cfRule type="cellIs" dxfId="3152" priority="2938" stopIfTrue="1" operator="equal">
      <formula>"1 Modify"</formula>
    </cfRule>
  </conditionalFormatting>
  <conditionalFormatting sqref="C981">
    <cfRule type="cellIs" dxfId="3151" priority="2939" stopIfTrue="1" operator="equal">
      <formula>"2 Add"</formula>
    </cfRule>
  </conditionalFormatting>
  <conditionalFormatting sqref="C981">
    <cfRule type="cellIs" dxfId="3150" priority="2940" stopIfTrue="1" operator="equal">
      <formula>"3 Delete"</formula>
    </cfRule>
  </conditionalFormatting>
  <conditionalFormatting sqref="C982">
    <cfRule type="cellIs" dxfId="3149" priority="2941" stopIfTrue="1" operator="equal">
      <formula>"1 Modify"</formula>
    </cfRule>
  </conditionalFormatting>
  <conditionalFormatting sqref="C982">
    <cfRule type="cellIs" dxfId="3148" priority="2942" stopIfTrue="1" operator="equal">
      <formula>"2 Add"</formula>
    </cfRule>
  </conditionalFormatting>
  <conditionalFormatting sqref="C982">
    <cfRule type="cellIs" dxfId="3147" priority="2943" stopIfTrue="1" operator="equal">
      <formula>"3 Delete"</formula>
    </cfRule>
  </conditionalFormatting>
  <conditionalFormatting sqref="C983">
    <cfRule type="cellIs" dxfId="3146" priority="2944" stopIfTrue="1" operator="equal">
      <formula>"1 Modify"</formula>
    </cfRule>
  </conditionalFormatting>
  <conditionalFormatting sqref="C983">
    <cfRule type="cellIs" dxfId="3145" priority="2945" stopIfTrue="1" operator="equal">
      <formula>"2 Add"</formula>
    </cfRule>
  </conditionalFormatting>
  <conditionalFormatting sqref="C983">
    <cfRule type="cellIs" dxfId="3144" priority="2946" stopIfTrue="1" operator="equal">
      <formula>"3 Delete"</formula>
    </cfRule>
  </conditionalFormatting>
  <conditionalFormatting sqref="C984">
    <cfRule type="cellIs" dxfId="3143" priority="2947" stopIfTrue="1" operator="equal">
      <formula>"1 Modify"</formula>
    </cfRule>
  </conditionalFormatting>
  <conditionalFormatting sqref="C984">
    <cfRule type="cellIs" dxfId="3142" priority="2948" stopIfTrue="1" operator="equal">
      <formula>"2 Add"</formula>
    </cfRule>
  </conditionalFormatting>
  <conditionalFormatting sqref="C984">
    <cfRule type="cellIs" dxfId="3141" priority="2949" stopIfTrue="1" operator="equal">
      <formula>"3 Delete"</formula>
    </cfRule>
  </conditionalFormatting>
  <conditionalFormatting sqref="C985">
    <cfRule type="cellIs" dxfId="3140" priority="2950" stopIfTrue="1" operator="equal">
      <formula>"1 Modify"</formula>
    </cfRule>
  </conditionalFormatting>
  <conditionalFormatting sqref="C985">
    <cfRule type="cellIs" dxfId="3139" priority="2951" stopIfTrue="1" operator="equal">
      <formula>"2 Add"</formula>
    </cfRule>
  </conditionalFormatting>
  <conditionalFormatting sqref="C985">
    <cfRule type="cellIs" dxfId="3138" priority="2952" stopIfTrue="1" operator="equal">
      <formula>"3 Delete"</formula>
    </cfRule>
  </conditionalFormatting>
  <conditionalFormatting sqref="C986">
    <cfRule type="cellIs" dxfId="3137" priority="2953" stopIfTrue="1" operator="equal">
      <formula>"1 Modify"</formula>
    </cfRule>
  </conditionalFormatting>
  <conditionalFormatting sqref="C986">
    <cfRule type="cellIs" dxfId="3136" priority="2954" stopIfTrue="1" operator="equal">
      <formula>"2 Add"</formula>
    </cfRule>
  </conditionalFormatting>
  <conditionalFormatting sqref="C986">
    <cfRule type="cellIs" dxfId="3135" priority="2955" stopIfTrue="1" operator="equal">
      <formula>"3 Delete"</formula>
    </cfRule>
  </conditionalFormatting>
  <conditionalFormatting sqref="C987">
    <cfRule type="cellIs" dxfId="3134" priority="2956" stopIfTrue="1" operator="equal">
      <formula>"1 Modify"</formula>
    </cfRule>
  </conditionalFormatting>
  <conditionalFormatting sqref="C987">
    <cfRule type="cellIs" dxfId="3133" priority="2957" stopIfTrue="1" operator="equal">
      <formula>"2 Add"</formula>
    </cfRule>
  </conditionalFormatting>
  <conditionalFormatting sqref="C987">
    <cfRule type="cellIs" dxfId="3132" priority="2958" stopIfTrue="1" operator="equal">
      <formula>"3 Delete"</formula>
    </cfRule>
  </conditionalFormatting>
  <conditionalFormatting sqref="C988">
    <cfRule type="cellIs" dxfId="3131" priority="2959" stopIfTrue="1" operator="equal">
      <formula>"1 Modify"</formula>
    </cfRule>
  </conditionalFormatting>
  <conditionalFormatting sqref="C988">
    <cfRule type="cellIs" dxfId="3130" priority="2960" stopIfTrue="1" operator="equal">
      <formula>"2 Add"</formula>
    </cfRule>
  </conditionalFormatting>
  <conditionalFormatting sqref="C988">
    <cfRule type="cellIs" dxfId="3129" priority="2961" stopIfTrue="1" operator="equal">
      <formula>"3 Delete"</formula>
    </cfRule>
  </conditionalFormatting>
  <conditionalFormatting sqref="C989">
    <cfRule type="cellIs" dxfId="3128" priority="2962" stopIfTrue="1" operator="equal">
      <formula>"1 Modify"</formula>
    </cfRule>
  </conditionalFormatting>
  <conditionalFormatting sqref="C989">
    <cfRule type="cellIs" dxfId="3127" priority="2963" stopIfTrue="1" operator="equal">
      <formula>"2 Add"</formula>
    </cfRule>
  </conditionalFormatting>
  <conditionalFormatting sqref="C989">
    <cfRule type="cellIs" dxfId="3126" priority="2964" stopIfTrue="1" operator="equal">
      <formula>"3 Delete"</formula>
    </cfRule>
  </conditionalFormatting>
  <conditionalFormatting sqref="C990">
    <cfRule type="cellIs" dxfId="3125" priority="2965" stopIfTrue="1" operator="equal">
      <formula>"1 Modify"</formula>
    </cfRule>
  </conditionalFormatting>
  <conditionalFormatting sqref="C990">
    <cfRule type="cellIs" dxfId="3124" priority="2966" stopIfTrue="1" operator="equal">
      <formula>"2 Add"</formula>
    </cfRule>
  </conditionalFormatting>
  <conditionalFormatting sqref="C990">
    <cfRule type="cellIs" dxfId="3123" priority="2967" stopIfTrue="1" operator="equal">
      <formula>"3 Delete"</formula>
    </cfRule>
  </conditionalFormatting>
  <conditionalFormatting sqref="C991">
    <cfRule type="cellIs" dxfId="3122" priority="2968" stopIfTrue="1" operator="equal">
      <formula>"1 Modify"</formula>
    </cfRule>
  </conditionalFormatting>
  <conditionalFormatting sqref="C991">
    <cfRule type="cellIs" dxfId="3121" priority="2969" stopIfTrue="1" operator="equal">
      <formula>"2 Add"</formula>
    </cfRule>
  </conditionalFormatting>
  <conditionalFormatting sqref="C991">
    <cfRule type="cellIs" dxfId="3120" priority="2970" stopIfTrue="1" operator="equal">
      <formula>"3 Delete"</formula>
    </cfRule>
  </conditionalFormatting>
  <conditionalFormatting sqref="C992">
    <cfRule type="cellIs" dxfId="3119" priority="2971" stopIfTrue="1" operator="equal">
      <formula>"1 Modify"</formula>
    </cfRule>
  </conditionalFormatting>
  <conditionalFormatting sqref="C992">
    <cfRule type="cellIs" dxfId="3118" priority="2972" stopIfTrue="1" operator="equal">
      <formula>"2 Add"</formula>
    </cfRule>
  </conditionalFormatting>
  <conditionalFormatting sqref="C992">
    <cfRule type="cellIs" dxfId="3117" priority="2973" stopIfTrue="1" operator="equal">
      <formula>"3 Delete"</formula>
    </cfRule>
  </conditionalFormatting>
  <conditionalFormatting sqref="C993">
    <cfRule type="cellIs" dxfId="3116" priority="2974" stopIfTrue="1" operator="equal">
      <formula>"1 Modify"</formula>
    </cfRule>
  </conditionalFormatting>
  <conditionalFormatting sqref="C993">
    <cfRule type="cellIs" dxfId="3115" priority="2975" stopIfTrue="1" operator="equal">
      <formula>"2 Add"</formula>
    </cfRule>
  </conditionalFormatting>
  <conditionalFormatting sqref="C993">
    <cfRule type="cellIs" dxfId="3114" priority="2976" stopIfTrue="1" operator="equal">
      <formula>"3 Delete"</formula>
    </cfRule>
  </conditionalFormatting>
  <conditionalFormatting sqref="C994">
    <cfRule type="cellIs" dxfId="3113" priority="2977" stopIfTrue="1" operator="equal">
      <formula>"1 Modify"</formula>
    </cfRule>
  </conditionalFormatting>
  <conditionalFormatting sqref="C994">
    <cfRule type="cellIs" dxfId="3112" priority="2978" stopIfTrue="1" operator="equal">
      <formula>"2 Add"</formula>
    </cfRule>
  </conditionalFormatting>
  <conditionalFormatting sqref="C994">
    <cfRule type="cellIs" dxfId="3111" priority="2979" stopIfTrue="1" operator="equal">
      <formula>"3 Delete"</formula>
    </cfRule>
  </conditionalFormatting>
  <conditionalFormatting sqref="C995">
    <cfRule type="cellIs" dxfId="3110" priority="2980" stopIfTrue="1" operator="equal">
      <formula>"1 Modify"</formula>
    </cfRule>
  </conditionalFormatting>
  <conditionalFormatting sqref="C995">
    <cfRule type="cellIs" dxfId="3109" priority="2981" stopIfTrue="1" operator="equal">
      <formula>"2 Add"</formula>
    </cfRule>
  </conditionalFormatting>
  <conditionalFormatting sqref="C995">
    <cfRule type="cellIs" dxfId="3108" priority="2982" stopIfTrue="1" operator="equal">
      <formula>"3 Delete"</formula>
    </cfRule>
  </conditionalFormatting>
  <conditionalFormatting sqref="C996">
    <cfRule type="cellIs" dxfId="3107" priority="2983" stopIfTrue="1" operator="equal">
      <formula>"1 Modify"</formula>
    </cfRule>
  </conditionalFormatting>
  <conditionalFormatting sqref="C996">
    <cfRule type="cellIs" dxfId="3106" priority="2984" stopIfTrue="1" operator="equal">
      <formula>"2 Add"</formula>
    </cfRule>
  </conditionalFormatting>
  <conditionalFormatting sqref="C996">
    <cfRule type="cellIs" dxfId="3105" priority="2985" stopIfTrue="1" operator="equal">
      <formula>"3 Delete"</formula>
    </cfRule>
  </conditionalFormatting>
  <conditionalFormatting sqref="C997">
    <cfRule type="cellIs" dxfId="3104" priority="2986" stopIfTrue="1" operator="equal">
      <formula>"1 Modify"</formula>
    </cfRule>
  </conditionalFormatting>
  <conditionalFormatting sqref="C997">
    <cfRule type="cellIs" dxfId="3103" priority="2987" stopIfTrue="1" operator="equal">
      <formula>"2 Add"</formula>
    </cfRule>
  </conditionalFormatting>
  <conditionalFormatting sqref="C997">
    <cfRule type="cellIs" dxfId="3102" priority="2988" stopIfTrue="1" operator="equal">
      <formula>"3 Delete"</formula>
    </cfRule>
  </conditionalFormatting>
  <conditionalFormatting sqref="C998">
    <cfRule type="cellIs" dxfId="3101" priority="2989" stopIfTrue="1" operator="equal">
      <formula>"1 Modify"</formula>
    </cfRule>
  </conditionalFormatting>
  <conditionalFormatting sqref="C998">
    <cfRule type="cellIs" dxfId="3100" priority="2990" stopIfTrue="1" operator="equal">
      <formula>"2 Add"</formula>
    </cfRule>
  </conditionalFormatting>
  <conditionalFormatting sqref="C998">
    <cfRule type="cellIs" dxfId="3099" priority="2991" stopIfTrue="1" operator="equal">
      <formula>"3 Delete"</formula>
    </cfRule>
  </conditionalFormatting>
  <conditionalFormatting sqref="C999">
    <cfRule type="cellIs" dxfId="3098" priority="2992" stopIfTrue="1" operator="equal">
      <formula>"1 Modify"</formula>
    </cfRule>
  </conditionalFormatting>
  <conditionalFormatting sqref="C999">
    <cfRule type="cellIs" dxfId="3097" priority="2993" stopIfTrue="1" operator="equal">
      <formula>"2 Add"</formula>
    </cfRule>
  </conditionalFormatting>
  <conditionalFormatting sqref="C999">
    <cfRule type="cellIs" dxfId="3096" priority="2994" stopIfTrue="1" operator="equal">
      <formula>"3 Delete"</formula>
    </cfRule>
  </conditionalFormatting>
  <conditionalFormatting sqref="C1000">
    <cfRule type="cellIs" dxfId="3095" priority="2995" stopIfTrue="1" operator="equal">
      <formula>"1 Modify"</formula>
    </cfRule>
  </conditionalFormatting>
  <conditionalFormatting sqref="C1000">
    <cfRule type="cellIs" dxfId="3094" priority="2996" stopIfTrue="1" operator="equal">
      <formula>"2 Add"</formula>
    </cfRule>
  </conditionalFormatting>
  <conditionalFormatting sqref="C1000">
    <cfRule type="cellIs" dxfId="3093" priority="2997" stopIfTrue="1" operator="equal">
      <formula>"3 Delete"</formula>
    </cfRule>
  </conditionalFormatting>
  <conditionalFormatting sqref="C1001">
    <cfRule type="cellIs" dxfId="3092" priority="2998" stopIfTrue="1" operator="equal">
      <formula>"1 Modify"</formula>
    </cfRule>
  </conditionalFormatting>
  <conditionalFormatting sqref="C1001">
    <cfRule type="cellIs" dxfId="3091" priority="2999" stopIfTrue="1" operator="equal">
      <formula>"2 Add"</formula>
    </cfRule>
  </conditionalFormatting>
  <conditionalFormatting sqref="C1001">
    <cfRule type="cellIs" dxfId="3090" priority="3000" stopIfTrue="1" operator="equal">
      <formula>"3 Delete"</formula>
    </cfRule>
  </conditionalFormatting>
  <conditionalFormatting sqref="C1002">
    <cfRule type="cellIs" dxfId="3089" priority="3001" stopIfTrue="1" operator="equal">
      <formula>"1 Modify"</formula>
    </cfRule>
  </conditionalFormatting>
  <conditionalFormatting sqref="C1002">
    <cfRule type="cellIs" dxfId="3088" priority="3002" stopIfTrue="1" operator="equal">
      <formula>"2 Add"</formula>
    </cfRule>
  </conditionalFormatting>
  <conditionalFormatting sqref="C1002">
    <cfRule type="cellIs" dxfId="3087" priority="3003" stopIfTrue="1" operator="equal">
      <formula>"3 Delete"</formula>
    </cfRule>
  </conditionalFormatting>
  <conditionalFormatting sqref="C1002">
    <cfRule type="cellIs" priority="3004" stopIfTrue="1" operator="equal">
      <formula>"1 Modify"</formula>
    </cfRule>
  </conditionalFormatting>
  <conditionalFormatting sqref="C1002">
    <cfRule type="cellIs" priority="3005" stopIfTrue="1" operator="equal">
      <formula>"2 Add"</formula>
    </cfRule>
  </conditionalFormatting>
  <conditionalFormatting sqref="C1002">
    <cfRule type="cellIs" priority="3006" stopIfTrue="1" operator="equal">
      <formula>"3 Delete"</formula>
    </cfRule>
  </conditionalFormatting>
  <conditionalFormatting sqref="C1003">
    <cfRule type="cellIs" dxfId="3086" priority="3007" stopIfTrue="1" operator="equal">
      <formula>"1 Modify"</formula>
    </cfRule>
  </conditionalFormatting>
  <conditionalFormatting sqref="C1003">
    <cfRule type="cellIs" dxfId="3085" priority="3008" stopIfTrue="1" operator="equal">
      <formula>"2 Add"</formula>
    </cfRule>
  </conditionalFormatting>
  <conditionalFormatting sqref="C1003">
    <cfRule type="cellIs" dxfId="3084" priority="3009" stopIfTrue="1" operator="equal">
      <formula>"3 Delete"</formula>
    </cfRule>
  </conditionalFormatting>
  <conditionalFormatting sqref="C1004">
    <cfRule type="cellIs" dxfId="3083" priority="3010" stopIfTrue="1" operator="equal">
      <formula>"1 Modify"</formula>
    </cfRule>
  </conditionalFormatting>
  <conditionalFormatting sqref="C1004">
    <cfRule type="cellIs" dxfId="3082" priority="3011" stopIfTrue="1" operator="equal">
      <formula>"2 Add"</formula>
    </cfRule>
  </conditionalFormatting>
  <conditionalFormatting sqref="C1004">
    <cfRule type="cellIs" dxfId="3081" priority="3012" stopIfTrue="1" operator="equal">
      <formula>"3 Delete"</formula>
    </cfRule>
  </conditionalFormatting>
  <conditionalFormatting sqref="C1005">
    <cfRule type="cellIs" dxfId="3080" priority="3013" stopIfTrue="1" operator="equal">
      <formula>"1 Modify"</formula>
    </cfRule>
  </conditionalFormatting>
  <conditionalFormatting sqref="C1005">
    <cfRule type="cellIs" dxfId="3079" priority="3014" stopIfTrue="1" operator="equal">
      <formula>"2 Add"</formula>
    </cfRule>
  </conditionalFormatting>
  <conditionalFormatting sqref="C1005">
    <cfRule type="cellIs" dxfId="3078" priority="3015" stopIfTrue="1" operator="equal">
      <formula>"3 Delete"</formula>
    </cfRule>
  </conditionalFormatting>
  <conditionalFormatting sqref="C1006">
    <cfRule type="cellIs" dxfId="3077" priority="3016" stopIfTrue="1" operator="equal">
      <formula>"1 Modify"</formula>
    </cfRule>
  </conditionalFormatting>
  <conditionalFormatting sqref="C1006">
    <cfRule type="cellIs" dxfId="3076" priority="3017" stopIfTrue="1" operator="equal">
      <formula>"2 Add"</formula>
    </cfRule>
  </conditionalFormatting>
  <conditionalFormatting sqref="C1006">
    <cfRule type="cellIs" dxfId="3075" priority="3018" stopIfTrue="1" operator="equal">
      <formula>"3 Delete"</formula>
    </cfRule>
  </conditionalFormatting>
  <conditionalFormatting sqref="C1007">
    <cfRule type="cellIs" dxfId="3074" priority="3019" stopIfTrue="1" operator="equal">
      <formula>"1 Modify"</formula>
    </cfRule>
  </conditionalFormatting>
  <conditionalFormatting sqref="C1007">
    <cfRule type="cellIs" dxfId="3073" priority="3020" stopIfTrue="1" operator="equal">
      <formula>"2 Add"</formula>
    </cfRule>
  </conditionalFormatting>
  <conditionalFormatting sqref="C1007">
    <cfRule type="cellIs" dxfId="3072" priority="3021" stopIfTrue="1" operator="equal">
      <formula>"3 Delete"</formula>
    </cfRule>
  </conditionalFormatting>
  <conditionalFormatting sqref="C1008">
    <cfRule type="cellIs" dxfId="3071" priority="3022" stopIfTrue="1" operator="equal">
      <formula>"1 Modify"</formula>
    </cfRule>
  </conditionalFormatting>
  <conditionalFormatting sqref="C1008">
    <cfRule type="cellIs" dxfId="3070" priority="3023" stopIfTrue="1" operator="equal">
      <formula>"2 Add"</formula>
    </cfRule>
  </conditionalFormatting>
  <conditionalFormatting sqref="C1008">
    <cfRule type="cellIs" dxfId="3069" priority="3024" stopIfTrue="1" operator="equal">
      <formula>"3 Delete"</formula>
    </cfRule>
  </conditionalFormatting>
  <conditionalFormatting sqref="C1009">
    <cfRule type="cellIs" dxfId="3068" priority="3025" stopIfTrue="1" operator="equal">
      <formula>"1 Modify"</formula>
    </cfRule>
  </conditionalFormatting>
  <conditionalFormatting sqref="C1009">
    <cfRule type="cellIs" dxfId="3067" priority="3026" stopIfTrue="1" operator="equal">
      <formula>"2 Add"</formula>
    </cfRule>
  </conditionalFormatting>
  <conditionalFormatting sqref="C1009">
    <cfRule type="cellIs" dxfId="3066" priority="3027" stopIfTrue="1" operator="equal">
      <formula>"3 Delete"</formula>
    </cfRule>
  </conditionalFormatting>
  <conditionalFormatting sqref="C1010">
    <cfRule type="cellIs" dxfId="3065" priority="3028" stopIfTrue="1" operator="equal">
      <formula>"1 Modify"</formula>
    </cfRule>
  </conditionalFormatting>
  <conditionalFormatting sqref="C1010">
    <cfRule type="cellIs" dxfId="3064" priority="3029" stopIfTrue="1" operator="equal">
      <formula>"2 Add"</formula>
    </cfRule>
  </conditionalFormatting>
  <conditionalFormatting sqref="C1010">
    <cfRule type="cellIs" dxfId="3063" priority="3030" stopIfTrue="1" operator="equal">
      <formula>"3 Delete"</formula>
    </cfRule>
  </conditionalFormatting>
  <conditionalFormatting sqref="C1011">
    <cfRule type="cellIs" dxfId="3062" priority="3031" stopIfTrue="1" operator="equal">
      <formula>"1 Modify"</formula>
    </cfRule>
  </conditionalFormatting>
  <conditionalFormatting sqref="C1011">
    <cfRule type="cellIs" dxfId="3061" priority="3032" stopIfTrue="1" operator="equal">
      <formula>"2 Add"</formula>
    </cfRule>
  </conditionalFormatting>
  <conditionalFormatting sqref="C1011">
    <cfRule type="cellIs" dxfId="3060" priority="3033" stopIfTrue="1" operator="equal">
      <formula>"3 Delete"</formula>
    </cfRule>
  </conditionalFormatting>
  <conditionalFormatting sqref="C1012">
    <cfRule type="cellIs" dxfId="3059" priority="3034" stopIfTrue="1" operator="equal">
      <formula>"1 Modify"</formula>
    </cfRule>
  </conditionalFormatting>
  <conditionalFormatting sqref="C1012">
    <cfRule type="cellIs" dxfId="3058" priority="3035" stopIfTrue="1" operator="equal">
      <formula>"2 Add"</formula>
    </cfRule>
  </conditionalFormatting>
  <conditionalFormatting sqref="C1012">
    <cfRule type="cellIs" dxfId="3057" priority="3036" stopIfTrue="1" operator="equal">
      <formula>"3 Delete"</formula>
    </cfRule>
  </conditionalFormatting>
  <conditionalFormatting sqref="C1013">
    <cfRule type="cellIs" dxfId="3056" priority="3037" stopIfTrue="1" operator="equal">
      <formula>"1 Modify"</formula>
    </cfRule>
  </conditionalFormatting>
  <conditionalFormatting sqref="C1013">
    <cfRule type="cellIs" dxfId="3055" priority="3038" stopIfTrue="1" operator="equal">
      <formula>"2 Add"</formula>
    </cfRule>
  </conditionalFormatting>
  <conditionalFormatting sqref="C1013">
    <cfRule type="cellIs" dxfId="3054" priority="3039" stopIfTrue="1" operator="equal">
      <formula>"3 Delete"</formula>
    </cfRule>
  </conditionalFormatting>
  <conditionalFormatting sqref="C1014">
    <cfRule type="cellIs" dxfId="3053" priority="3040" stopIfTrue="1" operator="equal">
      <formula>"1 Modify"</formula>
    </cfRule>
  </conditionalFormatting>
  <conditionalFormatting sqref="C1014">
    <cfRule type="cellIs" dxfId="3052" priority="3041" stopIfTrue="1" operator="equal">
      <formula>"2 Add"</formula>
    </cfRule>
  </conditionalFormatting>
  <conditionalFormatting sqref="C1014">
    <cfRule type="cellIs" dxfId="3051" priority="3042" stopIfTrue="1" operator="equal">
      <formula>"3 Delete"</formula>
    </cfRule>
  </conditionalFormatting>
  <conditionalFormatting sqref="C1015">
    <cfRule type="cellIs" dxfId="3050" priority="3043" stopIfTrue="1" operator="equal">
      <formula>"1 Modify"</formula>
    </cfRule>
  </conditionalFormatting>
  <conditionalFormatting sqref="C1015">
    <cfRule type="cellIs" dxfId="3049" priority="3044" stopIfTrue="1" operator="equal">
      <formula>"2 Add"</formula>
    </cfRule>
  </conditionalFormatting>
  <conditionalFormatting sqref="C1015">
    <cfRule type="cellIs" dxfId="3048" priority="3045" stopIfTrue="1" operator="equal">
      <formula>"3 Delete"</formula>
    </cfRule>
  </conditionalFormatting>
  <conditionalFormatting sqref="C1016">
    <cfRule type="cellIs" dxfId="3047" priority="3046" stopIfTrue="1" operator="equal">
      <formula>"1 Modify"</formula>
    </cfRule>
  </conditionalFormatting>
  <conditionalFormatting sqref="C1016">
    <cfRule type="cellIs" dxfId="3046" priority="3047" stopIfTrue="1" operator="equal">
      <formula>"2 Add"</formula>
    </cfRule>
  </conditionalFormatting>
  <conditionalFormatting sqref="C1016">
    <cfRule type="cellIs" dxfId="3045" priority="3048" stopIfTrue="1" operator="equal">
      <formula>"3 Delete"</formula>
    </cfRule>
  </conditionalFormatting>
  <conditionalFormatting sqref="C1017">
    <cfRule type="cellIs" dxfId="3044" priority="3049" stopIfTrue="1" operator="equal">
      <formula>"1 Modify"</formula>
    </cfRule>
  </conditionalFormatting>
  <conditionalFormatting sqref="C1017">
    <cfRule type="cellIs" dxfId="3043" priority="3050" stopIfTrue="1" operator="equal">
      <formula>"2 Add"</formula>
    </cfRule>
  </conditionalFormatting>
  <conditionalFormatting sqref="C1017">
    <cfRule type="cellIs" dxfId="3042" priority="3051" stopIfTrue="1" operator="equal">
      <formula>"3 Delete"</formula>
    </cfRule>
  </conditionalFormatting>
  <conditionalFormatting sqref="C1018">
    <cfRule type="cellIs" dxfId="3041" priority="3052" stopIfTrue="1" operator="equal">
      <formula>"1 Modify"</formula>
    </cfRule>
  </conditionalFormatting>
  <conditionalFormatting sqref="C1018">
    <cfRule type="cellIs" dxfId="3040" priority="3053" stopIfTrue="1" operator="equal">
      <formula>"2 Add"</formula>
    </cfRule>
  </conditionalFormatting>
  <conditionalFormatting sqref="C1018">
    <cfRule type="cellIs" dxfId="3039" priority="3054" stopIfTrue="1" operator="equal">
      <formula>"3 Delete"</formula>
    </cfRule>
  </conditionalFormatting>
  <conditionalFormatting sqref="C1019">
    <cfRule type="cellIs" dxfId="3038" priority="3055" stopIfTrue="1" operator="equal">
      <formula>"1 Modify"</formula>
    </cfRule>
  </conditionalFormatting>
  <conditionalFormatting sqref="C1019">
    <cfRule type="cellIs" dxfId="3037" priority="3056" stopIfTrue="1" operator="equal">
      <formula>"2 Add"</formula>
    </cfRule>
  </conditionalFormatting>
  <conditionalFormatting sqref="C1019">
    <cfRule type="cellIs" dxfId="3036" priority="3057" stopIfTrue="1" operator="equal">
      <formula>"3 Delete"</formula>
    </cfRule>
  </conditionalFormatting>
  <conditionalFormatting sqref="C1020">
    <cfRule type="cellIs" dxfId="3035" priority="3058" stopIfTrue="1" operator="equal">
      <formula>"1 Modify"</formula>
    </cfRule>
  </conditionalFormatting>
  <conditionalFormatting sqref="C1020">
    <cfRule type="cellIs" dxfId="3034" priority="3059" stopIfTrue="1" operator="equal">
      <formula>"2 Add"</formula>
    </cfRule>
  </conditionalFormatting>
  <conditionalFormatting sqref="C1020">
    <cfRule type="cellIs" dxfId="3033" priority="3060" stopIfTrue="1" operator="equal">
      <formula>"3 Delete"</formula>
    </cfRule>
  </conditionalFormatting>
  <conditionalFormatting sqref="C1021">
    <cfRule type="cellIs" dxfId="3032" priority="3061" stopIfTrue="1" operator="equal">
      <formula>"1 Modify"</formula>
    </cfRule>
  </conditionalFormatting>
  <conditionalFormatting sqref="C1021">
    <cfRule type="cellIs" dxfId="3031" priority="3062" stopIfTrue="1" operator="equal">
      <formula>"2 Add"</formula>
    </cfRule>
  </conditionalFormatting>
  <conditionalFormatting sqref="C1021">
    <cfRule type="cellIs" dxfId="3030" priority="3063" stopIfTrue="1" operator="equal">
      <formula>"3 Delete"</formula>
    </cfRule>
  </conditionalFormatting>
  <conditionalFormatting sqref="C1022">
    <cfRule type="cellIs" dxfId="3029" priority="3064" stopIfTrue="1" operator="equal">
      <formula>"1 Modify"</formula>
    </cfRule>
  </conditionalFormatting>
  <conditionalFormatting sqref="C1022">
    <cfRule type="cellIs" dxfId="3028" priority="3065" stopIfTrue="1" operator="equal">
      <formula>"2 Add"</formula>
    </cfRule>
  </conditionalFormatting>
  <conditionalFormatting sqref="C1022">
    <cfRule type="cellIs" dxfId="3027" priority="3066" stopIfTrue="1" operator="equal">
      <formula>"3 Delete"</formula>
    </cfRule>
  </conditionalFormatting>
  <conditionalFormatting sqref="C1023">
    <cfRule type="cellIs" dxfId="3026" priority="3067" stopIfTrue="1" operator="equal">
      <formula>"1 Modify"</formula>
    </cfRule>
  </conditionalFormatting>
  <conditionalFormatting sqref="C1023">
    <cfRule type="cellIs" dxfId="3025" priority="3068" stopIfTrue="1" operator="equal">
      <formula>"2 Add"</formula>
    </cfRule>
  </conditionalFormatting>
  <conditionalFormatting sqref="C1023">
    <cfRule type="cellIs" dxfId="3024" priority="3069" stopIfTrue="1" operator="equal">
      <formula>"3 Delete"</formula>
    </cfRule>
  </conditionalFormatting>
  <conditionalFormatting sqref="C1024">
    <cfRule type="cellIs" dxfId="3023" priority="3070" stopIfTrue="1" operator="equal">
      <formula>"1 Modify"</formula>
    </cfRule>
  </conditionalFormatting>
  <conditionalFormatting sqref="C1024">
    <cfRule type="cellIs" dxfId="3022" priority="3071" stopIfTrue="1" operator="equal">
      <formula>"2 Add"</formula>
    </cfRule>
  </conditionalFormatting>
  <conditionalFormatting sqref="C1024">
    <cfRule type="cellIs" dxfId="3021" priority="3072" stopIfTrue="1" operator="equal">
      <formula>"3 Delete"</formula>
    </cfRule>
  </conditionalFormatting>
  <conditionalFormatting sqref="C1025">
    <cfRule type="cellIs" dxfId="3020" priority="3073" stopIfTrue="1" operator="equal">
      <formula>"1 Modify"</formula>
    </cfRule>
  </conditionalFormatting>
  <conditionalFormatting sqref="C1025">
    <cfRule type="cellIs" dxfId="3019" priority="3074" stopIfTrue="1" operator="equal">
      <formula>"2 Add"</formula>
    </cfRule>
  </conditionalFormatting>
  <conditionalFormatting sqref="C1025">
    <cfRule type="cellIs" dxfId="3018" priority="3075" stopIfTrue="1" operator="equal">
      <formula>"3 Delete"</formula>
    </cfRule>
  </conditionalFormatting>
  <conditionalFormatting sqref="C1026">
    <cfRule type="cellIs" dxfId="3017" priority="3076" stopIfTrue="1" operator="equal">
      <formula>"1 Modify"</formula>
    </cfRule>
  </conditionalFormatting>
  <conditionalFormatting sqref="C1026">
    <cfRule type="cellIs" dxfId="3016" priority="3077" stopIfTrue="1" operator="equal">
      <formula>"2 Add"</formula>
    </cfRule>
  </conditionalFormatting>
  <conditionalFormatting sqref="C1026">
    <cfRule type="cellIs" dxfId="3015" priority="3078" stopIfTrue="1" operator="equal">
      <formula>"3 Delete"</formula>
    </cfRule>
  </conditionalFormatting>
  <conditionalFormatting sqref="C1027">
    <cfRule type="cellIs" dxfId="3014" priority="3079" stopIfTrue="1" operator="equal">
      <formula>"1 Modify"</formula>
    </cfRule>
  </conditionalFormatting>
  <conditionalFormatting sqref="C1027">
    <cfRule type="cellIs" dxfId="3013" priority="3080" stopIfTrue="1" operator="equal">
      <formula>"2 Add"</formula>
    </cfRule>
  </conditionalFormatting>
  <conditionalFormatting sqref="C1027">
    <cfRule type="cellIs" dxfId="3012" priority="3081" stopIfTrue="1" operator="equal">
      <formula>"3 Delete"</formula>
    </cfRule>
  </conditionalFormatting>
  <conditionalFormatting sqref="C1028">
    <cfRule type="cellIs" dxfId="3011" priority="3082" stopIfTrue="1" operator="equal">
      <formula>"1 Modify"</formula>
    </cfRule>
  </conditionalFormatting>
  <conditionalFormatting sqref="C1028">
    <cfRule type="cellIs" dxfId="3010" priority="3083" stopIfTrue="1" operator="equal">
      <formula>"2 Add"</formula>
    </cfRule>
  </conditionalFormatting>
  <conditionalFormatting sqref="C1028">
    <cfRule type="cellIs" dxfId="3009" priority="3084" stopIfTrue="1" operator="equal">
      <formula>"3 Delete"</formula>
    </cfRule>
  </conditionalFormatting>
  <conditionalFormatting sqref="C1029">
    <cfRule type="cellIs" dxfId="3008" priority="3085" stopIfTrue="1" operator="equal">
      <formula>"1 Modify"</formula>
    </cfRule>
  </conditionalFormatting>
  <conditionalFormatting sqref="C1029">
    <cfRule type="cellIs" dxfId="3007" priority="3086" stopIfTrue="1" operator="equal">
      <formula>"2 Add"</formula>
    </cfRule>
  </conditionalFormatting>
  <conditionalFormatting sqref="C1029">
    <cfRule type="cellIs" dxfId="3006" priority="3087" stopIfTrue="1" operator="equal">
      <formula>"3 Delete"</formula>
    </cfRule>
  </conditionalFormatting>
  <conditionalFormatting sqref="C1030">
    <cfRule type="cellIs" dxfId="3005" priority="3088" stopIfTrue="1" operator="equal">
      <formula>"1 Modify"</formula>
    </cfRule>
  </conditionalFormatting>
  <conditionalFormatting sqref="C1030">
    <cfRule type="cellIs" dxfId="3004" priority="3089" stopIfTrue="1" operator="equal">
      <formula>"2 Add"</formula>
    </cfRule>
  </conditionalFormatting>
  <conditionalFormatting sqref="C1030">
    <cfRule type="cellIs" dxfId="3003" priority="3090" stopIfTrue="1" operator="equal">
      <formula>"3 Delete"</formula>
    </cfRule>
  </conditionalFormatting>
  <conditionalFormatting sqref="C1031">
    <cfRule type="cellIs" dxfId="3002" priority="3091" stopIfTrue="1" operator="equal">
      <formula>"1 Modify"</formula>
    </cfRule>
  </conditionalFormatting>
  <conditionalFormatting sqref="C1031">
    <cfRule type="cellIs" dxfId="3001" priority="3092" stopIfTrue="1" operator="equal">
      <formula>"2 Add"</formula>
    </cfRule>
  </conditionalFormatting>
  <conditionalFormatting sqref="C1031">
    <cfRule type="cellIs" dxfId="3000" priority="3093" stopIfTrue="1" operator="equal">
      <formula>"3 Delete"</formula>
    </cfRule>
  </conditionalFormatting>
  <conditionalFormatting sqref="C1032">
    <cfRule type="cellIs" dxfId="2999" priority="3094" stopIfTrue="1" operator="equal">
      <formula>"1 Modify"</formula>
    </cfRule>
  </conditionalFormatting>
  <conditionalFormatting sqref="C1032">
    <cfRule type="cellIs" dxfId="2998" priority="3095" stopIfTrue="1" operator="equal">
      <formula>"2 Add"</formula>
    </cfRule>
  </conditionalFormatting>
  <conditionalFormatting sqref="C1032">
    <cfRule type="cellIs" dxfId="2997" priority="3096" stopIfTrue="1" operator="equal">
      <formula>"3 Delete"</formula>
    </cfRule>
  </conditionalFormatting>
  <conditionalFormatting sqref="C1033">
    <cfRule type="cellIs" dxfId="2996" priority="3097" stopIfTrue="1" operator="equal">
      <formula>"1 Modify"</formula>
    </cfRule>
  </conditionalFormatting>
  <conditionalFormatting sqref="C1033">
    <cfRule type="cellIs" dxfId="2995" priority="3098" stopIfTrue="1" operator="equal">
      <formula>"2 Add"</formula>
    </cfRule>
  </conditionalFormatting>
  <conditionalFormatting sqref="C1033">
    <cfRule type="cellIs" dxfId="2994" priority="3099" stopIfTrue="1" operator="equal">
      <formula>"3 Delete"</formula>
    </cfRule>
  </conditionalFormatting>
  <conditionalFormatting sqref="C1034">
    <cfRule type="cellIs" dxfId="2993" priority="3100" stopIfTrue="1" operator="equal">
      <formula>"1 Modify"</formula>
    </cfRule>
  </conditionalFormatting>
  <conditionalFormatting sqref="C1034">
    <cfRule type="cellIs" dxfId="2992" priority="3101" stopIfTrue="1" operator="equal">
      <formula>"2 Add"</formula>
    </cfRule>
  </conditionalFormatting>
  <conditionalFormatting sqref="C1034">
    <cfRule type="cellIs" dxfId="2991" priority="3102" stopIfTrue="1" operator="equal">
      <formula>"3 Delete"</formula>
    </cfRule>
  </conditionalFormatting>
  <conditionalFormatting sqref="C1035">
    <cfRule type="cellIs" dxfId="2990" priority="3103" stopIfTrue="1" operator="equal">
      <formula>"1 Modify"</formula>
    </cfRule>
  </conditionalFormatting>
  <conditionalFormatting sqref="C1035">
    <cfRule type="cellIs" dxfId="2989" priority="3104" stopIfTrue="1" operator="equal">
      <formula>"2 Add"</formula>
    </cfRule>
  </conditionalFormatting>
  <conditionalFormatting sqref="C1035">
    <cfRule type="cellIs" dxfId="2988" priority="3105" stopIfTrue="1" operator="equal">
      <formula>"3 Delete"</formula>
    </cfRule>
  </conditionalFormatting>
  <conditionalFormatting sqref="C1036">
    <cfRule type="cellIs" dxfId="2987" priority="3106" stopIfTrue="1" operator="equal">
      <formula>"1 Modify"</formula>
    </cfRule>
  </conditionalFormatting>
  <conditionalFormatting sqref="C1036">
    <cfRule type="cellIs" dxfId="2986" priority="3107" stopIfTrue="1" operator="equal">
      <formula>"2 Add"</formula>
    </cfRule>
  </conditionalFormatting>
  <conditionalFormatting sqref="C1036">
    <cfRule type="cellIs" dxfId="2985" priority="3108" stopIfTrue="1" operator="equal">
      <formula>"3 Delete"</formula>
    </cfRule>
  </conditionalFormatting>
  <conditionalFormatting sqref="C1037">
    <cfRule type="cellIs" dxfId="2984" priority="3109" stopIfTrue="1" operator="equal">
      <formula>"1 Modify"</formula>
    </cfRule>
  </conditionalFormatting>
  <conditionalFormatting sqref="C1037">
    <cfRule type="cellIs" dxfId="2983" priority="3110" stopIfTrue="1" operator="equal">
      <formula>"2 Add"</formula>
    </cfRule>
  </conditionalFormatting>
  <conditionalFormatting sqref="C1037">
    <cfRule type="cellIs" dxfId="2982" priority="3111" stopIfTrue="1" operator="equal">
      <formula>"3 Delete"</formula>
    </cfRule>
  </conditionalFormatting>
  <conditionalFormatting sqref="C1038">
    <cfRule type="cellIs" dxfId="2981" priority="3112" stopIfTrue="1" operator="equal">
      <formula>"1 Modify"</formula>
    </cfRule>
  </conditionalFormatting>
  <conditionalFormatting sqref="C1038">
    <cfRule type="cellIs" dxfId="2980" priority="3113" stopIfTrue="1" operator="equal">
      <formula>"2 Add"</formula>
    </cfRule>
  </conditionalFormatting>
  <conditionalFormatting sqref="C1038">
    <cfRule type="cellIs" dxfId="2979" priority="3114" stopIfTrue="1" operator="equal">
      <formula>"3 Delete"</formula>
    </cfRule>
  </conditionalFormatting>
  <conditionalFormatting sqref="C1039">
    <cfRule type="cellIs" dxfId="2978" priority="3115" stopIfTrue="1" operator="equal">
      <formula>"1 Modify"</formula>
    </cfRule>
  </conditionalFormatting>
  <conditionalFormatting sqref="C1039">
    <cfRule type="cellIs" dxfId="2977" priority="3116" stopIfTrue="1" operator="equal">
      <formula>"2 Add"</formula>
    </cfRule>
  </conditionalFormatting>
  <conditionalFormatting sqref="C1039">
    <cfRule type="cellIs" dxfId="2976" priority="3117" stopIfTrue="1" operator="equal">
      <formula>"3 Delete"</formula>
    </cfRule>
  </conditionalFormatting>
  <conditionalFormatting sqref="C1040">
    <cfRule type="cellIs" dxfId="2975" priority="3118" stopIfTrue="1" operator="equal">
      <formula>"1 Modify"</formula>
    </cfRule>
  </conditionalFormatting>
  <conditionalFormatting sqref="C1040">
    <cfRule type="cellIs" dxfId="2974" priority="3119" stopIfTrue="1" operator="equal">
      <formula>"2 Add"</formula>
    </cfRule>
  </conditionalFormatting>
  <conditionalFormatting sqref="C1040">
    <cfRule type="cellIs" dxfId="2973" priority="3120" stopIfTrue="1" operator="equal">
      <formula>"3 Delete"</formula>
    </cfRule>
  </conditionalFormatting>
  <conditionalFormatting sqref="C1041">
    <cfRule type="cellIs" dxfId="2972" priority="3121" stopIfTrue="1" operator="equal">
      <formula>"1 Modify"</formula>
    </cfRule>
  </conditionalFormatting>
  <conditionalFormatting sqref="C1041">
    <cfRule type="cellIs" dxfId="2971" priority="3122" stopIfTrue="1" operator="equal">
      <formula>"2 Add"</formula>
    </cfRule>
  </conditionalFormatting>
  <conditionalFormatting sqref="C1041">
    <cfRule type="cellIs" dxfId="2970" priority="3123" stopIfTrue="1" operator="equal">
      <formula>"3 Delete"</formula>
    </cfRule>
  </conditionalFormatting>
  <conditionalFormatting sqref="C1042">
    <cfRule type="cellIs" dxfId="2969" priority="3124" stopIfTrue="1" operator="equal">
      <formula>"1 Modify"</formula>
    </cfRule>
  </conditionalFormatting>
  <conditionalFormatting sqref="C1042">
    <cfRule type="cellIs" dxfId="2968" priority="3125" stopIfTrue="1" operator="equal">
      <formula>"2 Add"</formula>
    </cfRule>
  </conditionalFormatting>
  <conditionalFormatting sqref="C1042">
    <cfRule type="cellIs" dxfId="2967" priority="3126" stopIfTrue="1" operator="equal">
      <formula>"3 Delete"</formula>
    </cfRule>
  </conditionalFormatting>
  <conditionalFormatting sqref="C1043">
    <cfRule type="cellIs" dxfId="2966" priority="3127" stopIfTrue="1" operator="equal">
      <formula>"1 Modify"</formula>
    </cfRule>
  </conditionalFormatting>
  <conditionalFormatting sqref="C1043">
    <cfRule type="cellIs" dxfId="2965" priority="3128" stopIfTrue="1" operator="equal">
      <formula>"2 Add"</formula>
    </cfRule>
  </conditionalFormatting>
  <conditionalFormatting sqref="C1043">
    <cfRule type="cellIs" dxfId="2964" priority="3129" stopIfTrue="1" operator="equal">
      <formula>"3 Delete"</formula>
    </cfRule>
  </conditionalFormatting>
  <conditionalFormatting sqref="C1044">
    <cfRule type="cellIs" dxfId="2963" priority="3130" stopIfTrue="1" operator="equal">
      <formula>"1 Modify"</formula>
    </cfRule>
  </conditionalFormatting>
  <conditionalFormatting sqref="C1044">
    <cfRule type="cellIs" dxfId="2962" priority="3131" stopIfTrue="1" operator="equal">
      <formula>"2 Add"</formula>
    </cfRule>
  </conditionalFormatting>
  <conditionalFormatting sqref="C1044">
    <cfRule type="cellIs" dxfId="2961" priority="3132" stopIfTrue="1" operator="equal">
      <formula>"3 Delete"</formula>
    </cfRule>
  </conditionalFormatting>
  <conditionalFormatting sqref="C1045">
    <cfRule type="cellIs" dxfId="2960" priority="3133" stopIfTrue="1" operator="equal">
      <formula>"1 Modify"</formula>
    </cfRule>
  </conditionalFormatting>
  <conditionalFormatting sqref="C1045">
    <cfRule type="cellIs" dxfId="2959" priority="3134" stopIfTrue="1" operator="equal">
      <formula>"2 Add"</formula>
    </cfRule>
  </conditionalFormatting>
  <conditionalFormatting sqref="C1045">
    <cfRule type="cellIs" dxfId="2958" priority="3135" stopIfTrue="1" operator="equal">
      <formula>"3 Delete"</formula>
    </cfRule>
  </conditionalFormatting>
  <conditionalFormatting sqref="C1046">
    <cfRule type="cellIs" dxfId="2957" priority="3136" stopIfTrue="1" operator="equal">
      <formula>"1 Modify"</formula>
    </cfRule>
  </conditionalFormatting>
  <conditionalFormatting sqref="C1046">
    <cfRule type="cellIs" dxfId="2956" priority="3137" stopIfTrue="1" operator="equal">
      <formula>"2 Add"</formula>
    </cfRule>
  </conditionalFormatting>
  <conditionalFormatting sqref="C1046">
    <cfRule type="cellIs" dxfId="2955" priority="3138" stopIfTrue="1" operator="equal">
      <formula>"3 Delete"</formula>
    </cfRule>
  </conditionalFormatting>
  <conditionalFormatting sqref="C1047">
    <cfRule type="cellIs" dxfId="2954" priority="3139" stopIfTrue="1" operator="equal">
      <formula>"1 Modify"</formula>
    </cfRule>
  </conditionalFormatting>
  <conditionalFormatting sqref="C1047">
    <cfRule type="cellIs" dxfId="2953" priority="3140" stopIfTrue="1" operator="equal">
      <formula>"2 Add"</formula>
    </cfRule>
  </conditionalFormatting>
  <conditionalFormatting sqref="C1047">
    <cfRule type="cellIs" dxfId="2952" priority="3141" stopIfTrue="1" operator="equal">
      <formula>"3 Delete"</formula>
    </cfRule>
  </conditionalFormatting>
  <conditionalFormatting sqref="C1048">
    <cfRule type="cellIs" dxfId="2951" priority="3142" stopIfTrue="1" operator="equal">
      <formula>"1 Modify"</formula>
    </cfRule>
  </conditionalFormatting>
  <conditionalFormatting sqref="C1048">
    <cfRule type="cellIs" dxfId="2950" priority="3143" stopIfTrue="1" operator="equal">
      <formula>"2 Add"</formula>
    </cfRule>
  </conditionalFormatting>
  <conditionalFormatting sqref="C1048">
    <cfRule type="cellIs" dxfId="2949" priority="3144" stopIfTrue="1" operator="equal">
      <formula>"3 Delete"</formula>
    </cfRule>
  </conditionalFormatting>
  <conditionalFormatting sqref="C1049">
    <cfRule type="cellIs" dxfId="2948" priority="3145" stopIfTrue="1" operator="equal">
      <formula>"1 Modify"</formula>
    </cfRule>
  </conditionalFormatting>
  <conditionalFormatting sqref="C1049">
    <cfRule type="cellIs" dxfId="2947" priority="3146" stopIfTrue="1" operator="equal">
      <formula>"2 Add"</formula>
    </cfRule>
  </conditionalFormatting>
  <conditionalFormatting sqref="C1049">
    <cfRule type="cellIs" dxfId="2946" priority="3147" stopIfTrue="1" operator="equal">
      <formula>"3 Delete"</formula>
    </cfRule>
  </conditionalFormatting>
  <conditionalFormatting sqref="C1050">
    <cfRule type="cellIs" dxfId="2945" priority="3148" stopIfTrue="1" operator="equal">
      <formula>"1 Modify"</formula>
    </cfRule>
  </conditionalFormatting>
  <conditionalFormatting sqref="C1050">
    <cfRule type="cellIs" dxfId="2944" priority="3149" stopIfTrue="1" operator="equal">
      <formula>"2 Add"</formula>
    </cfRule>
  </conditionalFormatting>
  <conditionalFormatting sqref="C1050">
    <cfRule type="cellIs" dxfId="2943" priority="3150" stopIfTrue="1" operator="equal">
      <formula>"3 Delete"</formula>
    </cfRule>
  </conditionalFormatting>
  <conditionalFormatting sqref="C1051">
    <cfRule type="cellIs" dxfId="2942" priority="3151" stopIfTrue="1" operator="equal">
      <formula>"1 Modify"</formula>
    </cfRule>
  </conditionalFormatting>
  <conditionalFormatting sqref="C1051">
    <cfRule type="cellIs" dxfId="2941" priority="3152" stopIfTrue="1" operator="equal">
      <formula>"2 Add"</formula>
    </cfRule>
  </conditionalFormatting>
  <conditionalFormatting sqref="C1051">
    <cfRule type="cellIs" dxfId="2940" priority="3153" stopIfTrue="1" operator="equal">
      <formula>"3 Delete"</formula>
    </cfRule>
  </conditionalFormatting>
  <conditionalFormatting sqref="C1052">
    <cfRule type="cellIs" dxfId="2939" priority="3154" stopIfTrue="1" operator="equal">
      <formula>"1 Modify"</formula>
    </cfRule>
  </conditionalFormatting>
  <conditionalFormatting sqref="C1052">
    <cfRule type="cellIs" dxfId="2938" priority="3155" stopIfTrue="1" operator="equal">
      <formula>"2 Add"</formula>
    </cfRule>
  </conditionalFormatting>
  <conditionalFormatting sqref="C1052">
    <cfRule type="cellIs" dxfId="2937" priority="3156" stopIfTrue="1" operator="equal">
      <formula>"3 Delete"</formula>
    </cfRule>
  </conditionalFormatting>
  <conditionalFormatting sqref="C1053">
    <cfRule type="cellIs" dxfId="2936" priority="3157" stopIfTrue="1" operator="equal">
      <formula>"1 Modify"</formula>
    </cfRule>
  </conditionalFormatting>
  <conditionalFormatting sqref="C1053">
    <cfRule type="cellIs" dxfId="2935" priority="3158" stopIfTrue="1" operator="equal">
      <formula>"2 Add"</formula>
    </cfRule>
  </conditionalFormatting>
  <conditionalFormatting sqref="C1053">
    <cfRule type="cellIs" dxfId="2934" priority="3159" stopIfTrue="1" operator="equal">
      <formula>"3 Delete"</formula>
    </cfRule>
  </conditionalFormatting>
  <conditionalFormatting sqref="C1054">
    <cfRule type="cellIs" dxfId="2933" priority="3160" stopIfTrue="1" operator="equal">
      <formula>"1 Modify"</formula>
    </cfRule>
  </conditionalFormatting>
  <conditionalFormatting sqref="C1054">
    <cfRule type="cellIs" dxfId="2932" priority="3161" stopIfTrue="1" operator="equal">
      <formula>"2 Add"</formula>
    </cfRule>
  </conditionalFormatting>
  <conditionalFormatting sqref="C1054">
    <cfRule type="cellIs" dxfId="2931" priority="3162" stopIfTrue="1" operator="equal">
      <formula>"3 Delete"</formula>
    </cfRule>
  </conditionalFormatting>
  <conditionalFormatting sqref="C1055">
    <cfRule type="cellIs" dxfId="2930" priority="3163" stopIfTrue="1" operator="equal">
      <formula>"1 Modify"</formula>
    </cfRule>
  </conditionalFormatting>
  <conditionalFormatting sqref="C1055">
    <cfRule type="cellIs" dxfId="2929" priority="3164" stopIfTrue="1" operator="equal">
      <formula>"2 Add"</formula>
    </cfRule>
  </conditionalFormatting>
  <conditionalFormatting sqref="C1055">
    <cfRule type="cellIs" dxfId="2928" priority="3165" stopIfTrue="1" operator="equal">
      <formula>"3 Delete"</formula>
    </cfRule>
  </conditionalFormatting>
  <conditionalFormatting sqref="C1056">
    <cfRule type="cellIs" dxfId="2927" priority="3166" stopIfTrue="1" operator="equal">
      <formula>"1 Modify"</formula>
    </cfRule>
  </conditionalFormatting>
  <conditionalFormatting sqref="C1056">
    <cfRule type="cellIs" dxfId="2926" priority="3167" stopIfTrue="1" operator="equal">
      <formula>"2 Add"</formula>
    </cfRule>
  </conditionalFormatting>
  <conditionalFormatting sqref="C1056">
    <cfRule type="cellIs" dxfId="2925" priority="3168" stopIfTrue="1" operator="equal">
      <formula>"3 Delete"</formula>
    </cfRule>
  </conditionalFormatting>
  <conditionalFormatting sqref="C1057">
    <cfRule type="cellIs" dxfId="2924" priority="3169" stopIfTrue="1" operator="equal">
      <formula>"1 Modify"</formula>
    </cfRule>
  </conditionalFormatting>
  <conditionalFormatting sqref="C1057">
    <cfRule type="cellIs" dxfId="2923" priority="3170" stopIfTrue="1" operator="equal">
      <formula>"2 Add"</formula>
    </cfRule>
  </conditionalFormatting>
  <conditionalFormatting sqref="C1057">
    <cfRule type="cellIs" dxfId="2922" priority="3171" stopIfTrue="1" operator="equal">
      <formula>"3 Delete"</formula>
    </cfRule>
  </conditionalFormatting>
  <conditionalFormatting sqref="C1058">
    <cfRule type="cellIs" dxfId="2921" priority="3172" stopIfTrue="1" operator="equal">
      <formula>"1 Modify"</formula>
    </cfRule>
  </conditionalFormatting>
  <conditionalFormatting sqref="C1058">
    <cfRule type="cellIs" dxfId="2920" priority="3173" stopIfTrue="1" operator="equal">
      <formula>"2 Add"</formula>
    </cfRule>
  </conditionalFormatting>
  <conditionalFormatting sqref="C1058">
    <cfRule type="cellIs" dxfId="2919" priority="3174" stopIfTrue="1" operator="equal">
      <formula>"3 Delete"</formula>
    </cfRule>
  </conditionalFormatting>
  <conditionalFormatting sqref="C1059">
    <cfRule type="cellIs" dxfId="2918" priority="3175" stopIfTrue="1" operator="equal">
      <formula>"1 Modify"</formula>
    </cfRule>
  </conditionalFormatting>
  <conditionalFormatting sqref="C1059">
    <cfRule type="cellIs" dxfId="2917" priority="3176" stopIfTrue="1" operator="equal">
      <formula>"2 Add"</formula>
    </cfRule>
  </conditionalFormatting>
  <conditionalFormatting sqref="C1059">
    <cfRule type="cellIs" dxfId="2916" priority="3177" stopIfTrue="1" operator="equal">
      <formula>"3 Delete"</formula>
    </cfRule>
  </conditionalFormatting>
  <conditionalFormatting sqref="C1060">
    <cfRule type="cellIs" dxfId="2915" priority="3178" stopIfTrue="1" operator="equal">
      <formula>"1 Modify"</formula>
    </cfRule>
  </conditionalFormatting>
  <conditionalFormatting sqref="C1060">
    <cfRule type="cellIs" dxfId="2914" priority="3179" stopIfTrue="1" operator="equal">
      <formula>"2 Add"</formula>
    </cfRule>
  </conditionalFormatting>
  <conditionalFormatting sqref="C1060">
    <cfRule type="cellIs" dxfId="2913" priority="3180" stopIfTrue="1" operator="equal">
      <formula>"3 Delete"</formula>
    </cfRule>
  </conditionalFormatting>
  <conditionalFormatting sqref="C1061">
    <cfRule type="cellIs" dxfId="2912" priority="3181" stopIfTrue="1" operator="equal">
      <formula>"1 Modify"</formula>
    </cfRule>
  </conditionalFormatting>
  <conditionalFormatting sqref="C1061">
    <cfRule type="cellIs" dxfId="2911" priority="3182" stopIfTrue="1" operator="equal">
      <formula>"2 Add"</formula>
    </cfRule>
  </conditionalFormatting>
  <conditionalFormatting sqref="C1061">
    <cfRule type="cellIs" dxfId="2910" priority="3183" stopIfTrue="1" operator="equal">
      <formula>"3 Delete"</formula>
    </cfRule>
  </conditionalFormatting>
  <conditionalFormatting sqref="C1062">
    <cfRule type="cellIs" dxfId="2909" priority="3184" stopIfTrue="1" operator="equal">
      <formula>"1 Modify"</formula>
    </cfRule>
  </conditionalFormatting>
  <conditionalFormatting sqref="C1062">
    <cfRule type="cellIs" dxfId="2908" priority="3185" stopIfTrue="1" operator="equal">
      <formula>"2 Add"</formula>
    </cfRule>
  </conditionalFormatting>
  <conditionalFormatting sqref="C1062">
    <cfRule type="cellIs" dxfId="2907" priority="3186" stopIfTrue="1" operator="equal">
      <formula>"3 Delete"</formula>
    </cfRule>
  </conditionalFormatting>
  <conditionalFormatting sqref="C1063">
    <cfRule type="cellIs" dxfId="2906" priority="3187" stopIfTrue="1" operator="equal">
      <formula>"1 Modify"</formula>
    </cfRule>
  </conditionalFormatting>
  <conditionalFormatting sqref="C1063">
    <cfRule type="cellIs" dxfId="2905" priority="3188" stopIfTrue="1" operator="equal">
      <formula>"2 Add"</formula>
    </cfRule>
  </conditionalFormatting>
  <conditionalFormatting sqref="C1063">
    <cfRule type="cellIs" dxfId="2904" priority="3189" stopIfTrue="1" operator="equal">
      <formula>"3 Delete"</formula>
    </cfRule>
  </conditionalFormatting>
  <conditionalFormatting sqref="C1064">
    <cfRule type="cellIs" dxfId="2903" priority="3190" stopIfTrue="1" operator="equal">
      <formula>"1 Modify"</formula>
    </cfRule>
  </conditionalFormatting>
  <conditionalFormatting sqref="C1064">
    <cfRule type="cellIs" dxfId="2902" priority="3191" stopIfTrue="1" operator="equal">
      <formula>"2 Add"</formula>
    </cfRule>
  </conditionalFormatting>
  <conditionalFormatting sqref="C1064">
    <cfRule type="cellIs" dxfId="2901" priority="3192" stopIfTrue="1" operator="equal">
      <formula>"3 Delete"</formula>
    </cfRule>
  </conditionalFormatting>
  <conditionalFormatting sqref="C1065">
    <cfRule type="cellIs" dxfId="2900" priority="3193" stopIfTrue="1" operator="equal">
      <formula>"1 Modify"</formula>
    </cfRule>
  </conditionalFormatting>
  <conditionalFormatting sqref="C1065">
    <cfRule type="cellIs" dxfId="2899" priority="3194" stopIfTrue="1" operator="equal">
      <formula>"2 Add"</formula>
    </cfRule>
  </conditionalFormatting>
  <conditionalFormatting sqref="C1065">
    <cfRule type="cellIs" dxfId="2898" priority="3195" stopIfTrue="1" operator="equal">
      <formula>"3 Delete"</formula>
    </cfRule>
  </conditionalFormatting>
  <conditionalFormatting sqref="C1066">
    <cfRule type="cellIs" dxfId="2897" priority="3196" stopIfTrue="1" operator="equal">
      <formula>"1 Modify"</formula>
    </cfRule>
  </conditionalFormatting>
  <conditionalFormatting sqref="C1066">
    <cfRule type="cellIs" dxfId="2896" priority="3197" stopIfTrue="1" operator="equal">
      <formula>"2 Add"</formula>
    </cfRule>
  </conditionalFormatting>
  <conditionalFormatting sqref="C1066">
    <cfRule type="cellIs" dxfId="2895" priority="3198" stopIfTrue="1" operator="equal">
      <formula>"3 Delete"</formula>
    </cfRule>
  </conditionalFormatting>
  <conditionalFormatting sqref="C1067">
    <cfRule type="cellIs" dxfId="2894" priority="3199" stopIfTrue="1" operator="equal">
      <formula>"1 Modify"</formula>
    </cfRule>
  </conditionalFormatting>
  <conditionalFormatting sqref="C1067">
    <cfRule type="cellIs" dxfId="2893" priority="3200" stopIfTrue="1" operator="equal">
      <formula>"2 Add"</formula>
    </cfRule>
  </conditionalFormatting>
  <conditionalFormatting sqref="C1067">
    <cfRule type="cellIs" dxfId="2892" priority="3201" stopIfTrue="1" operator="equal">
      <formula>"3 Delete"</formula>
    </cfRule>
  </conditionalFormatting>
  <conditionalFormatting sqref="C1068">
    <cfRule type="cellIs" dxfId="2891" priority="3202" stopIfTrue="1" operator="equal">
      <formula>"1 Modify"</formula>
    </cfRule>
  </conditionalFormatting>
  <conditionalFormatting sqref="C1068">
    <cfRule type="cellIs" dxfId="2890" priority="3203" stopIfTrue="1" operator="equal">
      <formula>"2 Add"</formula>
    </cfRule>
  </conditionalFormatting>
  <conditionalFormatting sqref="C1068">
    <cfRule type="cellIs" dxfId="2889" priority="3204" stopIfTrue="1" operator="equal">
      <formula>"3 Delete"</formula>
    </cfRule>
  </conditionalFormatting>
  <conditionalFormatting sqref="C1069">
    <cfRule type="cellIs" dxfId="2888" priority="3205" stopIfTrue="1" operator="equal">
      <formula>"1 Modify"</formula>
    </cfRule>
  </conditionalFormatting>
  <conditionalFormatting sqref="C1069">
    <cfRule type="cellIs" dxfId="2887" priority="3206" stopIfTrue="1" operator="equal">
      <formula>"2 Add"</formula>
    </cfRule>
  </conditionalFormatting>
  <conditionalFormatting sqref="C1069">
    <cfRule type="cellIs" dxfId="2886" priority="3207" stopIfTrue="1" operator="equal">
      <formula>"3 Delete"</formula>
    </cfRule>
  </conditionalFormatting>
  <conditionalFormatting sqref="C1070">
    <cfRule type="cellIs" dxfId="2885" priority="3208" stopIfTrue="1" operator="equal">
      <formula>"1 Modify"</formula>
    </cfRule>
  </conditionalFormatting>
  <conditionalFormatting sqref="C1070">
    <cfRule type="cellIs" dxfId="2884" priority="3209" stopIfTrue="1" operator="equal">
      <formula>"2 Add"</formula>
    </cfRule>
  </conditionalFormatting>
  <conditionalFormatting sqref="C1070">
    <cfRule type="cellIs" dxfId="2883" priority="3210" stopIfTrue="1" operator="equal">
      <formula>"3 Delete"</formula>
    </cfRule>
  </conditionalFormatting>
  <conditionalFormatting sqref="C1071">
    <cfRule type="cellIs" dxfId="2882" priority="3211" stopIfTrue="1" operator="equal">
      <formula>"1 Modify"</formula>
    </cfRule>
  </conditionalFormatting>
  <conditionalFormatting sqref="C1071">
    <cfRule type="cellIs" dxfId="2881" priority="3212" stopIfTrue="1" operator="equal">
      <formula>"2 Add"</formula>
    </cfRule>
  </conditionalFormatting>
  <conditionalFormatting sqref="C1071">
    <cfRule type="cellIs" dxfId="2880" priority="3213" stopIfTrue="1" operator="equal">
      <formula>"3 Delete"</formula>
    </cfRule>
  </conditionalFormatting>
  <conditionalFormatting sqref="C1072">
    <cfRule type="cellIs" dxfId="2879" priority="3214" stopIfTrue="1" operator="equal">
      <formula>"1 Modify"</formula>
    </cfRule>
  </conditionalFormatting>
  <conditionalFormatting sqref="C1072">
    <cfRule type="cellIs" dxfId="2878" priority="3215" stopIfTrue="1" operator="equal">
      <formula>"2 Add"</formula>
    </cfRule>
  </conditionalFormatting>
  <conditionalFormatting sqref="C1072">
    <cfRule type="cellIs" dxfId="2877" priority="3216" stopIfTrue="1" operator="equal">
      <formula>"3 Delete"</formula>
    </cfRule>
  </conditionalFormatting>
  <conditionalFormatting sqref="C1073">
    <cfRule type="cellIs" dxfId="2876" priority="3217" stopIfTrue="1" operator="equal">
      <formula>"1 Modify"</formula>
    </cfRule>
  </conditionalFormatting>
  <conditionalFormatting sqref="C1073">
    <cfRule type="cellIs" dxfId="2875" priority="3218" stopIfTrue="1" operator="equal">
      <formula>"2 Add"</formula>
    </cfRule>
  </conditionalFormatting>
  <conditionalFormatting sqref="C1073">
    <cfRule type="cellIs" dxfId="2874" priority="3219" stopIfTrue="1" operator="equal">
      <formula>"3 Delete"</formula>
    </cfRule>
  </conditionalFormatting>
  <conditionalFormatting sqref="C1074">
    <cfRule type="cellIs" dxfId="2873" priority="3220" stopIfTrue="1" operator="equal">
      <formula>"1 Modify"</formula>
    </cfRule>
  </conditionalFormatting>
  <conditionalFormatting sqref="C1074">
    <cfRule type="cellIs" dxfId="2872" priority="3221" stopIfTrue="1" operator="equal">
      <formula>"2 Add"</formula>
    </cfRule>
  </conditionalFormatting>
  <conditionalFormatting sqref="C1074">
    <cfRule type="cellIs" dxfId="2871" priority="3222" stopIfTrue="1" operator="equal">
      <formula>"3 Delete"</formula>
    </cfRule>
  </conditionalFormatting>
  <conditionalFormatting sqref="C1075">
    <cfRule type="cellIs" dxfId="2870" priority="3223" stopIfTrue="1" operator="equal">
      <formula>"1 Modify"</formula>
    </cfRule>
  </conditionalFormatting>
  <conditionalFormatting sqref="C1075">
    <cfRule type="cellIs" dxfId="2869" priority="3224" stopIfTrue="1" operator="equal">
      <formula>"2 Add"</formula>
    </cfRule>
  </conditionalFormatting>
  <conditionalFormatting sqref="C1075">
    <cfRule type="cellIs" dxfId="2868" priority="3225" stopIfTrue="1" operator="equal">
      <formula>"3 Delete"</formula>
    </cfRule>
  </conditionalFormatting>
  <conditionalFormatting sqref="C1076">
    <cfRule type="cellIs" dxfId="2867" priority="3226" stopIfTrue="1" operator="equal">
      <formula>"1 Modify"</formula>
    </cfRule>
  </conditionalFormatting>
  <conditionalFormatting sqref="C1076">
    <cfRule type="cellIs" dxfId="2866" priority="3227" stopIfTrue="1" operator="equal">
      <formula>"2 Add"</formula>
    </cfRule>
  </conditionalFormatting>
  <conditionalFormatting sqref="C1076">
    <cfRule type="cellIs" dxfId="2865" priority="3228" stopIfTrue="1" operator="equal">
      <formula>"3 Delete"</formula>
    </cfRule>
  </conditionalFormatting>
  <conditionalFormatting sqref="C1077">
    <cfRule type="cellIs" dxfId="2864" priority="3229" stopIfTrue="1" operator="equal">
      <formula>"1 Modify"</formula>
    </cfRule>
  </conditionalFormatting>
  <conditionalFormatting sqref="C1077">
    <cfRule type="cellIs" dxfId="2863" priority="3230" stopIfTrue="1" operator="equal">
      <formula>"2 Add"</formula>
    </cfRule>
  </conditionalFormatting>
  <conditionalFormatting sqref="C1077">
    <cfRule type="cellIs" dxfId="2862" priority="3231" stopIfTrue="1" operator="equal">
      <formula>"3 Delete"</formula>
    </cfRule>
  </conditionalFormatting>
  <conditionalFormatting sqref="C1078">
    <cfRule type="cellIs" dxfId="2861" priority="3232" stopIfTrue="1" operator="equal">
      <formula>"1 Modify"</formula>
    </cfRule>
  </conditionalFormatting>
  <conditionalFormatting sqref="C1078">
    <cfRule type="cellIs" dxfId="2860" priority="3233" stopIfTrue="1" operator="equal">
      <formula>"2 Add"</formula>
    </cfRule>
  </conditionalFormatting>
  <conditionalFormatting sqref="C1078">
    <cfRule type="cellIs" dxfId="2859" priority="3234" stopIfTrue="1" operator="equal">
      <formula>"3 Delete"</formula>
    </cfRule>
  </conditionalFormatting>
  <conditionalFormatting sqref="C1079">
    <cfRule type="cellIs" dxfId="2858" priority="3235" stopIfTrue="1" operator="equal">
      <formula>"1 Modify"</formula>
    </cfRule>
  </conditionalFormatting>
  <conditionalFormatting sqref="C1079">
    <cfRule type="cellIs" dxfId="2857" priority="3236" stopIfTrue="1" operator="equal">
      <formula>"2 Add"</formula>
    </cfRule>
  </conditionalFormatting>
  <conditionalFormatting sqref="C1079">
    <cfRule type="cellIs" dxfId="2856" priority="3237" stopIfTrue="1" operator="equal">
      <formula>"3 Delete"</formula>
    </cfRule>
  </conditionalFormatting>
  <conditionalFormatting sqref="C1080">
    <cfRule type="cellIs" dxfId="2855" priority="3238" stopIfTrue="1" operator="equal">
      <formula>"1 Modify"</formula>
    </cfRule>
  </conditionalFormatting>
  <conditionalFormatting sqref="C1080">
    <cfRule type="cellIs" dxfId="2854" priority="3239" stopIfTrue="1" operator="equal">
      <formula>"2 Add"</formula>
    </cfRule>
  </conditionalFormatting>
  <conditionalFormatting sqref="C1080">
    <cfRule type="cellIs" dxfId="2853" priority="3240" stopIfTrue="1" operator="equal">
      <formula>"3 Delete"</formula>
    </cfRule>
  </conditionalFormatting>
  <conditionalFormatting sqref="C1081">
    <cfRule type="cellIs" dxfId="2852" priority="3241" stopIfTrue="1" operator="equal">
      <formula>"1 Modify"</formula>
    </cfRule>
  </conditionalFormatting>
  <conditionalFormatting sqref="C1081">
    <cfRule type="cellIs" dxfId="2851" priority="3242" stopIfTrue="1" operator="equal">
      <formula>"2 Add"</formula>
    </cfRule>
  </conditionalFormatting>
  <conditionalFormatting sqref="C1081">
    <cfRule type="cellIs" dxfId="2850" priority="3243" stopIfTrue="1" operator="equal">
      <formula>"3 Delete"</formula>
    </cfRule>
  </conditionalFormatting>
  <conditionalFormatting sqref="C1082">
    <cfRule type="cellIs" dxfId="2849" priority="3244" stopIfTrue="1" operator="equal">
      <formula>"1 Modify"</formula>
    </cfRule>
  </conditionalFormatting>
  <conditionalFormatting sqref="C1082">
    <cfRule type="cellIs" dxfId="2848" priority="3245" stopIfTrue="1" operator="equal">
      <formula>"2 Add"</formula>
    </cfRule>
  </conditionalFormatting>
  <conditionalFormatting sqref="C1082">
    <cfRule type="cellIs" dxfId="2847" priority="3246" stopIfTrue="1" operator="equal">
      <formula>"3 Delete"</formula>
    </cfRule>
  </conditionalFormatting>
  <conditionalFormatting sqref="C1083">
    <cfRule type="cellIs" dxfId="2846" priority="3247" stopIfTrue="1" operator="equal">
      <formula>"1 Modify"</formula>
    </cfRule>
  </conditionalFormatting>
  <conditionalFormatting sqref="C1083">
    <cfRule type="cellIs" dxfId="2845" priority="3248" stopIfTrue="1" operator="equal">
      <formula>"2 Add"</formula>
    </cfRule>
  </conditionalFormatting>
  <conditionalFormatting sqref="C1083">
    <cfRule type="cellIs" dxfId="2844" priority="3249" stopIfTrue="1" operator="equal">
      <formula>"3 Delete"</formula>
    </cfRule>
  </conditionalFormatting>
  <conditionalFormatting sqref="C1084">
    <cfRule type="cellIs" dxfId="2843" priority="3250" stopIfTrue="1" operator="equal">
      <formula>"1 Modify"</formula>
    </cfRule>
  </conditionalFormatting>
  <conditionalFormatting sqref="C1084">
    <cfRule type="cellIs" dxfId="2842" priority="3251" stopIfTrue="1" operator="equal">
      <formula>"2 Add"</formula>
    </cfRule>
  </conditionalFormatting>
  <conditionalFormatting sqref="C1084">
    <cfRule type="cellIs" dxfId="2841" priority="3252" stopIfTrue="1" operator="equal">
      <formula>"3 Delete"</formula>
    </cfRule>
  </conditionalFormatting>
  <conditionalFormatting sqref="C1085">
    <cfRule type="cellIs" dxfId="2840" priority="3253" stopIfTrue="1" operator="equal">
      <formula>"1 Modify"</formula>
    </cfRule>
  </conditionalFormatting>
  <conditionalFormatting sqref="C1085">
    <cfRule type="cellIs" dxfId="2839" priority="3254" stopIfTrue="1" operator="equal">
      <formula>"2 Add"</formula>
    </cfRule>
  </conditionalFormatting>
  <conditionalFormatting sqref="C1085">
    <cfRule type="cellIs" dxfId="2838" priority="3255" stopIfTrue="1" operator="equal">
      <formula>"3 Delete"</formula>
    </cfRule>
  </conditionalFormatting>
  <conditionalFormatting sqref="C1086">
    <cfRule type="cellIs" dxfId="2837" priority="3256" stopIfTrue="1" operator="equal">
      <formula>"1 Modify"</formula>
    </cfRule>
  </conditionalFormatting>
  <conditionalFormatting sqref="C1086">
    <cfRule type="cellIs" dxfId="2836" priority="3257" stopIfTrue="1" operator="equal">
      <formula>"2 Add"</formula>
    </cfRule>
  </conditionalFormatting>
  <conditionalFormatting sqref="C1086">
    <cfRule type="cellIs" dxfId="2835" priority="3258" stopIfTrue="1" operator="equal">
      <formula>"3 Delete"</formula>
    </cfRule>
  </conditionalFormatting>
  <conditionalFormatting sqref="C1087">
    <cfRule type="cellIs" dxfId="2834" priority="3259" stopIfTrue="1" operator="equal">
      <formula>"1 Modify"</formula>
    </cfRule>
  </conditionalFormatting>
  <conditionalFormatting sqref="C1087">
    <cfRule type="cellIs" dxfId="2833" priority="3260" stopIfTrue="1" operator="equal">
      <formula>"2 Add"</formula>
    </cfRule>
  </conditionalFormatting>
  <conditionalFormatting sqref="C1087">
    <cfRule type="cellIs" dxfId="2832" priority="3261" stopIfTrue="1" operator="equal">
      <formula>"3 Delete"</formula>
    </cfRule>
  </conditionalFormatting>
  <conditionalFormatting sqref="C1088">
    <cfRule type="cellIs" dxfId="2831" priority="3262" stopIfTrue="1" operator="equal">
      <formula>"1 Modify"</formula>
    </cfRule>
  </conditionalFormatting>
  <conditionalFormatting sqref="C1088">
    <cfRule type="cellIs" dxfId="2830" priority="3263" stopIfTrue="1" operator="equal">
      <formula>"2 Add"</formula>
    </cfRule>
  </conditionalFormatting>
  <conditionalFormatting sqref="C1088">
    <cfRule type="cellIs" dxfId="2829" priority="3264" stopIfTrue="1" operator="equal">
      <formula>"3 Delete"</formula>
    </cfRule>
  </conditionalFormatting>
  <conditionalFormatting sqref="C1089">
    <cfRule type="cellIs" dxfId="2828" priority="3265" stopIfTrue="1" operator="equal">
      <formula>"1 Modify"</formula>
    </cfRule>
  </conditionalFormatting>
  <conditionalFormatting sqref="C1089">
    <cfRule type="cellIs" dxfId="2827" priority="3266" stopIfTrue="1" operator="equal">
      <formula>"2 Add"</formula>
    </cfRule>
  </conditionalFormatting>
  <conditionalFormatting sqref="C1089">
    <cfRule type="cellIs" dxfId="2826" priority="3267" stopIfTrue="1" operator="equal">
      <formula>"3 Delete"</formula>
    </cfRule>
  </conditionalFormatting>
  <conditionalFormatting sqref="C1090">
    <cfRule type="cellIs" dxfId="2825" priority="3268" stopIfTrue="1" operator="equal">
      <formula>"1 Modify"</formula>
    </cfRule>
  </conditionalFormatting>
  <conditionalFormatting sqref="C1090">
    <cfRule type="cellIs" dxfId="2824" priority="3269" stopIfTrue="1" operator="equal">
      <formula>"2 Add"</formula>
    </cfRule>
  </conditionalFormatting>
  <conditionalFormatting sqref="C1090">
    <cfRule type="cellIs" dxfId="2823" priority="3270" stopIfTrue="1" operator="equal">
      <formula>"3 Delete"</formula>
    </cfRule>
  </conditionalFormatting>
  <conditionalFormatting sqref="C1091">
    <cfRule type="cellIs" dxfId="2822" priority="3271" stopIfTrue="1" operator="equal">
      <formula>"1 Modify"</formula>
    </cfRule>
  </conditionalFormatting>
  <conditionalFormatting sqref="C1091">
    <cfRule type="cellIs" dxfId="2821" priority="3272" stopIfTrue="1" operator="equal">
      <formula>"2 Add"</formula>
    </cfRule>
  </conditionalFormatting>
  <conditionalFormatting sqref="C1091">
    <cfRule type="cellIs" dxfId="2820" priority="3273" stopIfTrue="1" operator="equal">
      <formula>"3 Delete"</formula>
    </cfRule>
  </conditionalFormatting>
  <conditionalFormatting sqref="C1092">
    <cfRule type="cellIs" dxfId="2819" priority="3274" stopIfTrue="1" operator="equal">
      <formula>"1 Modify"</formula>
    </cfRule>
  </conditionalFormatting>
  <conditionalFormatting sqref="C1092">
    <cfRule type="cellIs" dxfId="2818" priority="3275" stopIfTrue="1" operator="equal">
      <formula>"2 Add"</formula>
    </cfRule>
  </conditionalFormatting>
  <conditionalFormatting sqref="C1092">
    <cfRule type="cellIs" dxfId="2817" priority="3276" stopIfTrue="1" operator="equal">
      <formula>"3 Delete"</formula>
    </cfRule>
  </conditionalFormatting>
  <conditionalFormatting sqref="C1093">
    <cfRule type="cellIs" dxfId="2816" priority="3277" stopIfTrue="1" operator="equal">
      <formula>"1 Modify"</formula>
    </cfRule>
  </conditionalFormatting>
  <conditionalFormatting sqref="C1093">
    <cfRule type="cellIs" dxfId="2815" priority="3278" stopIfTrue="1" operator="equal">
      <formula>"2 Add"</formula>
    </cfRule>
  </conditionalFormatting>
  <conditionalFormatting sqref="C1093">
    <cfRule type="cellIs" dxfId="2814" priority="3279" stopIfTrue="1" operator="equal">
      <formula>"3 Delete"</formula>
    </cfRule>
  </conditionalFormatting>
  <conditionalFormatting sqref="C1094">
    <cfRule type="cellIs" dxfId="2813" priority="3280" stopIfTrue="1" operator="equal">
      <formula>"1 Modify"</formula>
    </cfRule>
  </conditionalFormatting>
  <conditionalFormatting sqref="C1094">
    <cfRule type="cellIs" dxfId="2812" priority="3281" stopIfTrue="1" operator="equal">
      <formula>"2 Add"</formula>
    </cfRule>
  </conditionalFormatting>
  <conditionalFormatting sqref="C1094">
    <cfRule type="cellIs" dxfId="2811" priority="3282" stopIfTrue="1" operator="equal">
      <formula>"3 Delete"</formula>
    </cfRule>
  </conditionalFormatting>
  <conditionalFormatting sqref="C1095">
    <cfRule type="cellIs" dxfId="2810" priority="3283" stopIfTrue="1" operator="equal">
      <formula>"1 Modify"</formula>
    </cfRule>
  </conditionalFormatting>
  <conditionalFormatting sqref="C1095">
    <cfRule type="cellIs" dxfId="2809" priority="3284" stopIfTrue="1" operator="equal">
      <formula>"2 Add"</formula>
    </cfRule>
  </conditionalFormatting>
  <conditionalFormatting sqref="C1095">
    <cfRule type="cellIs" dxfId="2808" priority="3285" stopIfTrue="1" operator="equal">
      <formula>"3 Delete"</formula>
    </cfRule>
  </conditionalFormatting>
  <conditionalFormatting sqref="C1096">
    <cfRule type="cellIs" dxfId="2807" priority="3286" stopIfTrue="1" operator="equal">
      <formula>"1 Modify"</formula>
    </cfRule>
  </conditionalFormatting>
  <conditionalFormatting sqref="C1096">
    <cfRule type="cellIs" dxfId="2806" priority="3287" stopIfTrue="1" operator="equal">
      <formula>"2 Add"</formula>
    </cfRule>
  </conditionalFormatting>
  <conditionalFormatting sqref="C1096">
    <cfRule type="cellIs" dxfId="2805" priority="3288" stopIfTrue="1" operator="equal">
      <formula>"3 Delete"</formula>
    </cfRule>
  </conditionalFormatting>
  <conditionalFormatting sqref="C1097">
    <cfRule type="cellIs" dxfId="2804" priority="3289" stopIfTrue="1" operator="equal">
      <formula>"1 Modify"</formula>
    </cfRule>
  </conditionalFormatting>
  <conditionalFormatting sqref="C1097">
    <cfRule type="cellIs" dxfId="2803" priority="3290" stopIfTrue="1" operator="equal">
      <formula>"2 Add"</formula>
    </cfRule>
  </conditionalFormatting>
  <conditionalFormatting sqref="C1097">
    <cfRule type="cellIs" dxfId="2802" priority="3291" stopIfTrue="1" operator="equal">
      <formula>"3 Delete"</formula>
    </cfRule>
  </conditionalFormatting>
  <conditionalFormatting sqref="C1098">
    <cfRule type="cellIs" dxfId="2801" priority="3292" stopIfTrue="1" operator="equal">
      <formula>"1 Modify"</formula>
    </cfRule>
  </conditionalFormatting>
  <conditionalFormatting sqref="C1098">
    <cfRule type="cellIs" dxfId="2800" priority="3293" stopIfTrue="1" operator="equal">
      <formula>"2 Add"</formula>
    </cfRule>
  </conditionalFormatting>
  <conditionalFormatting sqref="C1098">
    <cfRule type="cellIs" dxfId="2799" priority="3294" stopIfTrue="1" operator="equal">
      <formula>"3 Delete"</formula>
    </cfRule>
  </conditionalFormatting>
  <conditionalFormatting sqref="C1099">
    <cfRule type="cellIs" dxfId="2798" priority="3295" stopIfTrue="1" operator="equal">
      <formula>"1 Modify"</formula>
    </cfRule>
  </conditionalFormatting>
  <conditionalFormatting sqref="C1099">
    <cfRule type="cellIs" dxfId="2797" priority="3296" stopIfTrue="1" operator="equal">
      <formula>"2 Add"</formula>
    </cfRule>
  </conditionalFormatting>
  <conditionalFormatting sqref="C1099">
    <cfRule type="cellIs" dxfId="2796" priority="3297" stopIfTrue="1" operator="equal">
      <formula>"3 Delete"</formula>
    </cfRule>
  </conditionalFormatting>
  <conditionalFormatting sqref="C1100">
    <cfRule type="cellIs" dxfId="2795" priority="3298" stopIfTrue="1" operator="equal">
      <formula>"1 Modify"</formula>
    </cfRule>
  </conditionalFormatting>
  <conditionalFormatting sqref="C1100">
    <cfRule type="cellIs" dxfId="2794" priority="3299" stopIfTrue="1" operator="equal">
      <formula>"2 Add"</formula>
    </cfRule>
  </conditionalFormatting>
  <conditionalFormatting sqref="C1100">
    <cfRule type="cellIs" dxfId="2793" priority="3300" stopIfTrue="1" operator="equal">
      <formula>"3 Delete"</formula>
    </cfRule>
  </conditionalFormatting>
  <conditionalFormatting sqref="C1101">
    <cfRule type="cellIs" dxfId="2792" priority="3301" stopIfTrue="1" operator="equal">
      <formula>"1 Modify"</formula>
    </cfRule>
  </conditionalFormatting>
  <conditionalFormatting sqref="C1101">
    <cfRule type="cellIs" dxfId="2791" priority="3302" stopIfTrue="1" operator="equal">
      <formula>"2 Add"</formula>
    </cfRule>
  </conditionalFormatting>
  <conditionalFormatting sqref="C1101">
    <cfRule type="cellIs" dxfId="2790" priority="3303" stopIfTrue="1" operator="equal">
      <formula>"3 Delete"</formula>
    </cfRule>
  </conditionalFormatting>
  <conditionalFormatting sqref="C1102">
    <cfRule type="cellIs" dxfId="2789" priority="3304" stopIfTrue="1" operator="equal">
      <formula>"1 Modify"</formula>
    </cfRule>
  </conditionalFormatting>
  <conditionalFormatting sqref="C1102">
    <cfRule type="cellIs" dxfId="2788" priority="3305" stopIfTrue="1" operator="equal">
      <formula>"2 Add"</formula>
    </cfRule>
  </conditionalFormatting>
  <conditionalFormatting sqref="C1102">
    <cfRule type="cellIs" dxfId="2787" priority="3306" stopIfTrue="1" operator="equal">
      <formula>"3 Delete"</formula>
    </cfRule>
  </conditionalFormatting>
  <conditionalFormatting sqref="C1103">
    <cfRule type="cellIs" dxfId="2786" priority="3307" stopIfTrue="1" operator="equal">
      <formula>"1 Modify"</formula>
    </cfRule>
  </conditionalFormatting>
  <conditionalFormatting sqref="C1103">
    <cfRule type="cellIs" dxfId="2785" priority="3308" stopIfTrue="1" operator="equal">
      <formula>"2 Add"</formula>
    </cfRule>
  </conditionalFormatting>
  <conditionalFormatting sqref="C1103">
    <cfRule type="cellIs" dxfId="2784" priority="3309" stopIfTrue="1" operator="equal">
      <formula>"3 Delete"</formula>
    </cfRule>
  </conditionalFormatting>
  <conditionalFormatting sqref="C1104">
    <cfRule type="cellIs" dxfId="2783" priority="3310" stopIfTrue="1" operator="equal">
      <formula>"1 Modify"</formula>
    </cfRule>
  </conditionalFormatting>
  <conditionalFormatting sqref="C1104">
    <cfRule type="cellIs" dxfId="2782" priority="3311" stopIfTrue="1" operator="equal">
      <formula>"2 Add"</formula>
    </cfRule>
  </conditionalFormatting>
  <conditionalFormatting sqref="C1104">
    <cfRule type="cellIs" dxfId="2781" priority="3312" stopIfTrue="1" operator="equal">
      <formula>"3 Delete"</formula>
    </cfRule>
  </conditionalFormatting>
  <conditionalFormatting sqref="C1105">
    <cfRule type="cellIs" dxfId="2780" priority="3313" stopIfTrue="1" operator="equal">
      <formula>"1 Modify"</formula>
    </cfRule>
  </conditionalFormatting>
  <conditionalFormatting sqref="C1105">
    <cfRule type="cellIs" dxfId="2779" priority="3314" stopIfTrue="1" operator="equal">
      <formula>"2 Add"</formula>
    </cfRule>
  </conditionalFormatting>
  <conditionalFormatting sqref="C1105">
    <cfRule type="cellIs" dxfId="2778" priority="3315" stopIfTrue="1" operator="equal">
      <formula>"3 Delete"</formula>
    </cfRule>
  </conditionalFormatting>
  <conditionalFormatting sqref="C1106">
    <cfRule type="cellIs" dxfId="2777" priority="3316" stopIfTrue="1" operator="equal">
      <formula>"1 Modify"</formula>
    </cfRule>
  </conditionalFormatting>
  <conditionalFormatting sqref="C1106">
    <cfRule type="cellIs" dxfId="2776" priority="3317" stopIfTrue="1" operator="equal">
      <formula>"2 Add"</formula>
    </cfRule>
  </conditionalFormatting>
  <conditionalFormatting sqref="C1106">
    <cfRule type="cellIs" dxfId="2775" priority="3318" stopIfTrue="1" operator="equal">
      <formula>"3 Delete"</formula>
    </cfRule>
  </conditionalFormatting>
  <conditionalFormatting sqref="C1107">
    <cfRule type="cellIs" dxfId="2774" priority="3319" stopIfTrue="1" operator="equal">
      <formula>"1 Modify"</formula>
    </cfRule>
  </conditionalFormatting>
  <conditionalFormatting sqref="C1107">
    <cfRule type="cellIs" dxfId="2773" priority="3320" stopIfTrue="1" operator="equal">
      <formula>"2 Add"</formula>
    </cfRule>
  </conditionalFormatting>
  <conditionalFormatting sqref="C1107">
    <cfRule type="cellIs" dxfId="2772" priority="3321" stopIfTrue="1" operator="equal">
      <formula>"3 Delete"</formula>
    </cfRule>
  </conditionalFormatting>
  <conditionalFormatting sqref="C1108">
    <cfRule type="cellIs" dxfId="2771" priority="3322" stopIfTrue="1" operator="equal">
      <formula>"1 Modify"</formula>
    </cfRule>
  </conditionalFormatting>
  <conditionalFormatting sqref="C1108">
    <cfRule type="cellIs" dxfId="2770" priority="3323" stopIfTrue="1" operator="equal">
      <formula>"2 Add"</formula>
    </cfRule>
  </conditionalFormatting>
  <conditionalFormatting sqref="C1108">
    <cfRule type="cellIs" dxfId="2769" priority="3324" stopIfTrue="1" operator="equal">
      <formula>"3 Delete"</formula>
    </cfRule>
  </conditionalFormatting>
  <conditionalFormatting sqref="C1109">
    <cfRule type="cellIs" dxfId="2768" priority="3325" stopIfTrue="1" operator="equal">
      <formula>"1 Modify"</formula>
    </cfRule>
  </conditionalFormatting>
  <conditionalFormatting sqref="C1109">
    <cfRule type="cellIs" dxfId="2767" priority="3326" stopIfTrue="1" operator="equal">
      <formula>"2 Add"</formula>
    </cfRule>
  </conditionalFormatting>
  <conditionalFormatting sqref="C1109">
    <cfRule type="cellIs" dxfId="2766" priority="3327" stopIfTrue="1" operator="equal">
      <formula>"3 Delete"</formula>
    </cfRule>
  </conditionalFormatting>
  <conditionalFormatting sqref="C1110">
    <cfRule type="cellIs" dxfId="2765" priority="3328" stopIfTrue="1" operator="equal">
      <formula>"1 Modify"</formula>
    </cfRule>
  </conditionalFormatting>
  <conditionalFormatting sqref="C1110">
    <cfRule type="cellIs" dxfId="2764" priority="3329" stopIfTrue="1" operator="equal">
      <formula>"2 Add"</formula>
    </cfRule>
  </conditionalFormatting>
  <conditionalFormatting sqref="C1110">
    <cfRule type="cellIs" dxfId="2763" priority="3330" stopIfTrue="1" operator="equal">
      <formula>"3 Delete"</formula>
    </cfRule>
  </conditionalFormatting>
  <conditionalFormatting sqref="C1111">
    <cfRule type="cellIs" dxfId="2762" priority="3331" stopIfTrue="1" operator="equal">
      <formula>"1 Modify"</formula>
    </cfRule>
  </conditionalFormatting>
  <conditionalFormatting sqref="C1111">
    <cfRule type="cellIs" dxfId="2761" priority="3332" stopIfTrue="1" operator="equal">
      <formula>"2 Add"</formula>
    </cfRule>
  </conditionalFormatting>
  <conditionalFormatting sqref="C1111">
    <cfRule type="cellIs" dxfId="2760" priority="3333" stopIfTrue="1" operator="equal">
      <formula>"3 Delete"</formula>
    </cfRule>
  </conditionalFormatting>
  <conditionalFormatting sqref="C1112">
    <cfRule type="cellIs" dxfId="2759" priority="3334" stopIfTrue="1" operator="equal">
      <formula>"1 Modify"</formula>
    </cfRule>
  </conditionalFormatting>
  <conditionalFormatting sqref="C1112">
    <cfRule type="cellIs" dxfId="2758" priority="3335" stopIfTrue="1" operator="equal">
      <formula>"2 Add"</formula>
    </cfRule>
  </conditionalFormatting>
  <conditionalFormatting sqref="C1112">
    <cfRule type="cellIs" dxfId="2757" priority="3336" stopIfTrue="1" operator="equal">
      <formula>"3 Delete"</formula>
    </cfRule>
  </conditionalFormatting>
  <conditionalFormatting sqref="C1113">
    <cfRule type="cellIs" dxfId="2756" priority="3337" stopIfTrue="1" operator="equal">
      <formula>"1 Modify"</formula>
    </cfRule>
  </conditionalFormatting>
  <conditionalFormatting sqref="C1113">
    <cfRule type="cellIs" dxfId="2755" priority="3338" stopIfTrue="1" operator="equal">
      <formula>"2 Add"</formula>
    </cfRule>
  </conditionalFormatting>
  <conditionalFormatting sqref="C1113">
    <cfRule type="cellIs" dxfId="2754" priority="3339" stopIfTrue="1" operator="equal">
      <formula>"3 Delete"</formula>
    </cfRule>
  </conditionalFormatting>
  <conditionalFormatting sqref="C1114">
    <cfRule type="cellIs" dxfId="2753" priority="3340" stopIfTrue="1" operator="equal">
      <formula>"1 Modify"</formula>
    </cfRule>
  </conditionalFormatting>
  <conditionalFormatting sqref="C1114">
    <cfRule type="cellIs" dxfId="2752" priority="3341" stopIfTrue="1" operator="equal">
      <formula>"2 Add"</formula>
    </cfRule>
  </conditionalFormatting>
  <conditionalFormatting sqref="C1114">
    <cfRule type="cellIs" dxfId="2751" priority="3342" stopIfTrue="1" operator="equal">
      <formula>"3 Delete"</formula>
    </cfRule>
  </conditionalFormatting>
  <conditionalFormatting sqref="C1115">
    <cfRule type="cellIs" dxfId="2750" priority="3343" stopIfTrue="1" operator="equal">
      <formula>"1 Modify"</formula>
    </cfRule>
  </conditionalFormatting>
  <conditionalFormatting sqref="C1115">
    <cfRule type="cellIs" dxfId="2749" priority="3344" stopIfTrue="1" operator="equal">
      <formula>"2 Add"</formula>
    </cfRule>
  </conditionalFormatting>
  <conditionalFormatting sqref="C1115">
    <cfRule type="cellIs" dxfId="2748" priority="3345" stopIfTrue="1" operator="equal">
      <formula>"3 Delete"</formula>
    </cfRule>
  </conditionalFormatting>
  <conditionalFormatting sqref="C1116">
    <cfRule type="cellIs" dxfId="2747" priority="3346" stopIfTrue="1" operator="equal">
      <formula>"1 Modify"</formula>
    </cfRule>
  </conditionalFormatting>
  <conditionalFormatting sqref="C1116">
    <cfRule type="cellIs" dxfId="2746" priority="3347" stopIfTrue="1" operator="equal">
      <formula>"2 Add"</formula>
    </cfRule>
  </conditionalFormatting>
  <conditionalFormatting sqref="C1116">
    <cfRule type="cellIs" dxfId="2745" priority="3348" stopIfTrue="1" operator="equal">
      <formula>"3 Delete"</formula>
    </cfRule>
  </conditionalFormatting>
  <conditionalFormatting sqref="C1117">
    <cfRule type="cellIs" dxfId="2744" priority="3349" stopIfTrue="1" operator="equal">
      <formula>"1 Modify"</formula>
    </cfRule>
  </conditionalFormatting>
  <conditionalFormatting sqref="C1117">
    <cfRule type="cellIs" dxfId="2743" priority="3350" stopIfTrue="1" operator="equal">
      <formula>"2 Add"</formula>
    </cfRule>
  </conditionalFormatting>
  <conditionalFormatting sqref="C1117">
    <cfRule type="cellIs" dxfId="2742" priority="3351" stopIfTrue="1" operator="equal">
      <formula>"3 Delete"</formula>
    </cfRule>
  </conditionalFormatting>
  <conditionalFormatting sqref="C1118">
    <cfRule type="cellIs" dxfId="2741" priority="3352" stopIfTrue="1" operator="equal">
      <formula>"1 Modify"</formula>
    </cfRule>
  </conditionalFormatting>
  <conditionalFormatting sqref="C1118">
    <cfRule type="cellIs" dxfId="2740" priority="3353" stopIfTrue="1" operator="equal">
      <formula>"2 Add"</formula>
    </cfRule>
  </conditionalFormatting>
  <conditionalFormatting sqref="C1118">
    <cfRule type="cellIs" dxfId="2739" priority="3354" stopIfTrue="1" operator="equal">
      <formula>"3 Delete"</formula>
    </cfRule>
  </conditionalFormatting>
  <conditionalFormatting sqref="C1119">
    <cfRule type="cellIs" dxfId="2738" priority="3355" stopIfTrue="1" operator="equal">
      <formula>"1 Modify"</formula>
    </cfRule>
  </conditionalFormatting>
  <conditionalFormatting sqref="C1119">
    <cfRule type="cellIs" dxfId="2737" priority="3356" stopIfTrue="1" operator="equal">
      <formula>"2 Add"</formula>
    </cfRule>
  </conditionalFormatting>
  <conditionalFormatting sqref="C1119">
    <cfRule type="cellIs" dxfId="2736" priority="3357" stopIfTrue="1" operator="equal">
      <formula>"3 Delete"</formula>
    </cfRule>
  </conditionalFormatting>
  <conditionalFormatting sqref="C1120">
    <cfRule type="cellIs" dxfId="2735" priority="3358" stopIfTrue="1" operator="equal">
      <formula>"1 Modify"</formula>
    </cfRule>
  </conditionalFormatting>
  <conditionalFormatting sqref="C1120">
    <cfRule type="cellIs" dxfId="2734" priority="3359" stopIfTrue="1" operator="equal">
      <formula>"2 Add"</formula>
    </cfRule>
  </conditionalFormatting>
  <conditionalFormatting sqref="C1120">
    <cfRule type="cellIs" dxfId="2733" priority="3360" stopIfTrue="1" operator="equal">
      <formula>"3 Delete"</formula>
    </cfRule>
  </conditionalFormatting>
  <conditionalFormatting sqref="C1121">
    <cfRule type="cellIs" dxfId="2732" priority="3361" stopIfTrue="1" operator="equal">
      <formula>"1 Modify"</formula>
    </cfRule>
  </conditionalFormatting>
  <conditionalFormatting sqref="C1121">
    <cfRule type="cellIs" dxfId="2731" priority="3362" stopIfTrue="1" operator="equal">
      <formula>"2 Add"</formula>
    </cfRule>
  </conditionalFormatting>
  <conditionalFormatting sqref="C1121">
    <cfRule type="cellIs" dxfId="2730" priority="3363" stopIfTrue="1" operator="equal">
      <formula>"3 Delete"</formula>
    </cfRule>
  </conditionalFormatting>
  <conditionalFormatting sqref="C1122">
    <cfRule type="cellIs" dxfId="2729" priority="3364" stopIfTrue="1" operator="equal">
      <formula>"1 Modify"</formula>
    </cfRule>
  </conditionalFormatting>
  <conditionalFormatting sqref="C1122">
    <cfRule type="cellIs" dxfId="2728" priority="3365" stopIfTrue="1" operator="equal">
      <formula>"2 Add"</formula>
    </cfRule>
  </conditionalFormatting>
  <conditionalFormatting sqref="C1122">
    <cfRule type="cellIs" dxfId="2727" priority="3366" stopIfTrue="1" operator="equal">
      <formula>"3 Delete"</formula>
    </cfRule>
  </conditionalFormatting>
  <conditionalFormatting sqref="C1123">
    <cfRule type="cellIs" dxfId="2726" priority="3367" stopIfTrue="1" operator="equal">
      <formula>"1 Modify"</formula>
    </cfRule>
  </conditionalFormatting>
  <conditionalFormatting sqref="C1123">
    <cfRule type="cellIs" dxfId="2725" priority="3368" stopIfTrue="1" operator="equal">
      <formula>"2 Add"</formula>
    </cfRule>
  </conditionalFormatting>
  <conditionalFormatting sqref="C1123">
    <cfRule type="cellIs" dxfId="2724" priority="3369" stopIfTrue="1" operator="equal">
      <formula>"3 Delete"</formula>
    </cfRule>
  </conditionalFormatting>
  <conditionalFormatting sqref="C1124">
    <cfRule type="cellIs" dxfId="2723" priority="3370" stopIfTrue="1" operator="equal">
      <formula>"1 Modify"</formula>
    </cfRule>
  </conditionalFormatting>
  <conditionalFormatting sqref="C1124">
    <cfRule type="cellIs" dxfId="2722" priority="3371" stopIfTrue="1" operator="equal">
      <formula>"2 Add"</formula>
    </cfRule>
  </conditionalFormatting>
  <conditionalFormatting sqref="C1124">
    <cfRule type="cellIs" dxfId="2721" priority="3372" stopIfTrue="1" operator="equal">
      <formula>"3 Delete"</formula>
    </cfRule>
  </conditionalFormatting>
  <conditionalFormatting sqref="C1125">
    <cfRule type="cellIs" dxfId="2720" priority="3373" stopIfTrue="1" operator="equal">
      <formula>"1 Modify"</formula>
    </cfRule>
  </conditionalFormatting>
  <conditionalFormatting sqref="C1125">
    <cfRule type="cellIs" dxfId="2719" priority="3374" stopIfTrue="1" operator="equal">
      <formula>"2 Add"</formula>
    </cfRule>
  </conditionalFormatting>
  <conditionalFormatting sqref="C1125">
    <cfRule type="cellIs" dxfId="2718" priority="3375" stopIfTrue="1" operator="equal">
      <formula>"3 Delete"</formula>
    </cfRule>
  </conditionalFormatting>
  <conditionalFormatting sqref="C1126">
    <cfRule type="cellIs" dxfId="2717" priority="3376" stopIfTrue="1" operator="equal">
      <formula>"1 Modify"</formula>
    </cfRule>
  </conditionalFormatting>
  <conditionalFormatting sqref="C1126">
    <cfRule type="cellIs" dxfId="2716" priority="3377" stopIfTrue="1" operator="equal">
      <formula>"2 Add"</formula>
    </cfRule>
  </conditionalFormatting>
  <conditionalFormatting sqref="C1126">
    <cfRule type="cellIs" dxfId="2715" priority="3378" stopIfTrue="1" operator="equal">
      <formula>"3 Delete"</formula>
    </cfRule>
  </conditionalFormatting>
  <conditionalFormatting sqref="C1127">
    <cfRule type="cellIs" dxfId="2714" priority="3379" stopIfTrue="1" operator="equal">
      <formula>"1 Modify"</formula>
    </cfRule>
  </conditionalFormatting>
  <conditionalFormatting sqref="C1127">
    <cfRule type="cellIs" dxfId="2713" priority="3380" stopIfTrue="1" operator="equal">
      <formula>"2 Add"</formula>
    </cfRule>
  </conditionalFormatting>
  <conditionalFormatting sqref="C1127">
    <cfRule type="cellIs" dxfId="2712" priority="3381" stopIfTrue="1" operator="equal">
      <formula>"3 Delete"</formula>
    </cfRule>
  </conditionalFormatting>
  <conditionalFormatting sqref="C1128">
    <cfRule type="cellIs" dxfId="2711" priority="3382" stopIfTrue="1" operator="equal">
      <formula>"1 Modify"</formula>
    </cfRule>
  </conditionalFormatting>
  <conditionalFormatting sqref="C1128">
    <cfRule type="cellIs" dxfId="2710" priority="3383" stopIfTrue="1" operator="equal">
      <formula>"2 Add"</formula>
    </cfRule>
  </conditionalFormatting>
  <conditionalFormatting sqref="C1128">
    <cfRule type="cellIs" dxfId="2709" priority="3384" stopIfTrue="1" operator="equal">
      <formula>"3 Delete"</formula>
    </cfRule>
  </conditionalFormatting>
  <conditionalFormatting sqref="C1129">
    <cfRule type="cellIs" dxfId="2708" priority="3385" stopIfTrue="1" operator="equal">
      <formula>"1 Modify"</formula>
    </cfRule>
  </conditionalFormatting>
  <conditionalFormatting sqref="C1129">
    <cfRule type="cellIs" dxfId="2707" priority="3386" stopIfTrue="1" operator="equal">
      <formula>"2 Add"</formula>
    </cfRule>
  </conditionalFormatting>
  <conditionalFormatting sqref="C1129">
    <cfRule type="cellIs" dxfId="2706" priority="3387" stopIfTrue="1" operator="equal">
      <formula>"3 Delete"</formula>
    </cfRule>
  </conditionalFormatting>
  <conditionalFormatting sqref="C1130">
    <cfRule type="cellIs" dxfId="2705" priority="3388" stopIfTrue="1" operator="equal">
      <formula>"1 Modify"</formula>
    </cfRule>
  </conditionalFormatting>
  <conditionalFormatting sqref="C1130">
    <cfRule type="cellIs" dxfId="2704" priority="3389" stopIfTrue="1" operator="equal">
      <formula>"2 Add"</formula>
    </cfRule>
  </conditionalFormatting>
  <conditionalFormatting sqref="C1130">
    <cfRule type="cellIs" dxfId="2703" priority="3390" stopIfTrue="1" operator="equal">
      <formula>"3 Delete"</formula>
    </cfRule>
  </conditionalFormatting>
  <conditionalFormatting sqref="C1131">
    <cfRule type="cellIs" dxfId="2702" priority="3391" stopIfTrue="1" operator="equal">
      <formula>"1 Modify"</formula>
    </cfRule>
  </conditionalFormatting>
  <conditionalFormatting sqref="C1131">
    <cfRule type="cellIs" dxfId="2701" priority="3392" stopIfTrue="1" operator="equal">
      <formula>"2 Add"</formula>
    </cfRule>
  </conditionalFormatting>
  <conditionalFormatting sqref="C1131">
    <cfRule type="cellIs" dxfId="2700" priority="3393" stopIfTrue="1" operator="equal">
      <formula>"3 Delete"</formula>
    </cfRule>
  </conditionalFormatting>
  <conditionalFormatting sqref="C1132">
    <cfRule type="cellIs" dxfId="2699" priority="3394" stopIfTrue="1" operator="equal">
      <formula>"1 Modify"</formula>
    </cfRule>
  </conditionalFormatting>
  <conditionalFormatting sqref="C1132">
    <cfRule type="cellIs" dxfId="2698" priority="3395" stopIfTrue="1" operator="equal">
      <formula>"2 Add"</formula>
    </cfRule>
  </conditionalFormatting>
  <conditionalFormatting sqref="C1132">
    <cfRule type="cellIs" dxfId="2697" priority="3396" stopIfTrue="1" operator="equal">
      <formula>"3 Delete"</formula>
    </cfRule>
  </conditionalFormatting>
  <conditionalFormatting sqref="C1133">
    <cfRule type="cellIs" dxfId="2696" priority="3397" stopIfTrue="1" operator="equal">
      <formula>"1 Modify"</formula>
    </cfRule>
  </conditionalFormatting>
  <conditionalFormatting sqref="C1133">
    <cfRule type="cellIs" dxfId="2695" priority="3398" stopIfTrue="1" operator="equal">
      <formula>"2 Add"</formula>
    </cfRule>
  </conditionalFormatting>
  <conditionalFormatting sqref="C1133">
    <cfRule type="cellIs" dxfId="2694" priority="3399" stopIfTrue="1" operator="equal">
      <formula>"3 Delete"</formula>
    </cfRule>
  </conditionalFormatting>
  <conditionalFormatting sqref="C1134">
    <cfRule type="cellIs" dxfId="2693" priority="3400" stopIfTrue="1" operator="equal">
      <formula>"1 Modify"</formula>
    </cfRule>
  </conditionalFormatting>
  <conditionalFormatting sqref="C1134">
    <cfRule type="cellIs" dxfId="2692" priority="3401" stopIfTrue="1" operator="equal">
      <formula>"2 Add"</formula>
    </cfRule>
  </conditionalFormatting>
  <conditionalFormatting sqref="C1134">
    <cfRule type="cellIs" dxfId="2691" priority="3402" stopIfTrue="1" operator="equal">
      <formula>"3 Delete"</formula>
    </cfRule>
  </conditionalFormatting>
  <conditionalFormatting sqref="C1135">
    <cfRule type="cellIs" dxfId="2690" priority="3403" stopIfTrue="1" operator="equal">
      <formula>"1 Modify"</formula>
    </cfRule>
  </conditionalFormatting>
  <conditionalFormatting sqref="C1135">
    <cfRule type="cellIs" dxfId="2689" priority="3404" stopIfTrue="1" operator="equal">
      <formula>"2 Add"</formula>
    </cfRule>
  </conditionalFormatting>
  <conditionalFormatting sqref="C1135">
    <cfRule type="cellIs" dxfId="2688" priority="3405" stopIfTrue="1" operator="equal">
      <formula>"3 Delete"</formula>
    </cfRule>
  </conditionalFormatting>
  <conditionalFormatting sqref="C1136">
    <cfRule type="cellIs" dxfId="2687" priority="3406" stopIfTrue="1" operator="equal">
      <formula>"1 Modify"</formula>
    </cfRule>
  </conditionalFormatting>
  <conditionalFormatting sqref="C1136">
    <cfRule type="cellIs" dxfId="2686" priority="3407" stopIfTrue="1" operator="equal">
      <formula>"2 Add"</formula>
    </cfRule>
  </conditionalFormatting>
  <conditionalFormatting sqref="C1136">
    <cfRule type="cellIs" dxfId="2685" priority="3408" stopIfTrue="1" operator="equal">
      <formula>"3 Delete"</formula>
    </cfRule>
  </conditionalFormatting>
  <conditionalFormatting sqref="C1137">
    <cfRule type="cellIs" dxfId="2684" priority="3409" stopIfTrue="1" operator="equal">
      <formula>"1 Modify"</formula>
    </cfRule>
  </conditionalFormatting>
  <conditionalFormatting sqref="C1137">
    <cfRule type="cellIs" dxfId="2683" priority="3410" stopIfTrue="1" operator="equal">
      <formula>"2 Add"</formula>
    </cfRule>
  </conditionalFormatting>
  <conditionalFormatting sqref="C1137">
    <cfRule type="cellIs" dxfId="2682" priority="3411" stopIfTrue="1" operator="equal">
      <formula>"3 Delete"</formula>
    </cfRule>
  </conditionalFormatting>
  <conditionalFormatting sqref="C1138">
    <cfRule type="cellIs" dxfId="2681" priority="3412" stopIfTrue="1" operator="equal">
      <formula>"1 Modify"</formula>
    </cfRule>
  </conditionalFormatting>
  <conditionalFormatting sqref="C1138">
    <cfRule type="cellIs" dxfId="2680" priority="3413" stopIfTrue="1" operator="equal">
      <formula>"2 Add"</formula>
    </cfRule>
  </conditionalFormatting>
  <conditionalFormatting sqref="C1138">
    <cfRule type="cellIs" dxfId="2679" priority="3414" stopIfTrue="1" operator="equal">
      <formula>"3 Delete"</formula>
    </cfRule>
  </conditionalFormatting>
  <conditionalFormatting sqref="C1139">
    <cfRule type="cellIs" dxfId="2678" priority="3415" stopIfTrue="1" operator="equal">
      <formula>"1 Modify"</formula>
    </cfRule>
  </conditionalFormatting>
  <conditionalFormatting sqref="C1139">
    <cfRule type="cellIs" dxfId="2677" priority="3416" stopIfTrue="1" operator="equal">
      <formula>"2 Add"</formula>
    </cfRule>
  </conditionalFormatting>
  <conditionalFormatting sqref="C1139">
    <cfRule type="cellIs" dxfId="2676" priority="3417" stopIfTrue="1" operator="equal">
      <formula>"3 Delete"</formula>
    </cfRule>
  </conditionalFormatting>
  <conditionalFormatting sqref="C1140">
    <cfRule type="cellIs" dxfId="2675" priority="3418" stopIfTrue="1" operator="equal">
      <formula>"1 Modify"</formula>
    </cfRule>
  </conditionalFormatting>
  <conditionalFormatting sqref="C1140">
    <cfRule type="cellIs" dxfId="2674" priority="3419" stopIfTrue="1" operator="equal">
      <formula>"2 Add"</formula>
    </cfRule>
  </conditionalFormatting>
  <conditionalFormatting sqref="C1140">
    <cfRule type="cellIs" dxfId="2673" priority="3420" stopIfTrue="1" operator="equal">
      <formula>"3 Delete"</formula>
    </cfRule>
  </conditionalFormatting>
  <conditionalFormatting sqref="C1141">
    <cfRule type="cellIs" dxfId="2672" priority="3421" stopIfTrue="1" operator="equal">
      <formula>"1 Modify"</formula>
    </cfRule>
  </conditionalFormatting>
  <conditionalFormatting sqref="C1141">
    <cfRule type="cellIs" dxfId="2671" priority="3422" stopIfTrue="1" operator="equal">
      <formula>"2 Add"</formula>
    </cfRule>
  </conditionalFormatting>
  <conditionalFormatting sqref="C1141">
    <cfRule type="cellIs" dxfId="2670" priority="3423" stopIfTrue="1" operator="equal">
      <formula>"3 Delete"</formula>
    </cfRule>
  </conditionalFormatting>
  <conditionalFormatting sqref="C1142">
    <cfRule type="cellIs" dxfId="2669" priority="3424" stopIfTrue="1" operator="equal">
      <formula>"1 Modify"</formula>
    </cfRule>
  </conditionalFormatting>
  <conditionalFormatting sqref="C1142">
    <cfRule type="cellIs" dxfId="2668" priority="3425" stopIfTrue="1" operator="equal">
      <formula>"2 Add"</formula>
    </cfRule>
  </conditionalFormatting>
  <conditionalFormatting sqref="C1142">
    <cfRule type="cellIs" dxfId="2667" priority="3426" stopIfTrue="1" operator="equal">
      <formula>"3 Delete"</formula>
    </cfRule>
  </conditionalFormatting>
  <conditionalFormatting sqref="C1143">
    <cfRule type="cellIs" dxfId="2666" priority="3427" stopIfTrue="1" operator="equal">
      <formula>"1 Modify"</formula>
    </cfRule>
  </conditionalFormatting>
  <conditionalFormatting sqref="C1143">
    <cfRule type="cellIs" dxfId="2665" priority="3428" stopIfTrue="1" operator="equal">
      <formula>"2 Add"</formula>
    </cfRule>
  </conditionalFormatting>
  <conditionalFormatting sqref="C1143">
    <cfRule type="cellIs" dxfId="2664" priority="3429" stopIfTrue="1" operator="equal">
      <formula>"3 Delete"</formula>
    </cfRule>
  </conditionalFormatting>
  <conditionalFormatting sqref="C1144">
    <cfRule type="cellIs" dxfId="2663" priority="3430" stopIfTrue="1" operator="equal">
      <formula>"1 Modify"</formula>
    </cfRule>
  </conditionalFormatting>
  <conditionalFormatting sqref="C1144">
    <cfRule type="cellIs" dxfId="2662" priority="3431" stopIfTrue="1" operator="equal">
      <formula>"2 Add"</formula>
    </cfRule>
  </conditionalFormatting>
  <conditionalFormatting sqref="C1144">
    <cfRule type="cellIs" dxfId="2661" priority="3432" stopIfTrue="1" operator="equal">
      <formula>"3 Delete"</formula>
    </cfRule>
  </conditionalFormatting>
  <conditionalFormatting sqref="C1145">
    <cfRule type="cellIs" dxfId="2660" priority="3433" stopIfTrue="1" operator="equal">
      <formula>"1 Modify"</formula>
    </cfRule>
  </conditionalFormatting>
  <conditionalFormatting sqref="C1145">
    <cfRule type="cellIs" dxfId="2659" priority="3434" stopIfTrue="1" operator="equal">
      <formula>"2 Add"</formula>
    </cfRule>
  </conditionalFormatting>
  <conditionalFormatting sqref="C1145">
    <cfRule type="cellIs" dxfId="2658" priority="3435" stopIfTrue="1" operator="equal">
      <formula>"3 Delete"</formula>
    </cfRule>
  </conditionalFormatting>
  <conditionalFormatting sqref="C1146">
    <cfRule type="cellIs" dxfId="2657" priority="3436" stopIfTrue="1" operator="equal">
      <formula>"1 Modify"</formula>
    </cfRule>
  </conditionalFormatting>
  <conditionalFormatting sqref="C1146">
    <cfRule type="cellIs" dxfId="2656" priority="3437" stopIfTrue="1" operator="equal">
      <formula>"2 Add"</formula>
    </cfRule>
  </conditionalFormatting>
  <conditionalFormatting sqref="C1146">
    <cfRule type="cellIs" dxfId="2655" priority="3438" stopIfTrue="1" operator="equal">
      <formula>"3 Delete"</formula>
    </cfRule>
  </conditionalFormatting>
  <conditionalFormatting sqref="C1147">
    <cfRule type="cellIs" dxfId="2654" priority="3439" stopIfTrue="1" operator="equal">
      <formula>"1 Modify"</formula>
    </cfRule>
  </conditionalFormatting>
  <conditionalFormatting sqref="C1147">
    <cfRule type="cellIs" dxfId="2653" priority="3440" stopIfTrue="1" operator="equal">
      <formula>"2 Add"</formula>
    </cfRule>
  </conditionalFormatting>
  <conditionalFormatting sqref="C1147">
    <cfRule type="cellIs" dxfId="2652" priority="3441" stopIfTrue="1" operator="equal">
      <formula>"3 Delete"</formula>
    </cfRule>
  </conditionalFormatting>
  <conditionalFormatting sqref="C1148">
    <cfRule type="cellIs" dxfId="2651" priority="3442" stopIfTrue="1" operator="equal">
      <formula>"1 Modify"</formula>
    </cfRule>
  </conditionalFormatting>
  <conditionalFormatting sqref="C1148">
    <cfRule type="cellIs" dxfId="2650" priority="3443" stopIfTrue="1" operator="equal">
      <formula>"2 Add"</formula>
    </cfRule>
  </conditionalFormatting>
  <conditionalFormatting sqref="C1148">
    <cfRule type="cellIs" dxfId="2649" priority="3444" stopIfTrue="1" operator="equal">
      <formula>"3 Delete"</formula>
    </cfRule>
  </conditionalFormatting>
  <conditionalFormatting sqref="C1149">
    <cfRule type="cellIs" dxfId="2648" priority="3445" stopIfTrue="1" operator="equal">
      <formula>"1 Modify"</formula>
    </cfRule>
  </conditionalFormatting>
  <conditionalFormatting sqref="C1149">
    <cfRule type="cellIs" dxfId="2647" priority="3446" stopIfTrue="1" operator="equal">
      <formula>"2 Add"</formula>
    </cfRule>
  </conditionalFormatting>
  <conditionalFormatting sqref="C1149">
    <cfRule type="cellIs" dxfId="2646" priority="3447" stopIfTrue="1" operator="equal">
      <formula>"3 Delete"</formula>
    </cfRule>
  </conditionalFormatting>
  <conditionalFormatting sqref="C1150">
    <cfRule type="cellIs" dxfId="2645" priority="3448" stopIfTrue="1" operator="equal">
      <formula>"1 Modify"</formula>
    </cfRule>
  </conditionalFormatting>
  <conditionalFormatting sqref="C1150">
    <cfRule type="cellIs" dxfId="2644" priority="3449" stopIfTrue="1" operator="equal">
      <formula>"2 Add"</formula>
    </cfRule>
  </conditionalFormatting>
  <conditionalFormatting sqref="C1150">
    <cfRule type="cellIs" dxfId="2643" priority="3450" stopIfTrue="1" operator="equal">
      <formula>"3 Delete"</formula>
    </cfRule>
  </conditionalFormatting>
  <conditionalFormatting sqref="C1151">
    <cfRule type="cellIs" dxfId="2642" priority="3451" stopIfTrue="1" operator="equal">
      <formula>"1 Modify"</formula>
    </cfRule>
  </conditionalFormatting>
  <conditionalFormatting sqref="C1151">
    <cfRule type="cellIs" dxfId="2641" priority="3452" stopIfTrue="1" operator="equal">
      <formula>"2 Add"</formula>
    </cfRule>
  </conditionalFormatting>
  <conditionalFormatting sqref="C1151">
    <cfRule type="cellIs" dxfId="2640" priority="3453" stopIfTrue="1" operator="equal">
      <formula>"3 Delete"</formula>
    </cfRule>
  </conditionalFormatting>
  <conditionalFormatting sqref="C1152">
    <cfRule type="cellIs" dxfId="2639" priority="3454" stopIfTrue="1" operator="equal">
      <formula>"1 Modify"</formula>
    </cfRule>
  </conditionalFormatting>
  <conditionalFormatting sqref="C1152">
    <cfRule type="cellIs" dxfId="2638" priority="3455" stopIfTrue="1" operator="equal">
      <formula>"2 Add"</formula>
    </cfRule>
  </conditionalFormatting>
  <conditionalFormatting sqref="C1152">
    <cfRule type="cellIs" dxfId="2637" priority="3456" stopIfTrue="1" operator="equal">
      <formula>"3 Delete"</formula>
    </cfRule>
  </conditionalFormatting>
  <conditionalFormatting sqref="C1153">
    <cfRule type="cellIs" dxfId="2636" priority="3457" stopIfTrue="1" operator="equal">
      <formula>"1 Modify"</formula>
    </cfRule>
  </conditionalFormatting>
  <conditionalFormatting sqref="C1153">
    <cfRule type="cellIs" dxfId="2635" priority="3458" stopIfTrue="1" operator="equal">
      <formula>"2 Add"</formula>
    </cfRule>
  </conditionalFormatting>
  <conditionalFormatting sqref="C1153">
    <cfRule type="cellIs" dxfId="2634" priority="3459" stopIfTrue="1" operator="equal">
      <formula>"3 Delete"</formula>
    </cfRule>
  </conditionalFormatting>
  <conditionalFormatting sqref="C1154">
    <cfRule type="cellIs" dxfId="2633" priority="3460" stopIfTrue="1" operator="equal">
      <formula>"1 Modify"</formula>
    </cfRule>
  </conditionalFormatting>
  <conditionalFormatting sqref="C1154">
    <cfRule type="cellIs" dxfId="2632" priority="3461" stopIfTrue="1" operator="equal">
      <formula>"2 Add"</formula>
    </cfRule>
  </conditionalFormatting>
  <conditionalFormatting sqref="C1154">
    <cfRule type="cellIs" dxfId="2631" priority="3462" stopIfTrue="1" operator="equal">
      <formula>"3 Delete"</formula>
    </cfRule>
  </conditionalFormatting>
  <conditionalFormatting sqref="C1155">
    <cfRule type="cellIs" dxfId="2630" priority="3463" stopIfTrue="1" operator="equal">
      <formula>"1 Modify"</formula>
    </cfRule>
  </conditionalFormatting>
  <conditionalFormatting sqref="C1155">
    <cfRule type="cellIs" dxfId="2629" priority="3464" stopIfTrue="1" operator="equal">
      <formula>"2 Add"</formula>
    </cfRule>
  </conditionalFormatting>
  <conditionalFormatting sqref="C1155">
    <cfRule type="cellIs" dxfId="2628" priority="3465" stopIfTrue="1" operator="equal">
      <formula>"3 Delete"</formula>
    </cfRule>
  </conditionalFormatting>
  <conditionalFormatting sqref="C1156">
    <cfRule type="cellIs" dxfId="2627" priority="3466" stopIfTrue="1" operator="equal">
      <formula>"1 Modify"</formula>
    </cfRule>
  </conditionalFormatting>
  <conditionalFormatting sqref="C1156">
    <cfRule type="cellIs" dxfId="2626" priority="3467" stopIfTrue="1" operator="equal">
      <formula>"2 Add"</formula>
    </cfRule>
  </conditionalFormatting>
  <conditionalFormatting sqref="C1156">
    <cfRule type="cellIs" dxfId="2625" priority="3468" stopIfTrue="1" operator="equal">
      <formula>"3 Delete"</formula>
    </cfRule>
  </conditionalFormatting>
  <conditionalFormatting sqref="C1157">
    <cfRule type="cellIs" dxfId="2624" priority="3469" stopIfTrue="1" operator="equal">
      <formula>"1 Modify"</formula>
    </cfRule>
  </conditionalFormatting>
  <conditionalFormatting sqref="C1157">
    <cfRule type="cellIs" dxfId="2623" priority="3470" stopIfTrue="1" operator="equal">
      <formula>"2 Add"</formula>
    </cfRule>
  </conditionalFormatting>
  <conditionalFormatting sqref="C1157">
    <cfRule type="cellIs" dxfId="2622" priority="3471" stopIfTrue="1" operator="equal">
      <formula>"3 Delete"</formula>
    </cfRule>
  </conditionalFormatting>
  <conditionalFormatting sqref="C1158">
    <cfRule type="cellIs" dxfId="2621" priority="3472" stopIfTrue="1" operator="equal">
      <formula>"1 Modify"</formula>
    </cfRule>
  </conditionalFormatting>
  <conditionalFormatting sqref="C1158">
    <cfRule type="cellIs" dxfId="2620" priority="3473" stopIfTrue="1" operator="equal">
      <formula>"2 Add"</formula>
    </cfRule>
  </conditionalFormatting>
  <conditionalFormatting sqref="C1158">
    <cfRule type="cellIs" dxfId="2619" priority="3474" stopIfTrue="1" operator="equal">
      <formula>"3 Delete"</formula>
    </cfRule>
  </conditionalFormatting>
  <conditionalFormatting sqref="C1159">
    <cfRule type="cellIs" dxfId="2618" priority="3475" stopIfTrue="1" operator="equal">
      <formula>"1 Modify"</formula>
    </cfRule>
  </conditionalFormatting>
  <conditionalFormatting sqref="C1159">
    <cfRule type="cellIs" dxfId="2617" priority="3476" stopIfTrue="1" operator="equal">
      <formula>"2 Add"</formula>
    </cfRule>
  </conditionalFormatting>
  <conditionalFormatting sqref="C1159">
    <cfRule type="cellIs" dxfId="2616" priority="3477" stopIfTrue="1" operator="equal">
      <formula>"3 Delete"</formula>
    </cfRule>
  </conditionalFormatting>
  <conditionalFormatting sqref="C1160">
    <cfRule type="cellIs" dxfId="2615" priority="3478" stopIfTrue="1" operator="equal">
      <formula>"1 Modify"</formula>
    </cfRule>
  </conditionalFormatting>
  <conditionalFormatting sqref="C1160">
    <cfRule type="cellIs" dxfId="2614" priority="3479" stopIfTrue="1" operator="equal">
      <formula>"2 Add"</formula>
    </cfRule>
  </conditionalFormatting>
  <conditionalFormatting sqref="C1160">
    <cfRule type="cellIs" dxfId="2613" priority="3480" stopIfTrue="1" operator="equal">
      <formula>"3 Delete"</formula>
    </cfRule>
  </conditionalFormatting>
  <conditionalFormatting sqref="C1161">
    <cfRule type="cellIs" dxfId="2612" priority="3481" stopIfTrue="1" operator="equal">
      <formula>"1 Modify"</formula>
    </cfRule>
  </conditionalFormatting>
  <conditionalFormatting sqref="C1161">
    <cfRule type="cellIs" dxfId="2611" priority="3482" stopIfTrue="1" operator="equal">
      <formula>"2 Add"</formula>
    </cfRule>
  </conditionalFormatting>
  <conditionalFormatting sqref="C1161">
    <cfRule type="cellIs" dxfId="2610" priority="3483" stopIfTrue="1" operator="equal">
      <formula>"3 Delete"</formula>
    </cfRule>
  </conditionalFormatting>
  <conditionalFormatting sqref="C1162">
    <cfRule type="cellIs" dxfId="2609" priority="3484" stopIfTrue="1" operator="equal">
      <formula>"1 Modify"</formula>
    </cfRule>
  </conditionalFormatting>
  <conditionalFormatting sqref="C1162">
    <cfRule type="cellIs" dxfId="2608" priority="3485" stopIfTrue="1" operator="equal">
      <formula>"2 Add"</formula>
    </cfRule>
  </conditionalFormatting>
  <conditionalFormatting sqref="C1162">
    <cfRule type="cellIs" dxfId="2607" priority="3486" stopIfTrue="1" operator="equal">
      <formula>"3 Delete"</formula>
    </cfRule>
  </conditionalFormatting>
  <conditionalFormatting sqref="C1163">
    <cfRule type="cellIs" dxfId="2606" priority="3487" stopIfTrue="1" operator="equal">
      <formula>"1 Modify"</formula>
    </cfRule>
  </conditionalFormatting>
  <conditionalFormatting sqref="C1163">
    <cfRule type="cellIs" dxfId="2605" priority="3488" stopIfTrue="1" operator="equal">
      <formula>"2 Add"</formula>
    </cfRule>
  </conditionalFormatting>
  <conditionalFormatting sqref="C1163">
    <cfRule type="cellIs" dxfId="2604" priority="3489" stopIfTrue="1" operator="equal">
      <formula>"3 Delete"</formula>
    </cfRule>
  </conditionalFormatting>
  <conditionalFormatting sqref="C1164">
    <cfRule type="cellIs" dxfId="2603" priority="3490" stopIfTrue="1" operator="equal">
      <formula>"1 Modify"</formula>
    </cfRule>
  </conditionalFormatting>
  <conditionalFormatting sqref="C1164">
    <cfRule type="cellIs" dxfId="2602" priority="3491" stopIfTrue="1" operator="equal">
      <formula>"2 Add"</formula>
    </cfRule>
  </conditionalFormatting>
  <conditionalFormatting sqref="C1164">
    <cfRule type="cellIs" dxfId="2601" priority="3492" stopIfTrue="1" operator="equal">
      <formula>"3 Delete"</formula>
    </cfRule>
  </conditionalFormatting>
  <conditionalFormatting sqref="C1165">
    <cfRule type="cellIs" dxfId="2600" priority="3493" stopIfTrue="1" operator="equal">
      <formula>"1 Modify"</formula>
    </cfRule>
  </conditionalFormatting>
  <conditionalFormatting sqref="C1165">
    <cfRule type="cellIs" dxfId="2599" priority="3494" stopIfTrue="1" operator="equal">
      <formula>"2 Add"</formula>
    </cfRule>
  </conditionalFormatting>
  <conditionalFormatting sqref="C1165">
    <cfRule type="cellIs" dxfId="2598" priority="3495" stopIfTrue="1" operator="equal">
      <formula>"3 Delete"</formula>
    </cfRule>
  </conditionalFormatting>
  <conditionalFormatting sqref="C1166">
    <cfRule type="cellIs" dxfId="2597" priority="3496" stopIfTrue="1" operator="equal">
      <formula>"1 Modify"</formula>
    </cfRule>
  </conditionalFormatting>
  <conditionalFormatting sqref="C1166">
    <cfRule type="cellIs" dxfId="2596" priority="3497" stopIfTrue="1" operator="equal">
      <formula>"2 Add"</formula>
    </cfRule>
  </conditionalFormatting>
  <conditionalFormatting sqref="C1166">
    <cfRule type="cellIs" dxfId="2595" priority="3498" stopIfTrue="1" operator="equal">
      <formula>"3 Delete"</formula>
    </cfRule>
  </conditionalFormatting>
  <conditionalFormatting sqref="C1167">
    <cfRule type="cellIs" dxfId="2594" priority="3499" stopIfTrue="1" operator="equal">
      <formula>"1 Modify"</formula>
    </cfRule>
  </conditionalFormatting>
  <conditionalFormatting sqref="C1167">
    <cfRule type="cellIs" dxfId="2593" priority="3500" stopIfTrue="1" operator="equal">
      <formula>"2 Add"</formula>
    </cfRule>
  </conditionalFormatting>
  <conditionalFormatting sqref="C1167">
    <cfRule type="cellIs" dxfId="2592" priority="3501" stopIfTrue="1" operator="equal">
      <formula>"3 Delete"</formula>
    </cfRule>
  </conditionalFormatting>
  <conditionalFormatting sqref="C1168">
    <cfRule type="cellIs" dxfId="2591" priority="3502" stopIfTrue="1" operator="equal">
      <formula>"1 Modify"</formula>
    </cfRule>
  </conditionalFormatting>
  <conditionalFormatting sqref="C1168">
    <cfRule type="cellIs" dxfId="2590" priority="3503" stopIfTrue="1" operator="equal">
      <formula>"2 Add"</formula>
    </cfRule>
  </conditionalFormatting>
  <conditionalFormatting sqref="C1168">
    <cfRule type="cellIs" dxfId="2589" priority="3504" stopIfTrue="1" operator="equal">
      <formula>"3 Delete"</formula>
    </cfRule>
  </conditionalFormatting>
  <conditionalFormatting sqref="C1169">
    <cfRule type="cellIs" dxfId="2588" priority="3505" stopIfTrue="1" operator="equal">
      <formula>"1 Modify"</formula>
    </cfRule>
  </conditionalFormatting>
  <conditionalFormatting sqref="C1169">
    <cfRule type="cellIs" dxfId="2587" priority="3506" stopIfTrue="1" operator="equal">
      <formula>"2 Add"</formula>
    </cfRule>
  </conditionalFormatting>
  <conditionalFormatting sqref="C1169">
    <cfRule type="cellIs" dxfId="2586" priority="3507" stopIfTrue="1" operator="equal">
      <formula>"3 Delete"</formula>
    </cfRule>
  </conditionalFormatting>
  <conditionalFormatting sqref="C1170">
    <cfRule type="cellIs" dxfId="2585" priority="3508" stopIfTrue="1" operator="equal">
      <formula>"1 Modify"</formula>
    </cfRule>
  </conditionalFormatting>
  <conditionalFormatting sqref="C1170">
    <cfRule type="cellIs" dxfId="2584" priority="3509" stopIfTrue="1" operator="equal">
      <formula>"2 Add"</formula>
    </cfRule>
  </conditionalFormatting>
  <conditionalFormatting sqref="C1170">
    <cfRule type="cellIs" dxfId="2583" priority="3510" stopIfTrue="1" operator="equal">
      <formula>"3 Delete"</formula>
    </cfRule>
  </conditionalFormatting>
  <conditionalFormatting sqref="C1171">
    <cfRule type="cellIs" dxfId="2582" priority="3511" stopIfTrue="1" operator="equal">
      <formula>"1 Modify"</formula>
    </cfRule>
  </conditionalFormatting>
  <conditionalFormatting sqref="C1171">
    <cfRule type="cellIs" dxfId="2581" priority="3512" stopIfTrue="1" operator="equal">
      <formula>"2 Add"</formula>
    </cfRule>
  </conditionalFormatting>
  <conditionalFormatting sqref="C1171">
    <cfRule type="cellIs" dxfId="2580" priority="3513" stopIfTrue="1" operator="equal">
      <formula>"3 Delete"</formula>
    </cfRule>
  </conditionalFormatting>
  <conditionalFormatting sqref="C1172">
    <cfRule type="cellIs" dxfId="2579" priority="3514" stopIfTrue="1" operator="equal">
      <formula>"1 Modify"</formula>
    </cfRule>
  </conditionalFormatting>
  <conditionalFormatting sqref="C1172">
    <cfRule type="cellIs" dxfId="2578" priority="3515" stopIfTrue="1" operator="equal">
      <formula>"2 Add"</formula>
    </cfRule>
  </conditionalFormatting>
  <conditionalFormatting sqref="C1172">
    <cfRule type="cellIs" dxfId="2577" priority="3516" stopIfTrue="1" operator="equal">
      <formula>"3 Delete"</formula>
    </cfRule>
  </conditionalFormatting>
  <conditionalFormatting sqref="C1173">
    <cfRule type="cellIs" dxfId="2576" priority="3517" stopIfTrue="1" operator="equal">
      <formula>"1 Modify"</formula>
    </cfRule>
  </conditionalFormatting>
  <conditionalFormatting sqref="C1173">
    <cfRule type="cellIs" dxfId="2575" priority="3518" stopIfTrue="1" operator="equal">
      <formula>"2 Add"</formula>
    </cfRule>
  </conditionalFormatting>
  <conditionalFormatting sqref="C1173">
    <cfRule type="cellIs" dxfId="2574" priority="3519" stopIfTrue="1" operator="equal">
      <formula>"3 Delete"</formula>
    </cfRule>
  </conditionalFormatting>
  <conditionalFormatting sqref="C1174">
    <cfRule type="cellIs" dxfId="2573" priority="3520" stopIfTrue="1" operator="equal">
      <formula>"1 Modify"</formula>
    </cfRule>
  </conditionalFormatting>
  <conditionalFormatting sqref="C1174">
    <cfRule type="cellIs" dxfId="2572" priority="3521" stopIfTrue="1" operator="equal">
      <formula>"2 Add"</formula>
    </cfRule>
  </conditionalFormatting>
  <conditionalFormatting sqref="C1174">
    <cfRule type="cellIs" dxfId="2571" priority="3522" stopIfTrue="1" operator="equal">
      <formula>"3 Delete"</formula>
    </cfRule>
  </conditionalFormatting>
  <conditionalFormatting sqref="C1175">
    <cfRule type="cellIs" dxfId="2570" priority="3523" stopIfTrue="1" operator="equal">
      <formula>"1 Modify"</formula>
    </cfRule>
  </conditionalFormatting>
  <conditionalFormatting sqref="C1175">
    <cfRule type="cellIs" dxfId="2569" priority="3524" stopIfTrue="1" operator="equal">
      <formula>"2 Add"</formula>
    </cfRule>
  </conditionalFormatting>
  <conditionalFormatting sqref="C1175">
    <cfRule type="cellIs" dxfId="2568" priority="3525" stopIfTrue="1" operator="equal">
      <formula>"3 Delete"</formula>
    </cfRule>
  </conditionalFormatting>
  <conditionalFormatting sqref="C1176">
    <cfRule type="cellIs" dxfId="2567" priority="3526" stopIfTrue="1" operator="equal">
      <formula>"1 Modify"</formula>
    </cfRule>
  </conditionalFormatting>
  <conditionalFormatting sqref="C1176">
    <cfRule type="cellIs" dxfId="2566" priority="3527" stopIfTrue="1" operator="equal">
      <formula>"2 Add"</formula>
    </cfRule>
  </conditionalFormatting>
  <conditionalFormatting sqref="C1176">
    <cfRule type="cellIs" dxfId="2565" priority="3528" stopIfTrue="1" operator="equal">
      <formula>"3 Delete"</formula>
    </cfRule>
  </conditionalFormatting>
  <conditionalFormatting sqref="C1177">
    <cfRule type="cellIs" dxfId="2564" priority="3529" stopIfTrue="1" operator="equal">
      <formula>"1 Modify"</formula>
    </cfRule>
  </conditionalFormatting>
  <conditionalFormatting sqref="C1177">
    <cfRule type="cellIs" dxfId="2563" priority="3530" stopIfTrue="1" operator="equal">
      <formula>"2 Add"</formula>
    </cfRule>
  </conditionalFormatting>
  <conditionalFormatting sqref="C1177">
    <cfRule type="cellIs" dxfId="2562" priority="3531" stopIfTrue="1" operator="equal">
      <formula>"3 Delete"</formula>
    </cfRule>
  </conditionalFormatting>
  <conditionalFormatting sqref="C1178">
    <cfRule type="cellIs" dxfId="2561" priority="3532" stopIfTrue="1" operator="equal">
      <formula>"1 Modify"</formula>
    </cfRule>
  </conditionalFormatting>
  <conditionalFormatting sqref="C1178">
    <cfRule type="cellIs" dxfId="2560" priority="3533" stopIfTrue="1" operator="equal">
      <formula>"2 Add"</formula>
    </cfRule>
  </conditionalFormatting>
  <conditionalFormatting sqref="C1178">
    <cfRule type="cellIs" dxfId="2559" priority="3534" stopIfTrue="1" operator="equal">
      <formula>"3 Delete"</formula>
    </cfRule>
  </conditionalFormatting>
  <conditionalFormatting sqref="C1179">
    <cfRule type="cellIs" dxfId="2558" priority="3535" stopIfTrue="1" operator="equal">
      <formula>"1 Modify"</formula>
    </cfRule>
  </conditionalFormatting>
  <conditionalFormatting sqref="C1179">
    <cfRule type="cellIs" dxfId="2557" priority="3536" stopIfTrue="1" operator="equal">
      <formula>"2 Add"</formula>
    </cfRule>
  </conditionalFormatting>
  <conditionalFormatting sqref="C1179">
    <cfRule type="cellIs" dxfId="2556" priority="3537" stopIfTrue="1" operator="equal">
      <formula>"3 Delete"</formula>
    </cfRule>
  </conditionalFormatting>
  <conditionalFormatting sqref="C1180">
    <cfRule type="cellIs" dxfId="2555" priority="3538" stopIfTrue="1" operator="equal">
      <formula>"1 Modify"</formula>
    </cfRule>
  </conditionalFormatting>
  <conditionalFormatting sqref="C1180">
    <cfRule type="cellIs" dxfId="2554" priority="3539" stopIfTrue="1" operator="equal">
      <formula>"2 Add"</formula>
    </cfRule>
  </conditionalFormatting>
  <conditionalFormatting sqref="C1180">
    <cfRule type="cellIs" dxfId="2553" priority="3540" stopIfTrue="1" operator="equal">
      <formula>"3 Delete"</formula>
    </cfRule>
  </conditionalFormatting>
  <conditionalFormatting sqref="C1181">
    <cfRule type="cellIs" dxfId="2552" priority="3541" stopIfTrue="1" operator="equal">
      <formula>"1 Modify"</formula>
    </cfRule>
  </conditionalFormatting>
  <conditionalFormatting sqref="C1181">
    <cfRule type="cellIs" dxfId="2551" priority="3542" stopIfTrue="1" operator="equal">
      <formula>"2 Add"</formula>
    </cfRule>
  </conditionalFormatting>
  <conditionalFormatting sqref="C1181">
    <cfRule type="cellIs" dxfId="2550" priority="3543" stopIfTrue="1" operator="equal">
      <formula>"3 Delete"</formula>
    </cfRule>
  </conditionalFormatting>
  <conditionalFormatting sqref="C1182">
    <cfRule type="cellIs" dxfId="2549" priority="3544" stopIfTrue="1" operator="equal">
      <formula>"1 Modify"</formula>
    </cfRule>
  </conditionalFormatting>
  <conditionalFormatting sqref="C1182">
    <cfRule type="cellIs" dxfId="2548" priority="3545" stopIfTrue="1" operator="equal">
      <formula>"2 Add"</formula>
    </cfRule>
  </conditionalFormatting>
  <conditionalFormatting sqref="C1182">
    <cfRule type="cellIs" dxfId="2547" priority="3546" stopIfTrue="1" operator="equal">
      <formula>"3 Delete"</formula>
    </cfRule>
  </conditionalFormatting>
  <conditionalFormatting sqref="C1183">
    <cfRule type="cellIs" dxfId="2546" priority="3547" stopIfTrue="1" operator="equal">
      <formula>"1 Modify"</formula>
    </cfRule>
  </conditionalFormatting>
  <conditionalFormatting sqref="C1183">
    <cfRule type="cellIs" dxfId="2545" priority="3548" stopIfTrue="1" operator="equal">
      <formula>"2 Add"</formula>
    </cfRule>
  </conditionalFormatting>
  <conditionalFormatting sqref="C1183">
    <cfRule type="cellIs" dxfId="2544" priority="3549" stopIfTrue="1" operator="equal">
      <formula>"3 Delete"</formula>
    </cfRule>
  </conditionalFormatting>
  <conditionalFormatting sqref="C1184">
    <cfRule type="cellIs" dxfId="2543" priority="3550" stopIfTrue="1" operator="equal">
      <formula>"1 Modify"</formula>
    </cfRule>
  </conditionalFormatting>
  <conditionalFormatting sqref="C1184">
    <cfRule type="cellIs" dxfId="2542" priority="3551" stopIfTrue="1" operator="equal">
      <formula>"2 Add"</formula>
    </cfRule>
  </conditionalFormatting>
  <conditionalFormatting sqref="C1184">
    <cfRule type="cellIs" dxfId="2541" priority="3552" stopIfTrue="1" operator="equal">
      <formula>"3 Delete"</formula>
    </cfRule>
  </conditionalFormatting>
  <conditionalFormatting sqref="C1185">
    <cfRule type="cellIs" dxfId="2540" priority="3553" stopIfTrue="1" operator="equal">
      <formula>"1 Modify"</formula>
    </cfRule>
  </conditionalFormatting>
  <conditionalFormatting sqref="C1185">
    <cfRule type="cellIs" dxfId="2539" priority="3554" stopIfTrue="1" operator="equal">
      <formula>"2 Add"</formula>
    </cfRule>
  </conditionalFormatting>
  <conditionalFormatting sqref="C1185">
    <cfRule type="cellIs" dxfId="2538" priority="3555" stopIfTrue="1" operator="equal">
      <formula>"3 Delete"</formula>
    </cfRule>
  </conditionalFormatting>
  <conditionalFormatting sqref="C1186">
    <cfRule type="cellIs" dxfId="2537" priority="3556" stopIfTrue="1" operator="equal">
      <formula>"1 Modify"</formula>
    </cfRule>
  </conditionalFormatting>
  <conditionalFormatting sqref="C1186">
    <cfRule type="cellIs" dxfId="2536" priority="3557" stopIfTrue="1" operator="equal">
      <formula>"2 Add"</formula>
    </cfRule>
  </conditionalFormatting>
  <conditionalFormatting sqref="C1186">
    <cfRule type="cellIs" dxfId="2535" priority="3558" stopIfTrue="1" operator="equal">
      <formula>"3 Delete"</formula>
    </cfRule>
  </conditionalFormatting>
  <conditionalFormatting sqref="C1187">
    <cfRule type="cellIs" dxfId="2534" priority="3559" stopIfTrue="1" operator="equal">
      <formula>"1 Modify"</formula>
    </cfRule>
  </conditionalFormatting>
  <conditionalFormatting sqref="C1187">
    <cfRule type="cellIs" dxfId="2533" priority="3560" stopIfTrue="1" operator="equal">
      <formula>"2 Add"</formula>
    </cfRule>
  </conditionalFormatting>
  <conditionalFormatting sqref="C1187">
    <cfRule type="cellIs" dxfId="2532" priority="3561" stopIfTrue="1" operator="equal">
      <formula>"3 Delete"</formula>
    </cfRule>
  </conditionalFormatting>
  <conditionalFormatting sqref="C1188">
    <cfRule type="cellIs" dxfId="2531" priority="3562" stopIfTrue="1" operator="equal">
      <formula>"1 Modify"</formula>
    </cfRule>
  </conditionalFormatting>
  <conditionalFormatting sqref="C1188">
    <cfRule type="cellIs" dxfId="2530" priority="3563" stopIfTrue="1" operator="equal">
      <formula>"2 Add"</formula>
    </cfRule>
  </conditionalFormatting>
  <conditionalFormatting sqref="C1188">
    <cfRule type="cellIs" dxfId="2529" priority="3564" stopIfTrue="1" operator="equal">
      <formula>"3 Delete"</formula>
    </cfRule>
  </conditionalFormatting>
  <conditionalFormatting sqref="C1189">
    <cfRule type="cellIs" dxfId="2528" priority="3565" stopIfTrue="1" operator="equal">
      <formula>"1 Modify"</formula>
    </cfRule>
  </conditionalFormatting>
  <conditionalFormatting sqref="C1189">
    <cfRule type="cellIs" dxfId="2527" priority="3566" stopIfTrue="1" operator="equal">
      <formula>"2 Add"</formula>
    </cfRule>
  </conditionalFormatting>
  <conditionalFormatting sqref="C1189">
    <cfRule type="cellIs" dxfId="2526" priority="3567" stopIfTrue="1" operator="equal">
      <formula>"3 Delete"</formula>
    </cfRule>
  </conditionalFormatting>
  <conditionalFormatting sqref="C1190">
    <cfRule type="cellIs" dxfId="2525" priority="3568" stopIfTrue="1" operator="equal">
      <formula>"1 Modify"</formula>
    </cfRule>
  </conditionalFormatting>
  <conditionalFormatting sqref="C1190">
    <cfRule type="cellIs" dxfId="2524" priority="3569" stopIfTrue="1" operator="equal">
      <formula>"2 Add"</formula>
    </cfRule>
  </conditionalFormatting>
  <conditionalFormatting sqref="C1190">
    <cfRule type="cellIs" dxfId="2523" priority="3570" stopIfTrue="1" operator="equal">
      <formula>"3 Delete"</formula>
    </cfRule>
  </conditionalFormatting>
  <conditionalFormatting sqref="C1191">
    <cfRule type="cellIs" dxfId="2522" priority="3571" stopIfTrue="1" operator="equal">
      <formula>"1 Modify"</formula>
    </cfRule>
  </conditionalFormatting>
  <conditionalFormatting sqref="C1191">
    <cfRule type="cellIs" dxfId="2521" priority="3572" stopIfTrue="1" operator="equal">
      <formula>"2 Add"</formula>
    </cfRule>
  </conditionalFormatting>
  <conditionalFormatting sqref="C1191">
    <cfRule type="cellIs" dxfId="2520" priority="3573" stopIfTrue="1" operator="equal">
      <formula>"3 Delete"</formula>
    </cfRule>
  </conditionalFormatting>
  <conditionalFormatting sqref="C1192">
    <cfRule type="cellIs" dxfId="2519" priority="3574" stopIfTrue="1" operator="equal">
      <formula>"1 Modify"</formula>
    </cfRule>
  </conditionalFormatting>
  <conditionalFormatting sqref="C1192">
    <cfRule type="cellIs" dxfId="2518" priority="3575" stopIfTrue="1" operator="equal">
      <formula>"2 Add"</formula>
    </cfRule>
  </conditionalFormatting>
  <conditionalFormatting sqref="C1192">
    <cfRule type="cellIs" dxfId="2517" priority="3576" stopIfTrue="1" operator="equal">
      <formula>"3 Delete"</formula>
    </cfRule>
  </conditionalFormatting>
  <conditionalFormatting sqref="C1193">
    <cfRule type="cellIs" dxfId="2516" priority="3577" stopIfTrue="1" operator="equal">
      <formula>"1 Modify"</formula>
    </cfRule>
  </conditionalFormatting>
  <conditionalFormatting sqref="C1193">
    <cfRule type="cellIs" dxfId="2515" priority="3578" stopIfTrue="1" operator="equal">
      <formula>"2 Add"</formula>
    </cfRule>
  </conditionalFormatting>
  <conditionalFormatting sqref="C1193">
    <cfRule type="cellIs" dxfId="2514" priority="3579" stopIfTrue="1" operator="equal">
      <formula>"3 Delete"</formula>
    </cfRule>
  </conditionalFormatting>
  <conditionalFormatting sqref="C1194">
    <cfRule type="cellIs" dxfId="2513" priority="3580" stopIfTrue="1" operator="equal">
      <formula>"1 Modify"</formula>
    </cfRule>
  </conditionalFormatting>
  <conditionalFormatting sqref="C1194">
    <cfRule type="cellIs" dxfId="2512" priority="3581" stopIfTrue="1" operator="equal">
      <formula>"2 Add"</formula>
    </cfRule>
  </conditionalFormatting>
  <conditionalFormatting sqref="C1194">
    <cfRule type="cellIs" dxfId="2511" priority="3582" stopIfTrue="1" operator="equal">
      <formula>"3 Delete"</formula>
    </cfRule>
  </conditionalFormatting>
  <conditionalFormatting sqref="C1195">
    <cfRule type="cellIs" dxfId="2510" priority="3583" stopIfTrue="1" operator="equal">
      <formula>"1 Modify"</formula>
    </cfRule>
  </conditionalFormatting>
  <conditionalFormatting sqref="C1195">
    <cfRule type="cellIs" dxfId="2509" priority="3584" stopIfTrue="1" operator="equal">
      <formula>"2 Add"</formula>
    </cfRule>
  </conditionalFormatting>
  <conditionalFormatting sqref="C1195">
    <cfRule type="cellIs" dxfId="2508" priority="3585" stopIfTrue="1" operator="equal">
      <formula>"3 Delete"</formula>
    </cfRule>
  </conditionalFormatting>
  <conditionalFormatting sqref="C1196">
    <cfRule type="cellIs" dxfId="2507" priority="3586" stopIfTrue="1" operator="equal">
      <formula>"1 Modify"</formula>
    </cfRule>
  </conditionalFormatting>
  <conditionalFormatting sqref="C1196">
    <cfRule type="cellIs" dxfId="2506" priority="3587" stopIfTrue="1" operator="equal">
      <formula>"2 Add"</formula>
    </cfRule>
  </conditionalFormatting>
  <conditionalFormatting sqref="C1196">
    <cfRule type="cellIs" dxfId="2505" priority="3588" stopIfTrue="1" operator="equal">
      <formula>"3 Delete"</formula>
    </cfRule>
  </conditionalFormatting>
  <conditionalFormatting sqref="C1197">
    <cfRule type="cellIs" dxfId="2504" priority="3589" stopIfTrue="1" operator="equal">
      <formula>"1 Modify"</formula>
    </cfRule>
  </conditionalFormatting>
  <conditionalFormatting sqref="C1197">
    <cfRule type="cellIs" dxfId="2503" priority="3590" stopIfTrue="1" operator="equal">
      <formula>"2 Add"</formula>
    </cfRule>
  </conditionalFormatting>
  <conditionalFormatting sqref="C1197">
    <cfRule type="cellIs" dxfId="2502" priority="3591" stopIfTrue="1" operator="equal">
      <formula>"3 Delete"</formula>
    </cfRule>
  </conditionalFormatting>
  <conditionalFormatting sqref="C1198">
    <cfRule type="cellIs" dxfId="2501" priority="3592" stopIfTrue="1" operator="equal">
      <formula>"1 Modify"</formula>
    </cfRule>
  </conditionalFormatting>
  <conditionalFormatting sqref="C1198">
    <cfRule type="cellIs" dxfId="2500" priority="3593" stopIfTrue="1" operator="equal">
      <formula>"2 Add"</formula>
    </cfRule>
  </conditionalFormatting>
  <conditionalFormatting sqref="C1198">
    <cfRule type="cellIs" dxfId="2499" priority="3594" stopIfTrue="1" operator="equal">
      <formula>"3 Delete"</formula>
    </cfRule>
  </conditionalFormatting>
  <conditionalFormatting sqref="C1199">
    <cfRule type="cellIs" dxfId="2498" priority="3595" stopIfTrue="1" operator="equal">
      <formula>"1 Modify"</formula>
    </cfRule>
  </conditionalFormatting>
  <conditionalFormatting sqref="C1199">
    <cfRule type="cellIs" dxfId="2497" priority="3596" stopIfTrue="1" operator="equal">
      <formula>"2 Add"</formula>
    </cfRule>
  </conditionalFormatting>
  <conditionalFormatting sqref="C1199">
    <cfRule type="cellIs" dxfId="2496" priority="3597" stopIfTrue="1" operator="equal">
      <formula>"3 Delete"</formula>
    </cfRule>
  </conditionalFormatting>
  <conditionalFormatting sqref="C1200">
    <cfRule type="cellIs" dxfId="2495" priority="3598" stopIfTrue="1" operator="equal">
      <formula>"1 Modify"</formula>
    </cfRule>
  </conditionalFormatting>
  <conditionalFormatting sqref="C1200">
    <cfRule type="cellIs" dxfId="2494" priority="3599" stopIfTrue="1" operator="equal">
      <formula>"2 Add"</formula>
    </cfRule>
  </conditionalFormatting>
  <conditionalFormatting sqref="C1200">
    <cfRule type="cellIs" dxfId="2493" priority="3600" stopIfTrue="1" operator="equal">
      <formula>"3 Delete"</formula>
    </cfRule>
  </conditionalFormatting>
  <conditionalFormatting sqref="C1201">
    <cfRule type="cellIs" dxfId="2492" priority="3601" stopIfTrue="1" operator="equal">
      <formula>"1 Modify"</formula>
    </cfRule>
  </conditionalFormatting>
  <conditionalFormatting sqref="C1201">
    <cfRule type="cellIs" dxfId="2491" priority="3602" stopIfTrue="1" operator="equal">
      <formula>"2 Add"</formula>
    </cfRule>
  </conditionalFormatting>
  <conditionalFormatting sqref="C1201">
    <cfRule type="cellIs" dxfId="2490" priority="3603" stopIfTrue="1" operator="equal">
      <formula>"3 Delete"</formula>
    </cfRule>
  </conditionalFormatting>
  <conditionalFormatting sqref="C1202">
    <cfRule type="cellIs" dxfId="2489" priority="3604" stopIfTrue="1" operator="equal">
      <formula>"1 Modify"</formula>
    </cfRule>
  </conditionalFormatting>
  <conditionalFormatting sqref="C1202">
    <cfRule type="cellIs" dxfId="2488" priority="3605" stopIfTrue="1" operator="equal">
      <formula>"2 Add"</formula>
    </cfRule>
  </conditionalFormatting>
  <conditionalFormatting sqref="C1202">
    <cfRule type="cellIs" dxfId="2487" priority="3606" stopIfTrue="1" operator="equal">
      <formula>"3 Delete"</formula>
    </cfRule>
  </conditionalFormatting>
  <conditionalFormatting sqref="C1203">
    <cfRule type="cellIs" dxfId="2486" priority="3607" stopIfTrue="1" operator="equal">
      <formula>"1 Modify"</formula>
    </cfRule>
  </conditionalFormatting>
  <conditionalFormatting sqref="C1203">
    <cfRule type="cellIs" dxfId="2485" priority="3608" stopIfTrue="1" operator="equal">
      <formula>"2 Add"</formula>
    </cfRule>
  </conditionalFormatting>
  <conditionalFormatting sqref="C1203">
    <cfRule type="cellIs" dxfId="2484" priority="3609" stopIfTrue="1" operator="equal">
      <formula>"3 Delete"</formula>
    </cfRule>
  </conditionalFormatting>
  <conditionalFormatting sqref="C1204">
    <cfRule type="cellIs" dxfId="2483" priority="3610" stopIfTrue="1" operator="equal">
      <formula>"1 Modify"</formula>
    </cfRule>
  </conditionalFormatting>
  <conditionalFormatting sqref="C1204">
    <cfRule type="cellIs" dxfId="2482" priority="3611" stopIfTrue="1" operator="equal">
      <formula>"2 Add"</formula>
    </cfRule>
  </conditionalFormatting>
  <conditionalFormatting sqref="C1204">
    <cfRule type="cellIs" dxfId="2481" priority="3612" stopIfTrue="1" operator="equal">
      <formula>"3 Delete"</formula>
    </cfRule>
  </conditionalFormatting>
  <conditionalFormatting sqref="C1205">
    <cfRule type="cellIs" dxfId="2480" priority="3613" stopIfTrue="1" operator="equal">
      <formula>"1 Modify"</formula>
    </cfRule>
  </conditionalFormatting>
  <conditionalFormatting sqref="C1205">
    <cfRule type="cellIs" dxfId="2479" priority="3614" stopIfTrue="1" operator="equal">
      <formula>"2 Add"</formula>
    </cfRule>
  </conditionalFormatting>
  <conditionalFormatting sqref="C1205">
    <cfRule type="cellIs" dxfId="2478" priority="3615" stopIfTrue="1" operator="equal">
      <formula>"3 Delete"</formula>
    </cfRule>
  </conditionalFormatting>
  <conditionalFormatting sqref="C1206">
    <cfRule type="cellIs" dxfId="2477" priority="3616" stopIfTrue="1" operator="equal">
      <formula>"1 Modify"</formula>
    </cfRule>
  </conditionalFormatting>
  <conditionalFormatting sqref="C1206">
    <cfRule type="cellIs" dxfId="2476" priority="3617" stopIfTrue="1" operator="equal">
      <formula>"2 Add"</formula>
    </cfRule>
  </conditionalFormatting>
  <conditionalFormatting sqref="C1206">
    <cfRule type="cellIs" dxfId="2475" priority="3618" stopIfTrue="1" operator="equal">
      <formula>"3 Delete"</formula>
    </cfRule>
  </conditionalFormatting>
  <conditionalFormatting sqref="C1207">
    <cfRule type="cellIs" dxfId="2474" priority="3619" stopIfTrue="1" operator="equal">
      <formula>"1 Modify"</formula>
    </cfRule>
  </conditionalFormatting>
  <conditionalFormatting sqref="C1207">
    <cfRule type="cellIs" dxfId="2473" priority="3620" stopIfTrue="1" operator="equal">
      <formula>"2 Add"</formula>
    </cfRule>
  </conditionalFormatting>
  <conditionalFormatting sqref="C1207">
    <cfRule type="cellIs" dxfId="2472" priority="3621" stopIfTrue="1" operator="equal">
      <formula>"3 Delete"</formula>
    </cfRule>
  </conditionalFormatting>
  <conditionalFormatting sqref="C1208">
    <cfRule type="cellIs" dxfId="2471" priority="3622" stopIfTrue="1" operator="equal">
      <formula>"1 Modify"</formula>
    </cfRule>
  </conditionalFormatting>
  <conditionalFormatting sqref="C1208">
    <cfRule type="cellIs" dxfId="2470" priority="3623" stopIfTrue="1" operator="equal">
      <formula>"2 Add"</formula>
    </cfRule>
  </conditionalFormatting>
  <conditionalFormatting sqref="C1208">
    <cfRule type="cellIs" dxfId="2469" priority="3624" stopIfTrue="1" operator="equal">
      <formula>"3 Delete"</formula>
    </cfRule>
  </conditionalFormatting>
  <conditionalFormatting sqref="C1209">
    <cfRule type="cellIs" dxfId="2468" priority="3625" stopIfTrue="1" operator="equal">
      <formula>"1 Modify"</formula>
    </cfRule>
  </conditionalFormatting>
  <conditionalFormatting sqref="C1209">
    <cfRule type="cellIs" dxfId="2467" priority="3626" stopIfTrue="1" operator="equal">
      <formula>"2 Add"</formula>
    </cfRule>
  </conditionalFormatting>
  <conditionalFormatting sqref="C1209">
    <cfRule type="cellIs" dxfId="2466" priority="3627" stopIfTrue="1" operator="equal">
      <formula>"3 Delete"</formula>
    </cfRule>
  </conditionalFormatting>
  <conditionalFormatting sqref="C1210">
    <cfRule type="cellIs" dxfId="2465" priority="3628" stopIfTrue="1" operator="equal">
      <formula>"1 Modify"</formula>
    </cfRule>
  </conditionalFormatting>
  <conditionalFormatting sqref="C1210">
    <cfRule type="cellIs" dxfId="2464" priority="3629" stopIfTrue="1" operator="equal">
      <formula>"2 Add"</formula>
    </cfRule>
  </conditionalFormatting>
  <conditionalFormatting sqref="C1210">
    <cfRule type="cellIs" dxfId="2463" priority="3630" stopIfTrue="1" operator="equal">
      <formula>"3 Delete"</formula>
    </cfRule>
  </conditionalFormatting>
  <conditionalFormatting sqref="C1211">
    <cfRule type="cellIs" dxfId="2462" priority="3631" stopIfTrue="1" operator="equal">
      <formula>"1 Modify"</formula>
    </cfRule>
  </conditionalFormatting>
  <conditionalFormatting sqref="C1211">
    <cfRule type="cellIs" dxfId="2461" priority="3632" stopIfTrue="1" operator="equal">
      <formula>"2 Add"</formula>
    </cfRule>
  </conditionalFormatting>
  <conditionalFormatting sqref="C1211">
    <cfRule type="cellIs" dxfId="2460" priority="3633" stopIfTrue="1" operator="equal">
      <formula>"3 Delete"</formula>
    </cfRule>
  </conditionalFormatting>
  <conditionalFormatting sqref="C1212">
    <cfRule type="cellIs" dxfId="2459" priority="3634" stopIfTrue="1" operator="equal">
      <formula>"1 Modify"</formula>
    </cfRule>
  </conditionalFormatting>
  <conditionalFormatting sqref="C1212">
    <cfRule type="cellIs" dxfId="2458" priority="3635" stopIfTrue="1" operator="equal">
      <formula>"2 Add"</formula>
    </cfRule>
  </conditionalFormatting>
  <conditionalFormatting sqref="C1212">
    <cfRule type="cellIs" dxfId="2457" priority="3636" stopIfTrue="1" operator="equal">
      <formula>"3 Delete"</formula>
    </cfRule>
  </conditionalFormatting>
  <conditionalFormatting sqref="C1213">
    <cfRule type="cellIs" dxfId="2456" priority="3637" stopIfTrue="1" operator="equal">
      <formula>"1 Modify"</formula>
    </cfRule>
  </conditionalFormatting>
  <conditionalFormatting sqref="C1213">
    <cfRule type="cellIs" dxfId="2455" priority="3638" stopIfTrue="1" operator="equal">
      <formula>"2 Add"</formula>
    </cfRule>
  </conditionalFormatting>
  <conditionalFormatting sqref="C1213">
    <cfRule type="cellIs" dxfId="2454" priority="3639" stopIfTrue="1" operator="equal">
      <formula>"3 Delete"</formula>
    </cfRule>
  </conditionalFormatting>
  <conditionalFormatting sqref="C1214">
    <cfRule type="cellIs" dxfId="2453" priority="3640" stopIfTrue="1" operator="equal">
      <formula>"1 Modify"</formula>
    </cfRule>
  </conditionalFormatting>
  <conditionalFormatting sqref="C1214">
    <cfRule type="cellIs" dxfId="2452" priority="3641" stopIfTrue="1" operator="equal">
      <formula>"2 Add"</formula>
    </cfRule>
  </conditionalFormatting>
  <conditionalFormatting sqref="C1214">
    <cfRule type="cellIs" dxfId="2451" priority="3642" stopIfTrue="1" operator="equal">
      <formula>"3 Delete"</formula>
    </cfRule>
  </conditionalFormatting>
  <conditionalFormatting sqref="C1215">
    <cfRule type="cellIs" dxfId="2450" priority="3643" stopIfTrue="1" operator="equal">
      <formula>"1 Modify"</formula>
    </cfRule>
  </conditionalFormatting>
  <conditionalFormatting sqref="C1215">
    <cfRule type="cellIs" dxfId="2449" priority="3644" stopIfTrue="1" operator="equal">
      <formula>"2 Add"</formula>
    </cfRule>
  </conditionalFormatting>
  <conditionalFormatting sqref="C1215">
    <cfRule type="cellIs" dxfId="2448" priority="3645" stopIfTrue="1" operator="equal">
      <formula>"3 Delete"</formula>
    </cfRule>
  </conditionalFormatting>
  <conditionalFormatting sqref="C1216">
    <cfRule type="cellIs" dxfId="2447" priority="3646" stopIfTrue="1" operator="equal">
      <formula>"1 Modify"</formula>
    </cfRule>
  </conditionalFormatting>
  <conditionalFormatting sqref="C1216">
    <cfRule type="cellIs" dxfId="2446" priority="3647" stopIfTrue="1" operator="equal">
      <formula>"2 Add"</formula>
    </cfRule>
  </conditionalFormatting>
  <conditionalFormatting sqref="C1216">
    <cfRule type="cellIs" dxfId="2445" priority="3648" stopIfTrue="1" operator="equal">
      <formula>"3 Delete"</formula>
    </cfRule>
  </conditionalFormatting>
  <conditionalFormatting sqref="C1217">
    <cfRule type="cellIs" dxfId="2444" priority="3649" stopIfTrue="1" operator="equal">
      <formula>"1 Modify"</formula>
    </cfRule>
  </conditionalFormatting>
  <conditionalFormatting sqref="C1217">
    <cfRule type="cellIs" dxfId="2443" priority="3650" stopIfTrue="1" operator="equal">
      <formula>"2 Add"</formula>
    </cfRule>
  </conditionalFormatting>
  <conditionalFormatting sqref="C1217">
    <cfRule type="cellIs" dxfId="2442" priority="3651" stopIfTrue="1" operator="equal">
      <formula>"3 Delete"</formula>
    </cfRule>
  </conditionalFormatting>
  <conditionalFormatting sqref="C1218">
    <cfRule type="cellIs" dxfId="2441" priority="3652" stopIfTrue="1" operator="equal">
      <formula>"1 Modify"</formula>
    </cfRule>
  </conditionalFormatting>
  <conditionalFormatting sqref="C1218">
    <cfRule type="cellIs" dxfId="2440" priority="3653" stopIfTrue="1" operator="equal">
      <formula>"2 Add"</formula>
    </cfRule>
  </conditionalFormatting>
  <conditionalFormatting sqref="C1218">
    <cfRule type="cellIs" dxfId="2439" priority="3654" stopIfTrue="1" operator="equal">
      <formula>"3 Delete"</formula>
    </cfRule>
  </conditionalFormatting>
  <conditionalFormatting sqref="C1219">
    <cfRule type="cellIs" dxfId="2438" priority="3655" stopIfTrue="1" operator="equal">
      <formula>"1 Modify"</formula>
    </cfRule>
  </conditionalFormatting>
  <conditionalFormatting sqref="C1219">
    <cfRule type="cellIs" dxfId="2437" priority="3656" stopIfTrue="1" operator="equal">
      <formula>"2 Add"</formula>
    </cfRule>
  </conditionalFormatting>
  <conditionalFormatting sqref="C1219">
    <cfRule type="cellIs" dxfId="2436" priority="3657" stopIfTrue="1" operator="equal">
      <formula>"3 Delete"</formula>
    </cfRule>
  </conditionalFormatting>
  <conditionalFormatting sqref="C1220">
    <cfRule type="cellIs" dxfId="2435" priority="3658" stopIfTrue="1" operator="equal">
      <formula>"1 Modify"</formula>
    </cfRule>
  </conditionalFormatting>
  <conditionalFormatting sqref="C1220">
    <cfRule type="cellIs" dxfId="2434" priority="3659" stopIfTrue="1" operator="equal">
      <formula>"2 Add"</formula>
    </cfRule>
  </conditionalFormatting>
  <conditionalFormatting sqref="C1220">
    <cfRule type="cellIs" dxfId="2433" priority="3660" stopIfTrue="1" operator="equal">
      <formula>"3 Delete"</formula>
    </cfRule>
  </conditionalFormatting>
  <conditionalFormatting sqref="C1221">
    <cfRule type="cellIs" dxfId="2432" priority="3661" stopIfTrue="1" operator="equal">
      <formula>"1 Modify"</formula>
    </cfRule>
  </conditionalFormatting>
  <conditionalFormatting sqref="C1221">
    <cfRule type="cellIs" dxfId="2431" priority="3662" stopIfTrue="1" operator="equal">
      <formula>"2 Add"</formula>
    </cfRule>
  </conditionalFormatting>
  <conditionalFormatting sqref="C1221">
    <cfRule type="cellIs" dxfId="2430" priority="3663" stopIfTrue="1" operator="equal">
      <formula>"3 Delete"</formula>
    </cfRule>
  </conditionalFormatting>
  <conditionalFormatting sqref="C1222">
    <cfRule type="cellIs" dxfId="2429" priority="3664" stopIfTrue="1" operator="equal">
      <formula>"1 Modify"</formula>
    </cfRule>
  </conditionalFormatting>
  <conditionalFormatting sqref="C1222">
    <cfRule type="cellIs" dxfId="2428" priority="3665" stopIfTrue="1" operator="equal">
      <formula>"2 Add"</formula>
    </cfRule>
  </conditionalFormatting>
  <conditionalFormatting sqref="C1222">
    <cfRule type="cellIs" dxfId="2427" priority="3666" stopIfTrue="1" operator="equal">
      <formula>"3 Delete"</formula>
    </cfRule>
  </conditionalFormatting>
  <conditionalFormatting sqref="C1223">
    <cfRule type="cellIs" dxfId="2426" priority="3667" stopIfTrue="1" operator="equal">
      <formula>"1 Modify"</formula>
    </cfRule>
  </conditionalFormatting>
  <conditionalFormatting sqref="C1223">
    <cfRule type="cellIs" dxfId="2425" priority="3668" stopIfTrue="1" operator="equal">
      <formula>"2 Add"</formula>
    </cfRule>
  </conditionalFormatting>
  <conditionalFormatting sqref="C1223">
    <cfRule type="cellIs" dxfId="2424" priority="3669" stopIfTrue="1" operator="equal">
      <formula>"3 Delete"</formula>
    </cfRule>
  </conditionalFormatting>
  <conditionalFormatting sqref="C1224">
    <cfRule type="cellIs" dxfId="2423" priority="3670" stopIfTrue="1" operator="equal">
      <formula>"1 Modify"</formula>
    </cfRule>
  </conditionalFormatting>
  <conditionalFormatting sqref="C1224">
    <cfRule type="cellIs" dxfId="2422" priority="3671" stopIfTrue="1" operator="equal">
      <formula>"2 Add"</formula>
    </cfRule>
  </conditionalFormatting>
  <conditionalFormatting sqref="C1224">
    <cfRule type="cellIs" dxfId="2421" priority="3672" stopIfTrue="1" operator="equal">
      <formula>"3 Delete"</formula>
    </cfRule>
  </conditionalFormatting>
  <conditionalFormatting sqref="C1225">
    <cfRule type="cellIs" dxfId="2420" priority="3673" stopIfTrue="1" operator="equal">
      <formula>"1 Modify"</formula>
    </cfRule>
  </conditionalFormatting>
  <conditionalFormatting sqref="C1225">
    <cfRule type="cellIs" dxfId="2419" priority="3674" stopIfTrue="1" operator="equal">
      <formula>"2 Add"</formula>
    </cfRule>
  </conditionalFormatting>
  <conditionalFormatting sqref="C1225">
    <cfRule type="cellIs" dxfId="2418" priority="3675" stopIfTrue="1" operator="equal">
      <formula>"3 Delete"</formula>
    </cfRule>
  </conditionalFormatting>
  <conditionalFormatting sqref="C1226">
    <cfRule type="cellIs" dxfId="2417" priority="3676" stopIfTrue="1" operator="equal">
      <formula>"1 Modify"</formula>
    </cfRule>
  </conditionalFormatting>
  <conditionalFormatting sqref="C1226">
    <cfRule type="cellIs" dxfId="2416" priority="3677" stopIfTrue="1" operator="equal">
      <formula>"2 Add"</formula>
    </cfRule>
  </conditionalFormatting>
  <conditionalFormatting sqref="C1226">
    <cfRule type="cellIs" dxfId="2415" priority="3678" stopIfTrue="1" operator="equal">
      <formula>"3 Delete"</formula>
    </cfRule>
  </conditionalFormatting>
  <conditionalFormatting sqref="C1227">
    <cfRule type="cellIs" dxfId="2414" priority="3679" stopIfTrue="1" operator="equal">
      <formula>"1 Modify"</formula>
    </cfRule>
  </conditionalFormatting>
  <conditionalFormatting sqref="C1227">
    <cfRule type="cellIs" dxfId="2413" priority="3680" stopIfTrue="1" operator="equal">
      <formula>"2 Add"</formula>
    </cfRule>
  </conditionalFormatting>
  <conditionalFormatting sqref="C1227">
    <cfRule type="cellIs" dxfId="2412" priority="3681" stopIfTrue="1" operator="equal">
      <formula>"3 Delete"</formula>
    </cfRule>
  </conditionalFormatting>
  <conditionalFormatting sqref="C1228">
    <cfRule type="cellIs" dxfId="2411" priority="3682" stopIfTrue="1" operator="equal">
      <formula>"1 Modify"</formula>
    </cfRule>
  </conditionalFormatting>
  <conditionalFormatting sqref="C1228">
    <cfRule type="cellIs" dxfId="2410" priority="3683" stopIfTrue="1" operator="equal">
      <formula>"2 Add"</formula>
    </cfRule>
  </conditionalFormatting>
  <conditionalFormatting sqref="C1228">
    <cfRule type="cellIs" dxfId="2409" priority="3684" stopIfTrue="1" operator="equal">
      <formula>"3 Delete"</formula>
    </cfRule>
  </conditionalFormatting>
  <conditionalFormatting sqref="C1229">
    <cfRule type="cellIs" dxfId="2408" priority="3685" stopIfTrue="1" operator="equal">
      <formula>"1 Modify"</formula>
    </cfRule>
  </conditionalFormatting>
  <conditionalFormatting sqref="C1229">
    <cfRule type="cellIs" dxfId="2407" priority="3686" stopIfTrue="1" operator="equal">
      <formula>"2 Add"</formula>
    </cfRule>
  </conditionalFormatting>
  <conditionalFormatting sqref="C1229">
    <cfRule type="cellIs" dxfId="2406" priority="3687" stopIfTrue="1" operator="equal">
      <formula>"3 Delete"</formula>
    </cfRule>
  </conditionalFormatting>
  <conditionalFormatting sqref="C1230">
    <cfRule type="cellIs" dxfId="2405" priority="3688" stopIfTrue="1" operator="equal">
      <formula>"1 Modify"</formula>
    </cfRule>
  </conditionalFormatting>
  <conditionalFormatting sqref="C1230">
    <cfRule type="cellIs" dxfId="2404" priority="3689" stopIfTrue="1" operator="equal">
      <formula>"2 Add"</formula>
    </cfRule>
  </conditionalFormatting>
  <conditionalFormatting sqref="C1230">
    <cfRule type="cellIs" dxfId="2403" priority="3690" stopIfTrue="1" operator="equal">
      <formula>"3 Delete"</formula>
    </cfRule>
  </conditionalFormatting>
  <conditionalFormatting sqref="C1231">
    <cfRule type="cellIs" dxfId="2402" priority="3691" stopIfTrue="1" operator="equal">
      <formula>"1 Modify"</formula>
    </cfRule>
  </conditionalFormatting>
  <conditionalFormatting sqref="C1231">
    <cfRule type="cellIs" dxfId="2401" priority="3692" stopIfTrue="1" operator="equal">
      <formula>"2 Add"</formula>
    </cfRule>
  </conditionalFormatting>
  <conditionalFormatting sqref="C1231">
    <cfRule type="cellIs" dxfId="2400" priority="3693" stopIfTrue="1" operator="equal">
      <formula>"3 Delete"</formula>
    </cfRule>
  </conditionalFormatting>
  <conditionalFormatting sqref="C1232">
    <cfRule type="cellIs" dxfId="2399" priority="3694" stopIfTrue="1" operator="equal">
      <formula>"1 Modify"</formula>
    </cfRule>
  </conditionalFormatting>
  <conditionalFormatting sqref="C1232">
    <cfRule type="cellIs" dxfId="2398" priority="3695" stopIfTrue="1" operator="equal">
      <formula>"2 Add"</formula>
    </cfRule>
  </conditionalFormatting>
  <conditionalFormatting sqref="C1232">
    <cfRule type="cellIs" dxfId="2397" priority="3696" stopIfTrue="1" operator="equal">
      <formula>"3 Delete"</formula>
    </cfRule>
  </conditionalFormatting>
  <conditionalFormatting sqref="C1233">
    <cfRule type="cellIs" dxfId="2396" priority="3697" stopIfTrue="1" operator="equal">
      <formula>"1 Modify"</formula>
    </cfRule>
  </conditionalFormatting>
  <conditionalFormatting sqref="C1233">
    <cfRule type="cellIs" dxfId="2395" priority="3698" stopIfTrue="1" operator="equal">
      <formula>"2 Add"</formula>
    </cfRule>
  </conditionalFormatting>
  <conditionalFormatting sqref="C1233">
    <cfRule type="cellIs" dxfId="2394" priority="3699" stopIfTrue="1" operator="equal">
      <formula>"3 Delete"</formula>
    </cfRule>
  </conditionalFormatting>
  <conditionalFormatting sqref="C1234">
    <cfRule type="cellIs" dxfId="2393" priority="3700" stopIfTrue="1" operator="equal">
      <formula>"1 Modify"</formula>
    </cfRule>
  </conditionalFormatting>
  <conditionalFormatting sqref="C1234">
    <cfRule type="cellIs" dxfId="2392" priority="3701" stopIfTrue="1" operator="equal">
      <formula>"2 Add"</formula>
    </cfRule>
  </conditionalFormatting>
  <conditionalFormatting sqref="C1234">
    <cfRule type="cellIs" dxfId="2391" priority="3702" stopIfTrue="1" operator="equal">
      <formula>"3 Delete"</formula>
    </cfRule>
  </conditionalFormatting>
  <conditionalFormatting sqref="C1235">
    <cfRule type="cellIs" dxfId="2390" priority="3703" stopIfTrue="1" operator="equal">
      <formula>"1 Modify"</formula>
    </cfRule>
  </conditionalFormatting>
  <conditionalFormatting sqref="C1235">
    <cfRule type="cellIs" dxfId="2389" priority="3704" stopIfTrue="1" operator="equal">
      <formula>"2 Add"</formula>
    </cfRule>
  </conditionalFormatting>
  <conditionalFormatting sqref="C1235">
    <cfRule type="cellIs" dxfId="2388" priority="3705" stopIfTrue="1" operator="equal">
      <formula>"3 Delete"</formula>
    </cfRule>
  </conditionalFormatting>
  <conditionalFormatting sqref="C1236">
    <cfRule type="cellIs" dxfId="2387" priority="3706" stopIfTrue="1" operator="equal">
      <formula>"1 Modify"</formula>
    </cfRule>
  </conditionalFormatting>
  <conditionalFormatting sqref="C1236">
    <cfRule type="cellIs" dxfId="2386" priority="3707" stopIfTrue="1" operator="equal">
      <formula>"2 Add"</formula>
    </cfRule>
  </conditionalFormatting>
  <conditionalFormatting sqref="C1236">
    <cfRule type="cellIs" dxfId="2385" priority="3708" stopIfTrue="1" operator="equal">
      <formula>"3 Delete"</formula>
    </cfRule>
  </conditionalFormatting>
  <conditionalFormatting sqref="C1237">
    <cfRule type="cellIs" dxfId="2384" priority="3709" stopIfTrue="1" operator="equal">
      <formula>"1 Modify"</formula>
    </cfRule>
  </conditionalFormatting>
  <conditionalFormatting sqref="C1237">
    <cfRule type="cellIs" dxfId="2383" priority="3710" stopIfTrue="1" operator="equal">
      <formula>"2 Add"</formula>
    </cfRule>
  </conditionalFormatting>
  <conditionalFormatting sqref="C1237">
    <cfRule type="cellIs" dxfId="2382" priority="3711" stopIfTrue="1" operator="equal">
      <formula>"3 Delete"</formula>
    </cfRule>
  </conditionalFormatting>
  <conditionalFormatting sqref="C1238">
    <cfRule type="cellIs" dxfId="2381" priority="3712" stopIfTrue="1" operator="equal">
      <formula>"1 Modify"</formula>
    </cfRule>
  </conditionalFormatting>
  <conditionalFormatting sqref="C1238">
    <cfRule type="cellIs" dxfId="2380" priority="3713" stopIfTrue="1" operator="equal">
      <formula>"2 Add"</formula>
    </cfRule>
  </conditionalFormatting>
  <conditionalFormatting sqref="C1238">
    <cfRule type="cellIs" dxfId="2379" priority="3714" stopIfTrue="1" operator="equal">
      <formula>"3 Delete"</formula>
    </cfRule>
  </conditionalFormatting>
  <conditionalFormatting sqref="C1239">
    <cfRule type="cellIs" dxfId="2378" priority="3715" stopIfTrue="1" operator="equal">
      <formula>"1 Modify"</formula>
    </cfRule>
  </conditionalFormatting>
  <conditionalFormatting sqref="C1239">
    <cfRule type="cellIs" dxfId="2377" priority="3716" stopIfTrue="1" operator="equal">
      <formula>"2 Add"</formula>
    </cfRule>
  </conditionalFormatting>
  <conditionalFormatting sqref="C1239">
    <cfRule type="cellIs" dxfId="2376" priority="3717" stopIfTrue="1" operator="equal">
      <formula>"3 Delete"</formula>
    </cfRule>
  </conditionalFormatting>
  <conditionalFormatting sqref="C1240">
    <cfRule type="cellIs" dxfId="2375" priority="3718" stopIfTrue="1" operator="equal">
      <formula>"1 Modify"</formula>
    </cfRule>
  </conditionalFormatting>
  <conditionalFormatting sqref="C1240">
    <cfRule type="cellIs" dxfId="2374" priority="3719" stopIfTrue="1" operator="equal">
      <formula>"2 Add"</formula>
    </cfRule>
  </conditionalFormatting>
  <conditionalFormatting sqref="C1240">
    <cfRule type="cellIs" dxfId="2373" priority="3720" stopIfTrue="1" operator="equal">
      <formula>"3 Delete"</formula>
    </cfRule>
  </conditionalFormatting>
  <conditionalFormatting sqref="C1241">
    <cfRule type="cellIs" dxfId="2372" priority="3721" stopIfTrue="1" operator="equal">
      <formula>"1 Modify"</formula>
    </cfRule>
  </conditionalFormatting>
  <conditionalFormatting sqref="C1241">
    <cfRule type="cellIs" dxfId="2371" priority="3722" stopIfTrue="1" operator="equal">
      <formula>"2 Add"</formula>
    </cfRule>
  </conditionalFormatting>
  <conditionalFormatting sqref="C1241">
    <cfRule type="cellIs" dxfId="2370" priority="3723" stopIfTrue="1" operator="equal">
      <formula>"3 Delete"</formula>
    </cfRule>
  </conditionalFormatting>
  <conditionalFormatting sqref="C1242">
    <cfRule type="cellIs" dxfId="2369" priority="3724" stopIfTrue="1" operator="equal">
      <formula>"1 Modify"</formula>
    </cfRule>
  </conditionalFormatting>
  <conditionalFormatting sqref="C1242">
    <cfRule type="cellIs" dxfId="2368" priority="3725" stopIfTrue="1" operator="equal">
      <formula>"2 Add"</formula>
    </cfRule>
  </conditionalFormatting>
  <conditionalFormatting sqref="C1242">
    <cfRule type="cellIs" dxfId="2367" priority="3726" stopIfTrue="1" operator="equal">
      <formula>"3 Delete"</formula>
    </cfRule>
  </conditionalFormatting>
  <conditionalFormatting sqref="C1243">
    <cfRule type="cellIs" dxfId="2366" priority="3727" stopIfTrue="1" operator="equal">
      <formula>"1 Modify"</formula>
    </cfRule>
  </conditionalFormatting>
  <conditionalFormatting sqref="C1243">
    <cfRule type="cellIs" dxfId="2365" priority="3728" stopIfTrue="1" operator="equal">
      <formula>"2 Add"</formula>
    </cfRule>
  </conditionalFormatting>
  <conditionalFormatting sqref="C1243">
    <cfRule type="cellIs" dxfId="2364" priority="3729" stopIfTrue="1" operator="equal">
      <formula>"3 Delete"</formula>
    </cfRule>
  </conditionalFormatting>
  <conditionalFormatting sqref="C1244">
    <cfRule type="cellIs" dxfId="2363" priority="3730" stopIfTrue="1" operator="equal">
      <formula>"1 Modify"</formula>
    </cfRule>
  </conditionalFormatting>
  <conditionalFormatting sqref="C1244">
    <cfRule type="cellIs" dxfId="2362" priority="3731" stopIfTrue="1" operator="equal">
      <formula>"2 Add"</formula>
    </cfRule>
  </conditionalFormatting>
  <conditionalFormatting sqref="C1244">
    <cfRule type="cellIs" dxfId="2361" priority="3732" stopIfTrue="1" operator="equal">
      <formula>"3 Delete"</formula>
    </cfRule>
  </conditionalFormatting>
  <conditionalFormatting sqref="C1245">
    <cfRule type="cellIs" dxfId="2360" priority="3733" stopIfTrue="1" operator="equal">
      <formula>"1 Modify"</formula>
    </cfRule>
  </conditionalFormatting>
  <conditionalFormatting sqref="C1245">
    <cfRule type="cellIs" dxfId="2359" priority="3734" stopIfTrue="1" operator="equal">
      <formula>"2 Add"</formula>
    </cfRule>
  </conditionalFormatting>
  <conditionalFormatting sqref="C1245">
    <cfRule type="cellIs" dxfId="2358" priority="3735" stopIfTrue="1" operator="equal">
      <formula>"3 Delete"</formula>
    </cfRule>
  </conditionalFormatting>
  <conditionalFormatting sqref="C1246">
    <cfRule type="cellIs" dxfId="2357" priority="3736" stopIfTrue="1" operator="equal">
      <formula>"1 Modify"</formula>
    </cfRule>
  </conditionalFormatting>
  <conditionalFormatting sqref="C1246">
    <cfRule type="cellIs" dxfId="2356" priority="3737" stopIfTrue="1" operator="equal">
      <formula>"2 Add"</formula>
    </cfRule>
  </conditionalFormatting>
  <conditionalFormatting sqref="C1246">
    <cfRule type="cellIs" dxfId="2355" priority="3738" stopIfTrue="1" operator="equal">
      <formula>"3 Delete"</formula>
    </cfRule>
  </conditionalFormatting>
  <conditionalFormatting sqref="C1247">
    <cfRule type="cellIs" dxfId="2354" priority="3739" stopIfTrue="1" operator="equal">
      <formula>"1 Modify"</formula>
    </cfRule>
  </conditionalFormatting>
  <conditionalFormatting sqref="C1247">
    <cfRule type="cellIs" dxfId="2353" priority="3740" stopIfTrue="1" operator="equal">
      <formula>"2 Add"</formula>
    </cfRule>
  </conditionalFormatting>
  <conditionalFormatting sqref="C1247">
    <cfRule type="cellIs" dxfId="2352" priority="3741" stopIfTrue="1" operator="equal">
      <formula>"3 Delete"</formula>
    </cfRule>
  </conditionalFormatting>
  <conditionalFormatting sqref="C1248">
    <cfRule type="cellIs" dxfId="2351" priority="3742" stopIfTrue="1" operator="equal">
      <formula>"1 Modify"</formula>
    </cfRule>
  </conditionalFormatting>
  <conditionalFormatting sqref="C1248">
    <cfRule type="cellIs" dxfId="2350" priority="3743" stopIfTrue="1" operator="equal">
      <formula>"2 Add"</formula>
    </cfRule>
  </conditionalFormatting>
  <conditionalFormatting sqref="C1248">
    <cfRule type="cellIs" dxfId="2349" priority="3744" stopIfTrue="1" operator="equal">
      <formula>"3 Delete"</formula>
    </cfRule>
  </conditionalFormatting>
  <conditionalFormatting sqref="C1249">
    <cfRule type="cellIs" dxfId="2348" priority="3745" stopIfTrue="1" operator="equal">
      <formula>"1 Modify"</formula>
    </cfRule>
  </conditionalFormatting>
  <conditionalFormatting sqref="C1249">
    <cfRule type="cellIs" dxfId="2347" priority="3746" stopIfTrue="1" operator="equal">
      <formula>"2 Add"</formula>
    </cfRule>
  </conditionalFormatting>
  <conditionalFormatting sqref="C1249">
    <cfRule type="cellIs" dxfId="2346" priority="3747" stopIfTrue="1" operator="equal">
      <formula>"3 Delete"</formula>
    </cfRule>
  </conditionalFormatting>
  <conditionalFormatting sqref="C1250">
    <cfRule type="cellIs" dxfId="2345" priority="3748" stopIfTrue="1" operator="equal">
      <formula>"1 Modify"</formula>
    </cfRule>
  </conditionalFormatting>
  <conditionalFormatting sqref="C1250">
    <cfRule type="cellIs" dxfId="2344" priority="3749" stopIfTrue="1" operator="equal">
      <formula>"2 Add"</formula>
    </cfRule>
  </conditionalFormatting>
  <conditionalFormatting sqref="C1250">
    <cfRule type="cellIs" dxfId="2343" priority="3750" stopIfTrue="1" operator="equal">
      <formula>"3 Delete"</formula>
    </cfRule>
  </conditionalFormatting>
  <conditionalFormatting sqref="C1251">
    <cfRule type="cellIs" dxfId="2342" priority="3751" stopIfTrue="1" operator="equal">
      <formula>"1 Modify"</formula>
    </cfRule>
  </conditionalFormatting>
  <conditionalFormatting sqref="C1251">
    <cfRule type="cellIs" dxfId="2341" priority="3752" stopIfTrue="1" operator="equal">
      <formula>"2 Add"</formula>
    </cfRule>
  </conditionalFormatting>
  <conditionalFormatting sqref="C1251">
    <cfRule type="cellIs" dxfId="2340" priority="3753" stopIfTrue="1" operator="equal">
      <formula>"3 Delete"</formula>
    </cfRule>
  </conditionalFormatting>
  <conditionalFormatting sqref="C1252">
    <cfRule type="cellIs" dxfId="2339" priority="3754" stopIfTrue="1" operator="equal">
      <formula>"1 Modify"</formula>
    </cfRule>
  </conditionalFormatting>
  <conditionalFormatting sqref="C1252">
    <cfRule type="cellIs" dxfId="2338" priority="3755" stopIfTrue="1" operator="equal">
      <formula>"2 Add"</formula>
    </cfRule>
  </conditionalFormatting>
  <conditionalFormatting sqref="C1252">
    <cfRule type="cellIs" dxfId="2337" priority="3756" stopIfTrue="1" operator="equal">
      <formula>"3 Delete"</formula>
    </cfRule>
  </conditionalFormatting>
  <conditionalFormatting sqref="C1253">
    <cfRule type="cellIs" dxfId="2336" priority="3757" stopIfTrue="1" operator="equal">
      <formula>"1 Modify"</formula>
    </cfRule>
  </conditionalFormatting>
  <conditionalFormatting sqref="C1253">
    <cfRule type="cellIs" dxfId="2335" priority="3758" stopIfTrue="1" operator="equal">
      <formula>"2 Add"</formula>
    </cfRule>
  </conditionalFormatting>
  <conditionalFormatting sqref="C1253">
    <cfRule type="cellIs" dxfId="2334" priority="3759" stopIfTrue="1" operator="equal">
      <formula>"3 Delete"</formula>
    </cfRule>
  </conditionalFormatting>
  <conditionalFormatting sqref="C1254">
    <cfRule type="cellIs" dxfId="2333" priority="3760" stopIfTrue="1" operator="equal">
      <formula>"1 Modify"</formula>
    </cfRule>
  </conditionalFormatting>
  <conditionalFormatting sqref="C1254">
    <cfRule type="cellIs" dxfId="2332" priority="3761" stopIfTrue="1" operator="equal">
      <formula>"2 Add"</formula>
    </cfRule>
  </conditionalFormatting>
  <conditionalFormatting sqref="C1254">
    <cfRule type="cellIs" dxfId="2331" priority="3762" stopIfTrue="1" operator="equal">
      <formula>"3 Delete"</formula>
    </cfRule>
  </conditionalFormatting>
  <conditionalFormatting sqref="C1255">
    <cfRule type="cellIs" dxfId="2330" priority="3763" stopIfTrue="1" operator="equal">
      <formula>"1 Modify"</formula>
    </cfRule>
  </conditionalFormatting>
  <conditionalFormatting sqref="C1255">
    <cfRule type="cellIs" dxfId="2329" priority="3764" stopIfTrue="1" operator="equal">
      <formula>"2 Add"</formula>
    </cfRule>
  </conditionalFormatting>
  <conditionalFormatting sqref="C1255">
    <cfRule type="cellIs" dxfId="2328" priority="3765" stopIfTrue="1" operator="equal">
      <formula>"3 Delete"</formula>
    </cfRule>
  </conditionalFormatting>
  <conditionalFormatting sqref="C1256">
    <cfRule type="cellIs" dxfId="2327" priority="3766" stopIfTrue="1" operator="equal">
      <formula>"1 Modify"</formula>
    </cfRule>
  </conditionalFormatting>
  <conditionalFormatting sqref="C1256">
    <cfRule type="cellIs" dxfId="2326" priority="3767" stopIfTrue="1" operator="equal">
      <formula>"2 Add"</formula>
    </cfRule>
  </conditionalFormatting>
  <conditionalFormatting sqref="C1256">
    <cfRule type="cellIs" dxfId="2325" priority="3768" stopIfTrue="1" operator="equal">
      <formula>"3 Delete"</formula>
    </cfRule>
  </conditionalFormatting>
  <conditionalFormatting sqref="C1257">
    <cfRule type="cellIs" dxfId="2324" priority="3769" stopIfTrue="1" operator="equal">
      <formula>"1 Modify"</formula>
    </cfRule>
  </conditionalFormatting>
  <conditionalFormatting sqref="C1257">
    <cfRule type="cellIs" dxfId="2323" priority="3770" stopIfTrue="1" operator="equal">
      <formula>"2 Add"</formula>
    </cfRule>
  </conditionalFormatting>
  <conditionalFormatting sqref="C1257">
    <cfRule type="cellIs" dxfId="2322" priority="3771" stopIfTrue="1" operator="equal">
      <formula>"3 Delete"</formula>
    </cfRule>
  </conditionalFormatting>
  <conditionalFormatting sqref="C1258">
    <cfRule type="cellIs" dxfId="2321" priority="3772" stopIfTrue="1" operator="equal">
      <formula>"1 Modify"</formula>
    </cfRule>
  </conditionalFormatting>
  <conditionalFormatting sqref="C1258">
    <cfRule type="cellIs" dxfId="2320" priority="3773" stopIfTrue="1" operator="equal">
      <formula>"2 Add"</formula>
    </cfRule>
  </conditionalFormatting>
  <conditionalFormatting sqref="C1258">
    <cfRule type="cellIs" dxfId="2319" priority="3774" stopIfTrue="1" operator="equal">
      <formula>"3 Delete"</formula>
    </cfRule>
  </conditionalFormatting>
  <conditionalFormatting sqref="C1259">
    <cfRule type="cellIs" dxfId="2318" priority="3775" stopIfTrue="1" operator="equal">
      <formula>"1 Modify"</formula>
    </cfRule>
  </conditionalFormatting>
  <conditionalFormatting sqref="C1259">
    <cfRule type="cellIs" dxfId="2317" priority="3776" stopIfTrue="1" operator="equal">
      <formula>"2 Add"</formula>
    </cfRule>
  </conditionalFormatting>
  <conditionalFormatting sqref="C1259">
    <cfRule type="cellIs" dxfId="2316" priority="3777" stopIfTrue="1" operator="equal">
      <formula>"3 Delete"</formula>
    </cfRule>
  </conditionalFormatting>
  <conditionalFormatting sqref="C1260">
    <cfRule type="cellIs" dxfId="2315" priority="3778" stopIfTrue="1" operator="equal">
      <formula>"1 Modify"</formula>
    </cfRule>
  </conditionalFormatting>
  <conditionalFormatting sqref="C1260">
    <cfRule type="cellIs" dxfId="2314" priority="3779" stopIfTrue="1" operator="equal">
      <formula>"2 Add"</formula>
    </cfRule>
  </conditionalFormatting>
  <conditionalFormatting sqref="C1260">
    <cfRule type="cellIs" dxfId="2313" priority="3780" stopIfTrue="1" operator="equal">
      <formula>"3 Delete"</formula>
    </cfRule>
  </conditionalFormatting>
  <conditionalFormatting sqref="C1261">
    <cfRule type="cellIs" dxfId="2312" priority="3781" stopIfTrue="1" operator="equal">
      <formula>"1 Modify"</formula>
    </cfRule>
  </conditionalFormatting>
  <conditionalFormatting sqref="C1261">
    <cfRule type="cellIs" dxfId="2311" priority="3782" stopIfTrue="1" operator="equal">
      <formula>"2 Add"</formula>
    </cfRule>
  </conditionalFormatting>
  <conditionalFormatting sqref="C1261">
    <cfRule type="cellIs" dxfId="2310" priority="3783" stopIfTrue="1" operator="equal">
      <formula>"3 Delete"</formula>
    </cfRule>
  </conditionalFormatting>
  <conditionalFormatting sqref="C1262">
    <cfRule type="cellIs" dxfId="2309" priority="3784" stopIfTrue="1" operator="equal">
      <formula>"1 Modify"</formula>
    </cfRule>
  </conditionalFormatting>
  <conditionalFormatting sqref="C1262">
    <cfRule type="cellIs" dxfId="2308" priority="3785" stopIfTrue="1" operator="equal">
      <formula>"2 Add"</formula>
    </cfRule>
  </conditionalFormatting>
  <conditionalFormatting sqref="C1262">
    <cfRule type="cellIs" dxfId="2307" priority="3786" stopIfTrue="1" operator="equal">
      <formula>"3 Delete"</formula>
    </cfRule>
  </conditionalFormatting>
  <conditionalFormatting sqref="C1263">
    <cfRule type="cellIs" dxfId="2306" priority="3787" stopIfTrue="1" operator="equal">
      <formula>"1 Modify"</formula>
    </cfRule>
  </conditionalFormatting>
  <conditionalFormatting sqref="C1263">
    <cfRule type="cellIs" dxfId="2305" priority="3788" stopIfTrue="1" operator="equal">
      <formula>"2 Add"</formula>
    </cfRule>
  </conditionalFormatting>
  <conditionalFormatting sqref="C1263">
    <cfRule type="cellIs" dxfId="2304" priority="3789" stopIfTrue="1" operator="equal">
      <formula>"3 Delete"</formula>
    </cfRule>
  </conditionalFormatting>
  <conditionalFormatting sqref="C1264">
    <cfRule type="cellIs" dxfId="2303" priority="3790" stopIfTrue="1" operator="equal">
      <formula>"1 Modify"</formula>
    </cfRule>
  </conditionalFormatting>
  <conditionalFormatting sqref="C1264">
    <cfRule type="cellIs" dxfId="2302" priority="3791" stopIfTrue="1" operator="equal">
      <formula>"2 Add"</formula>
    </cfRule>
  </conditionalFormatting>
  <conditionalFormatting sqref="C1264">
    <cfRule type="cellIs" dxfId="2301" priority="3792" stopIfTrue="1" operator="equal">
      <formula>"3 Delete"</formula>
    </cfRule>
  </conditionalFormatting>
  <conditionalFormatting sqref="C1265">
    <cfRule type="cellIs" dxfId="2300" priority="3793" stopIfTrue="1" operator="equal">
      <formula>"1 Modify"</formula>
    </cfRule>
  </conditionalFormatting>
  <conditionalFormatting sqref="C1265">
    <cfRule type="cellIs" dxfId="2299" priority="3794" stopIfTrue="1" operator="equal">
      <formula>"2 Add"</formula>
    </cfRule>
  </conditionalFormatting>
  <conditionalFormatting sqref="C1265">
    <cfRule type="cellIs" dxfId="2298" priority="3795" stopIfTrue="1" operator="equal">
      <formula>"3 Delete"</formula>
    </cfRule>
  </conditionalFormatting>
  <conditionalFormatting sqref="C1266">
    <cfRule type="cellIs" dxfId="2297" priority="3796" stopIfTrue="1" operator="equal">
      <formula>"1 Modify"</formula>
    </cfRule>
  </conditionalFormatting>
  <conditionalFormatting sqref="C1266">
    <cfRule type="cellIs" dxfId="2296" priority="3797" stopIfTrue="1" operator="equal">
      <formula>"2 Add"</formula>
    </cfRule>
  </conditionalFormatting>
  <conditionalFormatting sqref="C1266">
    <cfRule type="cellIs" dxfId="2295" priority="3798" stopIfTrue="1" operator="equal">
      <formula>"3 Delete"</formula>
    </cfRule>
  </conditionalFormatting>
  <conditionalFormatting sqref="C1267">
    <cfRule type="cellIs" dxfId="2294" priority="3799" stopIfTrue="1" operator="equal">
      <formula>"1 Modify"</formula>
    </cfRule>
  </conditionalFormatting>
  <conditionalFormatting sqref="C1267">
    <cfRule type="cellIs" dxfId="2293" priority="3800" stopIfTrue="1" operator="equal">
      <formula>"2 Add"</formula>
    </cfRule>
  </conditionalFormatting>
  <conditionalFormatting sqref="C1267">
    <cfRule type="cellIs" dxfId="2292" priority="3801" stopIfTrue="1" operator="equal">
      <formula>"3 Delete"</formula>
    </cfRule>
  </conditionalFormatting>
  <conditionalFormatting sqref="C1268">
    <cfRule type="cellIs" dxfId="2291" priority="3802" stopIfTrue="1" operator="equal">
      <formula>"1 Modify"</formula>
    </cfRule>
  </conditionalFormatting>
  <conditionalFormatting sqref="C1268">
    <cfRule type="cellIs" dxfId="2290" priority="3803" stopIfTrue="1" operator="equal">
      <formula>"2 Add"</formula>
    </cfRule>
  </conditionalFormatting>
  <conditionalFormatting sqref="C1268">
    <cfRule type="cellIs" dxfId="2289" priority="3804" stopIfTrue="1" operator="equal">
      <formula>"3 Delete"</formula>
    </cfRule>
  </conditionalFormatting>
  <conditionalFormatting sqref="C1269">
    <cfRule type="cellIs" dxfId="2288" priority="3805" stopIfTrue="1" operator="equal">
      <formula>"1 Modify"</formula>
    </cfRule>
  </conditionalFormatting>
  <conditionalFormatting sqref="C1269">
    <cfRule type="cellIs" dxfId="2287" priority="3806" stopIfTrue="1" operator="equal">
      <formula>"2 Add"</formula>
    </cfRule>
  </conditionalFormatting>
  <conditionalFormatting sqref="C1269">
    <cfRule type="cellIs" dxfId="2286" priority="3807" stopIfTrue="1" operator="equal">
      <formula>"3 Delete"</formula>
    </cfRule>
  </conditionalFormatting>
  <conditionalFormatting sqref="C1270">
    <cfRule type="cellIs" dxfId="2285" priority="3808" stopIfTrue="1" operator="equal">
      <formula>"1 Modify"</formula>
    </cfRule>
  </conditionalFormatting>
  <conditionalFormatting sqref="C1270">
    <cfRule type="cellIs" dxfId="2284" priority="3809" stopIfTrue="1" operator="equal">
      <formula>"2 Add"</formula>
    </cfRule>
  </conditionalFormatting>
  <conditionalFormatting sqref="C1270">
    <cfRule type="cellIs" dxfId="2283" priority="3810" stopIfTrue="1" operator="equal">
      <formula>"3 Delete"</formula>
    </cfRule>
  </conditionalFormatting>
  <conditionalFormatting sqref="C1271">
    <cfRule type="cellIs" dxfId="2282" priority="3811" stopIfTrue="1" operator="equal">
      <formula>"1 Modify"</formula>
    </cfRule>
  </conditionalFormatting>
  <conditionalFormatting sqref="C1271">
    <cfRule type="cellIs" dxfId="2281" priority="3812" stopIfTrue="1" operator="equal">
      <formula>"2 Add"</formula>
    </cfRule>
  </conditionalFormatting>
  <conditionalFormatting sqref="C1271">
    <cfRule type="cellIs" dxfId="2280" priority="3813" stopIfTrue="1" operator="equal">
      <formula>"3 Delete"</formula>
    </cfRule>
  </conditionalFormatting>
  <conditionalFormatting sqref="C1272">
    <cfRule type="cellIs" dxfId="2279" priority="3814" stopIfTrue="1" operator="equal">
      <formula>"1 Modify"</formula>
    </cfRule>
  </conditionalFormatting>
  <conditionalFormatting sqref="C1272">
    <cfRule type="cellIs" dxfId="2278" priority="3815" stopIfTrue="1" operator="equal">
      <formula>"2 Add"</formula>
    </cfRule>
  </conditionalFormatting>
  <conditionalFormatting sqref="C1272">
    <cfRule type="cellIs" dxfId="2277" priority="3816" stopIfTrue="1" operator="equal">
      <formula>"3 Delete"</formula>
    </cfRule>
  </conditionalFormatting>
  <conditionalFormatting sqref="C1273">
    <cfRule type="cellIs" dxfId="2276" priority="3817" stopIfTrue="1" operator="equal">
      <formula>"1 Modify"</formula>
    </cfRule>
  </conditionalFormatting>
  <conditionalFormatting sqref="C1273">
    <cfRule type="cellIs" dxfId="2275" priority="3818" stopIfTrue="1" operator="equal">
      <formula>"2 Add"</formula>
    </cfRule>
  </conditionalFormatting>
  <conditionalFormatting sqref="C1273">
    <cfRule type="cellIs" dxfId="2274" priority="3819" stopIfTrue="1" operator="equal">
      <formula>"3 Delete"</formula>
    </cfRule>
  </conditionalFormatting>
  <conditionalFormatting sqref="C1274">
    <cfRule type="cellIs" dxfId="2273" priority="3820" stopIfTrue="1" operator="equal">
      <formula>"1 Modify"</formula>
    </cfRule>
  </conditionalFormatting>
  <conditionalFormatting sqref="C1274">
    <cfRule type="cellIs" dxfId="2272" priority="3821" stopIfTrue="1" operator="equal">
      <formula>"2 Add"</formula>
    </cfRule>
  </conditionalFormatting>
  <conditionalFormatting sqref="C1274">
    <cfRule type="cellIs" dxfId="2271" priority="3822" stopIfTrue="1" operator="equal">
      <formula>"3 Delete"</formula>
    </cfRule>
  </conditionalFormatting>
  <conditionalFormatting sqref="C1275">
    <cfRule type="cellIs" dxfId="2270" priority="3823" stopIfTrue="1" operator="equal">
      <formula>"1 Modify"</formula>
    </cfRule>
  </conditionalFormatting>
  <conditionalFormatting sqref="C1275">
    <cfRule type="cellIs" dxfId="2269" priority="3824" stopIfTrue="1" operator="equal">
      <formula>"2 Add"</formula>
    </cfRule>
  </conditionalFormatting>
  <conditionalFormatting sqref="C1275">
    <cfRule type="cellIs" dxfId="2268" priority="3825" stopIfTrue="1" operator="equal">
      <formula>"3 Delete"</formula>
    </cfRule>
  </conditionalFormatting>
  <conditionalFormatting sqref="C1276">
    <cfRule type="cellIs" dxfId="2267" priority="3826" stopIfTrue="1" operator="equal">
      <formula>"1 Modify"</formula>
    </cfRule>
  </conditionalFormatting>
  <conditionalFormatting sqref="C1276">
    <cfRule type="cellIs" dxfId="2266" priority="3827" stopIfTrue="1" operator="equal">
      <formula>"2 Add"</formula>
    </cfRule>
  </conditionalFormatting>
  <conditionalFormatting sqref="C1276">
    <cfRule type="cellIs" dxfId="2265" priority="3828" stopIfTrue="1" operator="equal">
      <formula>"3 Delete"</formula>
    </cfRule>
  </conditionalFormatting>
  <conditionalFormatting sqref="C1277">
    <cfRule type="cellIs" dxfId="2264" priority="3829" stopIfTrue="1" operator="equal">
      <formula>"1 Modify"</formula>
    </cfRule>
  </conditionalFormatting>
  <conditionalFormatting sqref="C1277">
    <cfRule type="cellIs" dxfId="2263" priority="3830" stopIfTrue="1" operator="equal">
      <formula>"2 Add"</formula>
    </cfRule>
  </conditionalFormatting>
  <conditionalFormatting sqref="C1277">
    <cfRule type="cellIs" dxfId="2262" priority="3831" stopIfTrue="1" operator="equal">
      <formula>"3 Delete"</formula>
    </cfRule>
  </conditionalFormatting>
  <conditionalFormatting sqref="C1278">
    <cfRule type="cellIs" dxfId="2261" priority="3832" stopIfTrue="1" operator="equal">
      <formula>"1 Modify"</formula>
    </cfRule>
  </conditionalFormatting>
  <conditionalFormatting sqref="C1278">
    <cfRule type="cellIs" dxfId="2260" priority="3833" stopIfTrue="1" operator="equal">
      <formula>"2 Add"</formula>
    </cfRule>
  </conditionalFormatting>
  <conditionalFormatting sqref="C1278">
    <cfRule type="cellIs" dxfId="2259" priority="3834" stopIfTrue="1" operator="equal">
      <formula>"3 Delete"</formula>
    </cfRule>
  </conditionalFormatting>
  <conditionalFormatting sqref="C1279">
    <cfRule type="cellIs" dxfId="2258" priority="3835" stopIfTrue="1" operator="equal">
      <formula>"1 Modify"</formula>
    </cfRule>
  </conditionalFormatting>
  <conditionalFormatting sqref="C1279">
    <cfRule type="cellIs" dxfId="2257" priority="3836" stopIfTrue="1" operator="equal">
      <formula>"2 Add"</formula>
    </cfRule>
  </conditionalFormatting>
  <conditionalFormatting sqref="C1279">
    <cfRule type="cellIs" dxfId="2256" priority="3837" stopIfTrue="1" operator="equal">
      <formula>"3 Delete"</formula>
    </cfRule>
  </conditionalFormatting>
  <conditionalFormatting sqref="C1280">
    <cfRule type="cellIs" dxfId="2255" priority="3838" stopIfTrue="1" operator="equal">
      <formula>"1 Modify"</formula>
    </cfRule>
  </conditionalFormatting>
  <conditionalFormatting sqref="C1280">
    <cfRule type="cellIs" dxfId="2254" priority="3839" stopIfTrue="1" operator="equal">
      <formula>"2 Add"</formula>
    </cfRule>
  </conditionalFormatting>
  <conditionalFormatting sqref="C1280">
    <cfRule type="cellIs" dxfId="2253" priority="3840" stopIfTrue="1" operator="equal">
      <formula>"3 Delete"</formula>
    </cfRule>
  </conditionalFormatting>
  <conditionalFormatting sqref="C1281">
    <cfRule type="cellIs" dxfId="2252" priority="3841" stopIfTrue="1" operator="equal">
      <formula>"1 Modify"</formula>
    </cfRule>
  </conditionalFormatting>
  <conditionalFormatting sqref="C1281">
    <cfRule type="cellIs" dxfId="2251" priority="3842" stopIfTrue="1" operator="equal">
      <formula>"2 Add"</formula>
    </cfRule>
  </conditionalFormatting>
  <conditionalFormatting sqref="C1281">
    <cfRule type="cellIs" dxfId="2250" priority="3843" stopIfTrue="1" operator="equal">
      <formula>"3 Delete"</formula>
    </cfRule>
  </conditionalFormatting>
  <conditionalFormatting sqref="C1282">
    <cfRule type="cellIs" dxfId="2249" priority="3844" stopIfTrue="1" operator="equal">
      <formula>"1 Modify"</formula>
    </cfRule>
  </conditionalFormatting>
  <conditionalFormatting sqref="C1282">
    <cfRule type="cellIs" dxfId="2248" priority="3845" stopIfTrue="1" operator="equal">
      <formula>"2 Add"</formula>
    </cfRule>
  </conditionalFormatting>
  <conditionalFormatting sqref="C1282">
    <cfRule type="cellIs" dxfId="2247" priority="3846" stopIfTrue="1" operator="equal">
      <formula>"3 Delete"</formula>
    </cfRule>
  </conditionalFormatting>
  <conditionalFormatting sqref="C1283">
    <cfRule type="cellIs" dxfId="2246" priority="3847" stopIfTrue="1" operator="equal">
      <formula>"1 Modify"</formula>
    </cfRule>
  </conditionalFormatting>
  <conditionalFormatting sqref="C1283">
    <cfRule type="cellIs" dxfId="2245" priority="3848" stopIfTrue="1" operator="equal">
      <formula>"2 Add"</formula>
    </cfRule>
  </conditionalFormatting>
  <conditionalFormatting sqref="C1283">
    <cfRule type="cellIs" dxfId="2244" priority="3849" stopIfTrue="1" operator="equal">
      <formula>"3 Delete"</formula>
    </cfRule>
  </conditionalFormatting>
  <conditionalFormatting sqref="C1284">
    <cfRule type="cellIs" dxfId="2243" priority="3850" stopIfTrue="1" operator="equal">
      <formula>"1 Modify"</formula>
    </cfRule>
  </conditionalFormatting>
  <conditionalFormatting sqref="C1284">
    <cfRule type="cellIs" dxfId="2242" priority="3851" stopIfTrue="1" operator="equal">
      <formula>"2 Add"</formula>
    </cfRule>
  </conditionalFormatting>
  <conditionalFormatting sqref="C1284">
    <cfRule type="cellIs" dxfId="2241" priority="3852" stopIfTrue="1" operator="equal">
      <formula>"3 Delete"</formula>
    </cfRule>
  </conditionalFormatting>
  <conditionalFormatting sqref="C1285">
    <cfRule type="cellIs" dxfId="2240" priority="3853" stopIfTrue="1" operator="equal">
      <formula>"1 Modify"</formula>
    </cfRule>
  </conditionalFormatting>
  <conditionalFormatting sqref="C1285">
    <cfRule type="cellIs" dxfId="2239" priority="3854" stopIfTrue="1" operator="equal">
      <formula>"2 Add"</formula>
    </cfRule>
  </conditionalFormatting>
  <conditionalFormatting sqref="C1285">
    <cfRule type="cellIs" dxfId="2238" priority="3855" stopIfTrue="1" operator="equal">
      <formula>"3 Delete"</formula>
    </cfRule>
  </conditionalFormatting>
  <conditionalFormatting sqref="C1286">
    <cfRule type="cellIs" dxfId="2237" priority="3856" stopIfTrue="1" operator="equal">
      <formula>"1 Modify"</formula>
    </cfRule>
  </conditionalFormatting>
  <conditionalFormatting sqref="C1286">
    <cfRule type="cellIs" dxfId="2236" priority="3857" stopIfTrue="1" operator="equal">
      <formula>"2 Add"</formula>
    </cfRule>
  </conditionalFormatting>
  <conditionalFormatting sqref="C1286">
    <cfRule type="cellIs" dxfId="2235" priority="3858" stopIfTrue="1" operator="equal">
      <formula>"3 Delete"</formula>
    </cfRule>
  </conditionalFormatting>
  <conditionalFormatting sqref="C1287">
    <cfRule type="cellIs" dxfId="2234" priority="3859" stopIfTrue="1" operator="equal">
      <formula>"1 Modify"</formula>
    </cfRule>
  </conditionalFormatting>
  <conditionalFormatting sqref="C1287">
    <cfRule type="cellIs" dxfId="2233" priority="3860" stopIfTrue="1" operator="equal">
      <formula>"2 Add"</formula>
    </cfRule>
  </conditionalFormatting>
  <conditionalFormatting sqref="C1287">
    <cfRule type="cellIs" dxfId="2232" priority="3861" stopIfTrue="1" operator="equal">
      <formula>"3 Delete"</formula>
    </cfRule>
  </conditionalFormatting>
  <conditionalFormatting sqref="C1288">
    <cfRule type="cellIs" dxfId="2231" priority="3862" stopIfTrue="1" operator="equal">
      <formula>"1 Modify"</formula>
    </cfRule>
  </conditionalFormatting>
  <conditionalFormatting sqref="C1288">
    <cfRule type="cellIs" dxfId="2230" priority="3863" stopIfTrue="1" operator="equal">
      <formula>"2 Add"</formula>
    </cfRule>
  </conditionalFormatting>
  <conditionalFormatting sqref="C1288">
    <cfRule type="cellIs" dxfId="2229" priority="3864" stopIfTrue="1" operator="equal">
      <formula>"3 Delete"</formula>
    </cfRule>
  </conditionalFormatting>
  <conditionalFormatting sqref="C1289">
    <cfRule type="cellIs" dxfId="2228" priority="3865" stopIfTrue="1" operator="equal">
      <formula>"1 Modify"</formula>
    </cfRule>
  </conditionalFormatting>
  <conditionalFormatting sqref="C1289">
    <cfRule type="cellIs" dxfId="2227" priority="3866" stopIfTrue="1" operator="equal">
      <formula>"2 Add"</formula>
    </cfRule>
  </conditionalFormatting>
  <conditionalFormatting sqref="C1289">
    <cfRule type="cellIs" dxfId="2226" priority="3867" stopIfTrue="1" operator="equal">
      <formula>"3 Delete"</formula>
    </cfRule>
  </conditionalFormatting>
  <conditionalFormatting sqref="C1290">
    <cfRule type="cellIs" dxfId="2225" priority="3868" stopIfTrue="1" operator="equal">
      <formula>"1 Modify"</formula>
    </cfRule>
  </conditionalFormatting>
  <conditionalFormatting sqref="C1290">
    <cfRule type="cellIs" dxfId="2224" priority="3869" stopIfTrue="1" operator="equal">
      <formula>"2 Add"</formula>
    </cfRule>
  </conditionalFormatting>
  <conditionalFormatting sqref="C1290">
    <cfRule type="cellIs" dxfId="2223" priority="3870" stopIfTrue="1" operator="equal">
      <formula>"3 Delete"</formula>
    </cfRule>
  </conditionalFormatting>
  <conditionalFormatting sqref="C1291">
    <cfRule type="cellIs" dxfId="2222" priority="3871" stopIfTrue="1" operator="equal">
      <formula>"1 Modify"</formula>
    </cfRule>
  </conditionalFormatting>
  <conditionalFormatting sqref="C1291">
    <cfRule type="cellIs" dxfId="2221" priority="3872" stopIfTrue="1" operator="equal">
      <formula>"2 Add"</formula>
    </cfRule>
  </conditionalFormatting>
  <conditionalFormatting sqref="C1291">
    <cfRule type="cellIs" dxfId="2220" priority="3873" stopIfTrue="1" operator="equal">
      <formula>"3 Delete"</formula>
    </cfRule>
  </conditionalFormatting>
  <conditionalFormatting sqref="C1292">
    <cfRule type="cellIs" dxfId="2219" priority="3874" stopIfTrue="1" operator="equal">
      <formula>"1 Modify"</formula>
    </cfRule>
  </conditionalFormatting>
  <conditionalFormatting sqref="C1292">
    <cfRule type="cellIs" dxfId="2218" priority="3875" stopIfTrue="1" operator="equal">
      <formula>"2 Add"</formula>
    </cfRule>
  </conditionalFormatting>
  <conditionalFormatting sqref="C1292">
    <cfRule type="cellIs" dxfId="2217" priority="3876" stopIfTrue="1" operator="equal">
      <formula>"3 Delete"</formula>
    </cfRule>
  </conditionalFormatting>
  <conditionalFormatting sqref="C1293">
    <cfRule type="cellIs" dxfId="2216" priority="3877" stopIfTrue="1" operator="equal">
      <formula>"1 Modify"</formula>
    </cfRule>
  </conditionalFormatting>
  <conditionalFormatting sqref="C1293">
    <cfRule type="cellIs" dxfId="2215" priority="3878" stopIfTrue="1" operator="equal">
      <formula>"2 Add"</formula>
    </cfRule>
  </conditionalFormatting>
  <conditionalFormatting sqref="C1293">
    <cfRule type="cellIs" dxfId="2214" priority="3879" stopIfTrue="1" operator="equal">
      <formula>"3 Delete"</formula>
    </cfRule>
  </conditionalFormatting>
  <conditionalFormatting sqref="C1294">
    <cfRule type="cellIs" dxfId="2213" priority="3880" stopIfTrue="1" operator="equal">
      <formula>"1 Modify"</formula>
    </cfRule>
  </conditionalFormatting>
  <conditionalFormatting sqref="C1294">
    <cfRule type="cellIs" dxfId="2212" priority="3881" stopIfTrue="1" operator="equal">
      <formula>"2 Add"</formula>
    </cfRule>
  </conditionalFormatting>
  <conditionalFormatting sqref="C1294">
    <cfRule type="cellIs" dxfId="2211" priority="3882" stopIfTrue="1" operator="equal">
      <formula>"3 Delete"</formula>
    </cfRule>
  </conditionalFormatting>
  <conditionalFormatting sqref="C1295">
    <cfRule type="cellIs" dxfId="2210" priority="3883" stopIfTrue="1" operator="equal">
      <formula>"1 Modify"</formula>
    </cfRule>
  </conditionalFormatting>
  <conditionalFormatting sqref="C1295">
    <cfRule type="cellIs" dxfId="2209" priority="3884" stopIfTrue="1" operator="equal">
      <formula>"2 Add"</formula>
    </cfRule>
  </conditionalFormatting>
  <conditionalFormatting sqref="C1295">
    <cfRule type="cellIs" dxfId="2208" priority="3885" stopIfTrue="1" operator="equal">
      <formula>"3 Delete"</formula>
    </cfRule>
  </conditionalFormatting>
  <conditionalFormatting sqref="C1296">
    <cfRule type="cellIs" dxfId="2207" priority="3886" stopIfTrue="1" operator="equal">
      <formula>"1 Modify"</formula>
    </cfRule>
  </conditionalFormatting>
  <conditionalFormatting sqref="C1296">
    <cfRule type="cellIs" dxfId="2206" priority="3887" stopIfTrue="1" operator="equal">
      <formula>"2 Add"</formula>
    </cfRule>
  </conditionalFormatting>
  <conditionalFormatting sqref="C1296">
    <cfRule type="cellIs" dxfId="2205" priority="3888" stopIfTrue="1" operator="equal">
      <formula>"3 Delete"</formula>
    </cfRule>
  </conditionalFormatting>
  <conditionalFormatting sqref="C1297">
    <cfRule type="cellIs" dxfId="2204" priority="3889" stopIfTrue="1" operator="equal">
      <formula>"1 Modify"</formula>
    </cfRule>
  </conditionalFormatting>
  <conditionalFormatting sqref="C1297">
    <cfRule type="cellIs" dxfId="2203" priority="3890" stopIfTrue="1" operator="equal">
      <formula>"2 Add"</formula>
    </cfRule>
  </conditionalFormatting>
  <conditionalFormatting sqref="C1297">
    <cfRule type="cellIs" dxfId="2202" priority="3891" stopIfTrue="1" operator="equal">
      <formula>"3 Delete"</formula>
    </cfRule>
  </conditionalFormatting>
  <conditionalFormatting sqref="C1298">
    <cfRule type="cellIs" dxfId="2201" priority="3892" stopIfTrue="1" operator="equal">
      <formula>"1 Modify"</formula>
    </cfRule>
  </conditionalFormatting>
  <conditionalFormatting sqref="C1298">
    <cfRule type="cellIs" dxfId="2200" priority="3893" stopIfTrue="1" operator="equal">
      <formula>"2 Add"</formula>
    </cfRule>
  </conditionalFormatting>
  <conditionalFormatting sqref="C1298">
    <cfRule type="cellIs" dxfId="2199" priority="3894" stopIfTrue="1" operator="equal">
      <formula>"3 Delete"</formula>
    </cfRule>
  </conditionalFormatting>
  <conditionalFormatting sqref="C1299">
    <cfRule type="cellIs" dxfId="2198" priority="3895" stopIfTrue="1" operator="equal">
      <formula>"1 Modify"</formula>
    </cfRule>
  </conditionalFormatting>
  <conditionalFormatting sqref="C1299">
    <cfRule type="cellIs" dxfId="2197" priority="3896" stopIfTrue="1" operator="equal">
      <formula>"2 Add"</formula>
    </cfRule>
  </conditionalFormatting>
  <conditionalFormatting sqref="C1299">
    <cfRule type="cellIs" dxfId="2196" priority="3897" stopIfTrue="1" operator="equal">
      <formula>"3 Delete"</formula>
    </cfRule>
  </conditionalFormatting>
  <conditionalFormatting sqref="C1300">
    <cfRule type="cellIs" dxfId="2195" priority="3898" stopIfTrue="1" operator="equal">
      <formula>"1 Modify"</formula>
    </cfRule>
  </conditionalFormatting>
  <conditionalFormatting sqref="C1300">
    <cfRule type="cellIs" dxfId="2194" priority="3899" stopIfTrue="1" operator="equal">
      <formula>"2 Add"</formula>
    </cfRule>
  </conditionalFormatting>
  <conditionalFormatting sqref="C1300">
    <cfRule type="cellIs" dxfId="2193" priority="3900" stopIfTrue="1" operator="equal">
      <formula>"3 Delete"</formula>
    </cfRule>
  </conditionalFormatting>
  <conditionalFormatting sqref="C1301">
    <cfRule type="cellIs" dxfId="2192" priority="3901" stopIfTrue="1" operator="equal">
      <formula>"1 Modify"</formula>
    </cfRule>
  </conditionalFormatting>
  <conditionalFormatting sqref="C1301">
    <cfRule type="cellIs" dxfId="2191" priority="3902" stopIfTrue="1" operator="equal">
      <formula>"2 Add"</formula>
    </cfRule>
  </conditionalFormatting>
  <conditionalFormatting sqref="C1301">
    <cfRule type="cellIs" dxfId="2190" priority="3903" stopIfTrue="1" operator="equal">
      <formula>"3 Delete"</formula>
    </cfRule>
  </conditionalFormatting>
  <conditionalFormatting sqref="C1302">
    <cfRule type="cellIs" dxfId="2189" priority="3904" stopIfTrue="1" operator="equal">
      <formula>"1 Modify"</formula>
    </cfRule>
  </conditionalFormatting>
  <conditionalFormatting sqref="C1302">
    <cfRule type="cellIs" dxfId="2188" priority="3905" stopIfTrue="1" operator="equal">
      <formula>"2 Add"</formula>
    </cfRule>
  </conditionalFormatting>
  <conditionalFormatting sqref="C1302">
    <cfRule type="cellIs" dxfId="2187" priority="3906" stopIfTrue="1" operator="equal">
      <formula>"3 Delete"</formula>
    </cfRule>
  </conditionalFormatting>
  <conditionalFormatting sqref="C1303">
    <cfRule type="cellIs" dxfId="2186" priority="3907" stopIfTrue="1" operator="equal">
      <formula>"1 Modify"</formula>
    </cfRule>
  </conditionalFormatting>
  <conditionalFormatting sqref="C1303">
    <cfRule type="cellIs" dxfId="2185" priority="3908" stopIfTrue="1" operator="equal">
      <formula>"2 Add"</formula>
    </cfRule>
  </conditionalFormatting>
  <conditionalFormatting sqref="C1303">
    <cfRule type="cellIs" dxfId="2184" priority="3909" stopIfTrue="1" operator="equal">
      <formula>"3 Delete"</formula>
    </cfRule>
  </conditionalFormatting>
  <conditionalFormatting sqref="C1304">
    <cfRule type="cellIs" dxfId="2183" priority="3910" stopIfTrue="1" operator="equal">
      <formula>"1 Modify"</formula>
    </cfRule>
  </conditionalFormatting>
  <conditionalFormatting sqref="C1304">
    <cfRule type="cellIs" dxfId="2182" priority="3911" stopIfTrue="1" operator="equal">
      <formula>"2 Add"</formula>
    </cfRule>
  </conditionalFormatting>
  <conditionalFormatting sqref="C1304">
    <cfRule type="cellIs" dxfId="2181" priority="3912" stopIfTrue="1" operator="equal">
      <formula>"3 Delete"</formula>
    </cfRule>
  </conditionalFormatting>
  <conditionalFormatting sqref="C1305">
    <cfRule type="cellIs" dxfId="2180" priority="3913" stopIfTrue="1" operator="equal">
      <formula>"1 Modify"</formula>
    </cfRule>
  </conditionalFormatting>
  <conditionalFormatting sqref="C1305">
    <cfRule type="cellIs" dxfId="2179" priority="3914" stopIfTrue="1" operator="equal">
      <formula>"2 Add"</formula>
    </cfRule>
  </conditionalFormatting>
  <conditionalFormatting sqref="C1305">
    <cfRule type="cellIs" dxfId="2178" priority="3915" stopIfTrue="1" operator="equal">
      <formula>"3 Delete"</formula>
    </cfRule>
  </conditionalFormatting>
  <conditionalFormatting sqref="C1306">
    <cfRule type="cellIs" dxfId="2177" priority="3916" stopIfTrue="1" operator="equal">
      <formula>"1 Modify"</formula>
    </cfRule>
  </conditionalFormatting>
  <conditionalFormatting sqref="C1306">
    <cfRule type="cellIs" dxfId="2176" priority="3917" stopIfTrue="1" operator="equal">
      <formula>"2 Add"</formula>
    </cfRule>
  </conditionalFormatting>
  <conditionalFormatting sqref="C1306">
    <cfRule type="cellIs" dxfId="2175" priority="3918" stopIfTrue="1" operator="equal">
      <formula>"3 Delete"</formula>
    </cfRule>
  </conditionalFormatting>
  <conditionalFormatting sqref="C1307">
    <cfRule type="cellIs" dxfId="2174" priority="3919" stopIfTrue="1" operator="equal">
      <formula>"1 Modify"</formula>
    </cfRule>
  </conditionalFormatting>
  <conditionalFormatting sqref="C1307">
    <cfRule type="cellIs" dxfId="2173" priority="3920" stopIfTrue="1" operator="equal">
      <formula>"2 Add"</formula>
    </cfRule>
  </conditionalFormatting>
  <conditionalFormatting sqref="C1307">
    <cfRule type="cellIs" dxfId="2172" priority="3921" stopIfTrue="1" operator="equal">
      <formula>"3 Delete"</formula>
    </cfRule>
  </conditionalFormatting>
  <conditionalFormatting sqref="C1308">
    <cfRule type="cellIs" dxfId="2171" priority="3922" stopIfTrue="1" operator="equal">
      <formula>"1 Modify"</formula>
    </cfRule>
  </conditionalFormatting>
  <conditionalFormatting sqref="C1308">
    <cfRule type="cellIs" dxfId="2170" priority="3923" stopIfTrue="1" operator="equal">
      <formula>"2 Add"</formula>
    </cfRule>
  </conditionalFormatting>
  <conditionalFormatting sqref="C1308">
    <cfRule type="cellIs" dxfId="2169" priority="3924" stopIfTrue="1" operator="equal">
      <formula>"3 Delete"</formula>
    </cfRule>
  </conditionalFormatting>
  <conditionalFormatting sqref="C1309">
    <cfRule type="cellIs" dxfId="2168" priority="3925" stopIfTrue="1" operator="equal">
      <formula>"1 Modify"</formula>
    </cfRule>
  </conditionalFormatting>
  <conditionalFormatting sqref="C1309">
    <cfRule type="cellIs" dxfId="2167" priority="3926" stopIfTrue="1" operator="equal">
      <formula>"2 Add"</formula>
    </cfRule>
  </conditionalFormatting>
  <conditionalFormatting sqref="C1309">
    <cfRule type="cellIs" dxfId="2166" priority="3927" stopIfTrue="1" operator="equal">
      <formula>"3 Delete"</formula>
    </cfRule>
  </conditionalFormatting>
  <conditionalFormatting sqref="C1310">
    <cfRule type="cellIs" dxfId="2165" priority="3928" stopIfTrue="1" operator="equal">
      <formula>"1 Modify"</formula>
    </cfRule>
  </conditionalFormatting>
  <conditionalFormatting sqref="C1310">
    <cfRule type="cellIs" dxfId="2164" priority="3929" stopIfTrue="1" operator="equal">
      <formula>"2 Add"</formula>
    </cfRule>
  </conditionalFormatting>
  <conditionalFormatting sqref="C1310">
    <cfRule type="cellIs" dxfId="2163" priority="3930" stopIfTrue="1" operator="equal">
      <formula>"3 Delete"</formula>
    </cfRule>
  </conditionalFormatting>
  <conditionalFormatting sqref="C1311">
    <cfRule type="cellIs" dxfId="2162" priority="3931" stopIfTrue="1" operator="equal">
      <formula>"1 Modify"</formula>
    </cfRule>
  </conditionalFormatting>
  <conditionalFormatting sqref="C1311">
    <cfRule type="cellIs" dxfId="2161" priority="3932" stopIfTrue="1" operator="equal">
      <formula>"2 Add"</formula>
    </cfRule>
  </conditionalFormatting>
  <conditionalFormatting sqref="C1311">
    <cfRule type="cellIs" dxfId="2160" priority="3933" stopIfTrue="1" operator="equal">
      <formula>"3 Delete"</formula>
    </cfRule>
  </conditionalFormatting>
  <conditionalFormatting sqref="C1312">
    <cfRule type="cellIs" dxfId="2159" priority="3934" stopIfTrue="1" operator="equal">
      <formula>"1 Modify"</formula>
    </cfRule>
  </conditionalFormatting>
  <conditionalFormatting sqref="C1312">
    <cfRule type="cellIs" dxfId="2158" priority="3935" stopIfTrue="1" operator="equal">
      <formula>"2 Add"</formula>
    </cfRule>
  </conditionalFormatting>
  <conditionalFormatting sqref="C1312">
    <cfRule type="cellIs" dxfId="2157" priority="3936" stopIfTrue="1" operator="equal">
      <formula>"3 Delete"</formula>
    </cfRule>
  </conditionalFormatting>
  <conditionalFormatting sqref="C1313">
    <cfRule type="cellIs" dxfId="2156" priority="3937" stopIfTrue="1" operator="equal">
      <formula>"1 Modify"</formula>
    </cfRule>
  </conditionalFormatting>
  <conditionalFormatting sqref="C1313">
    <cfRule type="cellIs" dxfId="2155" priority="3938" stopIfTrue="1" operator="equal">
      <formula>"2 Add"</formula>
    </cfRule>
  </conditionalFormatting>
  <conditionalFormatting sqref="C1313">
    <cfRule type="cellIs" dxfId="2154" priority="3939" stopIfTrue="1" operator="equal">
      <formula>"3 Delete"</formula>
    </cfRule>
  </conditionalFormatting>
  <conditionalFormatting sqref="C1314">
    <cfRule type="cellIs" dxfId="2153" priority="3940" stopIfTrue="1" operator="equal">
      <formula>"1 Modify"</formula>
    </cfRule>
  </conditionalFormatting>
  <conditionalFormatting sqref="C1314">
    <cfRule type="cellIs" dxfId="2152" priority="3941" stopIfTrue="1" operator="equal">
      <formula>"2 Add"</formula>
    </cfRule>
  </conditionalFormatting>
  <conditionalFormatting sqref="C1314">
    <cfRule type="cellIs" dxfId="2151" priority="3942" stopIfTrue="1" operator="equal">
      <formula>"3 Delete"</formula>
    </cfRule>
  </conditionalFormatting>
  <conditionalFormatting sqref="C1315">
    <cfRule type="cellIs" dxfId="2150" priority="3943" stopIfTrue="1" operator="equal">
      <formula>"1 Modify"</formula>
    </cfRule>
  </conditionalFormatting>
  <conditionalFormatting sqref="C1315">
    <cfRule type="cellIs" dxfId="2149" priority="3944" stopIfTrue="1" operator="equal">
      <formula>"2 Add"</formula>
    </cfRule>
  </conditionalFormatting>
  <conditionalFormatting sqref="C1315">
    <cfRule type="cellIs" dxfId="2148" priority="3945" stopIfTrue="1" operator="equal">
      <formula>"3 Delete"</formula>
    </cfRule>
  </conditionalFormatting>
  <conditionalFormatting sqref="C1316">
    <cfRule type="cellIs" dxfId="2147" priority="3946" stopIfTrue="1" operator="equal">
      <formula>"1 Modify"</formula>
    </cfRule>
  </conditionalFormatting>
  <conditionalFormatting sqref="C1316">
    <cfRule type="cellIs" dxfId="2146" priority="3947" stopIfTrue="1" operator="equal">
      <formula>"2 Add"</formula>
    </cfRule>
  </conditionalFormatting>
  <conditionalFormatting sqref="C1316">
    <cfRule type="cellIs" dxfId="2145" priority="3948" stopIfTrue="1" operator="equal">
      <formula>"3 Delete"</formula>
    </cfRule>
  </conditionalFormatting>
  <conditionalFormatting sqref="C1317">
    <cfRule type="cellIs" dxfId="2144" priority="3949" stopIfTrue="1" operator="equal">
      <formula>"1 Modify"</formula>
    </cfRule>
  </conditionalFormatting>
  <conditionalFormatting sqref="C1317">
    <cfRule type="cellIs" dxfId="2143" priority="3950" stopIfTrue="1" operator="equal">
      <formula>"2 Add"</formula>
    </cfRule>
  </conditionalFormatting>
  <conditionalFormatting sqref="C1317">
    <cfRule type="cellIs" dxfId="2142" priority="3951" stopIfTrue="1" operator="equal">
      <formula>"3 Delete"</formula>
    </cfRule>
  </conditionalFormatting>
  <conditionalFormatting sqref="C1318">
    <cfRule type="cellIs" dxfId="2141" priority="3952" stopIfTrue="1" operator="equal">
      <formula>"1 Modify"</formula>
    </cfRule>
  </conditionalFormatting>
  <conditionalFormatting sqref="C1318">
    <cfRule type="cellIs" dxfId="2140" priority="3953" stopIfTrue="1" operator="equal">
      <formula>"2 Add"</formula>
    </cfRule>
  </conditionalFormatting>
  <conditionalFormatting sqref="C1318">
    <cfRule type="cellIs" dxfId="2139" priority="3954" stopIfTrue="1" operator="equal">
      <formula>"3 Delete"</formula>
    </cfRule>
  </conditionalFormatting>
  <conditionalFormatting sqref="C1319">
    <cfRule type="cellIs" dxfId="2138" priority="3955" stopIfTrue="1" operator="equal">
      <formula>"1 Modify"</formula>
    </cfRule>
  </conditionalFormatting>
  <conditionalFormatting sqref="C1319">
    <cfRule type="cellIs" dxfId="2137" priority="3956" stopIfTrue="1" operator="equal">
      <formula>"2 Add"</formula>
    </cfRule>
  </conditionalFormatting>
  <conditionalFormatting sqref="C1319">
    <cfRule type="cellIs" dxfId="2136" priority="3957" stopIfTrue="1" operator="equal">
      <formula>"3 Delete"</formula>
    </cfRule>
  </conditionalFormatting>
  <conditionalFormatting sqref="C1320">
    <cfRule type="cellIs" dxfId="2135" priority="3958" stopIfTrue="1" operator="equal">
      <formula>"1 Modify"</formula>
    </cfRule>
  </conditionalFormatting>
  <conditionalFormatting sqref="C1320">
    <cfRule type="cellIs" dxfId="2134" priority="3959" stopIfTrue="1" operator="equal">
      <formula>"2 Add"</formula>
    </cfRule>
  </conditionalFormatting>
  <conditionalFormatting sqref="C1320">
    <cfRule type="cellIs" dxfId="2133" priority="3960" stopIfTrue="1" operator="equal">
      <formula>"3 Delete"</formula>
    </cfRule>
  </conditionalFormatting>
  <conditionalFormatting sqref="C1321">
    <cfRule type="cellIs" dxfId="2132" priority="3961" stopIfTrue="1" operator="equal">
      <formula>"1 Modify"</formula>
    </cfRule>
  </conditionalFormatting>
  <conditionalFormatting sqref="C1321">
    <cfRule type="cellIs" dxfId="2131" priority="3962" stopIfTrue="1" operator="equal">
      <formula>"2 Add"</formula>
    </cfRule>
  </conditionalFormatting>
  <conditionalFormatting sqref="C1321">
    <cfRule type="cellIs" dxfId="2130" priority="3963" stopIfTrue="1" operator="equal">
      <formula>"3 Delete"</formula>
    </cfRule>
  </conditionalFormatting>
  <conditionalFormatting sqref="C1322">
    <cfRule type="cellIs" dxfId="2129" priority="3964" stopIfTrue="1" operator="equal">
      <formula>"1 Modify"</formula>
    </cfRule>
  </conditionalFormatting>
  <conditionalFormatting sqref="C1322">
    <cfRule type="cellIs" dxfId="2128" priority="3965" stopIfTrue="1" operator="equal">
      <formula>"2 Add"</formula>
    </cfRule>
  </conditionalFormatting>
  <conditionalFormatting sqref="C1322">
    <cfRule type="cellIs" dxfId="2127" priority="3966" stopIfTrue="1" operator="equal">
      <formula>"3 Delete"</formula>
    </cfRule>
  </conditionalFormatting>
  <conditionalFormatting sqref="C1323">
    <cfRule type="cellIs" dxfId="2126" priority="3967" stopIfTrue="1" operator="equal">
      <formula>"1 Modify"</formula>
    </cfRule>
  </conditionalFormatting>
  <conditionalFormatting sqref="C1323">
    <cfRule type="cellIs" dxfId="2125" priority="3968" stopIfTrue="1" operator="equal">
      <formula>"2 Add"</formula>
    </cfRule>
  </conditionalFormatting>
  <conditionalFormatting sqref="C1323">
    <cfRule type="cellIs" dxfId="2124" priority="3969" stopIfTrue="1" operator="equal">
      <formula>"3 Delete"</formula>
    </cfRule>
  </conditionalFormatting>
  <conditionalFormatting sqref="C1324">
    <cfRule type="cellIs" dxfId="2123" priority="3970" stopIfTrue="1" operator="equal">
      <formula>"1 Modify"</formula>
    </cfRule>
  </conditionalFormatting>
  <conditionalFormatting sqref="C1324">
    <cfRule type="cellIs" dxfId="2122" priority="3971" stopIfTrue="1" operator="equal">
      <formula>"2 Add"</formula>
    </cfRule>
  </conditionalFormatting>
  <conditionalFormatting sqref="C1324">
    <cfRule type="cellIs" dxfId="2121" priority="3972" stopIfTrue="1" operator="equal">
      <formula>"3 Delete"</formula>
    </cfRule>
  </conditionalFormatting>
  <conditionalFormatting sqref="C1325">
    <cfRule type="cellIs" dxfId="2120" priority="3973" stopIfTrue="1" operator="equal">
      <formula>"1 Modify"</formula>
    </cfRule>
  </conditionalFormatting>
  <conditionalFormatting sqref="C1325">
    <cfRule type="cellIs" dxfId="2119" priority="3974" stopIfTrue="1" operator="equal">
      <formula>"2 Add"</formula>
    </cfRule>
  </conditionalFormatting>
  <conditionalFormatting sqref="C1325">
    <cfRule type="cellIs" dxfId="2118" priority="3975" stopIfTrue="1" operator="equal">
      <formula>"3 Delete"</formula>
    </cfRule>
  </conditionalFormatting>
  <conditionalFormatting sqref="C1326">
    <cfRule type="cellIs" dxfId="2117" priority="3976" stopIfTrue="1" operator="equal">
      <formula>"1 Modify"</formula>
    </cfRule>
  </conditionalFormatting>
  <conditionalFormatting sqref="C1326">
    <cfRule type="cellIs" dxfId="2116" priority="3977" stopIfTrue="1" operator="equal">
      <formula>"2 Add"</formula>
    </cfRule>
  </conditionalFormatting>
  <conditionalFormatting sqref="C1326">
    <cfRule type="cellIs" dxfId="2115" priority="3978" stopIfTrue="1" operator="equal">
      <formula>"3 Delete"</formula>
    </cfRule>
  </conditionalFormatting>
  <conditionalFormatting sqref="C1327">
    <cfRule type="cellIs" dxfId="2114" priority="3979" stopIfTrue="1" operator="equal">
      <formula>"1 Modify"</formula>
    </cfRule>
  </conditionalFormatting>
  <conditionalFormatting sqref="C1327">
    <cfRule type="cellIs" dxfId="2113" priority="3980" stopIfTrue="1" operator="equal">
      <formula>"2 Add"</formula>
    </cfRule>
  </conditionalFormatting>
  <conditionalFormatting sqref="C1327">
    <cfRule type="cellIs" dxfId="2112" priority="3981" stopIfTrue="1" operator="equal">
      <formula>"3 Delete"</formula>
    </cfRule>
  </conditionalFormatting>
  <conditionalFormatting sqref="C1328">
    <cfRule type="cellIs" dxfId="2111" priority="3982" stopIfTrue="1" operator="equal">
      <formula>"1 Modify"</formula>
    </cfRule>
  </conditionalFormatting>
  <conditionalFormatting sqref="C1328">
    <cfRule type="cellIs" dxfId="2110" priority="3983" stopIfTrue="1" operator="equal">
      <formula>"2 Add"</formula>
    </cfRule>
  </conditionalFormatting>
  <conditionalFormatting sqref="C1328">
    <cfRule type="cellIs" dxfId="2109" priority="3984" stopIfTrue="1" operator="equal">
      <formula>"3 Delete"</formula>
    </cfRule>
  </conditionalFormatting>
  <conditionalFormatting sqref="C1329">
    <cfRule type="cellIs" dxfId="2108" priority="3985" stopIfTrue="1" operator="equal">
      <formula>"1 Modify"</formula>
    </cfRule>
  </conditionalFormatting>
  <conditionalFormatting sqref="C1329">
    <cfRule type="cellIs" dxfId="2107" priority="3986" stopIfTrue="1" operator="equal">
      <formula>"2 Add"</formula>
    </cfRule>
  </conditionalFormatting>
  <conditionalFormatting sqref="C1329">
    <cfRule type="cellIs" dxfId="2106" priority="3987" stopIfTrue="1" operator="equal">
      <formula>"3 Delete"</formula>
    </cfRule>
  </conditionalFormatting>
  <conditionalFormatting sqref="C1330">
    <cfRule type="cellIs" dxfId="2105" priority="3988" stopIfTrue="1" operator="equal">
      <formula>"1 Modify"</formula>
    </cfRule>
  </conditionalFormatting>
  <conditionalFormatting sqref="C1330">
    <cfRule type="cellIs" dxfId="2104" priority="3989" stopIfTrue="1" operator="equal">
      <formula>"2 Add"</formula>
    </cfRule>
  </conditionalFormatting>
  <conditionalFormatting sqref="C1330">
    <cfRule type="cellIs" dxfId="2103" priority="3990" stopIfTrue="1" operator="equal">
      <formula>"3 Delete"</formula>
    </cfRule>
  </conditionalFormatting>
  <conditionalFormatting sqref="C1331">
    <cfRule type="cellIs" dxfId="2102" priority="3991" stopIfTrue="1" operator="equal">
      <formula>"1 Modify"</formula>
    </cfRule>
  </conditionalFormatting>
  <conditionalFormatting sqref="C1331">
    <cfRule type="cellIs" dxfId="2101" priority="3992" stopIfTrue="1" operator="equal">
      <formula>"2 Add"</formula>
    </cfRule>
  </conditionalFormatting>
  <conditionalFormatting sqref="C1331">
    <cfRule type="cellIs" dxfId="2100" priority="3993" stopIfTrue="1" operator="equal">
      <formula>"3 Delete"</formula>
    </cfRule>
  </conditionalFormatting>
  <conditionalFormatting sqref="C1332">
    <cfRule type="cellIs" dxfId="2099" priority="3994" stopIfTrue="1" operator="equal">
      <formula>"1 Modify"</formula>
    </cfRule>
  </conditionalFormatting>
  <conditionalFormatting sqref="C1332">
    <cfRule type="cellIs" dxfId="2098" priority="3995" stopIfTrue="1" operator="equal">
      <formula>"2 Add"</formula>
    </cfRule>
  </conditionalFormatting>
  <conditionalFormatting sqref="C1332">
    <cfRule type="cellIs" dxfId="2097" priority="3996" stopIfTrue="1" operator="equal">
      <formula>"3 Delete"</formula>
    </cfRule>
  </conditionalFormatting>
  <conditionalFormatting sqref="C1333">
    <cfRule type="cellIs" dxfId="2096" priority="3997" stopIfTrue="1" operator="equal">
      <formula>"1 Modify"</formula>
    </cfRule>
  </conditionalFormatting>
  <conditionalFormatting sqref="C1333">
    <cfRule type="cellIs" dxfId="2095" priority="3998" stopIfTrue="1" operator="equal">
      <formula>"2 Add"</formula>
    </cfRule>
  </conditionalFormatting>
  <conditionalFormatting sqref="C1333">
    <cfRule type="cellIs" dxfId="2094" priority="3999" stopIfTrue="1" operator="equal">
      <formula>"3 Delete"</formula>
    </cfRule>
  </conditionalFormatting>
  <conditionalFormatting sqref="C1334">
    <cfRule type="cellIs" dxfId="2093" priority="4000" stopIfTrue="1" operator="equal">
      <formula>"1 Modify"</formula>
    </cfRule>
  </conditionalFormatting>
  <conditionalFormatting sqref="C1334">
    <cfRule type="cellIs" dxfId="2092" priority="4001" stopIfTrue="1" operator="equal">
      <formula>"2 Add"</formula>
    </cfRule>
  </conditionalFormatting>
  <conditionalFormatting sqref="C1334">
    <cfRule type="cellIs" dxfId="2091" priority="4002" stopIfTrue="1" operator="equal">
      <formula>"3 Delete"</formula>
    </cfRule>
  </conditionalFormatting>
  <conditionalFormatting sqref="C1335">
    <cfRule type="cellIs" dxfId="2090" priority="4003" stopIfTrue="1" operator="equal">
      <formula>"1 Modify"</formula>
    </cfRule>
  </conditionalFormatting>
  <conditionalFormatting sqref="C1335">
    <cfRule type="cellIs" dxfId="2089" priority="4004" stopIfTrue="1" operator="equal">
      <formula>"2 Add"</formula>
    </cfRule>
  </conditionalFormatting>
  <conditionalFormatting sqref="C1335">
    <cfRule type="cellIs" dxfId="2088" priority="4005" stopIfTrue="1" operator="equal">
      <formula>"3 Delete"</formula>
    </cfRule>
  </conditionalFormatting>
  <conditionalFormatting sqref="C1336">
    <cfRule type="cellIs" dxfId="2087" priority="4006" stopIfTrue="1" operator="equal">
      <formula>"1 Modify"</formula>
    </cfRule>
  </conditionalFormatting>
  <conditionalFormatting sqref="C1336">
    <cfRule type="cellIs" dxfId="2086" priority="4007" stopIfTrue="1" operator="equal">
      <formula>"2 Add"</formula>
    </cfRule>
  </conditionalFormatting>
  <conditionalFormatting sqref="C1336">
    <cfRule type="cellIs" dxfId="2085" priority="4008" stopIfTrue="1" operator="equal">
      <formula>"3 Delete"</formula>
    </cfRule>
  </conditionalFormatting>
  <conditionalFormatting sqref="C1337">
    <cfRule type="cellIs" dxfId="2084" priority="4009" stopIfTrue="1" operator="equal">
      <formula>"1 Modify"</formula>
    </cfRule>
  </conditionalFormatting>
  <conditionalFormatting sqref="C1337">
    <cfRule type="cellIs" dxfId="2083" priority="4010" stopIfTrue="1" operator="equal">
      <formula>"2 Add"</formula>
    </cfRule>
  </conditionalFormatting>
  <conditionalFormatting sqref="C1337">
    <cfRule type="cellIs" dxfId="2082" priority="4011" stopIfTrue="1" operator="equal">
      <formula>"3 Delete"</formula>
    </cfRule>
  </conditionalFormatting>
  <conditionalFormatting sqref="C1338">
    <cfRule type="cellIs" dxfId="2081" priority="4012" stopIfTrue="1" operator="equal">
      <formula>"1 Modify"</formula>
    </cfRule>
  </conditionalFormatting>
  <conditionalFormatting sqref="C1338">
    <cfRule type="cellIs" dxfId="2080" priority="4013" stopIfTrue="1" operator="equal">
      <formula>"2 Add"</formula>
    </cfRule>
  </conditionalFormatting>
  <conditionalFormatting sqref="C1338">
    <cfRule type="cellIs" dxfId="2079" priority="4014" stopIfTrue="1" operator="equal">
      <formula>"3 Delete"</formula>
    </cfRule>
  </conditionalFormatting>
  <conditionalFormatting sqref="C1339">
    <cfRule type="cellIs" dxfId="2078" priority="4015" stopIfTrue="1" operator="equal">
      <formula>"1 Modify"</formula>
    </cfRule>
  </conditionalFormatting>
  <conditionalFormatting sqref="C1339">
    <cfRule type="cellIs" dxfId="2077" priority="4016" stopIfTrue="1" operator="equal">
      <formula>"2 Add"</formula>
    </cfRule>
  </conditionalFormatting>
  <conditionalFormatting sqref="C1339">
    <cfRule type="cellIs" dxfId="2076" priority="4017" stopIfTrue="1" operator="equal">
      <formula>"3 Delete"</formula>
    </cfRule>
  </conditionalFormatting>
  <conditionalFormatting sqref="C1340">
    <cfRule type="cellIs" dxfId="2075" priority="4018" stopIfTrue="1" operator="equal">
      <formula>"1 Modify"</formula>
    </cfRule>
  </conditionalFormatting>
  <conditionalFormatting sqref="C1340">
    <cfRule type="cellIs" dxfId="2074" priority="4019" stopIfTrue="1" operator="equal">
      <formula>"2 Add"</formula>
    </cfRule>
  </conditionalFormatting>
  <conditionalFormatting sqref="C1340">
    <cfRule type="cellIs" dxfId="2073" priority="4020" stopIfTrue="1" operator="equal">
      <formula>"3 Delete"</formula>
    </cfRule>
  </conditionalFormatting>
  <conditionalFormatting sqref="C1341">
    <cfRule type="cellIs" dxfId="2072" priority="4021" stopIfTrue="1" operator="equal">
      <formula>"1 Modify"</formula>
    </cfRule>
  </conditionalFormatting>
  <conditionalFormatting sqref="C1341">
    <cfRule type="cellIs" dxfId="2071" priority="4022" stopIfTrue="1" operator="equal">
      <formula>"2 Add"</formula>
    </cfRule>
  </conditionalFormatting>
  <conditionalFormatting sqref="C1341">
    <cfRule type="cellIs" dxfId="2070" priority="4023" stopIfTrue="1" operator="equal">
      <formula>"3 Delete"</formula>
    </cfRule>
  </conditionalFormatting>
  <conditionalFormatting sqref="C1342">
    <cfRule type="cellIs" dxfId="2069" priority="4024" stopIfTrue="1" operator="equal">
      <formula>"1 Modify"</formula>
    </cfRule>
  </conditionalFormatting>
  <conditionalFormatting sqref="C1342">
    <cfRule type="cellIs" dxfId="2068" priority="4025" stopIfTrue="1" operator="equal">
      <formula>"2 Add"</formula>
    </cfRule>
  </conditionalFormatting>
  <conditionalFormatting sqref="C1342">
    <cfRule type="cellIs" dxfId="2067" priority="4026" stopIfTrue="1" operator="equal">
      <formula>"3 Delete"</formula>
    </cfRule>
  </conditionalFormatting>
  <conditionalFormatting sqref="C1343">
    <cfRule type="cellIs" dxfId="2066" priority="4027" stopIfTrue="1" operator="equal">
      <formula>"1 Modify"</formula>
    </cfRule>
  </conditionalFormatting>
  <conditionalFormatting sqref="C1343">
    <cfRule type="cellIs" dxfId="2065" priority="4028" stopIfTrue="1" operator="equal">
      <formula>"2 Add"</formula>
    </cfRule>
  </conditionalFormatting>
  <conditionalFormatting sqref="C1343">
    <cfRule type="cellIs" dxfId="2064" priority="4029" stopIfTrue="1" operator="equal">
      <formula>"3 Delete"</formula>
    </cfRule>
  </conditionalFormatting>
  <conditionalFormatting sqref="C1344">
    <cfRule type="cellIs" dxfId="2063" priority="4030" stopIfTrue="1" operator="equal">
      <formula>"1 Modify"</formula>
    </cfRule>
  </conditionalFormatting>
  <conditionalFormatting sqref="C1344">
    <cfRule type="cellIs" dxfId="2062" priority="4031" stopIfTrue="1" operator="equal">
      <formula>"2 Add"</formula>
    </cfRule>
  </conditionalFormatting>
  <conditionalFormatting sqref="C1344">
    <cfRule type="cellIs" dxfId="2061" priority="4032" stopIfTrue="1" operator="equal">
      <formula>"3 Delete"</formula>
    </cfRule>
  </conditionalFormatting>
  <conditionalFormatting sqref="C1345">
    <cfRule type="cellIs" dxfId="2060" priority="4033" stopIfTrue="1" operator="equal">
      <formula>"1 Modify"</formula>
    </cfRule>
  </conditionalFormatting>
  <conditionalFormatting sqref="C1345">
    <cfRule type="cellIs" dxfId="2059" priority="4034" stopIfTrue="1" operator="equal">
      <formula>"2 Add"</formula>
    </cfRule>
  </conditionalFormatting>
  <conditionalFormatting sqref="C1345">
    <cfRule type="cellIs" dxfId="2058" priority="4035" stopIfTrue="1" operator="equal">
      <formula>"3 Delete"</formula>
    </cfRule>
  </conditionalFormatting>
  <conditionalFormatting sqref="C1346">
    <cfRule type="cellIs" dxfId="2057" priority="4036" stopIfTrue="1" operator="equal">
      <formula>"1 Modify"</formula>
    </cfRule>
  </conditionalFormatting>
  <conditionalFormatting sqref="C1346">
    <cfRule type="cellIs" dxfId="2056" priority="4037" stopIfTrue="1" operator="equal">
      <formula>"2 Add"</formula>
    </cfRule>
  </conditionalFormatting>
  <conditionalFormatting sqref="C1346">
    <cfRule type="cellIs" dxfId="2055" priority="4038" stopIfTrue="1" operator="equal">
      <formula>"3 Delete"</formula>
    </cfRule>
  </conditionalFormatting>
  <conditionalFormatting sqref="C1347">
    <cfRule type="cellIs" dxfId="2054" priority="4039" stopIfTrue="1" operator="equal">
      <formula>"1 Modify"</formula>
    </cfRule>
  </conditionalFormatting>
  <conditionalFormatting sqref="C1347">
    <cfRule type="cellIs" dxfId="2053" priority="4040" stopIfTrue="1" operator="equal">
      <formula>"2 Add"</formula>
    </cfRule>
  </conditionalFormatting>
  <conditionalFormatting sqref="C1347">
    <cfRule type="cellIs" dxfId="2052" priority="4041" stopIfTrue="1" operator="equal">
      <formula>"3 Delete"</formula>
    </cfRule>
  </conditionalFormatting>
  <conditionalFormatting sqref="C1348">
    <cfRule type="cellIs" dxfId="2051" priority="4042" stopIfTrue="1" operator="equal">
      <formula>"1 Modify"</formula>
    </cfRule>
  </conditionalFormatting>
  <conditionalFormatting sqref="C1348">
    <cfRule type="cellIs" dxfId="2050" priority="4043" stopIfTrue="1" operator="equal">
      <formula>"2 Add"</formula>
    </cfRule>
  </conditionalFormatting>
  <conditionalFormatting sqref="C1348">
    <cfRule type="cellIs" dxfId="2049" priority="4044" stopIfTrue="1" operator="equal">
      <formula>"3 Delete"</formula>
    </cfRule>
  </conditionalFormatting>
  <conditionalFormatting sqref="C1349">
    <cfRule type="cellIs" dxfId="2048" priority="4045" stopIfTrue="1" operator="equal">
      <formula>"1 Modify"</formula>
    </cfRule>
  </conditionalFormatting>
  <conditionalFormatting sqref="C1349">
    <cfRule type="cellIs" dxfId="2047" priority="4046" stopIfTrue="1" operator="equal">
      <formula>"2 Add"</formula>
    </cfRule>
  </conditionalFormatting>
  <conditionalFormatting sqref="C1349">
    <cfRule type="cellIs" dxfId="2046" priority="4047" stopIfTrue="1" operator="equal">
      <formula>"3 Delete"</formula>
    </cfRule>
  </conditionalFormatting>
  <conditionalFormatting sqref="C1350">
    <cfRule type="cellIs" dxfId="2045" priority="4048" stopIfTrue="1" operator="equal">
      <formula>"1 Modify"</formula>
    </cfRule>
  </conditionalFormatting>
  <conditionalFormatting sqref="C1350">
    <cfRule type="cellIs" dxfId="2044" priority="4049" stopIfTrue="1" operator="equal">
      <formula>"2 Add"</formula>
    </cfRule>
  </conditionalFormatting>
  <conditionalFormatting sqref="C1350">
    <cfRule type="cellIs" dxfId="2043" priority="4050" stopIfTrue="1" operator="equal">
      <formula>"3 Delete"</formula>
    </cfRule>
  </conditionalFormatting>
  <conditionalFormatting sqref="C1351">
    <cfRule type="cellIs" dxfId="2042" priority="4051" stopIfTrue="1" operator="equal">
      <formula>"1 Modify"</formula>
    </cfRule>
  </conditionalFormatting>
  <conditionalFormatting sqref="C1351">
    <cfRule type="cellIs" dxfId="2041" priority="4052" stopIfTrue="1" operator="equal">
      <formula>"2 Add"</formula>
    </cfRule>
  </conditionalFormatting>
  <conditionalFormatting sqref="C1351">
    <cfRule type="cellIs" dxfId="2040" priority="4053" stopIfTrue="1" operator="equal">
      <formula>"3 Delete"</formula>
    </cfRule>
  </conditionalFormatting>
  <conditionalFormatting sqref="C1352">
    <cfRule type="cellIs" dxfId="2039" priority="4054" stopIfTrue="1" operator="equal">
      <formula>"1 Modify"</formula>
    </cfRule>
  </conditionalFormatting>
  <conditionalFormatting sqref="C1352">
    <cfRule type="cellIs" dxfId="2038" priority="4055" stopIfTrue="1" operator="equal">
      <formula>"2 Add"</formula>
    </cfRule>
  </conditionalFormatting>
  <conditionalFormatting sqref="C1352">
    <cfRule type="cellIs" dxfId="2037" priority="4056" stopIfTrue="1" operator="equal">
      <formula>"3 Delete"</formula>
    </cfRule>
  </conditionalFormatting>
  <conditionalFormatting sqref="C1353">
    <cfRule type="cellIs" dxfId="2036" priority="4057" stopIfTrue="1" operator="equal">
      <formula>"1 Modify"</formula>
    </cfRule>
  </conditionalFormatting>
  <conditionalFormatting sqref="C1353">
    <cfRule type="cellIs" dxfId="2035" priority="4058" stopIfTrue="1" operator="equal">
      <formula>"2 Add"</formula>
    </cfRule>
  </conditionalFormatting>
  <conditionalFormatting sqref="C1353">
    <cfRule type="cellIs" dxfId="2034" priority="4059" stopIfTrue="1" operator="equal">
      <formula>"3 Delete"</formula>
    </cfRule>
  </conditionalFormatting>
  <conditionalFormatting sqref="C1354">
    <cfRule type="cellIs" dxfId="2033" priority="4060" stopIfTrue="1" operator="equal">
      <formula>"1 Modify"</formula>
    </cfRule>
  </conditionalFormatting>
  <conditionalFormatting sqref="C1354">
    <cfRule type="cellIs" dxfId="2032" priority="4061" stopIfTrue="1" operator="equal">
      <formula>"2 Add"</formula>
    </cfRule>
  </conditionalFormatting>
  <conditionalFormatting sqref="C1354">
    <cfRule type="cellIs" dxfId="2031" priority="4062" stopIfTrue="1" operator="equal">
      <formula>"3 Delete"</formula>
    </cfRule>
  </conditionalFormatting>
  <conditionalFormatting sqref="C1355">
    <cfRule type="cellIs" dxfId="2030" priority="4063" stopIfTrue="1" operator="equal">
      <formula>"1 Modify"</formula>
    </cfRule>
  </conditionalFormatting>
  <conditionalFormatting sqref="C1355">
    <cfRule type="cellIs" dxfId="2029" priority="4064" stopIfTrue="1" operator="equal">
      <formula>"2 Add"</formula>
    </cfRule>
  </conditionalFormatting>
  <conditionalFormatting sqref="C1355">
    <cfRule type="cellIs" dxfId="2028" priority="4065" stopIfTrue="1" operator="equal">
      <formula>"3 Delete"</formula>
    </cfRule>
  </conditionalFormatting>
  <conditionalFormatting sqref="C1356">
    <cfRule type="cellIs" dxfId="2027" priority="4066" stopIfTrue="1" operator="equal">
      <formula>"1 Modify"</formula>
    </cfRule>
  </conditionalFormatting>
  <conditionalFormatting sqref="C1356">
    <cfRule type="cellIs" dxfId="2026" priority="4067" stopIfTrue="1" operator="equal">
      <formula>"2 Add"</formula>
    </cfRule>
  </conditionalFormatting>
  <conditionalFormatting sqref="C1356">
    <cfRule type="cellIs" dxfId="2025" priority="4068" stopIfTrue="1" operator="equal">
      <formula>"3 Delete"</formula>
    </cfRule>
  </conditionalFormatting>
  <conditionalFormatting sqref="C1357">
    <cfRule type="cellIs" dxfId="2024" priority="4069" stopIfTrue="1" operator="equal">
      <formula>"1 Modify"</formula>
    </cfRule>
  </conditionalFormatting>
  <conditionalFormatting sqref="C1357">
    <cfRule type="cellIs" dxfId="2023" priority="4070" stopIfTrue="1" operator="equal">
      <formula>"2 Add"</formula>
    </cfRule>
  </conditionalFormatting>
  <conditionalFormatting sqref="C1357">
    <cfRule type="cellIs" dxfId="2022" priority="4071" stopIfTrue="1" operator="equal">
      <formula>"3 Delete"</formula>
    </cfRule>
  </conditionalFormatting>
  <conditionalFormatting sqref="C1358">
    <cfRule type="cellIs" dxfId="2021" priority="4072" stopIfTrue="1" operator="equal">
      <formula>"1 Modify"</formula>
    </cfRule>
  </conditionalFormatting>
  <conditionalFormatting sqref="C1358">
    <cfRule type="cellIs" dxfId="2020" priority="4073" stopIfTrue="1" operator="equal">
      <formula>"2 Add"</formula>
    </cfRule>
  </conditionalFormatting>
  <conditionalFormatting sqref="C1358">
    <cfRule type="cellIs" dxfId="2019" priority="4074" stopIfTrue="1" operator="equal">
      <formula>"3 Delete"</formula>
    </cfRule>
  </conditionalFormatting>
  <conditionalFormatting sqref="C1359">
    <cfRule type="cellIs" dxfId="2018" priority="4075" stopIfTrue="1" operator="equal">
      <formula>"1 Modify"</formula>
    </cfRule>
  </conditionalFormatting>
  <conditionalFormatting sqref="C1359">
    <cfRule type="cellIs" dxfId="2017" priority="4076" stopIfTrue="1" operator="equal">
      <formula>"2 Add"</formula>
    </cfRule>
  </conditionalFormatting>
  <conditionalFormatting sqref="C1359">
    <cfRule type="cellIs" dxfId="2016" priority="4077" stopIfTrue="1" operator="equal">
      <formula>"3 Delete"</formula>
    </cfRule>
  </conditionalFormatting>
  <conditionalFormatting sqref="C1360">
    <cfRule type="cellIs" dxfId="2015" priority="4078" stopIfTrue="1" operator="equal">
      <formula>"1 Modify"</formula>
    </cfRule>
  </conditionalFormatting>
  <conditionalFormatting sqref="C1360">
    <cfRule type="cellIs" dxfId="2014" priority="4079" stopIfTrue="1" operator="equal">
      <formula>"2 Add"</formula>
    </cfRule>
  </conditionalFormatting>
  <conditionalFormatting sqref="C1360">
    <cfRule type="cellIs" dxfId="2013" priority="4080" stopIfTrue="1" operator="equal">
      <formula>"3 Delete"</formula>
    </cfRule>
  </conditionalFormatting>
  <conditionalFormatting sqref="C1361">
    <cfRule type="cellIs" dxfId="2012" priority="4081" stopIfTrue="1" operator="equal">
      <formula>"1 Modify"</formula>
    </cfRule>
  </conditionalFormatting>
  <conditionalFormatting sqref="C1361">
    <cfRule type="cellIs" dxfId="2011" priority="4082" stopIfTrue="1" operator="equal">
      <formula>"2 Add"</formula>
    </cfRule>
  </conditionalFormatting>
  <conditionalFormatting sqref="C1361">
    <cfRule type="cellIs" dxfId="2010" priority="4083" stopIfTrue="1" operator="equal">
      <formula>"3 Delete"</formula>
    </cfRule>
  </conditionalFormatting>
  <conditionalFormatting sqref="C1362">
    <cfRule type="cellIs" dxfId="2009" priority="4084" stopIfTrue="1" operator="equal">
      <formula>"1 Modify"</formula>
    </cfRule>
  </conditionalFormatting>
  <conditionalFormatting sqref="C1362">
    <cfRule type="cellIs" dxfId="2008" priority="4085" stopIfTrue="1" operator="equal">
      <formula>"2 Add"</formula>
    </cfRule>
  </conditionalFormatting>
  <conditionalFormatting sqref="C1362">
    <cfRule type="cellIs" dxfId="2007" priority="4086" stopIfTrue="1" operator="equal">
      <formula>"3 Delete"</formula>
    </cfRule>
  </conditionalFormatting>
  <conditionalFormatting sqref="C1363">
    <cfRule type="cellIs" dxfId="2006" priority="4087" stopIfTrue="1" operator="equal">
      <formula>"1 Modify"</formula>
    </cfRule>
  </conditionalFormatting>
  <conditionalFormatting sqref="C1363">
    <cfRule type="cellIs" dxfId="2005" priority="4088" stopIfTrue="1" operator="equal">
      <formula>"2 Add"</formula>
    </cfRule>
  </conditionalFormatting>
  <conditionalFormatting sqref="C1363">
    <cfRule type="cellIs" dxfId="2004" priority="4089" stopIfTrue="1" operator="equal">
      <formula>"3 Delete"</formula>
    </cfRule>
  </conditionalFormatting>
  <conditionalFormatting sqref="C1364">
    <cfRule type="cellIs" dxfId="2003" priority="4090" stopIfTrue="1" operator="equal">
      <formula>"1 Modify"</formula>
    </cfRule>
  </conditionalFormatting>
  <conditionalFormatting sqref="C1364">
    <cfRule type="cellIs" dxfId="2002" priority="4091" stopIfTrue="1" operator="equal">
      <formula>"2 Add"</formula>
    </cfRule>
  </conditionalFormatting>
  <conditionalFormatting sqref="C1364">
    <cfRule type="cellIs" dxfId="2001" priority="4092" stopIfTrue="1" operator="equal">
      <formula>"3 Delete"</formula>
    </cfRule>
  </conditionalFormatting>
  <conditionalFormatting sqref="C1365">
    <cfRule type="cellIs" dxfId="2000" priority="4093" stopIfTrue="1" operator="equal">
      <formula>"1 Modify"</formula>
    </cfRule>
  </conditionalFormatting>
  <conditionalFormatting sqref="C1365">
    <cfRule type="cellIs" dxfId="1999" priority="4094" stopIfTrue="1" operator="equal">
      <formula>"2 Add"</formula>
    </cfRule>
  </conditionalFormatting>
  <conditionalFormatting sqref="C1365">
    <cfRule type="cellIs" dxfId="1998" priority="4095" stopIfTrue="1" operator="equal">
      <formula>"3 Delete"</formula>
    </cfRule>
  </conditionalFormatting>
  <conditionalFormatting sqref="C1366">
    <cfRule type="cellIs" dxfId="1997" priority="4096" stopIfTrue="1" operator="equal">
      <formula>"1 Modify"</formula>
    </cfRule>
  </conditionalFormatting>
  <conditionalFormatting sqref="C1366">
    <cfRule type="cellIs" dxfId="1996" priority="4097" stopIfTrue="1" operator="equal">
      <formula>"2 Add"</formula>
    </cfRule>
  </conditionalFormatting>
  <conditionalFormatting sqref="C1366">
    <cfRule type="cellIs" dxfId="1995" priority="4098" stopIfTrue="1" operator="equal">
      <formula>"3 Delete"</formula>
    </cfRule>
  </conditionalFormatting>
  <conditionalFormatting sqref="C1367">
    <cfRule type="cellIs" dxfId="1994" priority="4099" stopIfTrue="1" operator="equal">
      <formula>"1 Modify"</formula>
    </cfRule>
  </conditionalFormatting>
  <conditionalFormatting sqref="C1367">
    <cfRule type="cellIs" dxfId="1993" priority="4100" stopIfTrue="1" operator="equal">
      <formula>"2 Add"</formula>
    </cfRule>
  </conditionalFormatting>
  <conditionalFormatting sqref="C1367">
    <cfRule type="cellIs" dxfId="1992" priority="4101" stopIfTrue="1" operator="equal">
      <formula>"3 Delete"</formula>
    </cfRule>
  </conditionalFormatting>
  <conditionalFormatting sqref="C1368">
    <cfRule type="cellIs" dxfId="1991" priority="4102" stopIfTrue="1" operator="equal">
      <formula>"1 Modify"</formula>
    </cfRule>
  </conditionalFormatting>
  <conditionalFormatting sqref="C1368">
    <cfRule type="cellIs" dxfId="1990" priority="4103" stopIfTrue="1" operator="equal">
      <formula>"2 Add"</formula>
    </cfRule>
  </conditionalFormatting>
  <conditionalFormatting sqref="C1368">
    <cfRule type="cellIs" dxfId="1989" priority="4104" stopIfTrue="1" operator="equal">
      <formula>"3 Delete"</formula>
    </cfRule>
  </conditionalFormatting>
  <conditionalFormatting sqref="C1369">
    <cfRule type="cellIs" dxfId="1988" priority="4105" stopIfTrue="1" operator="equal">
      <formula>"1 Modify"</formula>
    </cfRule>
  </conditionalFormatting>
  <conditionalFormatting sqref="C1369">
    <cfRule type="cellIs" dxfId="1987" priority="4106" stopIfTrue="1" operator="equal">
      <formula>"2 Add"</formula>
    </cfRule>
  </conditionalFormatting>
  <conditionalFormatting sqref="C1369">
    <cfRule type="cellIs" dxfId="1986" priority="4107" stopIfTrue="1" operator="equal">
      <formula>"3 Delete"</formula>
    </cfRule>
  </conditionalFormatting>
  <conditionalFormatting sqref="C1370">
    <cfRule type="cellIs" dxfId="1985" priority="4108" stopIfTrue="1" operator="equal">
      <formula>"1 Modify"</formula>
    </cfRule>
  </conditionalFormatting>
  <conditionalFormatting sqref="C1370">
    <cfRule type="cellIs" dxfId="1984" priority="4109" stopIfTrue="1" operator="equal">
      <formula>"2 Add"</formula>
    </cfRule>
  </conditionalFormatting>
  <conditionalFormatting sqref="C1370">
    <cfRule type="cellIs" dxfId="1983" priority="4110" stopIfTrue="1" operator="equal">
      <formula>"3 Delete"</formula>
    </cfRule>
  </conditionalFormatting>
  <conditionalFormatting sqref="C1371">
    <cfRule type="cellIs" dxfId="1982" priority="4111" stopIfTrue="1" operator="equal">
      <formula>"1 Modify"</formula>
    </cfRule>
  </conditionalFormatting>
  <conditionalFormatting sqref="C1371">
    <cfRule type="cellIs" dxfId="1981" priority="4112" stopIfTrue="1" operator="equal">
      <formula>"2 Add"</formula>
    </cfRule>
  </conditionalFormatting>
  <conditionalFormatting sqref="C1371">
    <cfRule type="cellIs" dxfId="1980" priority="4113" stopIfTrue="1" operator="equal">
      <formula>"3 Delete"</formula>
    </cfRule>
  </conditionalFormatting>
  <conditionalFormatting sqref="C1372">
    <cfRule type="cellIs" dxfId="1979" priority="4114" stopIfTrue="1" operator="equal">
      <formula>"1 Modify"</formula>
    </cfRule>
  </conditionalFormatting>
  <conditionalFormatting sqref="C1372">
    <cfRule type="cellIs" dxfId="1978" priority="4115" stopIfTrue="1" operator="equal">
      <formula>"2 Add"</formula>
    </cfRule>
  </conditionalFormatting>
  <conditionalFormatting sqref="C1372">
    <cfRule type="cellIs" dxfId="1977" priority="4116" stopIfTrue="1" operator="equal">
      <formula>"3 Delete"</formula>
    </cfRule>
  </conditionalFormatting>
  <conditionalFormatting sqref="C1373">
    <cfRule type="cellIs" dxfId="1976" priority="4117" stopIfTrue="1" operator="equal">
      <formula>"1 Modify"</formula>
    </cfRule>
  </conditionalFormatting>
  <conditionalFormatting sqref="C1373">
    <cfRule type="cellIs" dxfId="1975" priority="4118" stopIfTrue="1" operator="equal">
      <formula>"2 Add"</formula>
    </cfRule>
  </conditionalFormatting>
  <conditionalFormatting sqref="C1373">
    <cfRule type="cellIs" dxfId="1974" priority="4119" stopIfTrue="1" operator="equal">
      <formula>"3 Delete"</formula>
    </cfRule>
  </conditionalFormatting>
  <conditionalFormatting sqref="C1374">
    <cfRule type="cellIs" dxfId="1973" priority="4120" stopIfTrue="1" operator="equal">
      <formula>"1 Modify"</formula>
    </cfRule>
  </conditionalFormatting>
  <conditionalFormatting sqref="C1374">
    <cfRule type="cellIs" dxfId="1972" priority="4121" stopIfTrue="1" operator="equal">
      <formula>"2 Add"</formula>
    </cfRule>
  </conditionalFormatting>
  <conditionalFormatting sqref="C1374">
    <cfRule type="cellIs" dxfId="1971" priority="4122" stopIfTrue="1" operator="equal">
      <formula>"3 Delete"</formula>
    </cfRule>
  </conditionalFormatting>
  <conditionalFormatting sqref="C1375">
    <cfRule type="cellIs" dxfId="1970" priority="4123" stopIfTrue="1" operator="equal">
      <formula>"1 Modify"</formula>
    </cfRule>
  </conditionalFormatting>
  <conditionalFormatting sqref="C1375">
    <cfRule type="cellIs" dxfId="1969" priority="4124" stopIfTrue="1" operator="equal">
      <formula>"2 Add"</formula>
    </cfRule>
  </conditionalFormatting>
  <conditionalFormatting sqref="C1375">
    <cfRule type="cellIs" dxfId="1968" priority="4125" stopIfTrue="1" operator="equal">
      <formula>"3 Delete"</formula>
    </cfRule>
  </conditionalFormatting>
  <conditionalFormatting sqref="C1376">
    <cfRule type="cellIs" dxfId="1967" priority="4126" stopIfTrue="1" operator="equal">
      <formula>"1 Modify"</formula>
    </cfRule>
  </conditionalFormatting>
  <conditionalFormatting sqref="C1376">
    <cfRule type="cellIs" dxfId="1966" priority="4127" stopIfTrue="1" operator="equal">
      <formula>"2 Add"</formula>
    </cfRule>
  </conditionalFormatting>
  <conditionalFormatting sqref="C1376">
    <cfRule type="cellIs" dxfId="1965" priority="4128" stopIfTrue="1" operator="equal">
      <formula>"3 Delete"</formula>
    </cfRule>
  </conditionalFormatting>
  <conditionalFormatting sqref="C1377">
    <cfRule type="cellIs" dxfId="1964" priority="4129" stopIfTrue="1" operator="equal">
      <formula>"1 Modify"</formula>
    </cfRule>
  </conditionalFormatting>
  <conditionalFormatting sqref="C1377">
    <cfRule type="cellIs" dxfId="1963" priority="4130" stopIfTrue="1" operator="equal">
      <formula>"2 Add"</formula>
    </cfRule>
  </conditionalFormatting>
  <conditionalFormatting sqref="C1377">
    <cfRule type="cellIs" dxfId="1962" priority="4131" stopIfTrue="1" operator="equal">
      <formula>"3 Delete"</formula>
    </cfRule>
  </conditionalFormatting>
  <conditionalFormatting sqref="C1378">
    <cfRule type="cellIs" dxfId="1961" priority="4132" stopIfTrue="1" operator="equal">
      <formula>"1 Modify"</formula>
    </cfRule>
  </conditionalFormatting>
  <conditionalFormatting sqref="C1378">
    <cfRule type="cellIs" dxfId="1960" priority="4133" stopIfTrue="1" operator="equal">
      <formula>"2 Add"</formula>
    </cfRule>
  </conditionalFormatting>
  <conditionalFormatting sqref="C1378">
    <cfRule type="cellIs" dxfId="1959" priority="4134" stopIfTrue="1" operator="equal">
      <formula>"3 Delete"</formula>
    </cfRule>
  </conditionalFormatting>
  <conditionalFormatting sqref="C1379">
    <cfRule type="cellIs" dxfId="1958" priority="4135" stopIfTrue="1" operator="equal">
      <formula>"1 Modify"</formula>
    </cfRule>
  </conditionalFormatting>
  <conditionalFormatting sqref="C1379">
    <cfRule type="cellIs" dxfId="1957" priority="4136" stopIfTrue="1" operator="equal">
      <formula>"2 Add"</formula>
    </cfRule>
  </conditionalFormatting>
  <conditionalFormatting sqref="C1379">
    <cfRule type="cellIs" dxfId="1956" priority="4137" stopIfTrue="1" operator="equal">
      <formula>"3 Delete"</formula>
    </cfRule>
  </conditionalFormatting>
  <conditionalFormatting sqref="C1380">
    <cfRule type="cellIs" dxfId="1955" priority="4138" stopIfTrue="1" operator="equal">
      <formula>"1 Modify"</formula>
    </cfRule>
  </conditionalFormatting>
  <conditionalFormatting sqref="C1380">
    <cfRule type="cellIs" dxfId="1954" priority="4139" stopIfTrue="1" operator="equal">
      <formula>"2 Add"</formula>
    </cfRule>
  </conditionalFormatting>
  <conditionalFormatting sqref="C1380">
    <cfRule type="cellIs" dxfId="1953" priority="4140" stopIfTrue="1" operator="equal">
      <formula>"3 Delete"</formula>
    </cfRule>
  </conditionalFormatting>
  <conditionalFormatting sqref="C1381">
    <cfRule type="cellIs" dxfId="1952" priority="4141" stopIfTrue="1" operator="equal">
      <formula>"1 Modify"</formula>
    </cfRule>
  </conditionalFormatting>
  <conditionalFormatting sqref="C1381">
    <cfRule type="cellIs" dxfId="1951" priority="4142" stopIfTrue="1" operator="equal">
      <formula>"2 Add"</formula>
    </cfRule>
  </conditionalFormatting>
  <conditionalFormatting sqref="C1381">
    <cfRule type="cellIs" dxfId="1950" priority="4143" stopIfTrue="1" operator="equal">
      <formula>"3 Delete"</formula>
    </cfRule>
  </conditionalFormatting>
  <conditionalFormatting sqref="C1382">
    <cfRule type="cellIs" dxfId="1949" priority="4144" stopIfTrue="1" operator="equal">
      <formula>"1 Modify"</formula>
    </cfRule>
  </conditionalFormatting>
  <conditionalFormatting sqref="C1382">
    <cfRule type="cellIs" dxfId="1948" priority="4145" stopIfTrue="1" operator="equal">
      <formula>"2 Add"</formula>
    </cfRule>
  </conditionalFormatting>
  <conditionalFormatting sqref="C1382">
    <cfRule type="cellIs" dxfId="1947" priority="4146" stopIfTrue="1" operator="equal">
      <formula>"3 Delete"</formula>
    </cfRule>
  </conditionalFormatting>
  <conditionalFormatting sqref="C1383">
    <cfRule type="cellIs" dxfId="1946" priority="4147" stopIfTrue="1" operator="equal">
      <formula>"1 Modify"</formula>
    </cfRule>
  </conditionalFormatting>
  <conditionalFormatting sqref="C1383">
    <cfRule type="cellIs" dxfId="1945" priority="4148" stopIfTrue="1" operator="equal">
      <formula>"2 Add"</formula>
    </cfRule>
  </conditionalFormatting>
  <conditionalFormatting sqref="C1383">
    <cfRule type="cellIs" dxfId="1944" priority="4149" stopIfTrue="1" operator="equal">
      <formula>"3 Delete"</formula>
    </cfRule>
  </conditionalFormatting>
  <conditionalFormatting sqref="C1384">
    <cfRule type="cellIs" dxfId="1943" priority="4150" stopIfTrue="1" operator="equal">
      <formula>"1 Modify"</formula>
    </cfRule>
  </conditionalFormatting>
  <conditionalFormatting sqref="C1384">
    <cfRule type="cellIs" dxfId="1942" priority="4151" stopIfTrue="1" operator="equal">
      <formula>"2 Add"</formula>
    </cfRule>
  </conditionalFormatting>
  <conditionalFormatting sqref="C1384">
    <cfRule type="cellIs" dxfId="1941" priority="4152" stopIfTrue="1" operator="equal">
      <formula>"3 Delete"</formula>
    </cfRule>
  </conditionalFormatting>
  <conditionalFormatting sqref="C1385">
    <cfRule type="cellIs" dxfId="1940" priority="4153" stopIfTrue="1" operator="equal">
      <formula>"1 Modify"</formula>
    </cfRule>
  </conditionalFormatting>
  <conditionalFormatting sqref="C1385">
    <cfRule type="cellIs" dxfId="1939" priority="4154" stopIfTrue="1" operator="equal">
      <formula>"2 Add"</formula>
    </cfRule>
  </conditionalFormatting>
  <conditionalFormatting sqref="C1385">
    <cfRule type="cellIs" dxfId="1938" priority="4155" stopIfTrue="1" operator="equal">
      <formula>"3 Delete"</formula>
    </cfRule>
  </conditionalFormatting>
  <conditionalFormatting sqref="C1386">
    <cfRule type="cellIs" dxfId="1937" priority="4156" stopIfTrue="1" operator="equal">
      <formula>"1 Modify"</formula>
    </cfRule>
  </conditionalFormatting>
  <conditionalFormatting sqref="C1386">
    <cfRule type="cellIs" dxfId="1936" priority="4157" stopIfTrue="1" operator="equal">
      <formula>"2 Add"</formula>
    </cfRule>
  </conditionalFormatting>
  <conditionalFormatting sqref="C1386">
    <cfRule type="cellIs" dxfId="1935" priority="4158" stopIfTrue="1" operator="equal">
      <formula>"3 Delete"</formula>
    </cfRule>
  </conditionalFormatting>
  <conditionalFormatting sqref="C1387">
    <cfRule type="cellIs" dxfId="1934" priority="4159" stopIfTrue="1" operator="equal">
      <formula>"1 Modify"</formula>
    </cfRule>
  </conditionalFormatting>
  <conditionalFormatting sqref="C1387">
    <cfRule type="cellIs" dxfId="1933" priority="4160" stopIfTrue="1" operator="equal">
      <formula>"2 Add"</formula>
    </cfRule>
  </conditionalFormatting>
  <conditionalFormatting sqref="C1387">
    <cfRule type="cellIs" dxfId="1932" priority="4161" stopIfTrue="1" operator="equal">
      <formula>"3 Delete"</formula>
    </cfRule>
  </conditionalFormatting>
  <conditionalFormatting sqref="C1388">
    <cfRule type="cellIs" dxfId="1931" priority="4162" stopIfTrue="1" operator="equal">
      <formula>"1 Modify"</formula>
    </cfRule>
  </conditionalFormatting>
  <conditionalFormatting sqref="C1388">
    <cfRule type="cellIs" dxfId="1930" priority="4163" stopIfTrue="1" operator="equal">
      <formula>"2 Add"</formula>
    </cfRule>
  </conditionalFormatting>
  <conditionalFormatting sqref="C1388">
    <cfRule type="cellIs" dxfId="1929" priority="4164" stopIfTrue="1" operator="equal">
      <formula>"3 Delete"</formula>
    </cfRule>
  </conditionalFormatting>
  <conditionalFormatting sqref="C1389">
    <cfRule type="cellIs" dxfId="1928" priority="4165" stopIfTrue="1" operator="equal">
      <formula>"1 Modify"</formula>
    </cfRule>
  </conditionalFormatting>
  <conditionalFormatting sqref="C1389">
    <cfRule type="cellIs" dxfId="1927" priority="4166" stopIfTrue="1" operator="equal">
      <formula>"2 Add"</formula>
    </cfRule>
  </conditionalFormatting>
  <conditionalFormatting sqref="C1389">
    <cfRule type="cellIs" dxfId="1926" priority="4167" stopIfTrue="1" operator="equal">
      <formula>"3 Delete"</formula>
    </cfRule>
  </conditionalFormatting>
  <conditionalFormatting sqref="C1390">
    <cfRule type="cellIs" dxfId="1925" priority="4168" stopIfTrue="1" operator="equal">
      <formula>"1 Modify"</formula>
    </cfRule>
  </conditionalFormatting>
  <conditionalFormatting sqref="C1390">
    <cfRule type="cellIs" dxfId="1924" priority="4169" stopIfTrue="1" operator="equal">
      <formula>"2 Add"</formula>
    </cfRule>
  </conditionalFormatting>
  <conditionalFormatting sqref="C1390">
    <cfRule type="cellIs" dxfId="1923" priority="4170" stopIfTrue="1" operator="equal">
      <formula>"3 Delete"</formula>
    </cfRule>
  </conditionalFormatting>
  <conditionalFormatting sqref="C1391">
    <cfRule type="cellIs" dxfId="1922" priority="4171" stopIfTrue="1" operator="equal">
      <formula>"1 Modify"</formula>
    </cfRule>
  </conditionalFormatting>
  <conditionalFormatting sqref="C1391">
    <cfRule type="cellIs" dxfId="1921" priority="4172" stopIfTrue="1" operator="equal">
      <formula>"2 Add"</formula>
    </cfRule>
  </conditionalFormatting>
  <conditionalFormatting sqref="C1391">
    <cfRule type="cellIs" dxfId="1920" priority="4173" stopIfTrue="1" operator="equal">
      <formula>"3 Delete"</formula>
    </cfRule>
  </conditionalFormatting>
  <conditionalFormatting sqref="C1392">
    <cfRule type="cellIs" dxfId="1919" priority="4174" stopIfTrue="1" operator="equal">
      <formula>"1 Modify"</formula>
    </cfRule>
  </conditionalFormatting>
  <conditionalFormatting sqref="C1392">
    <cfRule type="cellIs" dxfId="1918" priority="4175" stopIfTrue="1" operator="equal">
      <formula>"2 Add"</formula>
    </cfRule>
  </conditionalFormatting>
  <conditionalFormatting sqref="C1392">
    <cfRule type="cellIs" dxfId="1917" priority="4176" stopIfTrue="1" operator="equal">
      <formula>"3 Delete"</formula>
    </cfRule>
  </conditionalFormatting>
  <conditionalFormatting sqref="C1393">
    <cfRule type="cellIs" dxfId="1916" priority="4177" stopIfTrue="1" operator="equal">
      <formula>"1 Modify"</formula>
    </cfRule>
  </conditionalFormatting>
  <conditionalFormatting sqref="C1393">
    <cfRule type="cellIs" dxfId="1915" priority="4178" stopIfTrue="1" operator="equal">
      <formula>"2 Add"</formula>
    </cfRule>
  </conditionalFormatting>
  <conditionalFormatting sqref="C1393">
    <cfRule type="cellIs" dxfId="1914" priority="4179" stopIfTrue="1" operator="equal">
      <formula>"3 Delete"</formula>
    </cfRule>
  </conditionalFormatting>
  <conditionalFormatting sqref="C1394">
    <cfRule type="cellIs" dxfId="1913" priority="4180" stopIfTrue="1" operator="equal">
      <formula>"1 Modify"</formula>
    </cfRule>
  </conditionalFormatting>
  <conditionalFormatting sqref="C1394">
    <cfRule type="cellIs" dxfId="1912" priority="4181" stopIfTrue="1" operator="equal">
      <formula>"2 Add"</formula>
    </cfRule>
  </conditionalFormatting>
  <conditionalFormatting sqref="C1394">
    <cfRule type="cellIs" dxfId="1911" priority="4182" stopIfTrue="1" operator="equal">
      <formula>"3 Delete"</formula>
    </cfRule>
  </conditionalFormatting>
  <conditionalFormatting sqref="C1395">
    <cfRule type="cellIs" dxfId="1910" priority="4183" stopIfTrue="1" operator="equal">
      <formula>"1 Modify"</formula>
    </cfRule>
  </conditionalFormatting>
  <conditionalFormatting sqref="C1395">
    <cfRule type="cellIs" dxfId="1909" priority="4184" stopIfTrue="1" operator="equal">
      <formula>"2 Add"</formula>
    </cfRule>
  </conditionalFormatting>
  <conditionalFormatting sqref="C1395">
    <cfRule type="cellIs" dxfId="1908" priority="4185" stopIfTrue="1" operator="equal">
      <formula>"3 Delete"</formula>
    </cfRule>
  </conditionalFormatting>
  <conditionalFormatting sqref="C1396">
    <cfRule type="cellIs" dxfId="1907" priority="4186" stopIfTrue="1" operator="equal">
      <formula>"1 Modify"</formula>
    </cfRule>
  </conditionalFormatting>
  <conditionalFormatting sqref="C1396">
    <cfRule type="cellIs" dxfId="1906" priority="4187" stopIfTrue="1" operator="equal">
      <formula>"2 Add"</formula>
    </cfRule>
  </conditionalFormatting>
  <conditionalFormatting sqref="C1396">
    <cfRule type="cellIs" dxfId="1905" priority="4188" stopIfTrue="1" operator="equal">
      <formula>"3 Delete"</formula>
    </cfRule>
  </conditionalFormatting>
  <conditionalFormatting sqref="C1397">
    <cfRule type="cellIs" dxfId="1904" priority="4189" stopIfTrue="1" operator="equal">
      <formula>"1 Modify"</formula>
    </cfRule>
  </conditionalFormatting>
  <conditionalFormatting sqref="C1397">
    <cfRule type="cellIs" dxfId="1903" priority="4190" stopIfTrue="1" operator="equal">
      <formula>"2 Add"</formula>
    </cfRule>
  </conditionalFormatting>
  <conditionalFormatting sqref="C1397">
    <cfRule type="cellIs" dxfId="1902" priority="4191" stopIfTrue="1" operator="equal">
      <formula>"3 Delete"</formula>
    </cfRule>
  </conditionalFormatting>
  <conditionalFormatting sqref="C1398">
    <cfRule type="cellIs" dxfId="1901" priority="4192" stopIfTrue="1" operator="equal">
      <formula>"1 Modify"</formula>
    </cfRule>
  </conditionalFormatting>
  <conditionalFormatting sqref="C1398">
    <cfRule type="cellIs" dxfId="1900" priority="4193" stopIfTrue="1" operator="equal">
      <formula>"2 Add"</formula>
    </cfRule>
  </conditionalFormatting>
  <conditionalFormatting sqref="C1398">
    <cfRule type="cellIs" dxfId="1899" priority="4194" stopIfTrue="1" operator="equal">
      <formula>"3 Delete"</formula>
    </cfRule>
  </conditionalFormatting>
  <conditionalFormatting sqref="C1399">
    <cfRule type="cellIs" dxfId="1898" priority="4195" stopIfTrue="1" operator="equal">
      <formula>"1 Modify"</formula>
    </cfRule>
  </conditionalFormatting>
  <conditionalFormatting sqref="C1399">
    <cfRule type="cellIs" dxfId="1897" priority="4196" stopIfTrue="1" operator="equal">
      <formula>"2 Add"</formula>
    </cfRule>
  </conditionalFormatting>
  <conditionalFormatting sqref="C1399">
    <cfRule type="cellIs" dxfId="1896" priority="4197" stopIfTrue="1" operator="equal">
      <formula>"3 Delete"</formula>
    </cfRule>
  </conditionalFormatting>
  <conditionalFormatting sqref="C1400">
    <cfRule type="cellIs" dxfId="1895" priority="4198" stopIfTrue="1" operator="equal">
      <formula>"1 Modify"</formula>
    </cfRule>
  </conditionalFormatting>
  <conditionalFormatting sqref="C1400">
    <cfRule type="cellIs" dxfId="1894" priority="4199" stopIfTrue="1" operator="equal">
      <formula>"2 Add"</formula>
    </cfRule>
  </conditionalFormatting>
  <conditionalFormatting sqref="C1400">
    <cfRule type="cellIs" dxfId="1893" priority="4200" stopIfTrue="1" operator="equal">
      <formula>"3 Delete"</formula>
    </cfRule>
  </conditionalFormatting>
  <conditionalFormatting sqref="C1401">
    <cfRule type="cellIs" dxfId="1892" priority="4201" stopIfTrue="1" operator="equal">
      <formula>"1 Modify"</formula>
    </cfRule>
  </conditionalFormatting>
  <conditionalFormatting sqref="C1401">
    <cfRule type="cellIs" dxfId="1891" priority="4202" stopIfTrue="1" operator="equal">
      <formula>"2 Add"</formula>
    </cfRule>
  </conditionalFormatting>
  <conditionalFormatting sqref="C1401">
    <cfRule type="cellIs" dxfId="1890" priority="4203" stopIfTrue="1" operator="equal">
      <formula>"3 Delete"</formula>
    </cfRule>
  </conditionalFormatting>
  <conditionalFormatting sqref="C1402">
    <cfRule type="cellIs" dxfId="1889" priority="4204" stopIfTrue="1" operator="equal">
      <formula>"1 Modify"</formula>
    </cfRule>
  </conditionalFormatting>
  <conditionalFormatting sqref="C1402">
    <cfRule type="cellIs" dxfId="1888" priority="4205" stopIfTrue="1" operator="equal">
      <formula>"2 Add"</formula>
    </cfRule>
  </conditionalFormatting>
  <conditionalFormatting sqref="C1402">
    <cfRule type="cellIs" dxfId="1887" priority="4206" stopIfTrue="1" operator="equal">
      <formula>"3 Delete"</formula>
    </cfRule>
  </conditionalFormatting>
  <conditionalFormatting sqref="C1403">
    <cfRule type="cellIs" dxfId="1886" priority="4207" stopIfTrue="1" operator="equal">
      <formula>"1 Modify"</formula>
    </cfRule>
  </conditionalFormatting>
  <conditionalFormatting sqref="C1403">
    <cfRule type="cellIs" dxfId="1885" priority="4208" stopIfTrue="1" operator="equal">
      <formula>"2 Add"</formula>
    </cfRule>
  </conditionalFormatting>
  <conditionalFormatting sqref="C1403">
    <cfRule type="cellIs" dxfId="1884" priority="4209" stopIfTrue="1" operator="equal">
      <formula>"3 Delete"</formula>
    </cfRule>
  </conditionalFormatting>
  <conditionalFormatting sqref="C1404">
    <cfRule type="cellIs" dxfId="1883" priority="4210" stopIfTrue="1" operator="equal">
      <formula>"1 Modify"</formula>
    </cfRule>
  </conditionalFormatting>
  <conditionalFormatting sqref="C1404">
    <cfRule type="cellIs" dxfId="1882" priority="4211" stopIfTrue="1" operator="equal">
      <formula>"2 Add"</formula>
    </cfRule>
  </conditionalFormatting>
  <conditionalFormatting sqref="C1404">
    <cfRule type="cellIs" dxfId="1881" priority="4212" stopIfTrue="1" operator="equal">
      <formula>"3 Delete"</formula>
    </cfRule>
  </conditionalFormatting>
  <conditionalFormatting sqref="C1405">
    <cfRule type="cellIs" dxfId="1880" priority="4213" stopIfTrue="1" operator="equal">
      <formula>"1 Modify"</formula>
    </cfRule>
  </conditionalFormatting>
  <conditionalFormatting sqref="C1405">
    <cfRule type="cellIs" dxfId="1879" priority="4214" stopIfTrue="1" operator="equal">
      <formula>"2 Add"</formula>
    </cfRule>
  </conditionalFormatting>
  <conditionalFormatting sqref="C1405">
    <cfRule type="cellIs" dxfId="1878" priority="4215" stopIfTrue="1" operator="equal">
      <formula>"3 Delete"</formula>
    </cfRule>
  </conditionalFormatting>
  <conditionalFormatting sqref="C1406">
    <cfRule type="cellIs" dxfId="1877" priority="4216" stopIfTrue="1" operator="equal">
      <formula>"1 Modify"</formula>
    </cfRule>
  </conditionalFormatting>
  <conditionalFormatting sqref="C1406">
    <cfRule type="cellIs" dxfId="1876" priority="4217" stopIfTrue="1" operator="equal">
      <formula>"2 Add"</formula>
    </cfRule>
  </conditionalFormatting>
  <conditionalFormatting sqref="C1406">
    <cfRule type="cellIs" dxfId="1875" priority="4218" stopIfTrue="1" operator="equal">
      <formula>"3 Delete"</formula>
    </cfRule>
  </conditionalFormatting>
  <conditionalFormatting sqref="C1407">
    <cfRule type="cellIs" dxfId="1874" priority="4219" stopIfTrue="1" operator="equal">
      <formula>"1 Modify"</formula>
    </cfRule>
  </conditionalFormatting>
  <conditionalFormatting sqref="C1407">
    <cfRule type="cellIs" dxfId="1873" priority="4220" stopIfTrue="1" operator="equal">
      <formula>"2 Add"</formula>
    </cfRule>
  </conditionalFormatting>
  <conditionalFormatting sqref="C1407">
    <cfRule type="cellIs" dxfId="1872" priority="4221" stopIfTrue="1" operator="equal">
      <formula>"3 Delete"</formula>
    </cfRule>
  </conditionalFormatting>
  <conditionalFormatting sqref="C1408">
    <cfRule type="cellIs" dxfId="1871" priority="4222" stopIfTrue="1" operator="equal">
      <formula>"1 Modify"</formula>
    </cfRule>
  </conditionalFormatting>
  <conditionalFormatting sqref="C1408">
    <cfRule type="cellIs" dxfId="1870" priority="4223" stopIfTrue="1" operator="equal">
      <formula>"2 Add"</formula>
    </cfRule>
  </conditionalFormatting>
  <conditionalFormatting sqref="C1408">
    <cfRule type="cellIs" dxfId="1869" priority="4224" stopIfTrue="1" operator="equal">
      <formula>"3 Delete"</formula>
    </cfRule>
  </conditionalFormatting>
  <conditionalFormatting sqref="C1409">
    <cfRule type="cellIs" dxfId="1868" priority="4225" stopIfTrue="1" operator="equal">
      <formula>"1 Modify"</formula>
    </cfRule>
  </conditionalFormatting>
  <conditionalFormatting sqref="C1409">
    <cfRule type="cellIs" dxfId="1867" priority="4226" stopIfTrue="1" operator="equal">
      <formula>"2 Add"</formula>
    </cfRule>
  </conditionalFormatting>
  <conditionalFormatting sqref="C1409">
    <cfRule type="cellIs" dxfId="1866" priority="4227" stopIfTrue="1" operator="equal">
      <formula>"3 Delete"</formula>
    </cfRule>
  </conditionalFormatting>
  <conditionalFormatting sqref="C1410">
    <cfRule type="cellIs" dxfId="1865" priority="4228" stopIfTrue="1" operator="equal">
      <formula>"1 Modify"</formula>
    </cfRule>
  </conditionalFormatting>
  <conditionalFormatting sqref="C1410">
    <cfRule type="cellIs" dxfId="1864" priority="4229" stopIfTrue="1" operator="equal">
      <formula>"2 Add"</formula>
    </cfRule>
  </conditionalFormatting>
  <conditionalFormatting sqref="C1410">
    <cfRule type="cellIs" dxfId="1863" priority="4230" stopIfTrue="1" operator="equal">
      <formula>"3 Delete"</formula>
    </cfRule>
  </conditionalFormatting>
  <conditionalFormatting sqref="C1411">
    <cfRule type="cellIs" dxfId="1862" priority="4231" stopIfTrue="1" operator="equal">
      <formula>"1 Modify"</formula>
    </cfRule>
  </conditionalFormatting>
  <conditionalFormatting sqref="C1411">
    <cfRule type="cellIs" dxfId="1861" priority="4232" stopIfTrue="1" operator="equal">
      <formula>"2 Add"</formula>
    </cfRule>
  </conditionalFormatting>
  <conditionalFormatting sqref="C1411">
    <cfRule type="cellIs" dxfId="1860" priority="4233" stopIfTrue="1" operator="equal">
      <formula>"3 Delete"</formula>
    </cfRule>
  </conditionalFormatting>
  <conditionalFormatting sqref="C1412">
    <cfRule type="cellIs" dxfId="1859" priority="4234" stopIfTrue="1" operator="equal">
      <formula>"1 Modify"</formula>
    </cfRule>
  </conditionalFormatting>
  <conditionalFormatting sqref="C1412">
    <cfRule type="cellIs" dxfId="1858" priority="4235" stopIfTrue="1" operator="equal">
      <formula>"2 Add"</formula>
    </cfRule>
  </conditionalFormatting>
  <conditionalFormatting sqref="C1412">
    <cfRule type="cellIs" dxfId="1857" priority="4236" stopIfTrue="1" operator="equal">
      <formula>"3 Delete"</formula>
    </cfRule>
  </conditionalFormatting>
  <conditionalFormatting sqref="C1413">
    <cfRule type="cellIs" dxfId="1856" priority="4237" stopIfTrue="1" operator="equal">
      <formula>"1 Modify"</formula>
    </cfRule>
  </conditionalFormatting>
  <conditionalFormatting sqref="C1413">
    <cfRule type="cellIs" dxfId="1855" priority="4238" stopIfTrue="1" operator="equal">
      <formula>"2 Add"</formula>
    </cfRule>
  </conditionalFormatting>
  <conditionalFormatting sqref="C1413">
    <cfRule type="cellIs" dxfId="1854" priority="4239" stopIfTrue="1" operator="equal">
      <formula>"3 Delete"</formula>
    </cfRule>
  </conditionalFormatting>
  <conditionalFormatting sqref="C1414">
    <cfRule type="cellIs" dxfId="1853" priority="4240" stopIfTrue="1" operator="equal">
      <formula>"1 Modify"</formula>
    </cfRule>
  </conditionalFormatting>
  <conditionalFormatting sqref="C1414">
    <cfRule type="cellIs" dxfId="1852" priority="4241" stopIfTrue="1" operator="equal">
      <formula>"2 Add"</formula>
    </cfRule>
  </conditionalFormatting>
  <conditionalFormatting sqref="C1414">
    <cfRule type="cellIs" dxfId="1851" priority="4242" stopIfTrue="1" operator="equal">
      <formula>"3 Delete"</formula>
    </cfRule>
  </conditionalFormatting>
  <conditionalFormatting sqref="C1415">
    <cfRule type="cellIs" dxfId="1850" priority="4243" stopIfTrue="1" operator="equal">
      <formula>"1 Modify"</formula>
    </cfRule>
  </conditionalFormatting>
  <conditionalFormatting sqref="C1415">
    <cfRule type="cellIs" dxfId="1849" priority="4244" stopIfTrue="1" operator="equal">
      <formula>"2 Add"</formula>
    </cfRule>
  </conditionalFormatting>
  <conditionalFormatting sqref="C1415">
    <cfRule type="cellIs" dxfId="1848" priority="4245" stopIfTrue="1" operator="equal">
      <formula>"3 Delete"</formula>
    </cfRule>
  </conditionalFormatting>
  <conditionalFormatting sqref="C1416">
    <cfRule type="cellIs" dxfId="1847" priority="4246" stopIfTrue="1" operator="equal">
      <formula>"1 Modify"</formula>
    </cfRule>
  </conditionalFormatting>
  <conditionalFormatting sqref="C1416">
    <cfRule type="cellIs" dxfId="1846" priority="4247" stopIfTrue="1" operator="equal">
      <formula>"2 Add"</formula>
    </cfRule>
  </conditionalFormatting>
  <conditionalFormatting sqref="C1416">
    <cfRule type="cellIs" dxfId="1845" priority="4248" stopIfTrue="1" operator="equal">
      <formula>"3 Delete"</formula>
    </cfRule>
  </conditionalFormatting>
  <conditionalFormatting sqref="C1417">
    <cfRule type="cellIs" dxfId="1844" priority="4249" stopIfTrue="1" operator="equal">
      <formula>"1 Modify"</formula>
    </cfRule>
  </conditionalFormatting>
  <conditionalFormatting sqref="C1417">
    <cfRule type="cellIs" dxfId="1843" priority="4250" stopIfTrue="1" operator="equal">
      <formula>"2 Add"</formula>
    </cfRule>
  </conditionalFormatting>
  <conditionalFormatting sqref="C1417">
    <cfRule type="cellIs" dxfId="1842" priority="4251" stopIfTrue="1" operator="equal">
      <formula>"3 Delete"</formula>
    </cfRule>
  </conditionalFormatting>
  <conditionalFormatting sqref="C1418">
    <cfRule type="cellIs" dxfId="1841" priority="4252" stopIfTrue="1" operator="equal">
      <formula>"1 Modify"</formula>
    </cfRule>
  </conditionalFormatting>
  <conditionalFormatting sqref="C1418">
    <cfRule type="cellIs" dxfId="1840" priority="4253" stopIfTrue="1" operator="equal">
      <formula>"2 Add"</formula>
    </cfRule>
  </conditionalFormatting>
  <conditionalFormatting sqref="C1418">
    <cfRule type="cellIs" dxfId="1839" priority="4254" stopIfTrue="1" operator="equal">
      <formula>"3 Delete"</formula>
    </cfRule>
  </conditionalFormatting>
  <conditionalFormatting sqref="C1419">
    <cfRule type="cellIs" dxfId="1838" priority="4255" stopIfTrue="1" operator="equal">
      <formula>"1 Modify"</formula>
    </cfRule>
  </conditionalFormatting>
  <conditionalFormatting sqref="C1419">
    <cfRule type="cellIs" dxfId="1837" priority="4256" stopIfTrue="1" operator="equal">
      <formula>"2 Add"</formula>
    </cfRule>
  </conditionalFormatting>
  <conditionalFormatting sqref="C1419">
    <cfRule type="cellIs" dxfId="1836" priority="4257" stopIfTrue="1" operator="equal">
      <formula>"3 Delete"</formula>
    </cfRule>
  </conditionalFormatting>
  <conditionalFormatting sqref="C1420">
    <cfRule type="cellIs" dxfId="1835" priority="4258" stopIfTrue="1" operator="equal">
      <formula>"1 Modify"</formula>
    </cfRule>
  </conditionalFormatting>
  <conditionalFormatting sqref="C1420">
    <cfRule type="cellIs" dxfId="1834" priority="4259" stopIfTrue="1" operator="equal">
      <formula>"2 Add"</formula>
    </cfRule>
  </conditionalFormatting>
  <conditionalFormatting sqref="C1420">
    <cfRule type="cellIs" dxfId="1833" priority="4260" stopIfTrue="1" operator="equal">
      <formula>"3 Delete"</formula>
    </cfRule>
  </conditionalFormatting>
  <conditionalFormatting sqref="C1421">
    <cfRule type="cellIs" dxfId="1832" priority="4261" stopIfTrue="1" operator="equal">
      <formula>"1 Modify"</formula>
    </cfRule>
  </conditionalFormatting>
  <conditionalFormatting sqref="C1421">
    <cfRule type="cellIs" dxfId="1831" priority="4262" stopIfTrue="1" operator="equal">
      <formula>"2 Add"</formula>
    </cfRule>
  </conditionalFormatting>
  <conditionalFormatting sqref="C1421">
    <cfRule type="cellIs" dxfId="1830" priority="4263" stopIfTrue="1" operator="equal">
      <formula>"3 Delete"</formula>
    </cfRule>
  </conditionalFormatting>
  <conditionalFormatting sqref="C1422">
    <cfRule type="cellIs" dxfId="1829" priority="4264" stopIfTrue="1" operator="equal">
      <formula>"1 Modify"</formula>
    </cfRule>
  </conditionalFormatting>
  <conditionalFormatting sqref="C1422">
    <cfRule type="cellIs" dxfId="1828" priority="4265" stopIfTrue="1" operator="equal">
      <formula>"2 Add"</formula>
    </cfRule>
  </conditionalFormatting>
  <conditionalFormatting sqref="C1422">
    <cfRule type="cellIs" dxfId="1827" priority="4266" stopIfTrue="1" operator="equal">
      <formula>"3 Delete"</formula>
    </cfRule>
  </conditionalFormatting>
  <conditionalFormatting sqref="C1423">
    <cfRule type="cellIs" dxfId="1826" priority="4267" stopIfTrue="1" operator="equal">
      <formula>"1 Modify"</formula>
    </cfRule>
  </conditionalFormatting>
  <conditionalFormatting sqref="C1423">
    <cfRule type="cellIs" dxfId="1825" priority="4268" stopIfTrue="1" operator="equal">
      <formula>"2 Add"</formula>
    </cfRule>
  </conditionalFormatting>
  <conditionalFormatting sqref="C1423">
    <cfRule type="cellIs" dxfId="1824" priority="4269" stopIfTrue="1" operator="equal">
      <formula>"3 Delete"</formula>
    </cfRule>
  </conditionalFormatting>
  <conditionalFormatting sqref="C1424">
    <cfRule type="cellIs" dxfId="1823" priority="4270" stopIfTrue="1" operator="equal">
      <formula>"1 Modify"</formula>
    </cfRule>
  </conditionalFormatting>
  <conditionalFormatting sqref="C1424">
    <cfRule type="cellIs" dxfId="1822" priority="4271" stopIfTrue="1" operator="equal">
      <formula>"2 Add"</formula>
    </cfRule>
  </conditionalFormatting>
  <conditionalFormatting sqref="C1424">
    <cfRule type="cellIs" dxfId="1821" priority="4272" stopIfTrue="1" operator="equal">
      <formula>"3 Delete"</formula>
    </cfRule>
  </conditionalFormatting>
  <conditionalFormatting sqref="C1425">
    <cfRule type="cellIs" dxfId="1820" priority="4273" stopIfTrue="1" operator="equal">
      <formula>"1 Modify"</formula>
    </cfRule>
  </conditionalFormatting>
  <conditionalFormatting sqref="C1425">
    <cfRule type="cellIs" dxfId="1819" priority="4274" stopIfTrue="1" operator="equal">
      <formula>"2 Add"</formula>
    </cfRule>
  </conditionalFormatting>
  <conditionalFormatting sqref="C1425">
    <cfRule type="cellIs" dxfId="1818" priority="4275" stopIfTrue="1" operator="equal">
      <formula>"3 Delete"</formula>
    </cfRule>
  </conditionalFormatting>
  <conditionalFormatting sqref="C1426">
    <cfRule type="cellIs" dxfId="1817" priority="4276" stopIfTrue="1" operator="equal">
      <formula>"1 Modify"</formula>
    </cfRule>
  </conditionalFormatting>
  <conditionalFormatting sqref="C1426">
    <cfRule type="cellIs" dxfId="1816" priority="4277" stopIfTrue="1" operator="equal">
      <formula>"2 Add"</formula>
    </cfRule>
  </conditionalFormatting>
  <conditionalFormatting sqref="C1426">
    <cfRule type="cellIs" dxfId="1815" priority="4278" stopIfTrue="1" operator="equal">
      <formula>"3 Delete"</formula>
    </cfRule>
  </conditionalFormatting>
  <conditionalFormatting sqref="C1427">
    <cfRule type="cellIs" dxfId="1814" priority="4279" stopIfTrue="1" operator="equal">
      <formula>"1 Modify"</formula>
    </cfRule>
  </conditionalFormatting>
  <conditionalFormatting sqref="C1427">
    <cfRule type="cellIs" dxfId="1813" priority="4280" stopIfTrue="1" operator="equal">
      <formula>"2 Add"</formula>
    </cfRule>
  </conditionalFormatting>
  <conditionalFormatting sqref="C1427">
    <cfRule type="cellIs" dxfId="1812" priority="4281" stopIfTrue="1" operator="equal">
      <formula>"3 Delete"</formula>
    </cfRule>
  </conditionalFormatting>
  <conditionalFormatting sqref="C1428">
    <cfRule type="cellIs" dxfId="1811" priority="4282" stopIfTrue="1" operator="equal">
      <formula>"1 Modify"</formula>
    </cfRule>
  </conditionalFormatting>
  <conditionalFormatting sqref="C1428">
    <cfRule type="cellIs" dxfId="1810" priority="4283" stopIfTrue="1" operator="equal">
      <formula>"2 Add"</formula>
    </cfRule>
  </conditionalFormatting>
  <conditionalFormatting sqref="C1428">
    <cfRule type="cellIs" dxfId="1809" priority="4284" stopIfTrue="1" operator="equal">
      <formula>"3 Delete"</formula>
    </cfRule>
  </conditionalFormatting>
  <conditionalFormatting sqref="C1429">
    <cfRule type="cellIs" dxfId="1808" priority="4285" stopIfTrue="1" operator="equal">
      <formula>"1 Modify"</formula>
    </cfRule>
  </conditionalFormatting>
  <conditionalFormatting sqref="C1429">
    <cfRule type="cellIs" dxfId="1807" priority="4286" stopIfTrue="1" operator="equal">
      <formula>"2 Add"</formula>
    </cfRule>
  </conditionalFormatting>
  <conditionalFormatting sqref="C1429">
    <cfRule type="cellIs" dxfId="1806" priority="4287" stopIfTrue="1" operator="equal">
      <formula>"3 Delete"</formula>
    </cfRule>
  </conditionalFormatting>
  <conditionalFormatting sqref="C1430">
    <cfRule type="cellIs" dxfId="1805" priority="4288" stopIfTrue="1" operator="equal">
      <formula>"1 Modify"</formula>
    </cfRule>
  </conditionalFormatting>
  <conditionalFormatting sqref="C1430">
    <cfRule type="cellIs" dxfId="1804" priority="4289" stopIfTrue="1" operator="equal">
      <formula>"2 Add"</formula>
    </cfRule>
  </conditionalFormatting>
  <conditionalFormatting sqref="C1430">
    <cfRule type="cellIs" dxfId="1803" priority="4290" stopIfTrue="1" operator="equal">
      <formula>"3 Delete"</formula>
    </cfRule>
  </conditionalFormatting>
  <conditionalFormatting sqref="C1431">
    <cfRule type="cellIs" dxfId="1802" priority="4291" stopIfTrue="1" operator="equal">
      <formula>"1 Modify"</formula>
    </cfRule>
  </conditionalFormatting>
  <conditionalFormatting sqref="C1431">
    <cfRule type="cellIs" dxfId="1801" priority="4292" stopIfTrue="1" operator="equal">
      <formula>"2 Add"</formula>
    </cfRule>
  </conditionalFormatting>
  <conditionalFormatting sqref="C1431">
    <cfRule type="cellIs" dxfId="1800" priority="4293" stopIfTrue="1" operator="equal">
      <formula>"3 Delete"</formula>
    </cfRule>
  </conditionalFormatting>
  <conditionalFormatting sqref="C1432">
    <cfRule type="cellIs" dxfId="1799" priority="4294" stopIfTrue="1" operator="equal">
      <formula>"1 Modify"</formula>
    </cfRule>
  </conditionalFormatting>
  <conditionalFormatting sqref="C1432">
    <cfRule type="cellIs" dxfId="1798" priority="4295" stopIfTrue="1" operator="equal">
      <formula>"2 Add"</formula>
    </cfRule>
  </conditionalFormatting>
  <conditionalFormatting sqref="C1432">
    <cfRule type="cellIs" dxfId="1797" priority="4296" stopIfTrue="1" operator="equal">
      <formula>"3 Delete"</formula>
    </cfRule>
  </conditionalFormatting>
  <conditionalFormatting sqref="C1433">
    <cfRule type="cellIs" dxfId="1796" priority="4297" stopIfTrue="1" operator="equal">
      <formula>"1 Modify"</formula>
    </cfRule>
  </conditionalFormatting>
  <conditionalFormatting sqref="C1433">
    <cfRule type="cellIs" dxfId="1795" priority="4298" stopIfTrue="1" operator="equal">
      <formula>"2 Add"</formula>
    </cfRule>
  </conditionalFormatting>
  <conditionalFormatting sqref="C1433">
    <cfRule type="cellIs" dxfId="1794" priority="4299" stopIfTrue="1" operator="equal">
      <formula>"3 Delete"</formula>
    </cfRule>
  </conditionalFormatting>
  <conditionalFormatting sqref="C1434">
    <cfRule type="cellIs" dxfId="1793" priority="4300" stopIfTrue="1" operator="equal">
      <formula>"1 Modify"</formula>
    </cfRule>
  </conditionalFormatting>
  <conditionalFormatting sqref="C1434">
    <cfRule type="cellIs" dxfId="1792" priority="4301" stopIfTrue="1" operator="equal">
      <formula>"2 Add"</formula>
    </cfRule>
  </conditionalFormatting>
  <conditionalFormatting sqref="C1434">
    <cfRule type="cellIs" dxfId="1791" priority="4302" stopIfTrue="1" operator="equal">
      <formula>"3 Delete"</formula>
    </cfRule>
  </conditionalFormatting>
  <conditionalFormatting sqref="C1435">
    <cfRule type="cellIs" dxfId="1790" priority="4303" stopIfTrue="1" operator="equal">
      <formula>"1 Modify"</formula>
    </cfRule>
  </conditionalFormatting>
  <conditionalFormatting sqref="C1435">
    <cfRule type="cellIs" dxfId="1789" priority="4304" stopIfTrue="1" operator="equal">
      <formula>"2 Add"</formula>
    </cfRule>
  </conditionalFormatting>
  <conditionalFormatting sqref="C1435">
    <cfRule type="cellIs" dxfId="1788" priority="4305" stopIfTrue="1" operator="equal">
      <formula>"3 Delete"</formula>
    </cfRule>
  </conditionalFormatting>
  <conditionalFormatting sqref="C1436">
    <cfRule type="cellIs" dxfId="1787" priority="4306" stopIfTrue="1" operator="equal">
      <formula>"1 Modify"</formula>
    </cfRule>
  </conditionalFormatting>
  <conditionalFormatting sqref="C1436">
    <cfRule type="cellIs" dxfId="1786" priority="4307" stopIfTrue="1" operator="equal">
      <formula>"2 Add"</formula>
    </cfRule>
  </conditionalFormatting>
  <conditionalFormatting sqref="C1436">
    <cfRule type="cellIs" dxfId="1785" priority="4308" stopIfTrue="1" operator="equal">
      <formula>"3 Delete"</formula>
    </cfRule>
  </conditionalFormatting>
  <conditionalFormatting sqref="C1437">
    <cfRule type="cellIs" dxfId="1784" priority="4309" stopIfTrue="1" operator="equal">
      <formula>"1 Modify"</formula>
    </cfRule>
  </conditionalFormatting>
  <conditionalFormatting sqref="C1437">
    <cfRule type="cellIs" dxfId="1783" priority="4310" stopIfTrue="1" operator="equal">
      <formula>"2 Add"</formula>
    </cfRule>
  </conditionalFormatting>
  <conditionalFormatting sqref="C1437">
    <cfRule type="cellIs" dxfId="1782" priority="4311" stopIfTrue="1" operator="equal">
      <formula>"3 Delete"</formula>
    </cfRule>
  </conditionalFormatting>
  <conditionalFormatting sqref="C1438">
    <cfRule type="cellIs" dxfId="1781" priority="4312" stopIfTrue="1" operator="equal">
      <formula>"1 Modify"</formula>
    </cfRule>
  </conditionalFormatting>
  <conditionalFormatting sqref="C1438">
    <cfRule type="cellIs" dxfId="1780" priority="4313" stopIfTrue="1" operator="equal">
      <formula>"2 Add"</formula>
    </cfRule>
  </conditionalFormatting>
  <conditionalFormatting sqref="C1438">
    <cfRule type="cellIs" dxfId="1779" priority="4314" stopIfTrue="1" operator="equal">
      <formula>"3 Delete"</formula>
    </cfRule>
  </conditionalFormatting>
  <conditionalFormatting sqref="C1439">
    <cfRule type="cellIs" dxfId="1778" priority="4315" stopIfTrue="1" operator="equal">
      <formula>"1 Modify"</formula>
    </cfRule>
  </conditionalFormatting>
  <conditionalFormatting sqref="C1439">
    <cfRule type="cellIs" dxfId="1777" priority="4316" stopIfTrue="1" operator="equal">
      <formula>"2 Add"</formula>
    </cfRule>
  </conditionalFormatting>
  <conditionalFormatting sqref="C1439">
    <cfRule type="cellIs" dxfId="1776" priority="4317" stopIfTrue="1" operator="equal">
      <formula>"3 Delete"</formula>
    </cfRule>
  </conditionalFormatting>
  <conditionalFormatting sqref="C1440">
    <cfRule type="cellIs" dxfId="1775" priority="4318" stopIfTrue="1" operator="equal">
      <formula>"1 Modify"</formula>
    </cfRule>
  </conditionalFormatting>
  <conditionalFormatting sqref="C1440">
    <cfRule type="cellIs" dxfId="1774" priority="4319" stopIfTrue="1" operator="equal">
      <formula>"2 Add"</formula>
    </cfRule>
  </conditionalFormatting>
  <conditionalFormatting sqref="C1440">
    <cfRule type="cellIs" dxfId="1773" priority="4320" stopIfTrue="1" operator="equal">
      <formula>"3 Delete"</formula>
    </cfRule>
  </conditionalFormatting>
  <conditionalFormatting sqref="C1441">
    <cfRule type="cellIs" dxfId="1772" priority="4321" stopIfTrue="1" operator="equal">
      <formula>"1 Modify"</formula>
    </cfRule>
  </conditionalFormatting>
  <conditionalFormatting sqref="C1441">
    <cfRule type="cellIs" dxfId="1771" priority="4322" stopIfTrue="1" operator="equal">
      <formula>"2 Add"</formula>
    </cfRule>
  </conditionalFormatting>
  <conditionalFormatting sqref="C1441">
    <cfRule type="cellIs" dxfId="1770" priority="4323" stopIfTrue="1" operator="equal">
      <formula>"3 Delete"</formula>
    </cfRule>
  </conditionalFormatting>
  <conditionalFormatting sqref="C1442">
    <cfRule type="cellIs" dxfId="1769" priority="4324" stopIfTrue="1" operator="equal">
      <formula>"1 Modify"</formula>
    </cfRule>
  </conditionalFormatting>
  <conditionalFormatting sqref="C1442">
    <cfRule type="cellIs" dxfId="1768" priority="4325" stopIfTrue="1" operator="equal">
      <formula>"2 Add"</formula>
    </cfRule>
  </conditionalFormatting>
  <conditionalFormatting sqref="C1442">
    <cfRule type="cellIs" dxfId="1767" priority="4326" stopIfTrue="1" operator="equal">
      <formula>"3 Delete"</formula>
    </cfRule>
  </conditionalFormatting>
  <conditionalFormatting sqref="C1443">
    <cfRule type="cellIs" dxfId="1766" priority="4327" stopIfTrue="1" operator="equal">
      <formula>"1 Modify"</formula>
    </cfRule>
  </conditionalFormatting>
  <conditionalFormatting sqref="C1443">
    <cfRule type="cellIs" dxfId="1765" priority="4328" stopIfTrue="1" operator="equal">
      <formula>"2 Add"</formula>
    </cfRule>
  </conditionalFormatting>
  <conditionalFormatting sqref="C1443">
    <cfRule type="cellIs" dxfId="1764" priority="4329" stopIfTrue="1" operator="equal">
      <formula>"3 Delete"</formula>
    </cfRule>
  </conditionalFormatting>
  <conditionalFormatting sqref="C1444">
    <cfRule type="cellIs" dxfId="1763" priority="4330" stopIfTrue="1" operator="equal">
      <formula>"1 Modify"</formula>
    </cfRule>
  </conditionalFormatting>
  <conditionalFormatting sqref="C1444">
    <cfRule type="cellIs" dxfId="1762" priority="4331" stopIfTrue="1" operator="equal">
      <formula>"2 Add"</formula>
    </cfRule>
  </conditionalFormatting>
  <conditionalFormatting sqref="C1444">
    <cfRule type="cellIs" dxfId="1761" priority="4332" stopIfTrue="1" operator="equal">
      <formula>"3 Delete"</formula>
    </cfRule>
  </conditionalFormatting>
  <conditionalFormatting sqref="C1445">
    <cfRule type="cellIs" dxfId="1760" priority="4333" stopIfTrue="1" operator="equal">
      <formula>"1 Modify"</formula>
    </cfRule>
  </conditionalFormatting>
  <conditionalFormatting sqref="C1445">
    <cfRule type="cellIs" dxfId="1759" priority="4334" stopIfTrue="1" operator="equal">
      <formula>"2 Add"</formula>
    </cfRule>
  </conditionalFormatting>
  <conditionalFormatting sqref="C1445">
    <cfRule type="cellIs" dxfId="1758" priority="4335" stopIfTrue="1" operator="equal">
      <formula>"3 Delete"</formula>
    </cfRule>
  </conditionalFormatting>
  <conditionalFormatting sqref="C1446">
    <cfRule type="cellIs" dxfId="1757" priority="4336" stopIfTrue="1" operator="equal">
      <formula>"1 Modify"</formula>
    </cfRule>
  </conditionalFormatting>
  <conditionalFormatting sqref="C1446">
    <cfRule type="cellIs" dxfId="1756" priority="4337" stopIfTrue="1" operator="equal">
      <formula>"2 Add"</formula>
    </cfRule>
  </conditionalFormatting>
  <conditionalFormatting sqref="C1446">
    <cfRule type="cellIs" dxfId="1755" priority="4338" stopIfTrue="1" operator="equal">
      <formula>"3 Delete"</formula>
    </cfRule>
  </conditionalFormatting>
  <conditionalFormatting sqref="C1447">
    <cfRule type="cellIs" dxfId="1754" priority="4339" stopIfTrue="1" operator="equal">
      <formula>"1 Modify"</formula>
    </cfRule>
  </conditionalFormatting>
  <conditionalFormatting sqref="C1447">
    <cfRule type="cellIs" dxfId="1753" priority="4340" stopIfTrue="1" operator="equal">
      <formula>"2 Add"</formula>
    </cfRule>
  </conditionalFormatting>
  <conditionalFormatting sqref="C1447">
    <cfRule type="cellIs" dxfId="1752" priority="4341" stopIfTrue="1" operator="equal">
      <formula>"3 Delete"</formula>
    </cfRule>
  </conditionalFormatting>
  <conditionalFormatting sqref="C1448">
    <cfRule type="cellIs" dxfId="1751" priority="4342" stopIfTrue="1" operator="equal">
      <formula>"1 Modify"</formula>
    </cfRule>
  </conditionalFormatting>
  <conditionalFormatting sqref="C1448">
    <cfRule type="cellIs" dxfId="1750" priority="4343" stopIfTrue="1" operator="equal">
      <formula>"2 Add"</formula>
    </cfRule>
  </conditionalFormatting>
  <conditionalFormatting sqref="C1448">
    <cfRule type="cellIs" dxfId="1749" priority="4344" stopIfTrue="1" operator="equal">
      <formula>"3 Delete"</formula>
    </cfRule>
  </conditionalFormatting>
  <conditionalFormatting sqref="C1449">
    <cfRule type="cellIs" dxfId="1748" priority="4345" stopIfTrue="1" operator="equal">
      <formula>"1 Modify"</formula>
    </cfRule>
  </conditionalFormatting>
  <conditionalFormatting sqref="C1449">
    <cfRule type="cellIs" dxfId="1747" priority="4346" stopIfTrue="1" operator="equal">
      <formula>"2 Add"</formula>
    </cfRule>
  </conditionalFormatting>
  <conditionalFormatting sqref="C1449">
    <cfRule type="cellIs" dxfId="1746" priority="4347" stopIfTrue="1" operator="equal">
      <formula>"3 Delete"</formula>
    </cfRule>
  </conditionalFormatting>
  <conditionalFormatting sqref="C1450">
    <cfRule type="cellIs" dxfId="1745" priority="4348" stopIfTrue="1" operator="equal">
      <formula>"1 Modify"</formula>
    </cfRule>
  </conditionalFormatting>
  <conditionalFormatting sqref="C1450">
    <cfRule type="cellIs" dxfId="1744" priority="4349" stopIfTrue="1" operator="equal">
      <formula>"2 Add"</formula>
    </cfRule>
  </conditionalFormatting>
  <conditionalFormatting sqref="C1450">
    <cfRule type="cellIs" dxfId="1743" priority="4350" stopIfTrue="1" operator="equal">
      <formula>"3 Delete"</formula>
    </cfRule>
  </conditionalFormatting>
  <conditionalFormatting sqref="C1451">
    <cfRule type="cellIs" dxfId="1742" priority="4351" stopIfTrue="1" operator="equal">
      <formula>"1 Modify"</formula>
    </cfRule>
  </conditionalFormatting>
  <conditionalFormatting sqref="C1451">
    <cfRule type="cellIs" dxfId="1741" priority="4352" stopIfTrue="1" operator="equal">
      <formula>"2 Add"</formula>
    </cfRule>
  </conditionalFormatting>
  <conditionalFormatting sqref="C1451">
    <cfRule type="cellIs" dxfId="1740" priority="4353" stopIfTrue="1" operator="equal">
      <formula>"3 Delete"</formula>
    </cfRule>
  </conditionalFormatting>
  <conditionalFormatting sqref="C1452">
    <cfRule type="cellIs" dxfId="1739" priority="4354" stopIfTrue="1" operator="equal">
      <formula>"1 Modify"</formula>
    </cfRule>
  </conditionalFormatting>
  <conditionalFormatting sqref="C1452">
    <cfRule type="cellIs" dxfId="1738" priority="4355" stopIfTrue="1" operator="equal">
      <formula>"2 Add"</formula>
    </cfRule>
  </conditionalFormatting>
  <conditionalFormatting sqref="C1452">
    <cfRule type="cellIs" dxfId="1737" priority="4356" stopIfTrue="1" operator="equal">
      <formula>"3 Delete"</formula>
    </cfRule>
  </conditionalFormatting>
  <conditionalFormatting sqref="C1453">
    <cfRule type="cellIs" dxfId="1736" priority="4357" stopIfTrue="1" operator="equal">
      <formula>"1 Modify"</formula>
    </cfRule>
  </conditionalFormatting>
  <conditionalFormatting sqref="C1453">
    <cfRule type="cellIs" dxfId="1735" priority="4358" stopIfTrue="1" operator="equal">
      <formula>"2 Add"</formula>
    </cfRule>
  </conditionalFormatting>
  <conditionalFormatting sqref="C1453">
    <cfRule type="cellIs" dxfId="1734" priority="4359" stopIfTrue="1" operator="equal">
      <formula>"3 Delete"</formula>
    </cfRule>
  </conditionalFormatting>
  <conditionalFormatting sqref="C1454">
    <cfRule type="cellIs" dxfId="1733" priority="4360" stopIfTrue="1" operator="equal">
      <formula>"1 Modify"</formula>
    </cfRule>
  </conditionalFormatting>
  <conditionalFormatting sqref="C1454">
    <cfRule type="cellIs" dxfId="1732" priority="4361" stopIfTrue="1" operator="equal">
      <formula>"2 Add"</formula>
    </cfRule>
  </conditionalFormatting>
  <conditionalFormatting sqref="C1454">
    <cfRule type="cellIs" dxfId="1731" priority="4362" stopIfTrue="1" operator="equal">
      <formula>"3 Delete"</formula>
    </cfRule>
  </conditionalFormatting>
  <conditionalFormatting sqref="C1455">
    <cfRule type="cellIs" dxfId="1730" priority="4363" stopIfTrue="1" operator="equal">
      <formula>"1 Modify"</formula>
    </cfRule>
  </conditionalFormatting>
  <conditionalFormatting sqref="C1455">
    <cfRule type="cellIs" dxfId="1729" priority="4364" stopIfTrue="1" operator="equal">
      <formula>"2 Add"</formula>
    </cfRule>
  </conditionalFormatting>
  <conditionalFormatting sqref="C1455">
    <cfRule type="cellIs" dxfId="1728" priority="4365" stopIfTrue="1" operator="equal">
      <formula>"3 Delete"</formula>
    </cfRule>
  </conditionalFormatting>
  <conditionalFormatting sqref="C1456">
    <cfRule type="cellIs" dxfId="1727" priority="4366" stopIfTrue="1" operator="equal">
      <formula>"1 Modify"</formula>
    </cfRule>
  </conditionalFormatting>
  <conditionalFormatting sqref="C1456">
    <cfRule type="cellIs" dxfId="1726" priority="4367" stopIfTrue="1" operator="equal">
      <formula>"2 Add"</formula>
    </cfRule>
  </conditionalFormatting>
  <conditionalFormatting sqref="C1456">
    <cfRule type="cellIs" dxfId="1725" priority="4368" stopIfTrue="1" operator="equal">
      <formula>"3 Delete"</formula>
    </cfRule>
  </conditionalFormatting>
  <conditionalFormatting sqref="C1457">
    <cfRule type="cellIs" dxfId="1724" priority="4369" stopIfTrue="1" operator="equal">
      <formula>"1 Modify"</formula>
    </cfRule>
  </conditionalFormatting>
  <conditionalFormatting sqref="C1457">
    <cfRule type="cellIs" dxfId="1723" priority="4370" stopIfTrue="1" operator="equal">
      <formula>"2 Add"</formula>
    </cfRule>
  </conditionalFormatting>
  <conditionalFormatting sqref="C1457">
    <cfRule type="cellIs" dxfId="1722" priority="4371" stopIfTrue="1" operator="equal">
      <formula>"3 Delete"</formula>
    </cfRule>
  </conditionalFormatting>
  <conditionalFormatting sqref="C1458">
    <cfRule type="cellIs" dxfId="1721" priority="4372" stopIfTrue="1" operator="equal">
      <formula>"1 Modify"</formula>
    </cfRule>
  </conditionalFormatting>
  <conditionalFormatting sqref="C1458">
    <cfRule type="cellIs" dxfId="1720" priority="4373" stopIfTrue="1" operator="equal">
      <formula>"2 Add"</formula>
    </cfRule>
  </conditionalFormatting>
  <conditionalFormatting sqref="C1458">
    <cfRule type="cellIs" dxfId="1719" priority="4374" stopIfTrue="1" operator="equal">
      <formula>"3 Delete"</formula>
    </cfRule>
  </conditionalFormatting>
  <conditionalFormatting sqref="C1459">
    <cfRule type="cellIs" dxfId="1718" priority="4375" stopIfTrue="1" operator="equal">
      <formula>"1 Modify"</formula>
    </cfRule>
  </conditionalFormatting>
  <conditionalFormatting sqref="C1459">
    <cfRule type="cellIs" dxfId="1717" priority="4376" stopIfTrue="1" operator="equal">
      <formula>"2 Add"</formula>
    </cfRule>
  </conditionalFormatting>
  <conditionalFormatting sqref="C1459">
    <cfRule type="cellIs" dxfId="1716" priority="4377" stopIfTrue="1" operator="equal">
      <formula>"3 Delete"</formula>
    </cfRule>
  </conditionalFormatting>
  <conditionalFormatting sqref="C1460">
    <cfRule type="cellIs" dxfId="1715" priority="4378" stopIfTrue="1" operator="equal">
      <formula>"1 Modify"</formula>
    </cfRule>
  </conditionalFormatting>
  <conditionalFormatting sqref="C1460">
    <cfRule type="cellIs" dxfId="1714" priority="4379" stopIfTrue="1" operator="equal">
      <formula>"2 Add"</formula>
    </cfRule>
  </conditionalFormatting>
  <conditionalFormatting sqref="C1460">
    <cfRule type="cellIs" dxfId="1713" priority="4380" stopIfTrue="1" operator="equal">
      <formula>"3 Delete"</formula>
    </cfRule>
  </conditionalFormatting>
  <conditionalFormatting sqref="C1461">
    <cfRule type="cellIs" dxfId="1712" priority="4381" stopIfTrue="1" operator="equal">
      <formula>"1 Modify"</formula>
    </cfRule>
  </conditionalFormatting>
  <conditionalFormatting sqref="C1461">
    <cfRule type="cellIs" dxfId="1711" priority="4382" stopIfTrue="1" operator="equal">
      <formula>"2 Add"</formula>
    </cfRule>
  </conditionalFormatting>
  <conditionalFormatting sqref="C1461">
    <cfRule type="cellIs" dxfId="1710" priority="4383" stopIfTrue="1" operator="equal">
      <formula>"3 Delete"</formula>
    </cfRule>
  </conditionalFormatting>
  <conditionalFormatting sqref="C1462">
    <cfRule type="cellIs" dxfId="1709" priority="4384" stopIfTrue="1" operator="equal">
      <formula>"1 Modify"</formula>
    </cfRule>
  </conditionalFormatting>
  <conditionalFormatting sqref="C1462">
    <cfRule type="cellIs" dxfId="1708" priority="4385" stopIfTrue="1" operator="equal">
      <formula>"2 Add"</formula>
    </cfRule>
  </conditionalFormatting>
  <conditionalFormatting sqref="C1462">
    <cfRule type="cellIs" dxfId="1707" priority="4386" stopIfTrue="1" operator="equal">
      <formula>"3 Delete"</formula>
    </cfRule>
  </conditionalFormatting>
  <conditionalFormatting sqref="C1463">
    <cfRule type="cellIs" dxfId="1706" priority="4387" stopIfTrue="1" operator="equal">
      <formula>"1 Modify"</formula>
    </cfRule>
  </conditionalFormatting>
  <conditionalFormatting sqref="C1463">
    <cfRule type="cellIs" dxfId="1705" priority="4388" stopIfTrue="1" operator="equal">
      <formula>"2 Add"</formula>
    </cfRule>
  </conditionalFormatting>
  <conditionalFormatting sqref="C1463">
    <cfRule type="cellIs" dxfId="1704" priority="4389" stopIfTrue="1" operator="equal">
      <formula>"3 Delete"</formula>
    </cfRule>
  </conditionalFormatting>
  <conditionalFormatting sqref="C1464">
    <cfRule type="cellIs" dxfId="1703" priority="4390" stopIfTrue="1" operator="equal">
      <formula>"1 Modify"</formula>
    </cfRule>
  </conditionalFormatting>
  <conditionalFormatting sqref="C1464">
    <cfRule type="cellIs" dxfId="1702" priority="4391" stopIfTrue="1" operator="equal">
      <formula>"2 Add"</formula>
    </cfRule>
  </conditionalFormatting>
  <conditionalFormatting sqref="C1464">
    <cfRule type="cellIs" dxfId="1701" priority="4392" stopIfTrue="1" operator="equal">
      <formula>"3 Delete"</formula>
    </cfRule>
  </conditionalFormatting>
  <conditionalFormatting sqref="C1465">
    <cfRule type="cellIs" dxfId="1700" priority="4393" stopIfTrue="1" operator="equal">
      <formula>"1 Modify"</formula>
    </cfRule>
  </conditionalFormatting>
  <conditionalFormatting sqref="C1465">
    <cfRule type="cellIs" dxfId="1699" priority="4394" stopIfTrue="1" operator="equal">
      <formula>"2 Add"</formula>
    </cfRule>
  </conditionalFormatting>
  <conditionalFormatting sqref="C1465">
    <cfRule type="cellIs" dxfId="1698" priority="4395" stopIfTrue="1" operator="equal">
      <formula>"3 Delete"</formula>
    </cfRule>
  </conditionalFormatting>
  <conditionalFormatting sqref="C1466">
    <cfRule type="cellIs" dxfId="1697" priority="4396" stopIfTrue="1" operator="equal">
      <formula>"1 Modify"</formula>
    </cfRule>
  </conditionalFormatting>
  <conditionalFormatting sqref="C1466">
    <cfRule type="cellIs" dxfId="1696" priority="4397" stopIfTrue="1" operator="equal">
      <formula>"2 Add"</formula>
    </cfRule>
  </conditionalFormatting>
  <conditionalFormatting sqref="C1466">
    <cfRule type="cellIs" dxfId="1695" priority="4398" stopIfTrue="1" operator="equal">
      <formula>"3 Delete"</formula>
    </cfRule>
  </conditionalFormatting>
  <conditionalFormatting sqref="C1467">
    <cfRule type="cellIs" dxfId="1694" priority="4399" stopIfTrue="1" operator="equal">
      <formula>"1 Modify"</formula>
    </cfRule>
  </conditionalFormatting>
  <conditionalFormatting sqref="C1467">
    <cfRule type="cellIs" dxfId="1693" priority="4400" stopIfTrue="1" operator="equal">
      <formula>"2 Add"</formula>
    </cfRule>
  </conditionalFormatting>
  <conditionalFormatting sqref="C1467">
    <cfRule type="cellIs" dxfId="1692" priority="4401" stopIfTrue="1" operator="equal">
      <formula>"3 Delete"</formula>
    </cfRule>
  </conditionalFormatting>
  <conditionalFormatting sqref="C1468">
    <cfRule type="cellIs" dxfId="1691" priority="4402" stopIfTrue="1" operator="equal">
      <formula>"1 Modify"</formula>
    </cfRule>
  </conditionalFormatting>
  <conditionalFormatting sqref="C1468">
    <cfRule type="cellIs" dxfId="1690" priority="4403" stopIfTrue="1" operator="equal">
      <formula>"2 Add"</formula>
    </cfRule>
  </conditionalFormatting>
  <conditionalFormatting sqref="C1468">
    <cfRule type="cellIs" dxfId="1689" priority="4404" stopIfTrue="1" operator="equal">
      <formula>"3 Delete"</formula>
    </cfRule>
  </conditionalFormatting>
  <conditionalFormatting sqref="C1469">
    <cfRule type="cellIs" dxfId="1688" priority="4405" stopIfTrue="1" operator="equal">
      <formula>"1 Modify"</formula>
    </cfRule>
  </conditionalFormatting>
  <conditionalFormatting sqref="C1469">
    <cfRule type="cellIs" dxfId="1687" priority="4406" stopIfTrue="1" operator="equal">
      <formula>"2 Add"</formula>
    </cfRule>
  </conditionalFormatting>
  <conditionalFormatting sqref="C1469">
    <cfRule type="cellIs" dxfId="1686" priority="4407" stopIfTrue="1" operator="equal">
      <formula>"3 Delete"</formula>
    </cfRule>
  </conditionalFormatting>
  <conditionalFormatting sqref="C1470">
    <cfRule type="cellIs" dxfId="1685" priority="4408" stopIfTrue="1" operator="equal">
      <formula>"1 Modify"</formula>
    </cfRule>
  </conditionalFormatting>
  <conditionalFormatting sqref="C1470">
    <cfRule type="cellIs" dxfId="1684" priority="4409" stopIfTrue="1" operator="equal">
      <formula>"2 Add"</formula>
    </cfRule>
  </conditionalFormatting>
  <conditionalFormatting sqref="C1470">
    <cfRule type="cellIs" dxfId="1683" priority="4410" stopIfTrue="1" operator="equal">
      <formula>"3 Delete"</formula>
    </cfRule>
  </conditionalFormatting>
  <conditionalFormatting sqref="C1471">
    <cfRule type="cellIs" dxfId="1682" priority="4411" stopIfTrue="1" operator="equal">
      <formula>"1 Modify"</formula>
    </cfRule>
  </conditionalFormatting>
  <conditionalFormatting sqref="C1471">
    <cfRule type="cellIs" dxfId="1681" priority="4412" stopIfTrue="1" operator="equal">
      <formula>"2 Add"</formula>
    </cfRule>
  </conditionalFormatting>
  <conditionalFormatting sqref="C1471">
    <cfRule type="cellIs" dxfId="1680" priority="4413" stopIfTrue="1" operator="equal">
      <formula>"3 Delete"</formula>
    </cfRule>
  </conditionalFormatting>
  <conditionalFormatting sqref="C1472">
    <cfRule type="cellIs" dxfId="1679" priority="4414" stopIfTrue="1" operator="equal">
      <formula>"1 Modify"</formula>
    </cfRule>
  </conditionalFormatting>
  <conditionalFormatting sqref="C1472">
    <cfRule type="cellIs" dxfId="1678" priority="4415" stopIfTrue="1" operator="equal">
      <formula>"2 Add"</formula>
    </cfRule>
  </conditionalFormatting>
  <conditionalFormatting sqref="C1472">
    <cfRule type="cellIs" dxfId="1677" priority="4416" stopIfTrue="1" operator="equal">
      <formula>"3 Delete"</formula>
    </cfRule>
  </conditionalFormatting>
  <conditionalFormatting sqref="C1473">
    <cfRule type="cellIs" dxfId="1676" priority="4417" stopIfTrue="1" operator="equal">
      <formula>"1 Modify"</formula>
    </cfRule>
  </conditionalFormatting>
  <conditionalFormatting sqref="C1473">
    <cfRule type="cellIs" dxfId="1675" priority="4418" stopIfTrue="1" operator="equal">
      <formula>"2 Add"</formula>
    </cfRule>
  </conditionalFormatting>
  <conditionalFormatting sqref="C1473">
    <cfRule type="cellIs" dxfId="1674" priority="4419" stopIfTrue="1" operator="equal">
      <formula>"3 Delete"</formula>
    </cfRule>
  </conditionalFormatting>
  <conditionalFormatting sqref="C1474">
    <cfRule type="cellIs" dxfId="1673" priority="4420" stopIfTrue="1" operator="equal">
      <formula>"1 Modify"</formula>
    </cfRule>
  </conditionalFormatting>
  <conditionalFormatting sqref="C1474">
    <cfRule type="cellIs" dxfId="1672" priority="4421" stopIfTrue="1" operator="equal">
      <formula>"2 Add"</formula>
    </cfRule>
  </conditionalFormatting>
  <conditionalFormatting sqref="C1474">
    <cfRule type="cellIs" dxfId="1671" priority="4422" stopIfTrue="1" operator="equal">
      <formula>"3 Delete"</formula>
    </cfRule>
  </conditionalFormatting>
  <conditionalFormatting sqref="C1475">
    <cfRule type="cellIs" dxfId="1670" priority="4423" stopIfTrue="1" operator="equal">
      <formula>"1 Modify"</formula>
    </cfRule>
  </conditionalFormatting>
  <conditionalFormatting sqref="C1475">
    <cfRule type="cellIs" dxfId="1669" priority="4424" stopIfTrue="1" operator="equal">
      <formula>"2 Add"</formula>
    </cfRule>
  </conditionalFormatting>
  <conditionalFormatting sqref="C1475">
    <cfRule type="cellIs" dxfId="1668" priority="4425" stopIfTrue="1" operator="equal">
      <formula>"3 Delete"</formula>
    </cfRule>
  </conditionalFormatting>
  <conditionalFormatting sqref="C1476">
    <cfRule type="cellIs" dxfId="1667" priority="4426" stopIfTrue="1" operator="equal">
      <formula>"1 Modify"</formula>
    </cfRule>
  </conditionalFormatting>
  <conditionalFormatting sqref="C1476">
    <cfRule type="cellIs" dxfId="1666" priority="4427" stopIfTrue="1" operator="equal">
      <formula>"2 Add"</formula>
    </cfRule>
  </conditionalFormatting>
  <conditionalFormatting sqref="C1476">
    <cfRule type="cellIs" dxfId="1665" priority="4428" stopIfTrue="1" operator="equal">
      <formula>"3 Delete"</formula>
    </cfRule>
  </conditionalFormatting>
  <conditionalFormatting sqref="C1477">
    <cfRule type="cellIs" dxfId="1664" priority="4429" stopIfTrue="1" operator="equal">
      <formula>"1 Modify"</formula>
    </cfRule>
  </conditionalFormatting>
  <conditionalFormatting sqref="C1477">
    <cfRule type="cellIs" dxfId="1663" priority="4430" stopIfTrue="1" operator="equal">
      <formula>"2 Add"</formula>
    </cfRule>
  </conditionalFormatting>
  <conditionalFormatting sqref="C1477">
    <cfRule type="cellIs" dxfId="1662" priority="4431" stopIfTrue="1" operator="equal">
      <formula>"3 Delete"</formula>
    </cfRule>
  </conditionalFormatting>
  <conditionalFormatting sqref="C1478">
    <cfRule type="cellIs" dxfId="1661" priority="4432" stopIfTrue="1" operator="equal">
      <formula>"1 Modify"</formula>
    </cfRule>
  </conditionalFormatting>
  <conditionalFormatting sqref="C1478">
    <cfRule type="cellIs" dxfId="1660" priority="4433" stopIfTrue="1" operator="equal">
      <formula>"2 Add"</formula>
    </cfRule>
  </conditionalFormatting>
  <conditionalFormatting sqref="C1478">
    <cfRule type="cellIs" dxfId="1659" priority="4434" stopIfTrue="1" operator="equal">
      <formula>"3 Delete"</formula>
    </cfRule>
  </conditionalFormatting>
  <conditionalFormatting sqref="C1479">
    <cfRule type="cellIs" dxfId="1658" priority="4435" stopIfTrue="1" operator="equal">
      <formula>"1 Modify"</formula>
    </cfRule>
  </conditionalFormatting>
  <conditionalFormatting sqref="C1479">
    <cfRule type="cellIs" dxfId="1657" priority="4436" stopIfTrue="1" operator="equal">
      <formula>"2 Add"</formula>
    </cfRule>
  </conditionalFormatting>
  <conditionalFormatting sqref="C1479">
    <cfRule type="cellIs" dxfId="1656" priority="4437" stopIfTrue="1" operator="equal">
      <formula>"3 Delete"</formula>
    </cfRule>
  </conditionalFormatting>
  <conditionalFormatting sqref="C1480">
    <cfRule type="cellIs" dxfId="1655" priority="4438" stopIfTrue="1" operator="equal">
      <formula>"1 Modify"</formula>
    </cfRule>
  </conditionalFormatting>
  <conditionalFormatting sqref="C1480">
    <cfRule type="cellIs" dxfId="1654" priority="4439" stopIfTrue="1" operator="equal">
      <formula>"2 Add"</formula>
    </cfRule>
  </conditionalFormatting>
  <conditionalFormatting sqref="C1480">
    <cfRule type="cellIs" dxfId="1653" priority="4440" stopIfTrue="1" operator="equal">
      <formula>"3 Delete"</formula>
    </cfRule>
  </conditionalFormatting>
  <conditionalFormatting sqref="C1481">
    <cfRule type="cellIs" dxfId="1652" priority="4441" stopIfTrue="1" operator="equal">
      <formula>"1 Modify"</formula>
    </cfRule>
  </conditionalFormatting>
  <conditionalFormatting sqref="C1481">
    <cfRule type="cellIs" dxfId="1651" priority="4442" stopIfTrue="1" operator="equal">
      <formula>"2 Add"</formula>
    </cfRule>
  </conditionalFormatting>
  <conditionalFormatting sqref="C1481">
    <cfRule type="cellIs" dxfId="1650" priority="4443" stopIfTrue="1" operator="equal">
      <formula>"3 Delete"</formula>
    </cfRule>
  </conditionalFormatting>
  <conditionalFormatting sqref="C1482">
    <cfRule type="cellIs" dxfId="1649" priority="4444" stopIfTrue="1" operator="equal">
      <formula>"1 Modify"</formula>
    </cfRule>
  </conditionalFormatting>
  <conditionalFormatting sqref="C1482">
    <cfRule type="cellIs" dxfId="1648" priority="4445" stopIfTrue="1" operator="equal">
      <formula>"2 Add"</formula>
    </cfRule>
  </conditionalFormatting>
  <conditionalFormatting sqref="C1482">
    <cfRule type="cellIs" dxfId="1647" priority="4446" stopIfTrue="1" operator="equal">
      <formula>"3 Delete"</formula>
    </cfRule>
  </conditionalFormatting>
  <conditionalFormatting sqref="C1483">
    <cfRule type="cellIs" dxfId="1646" priority="4447" stopIfTrue="1" operator="equal">
      <formula>"1 Modify"</formula>
    </cfRule>
  </conditionalFormatting>
  <conditionalFormatting sqref="C1483">
    <cfRule type="cellIs" dxfId="1645" priority="4448" stopIfTrue="1" operator="equal">
      <formula>"2 Add"</formula>
    </cfRule>
  </conditionalFormatting>
  <conditionalFormatting sqref="C1483">
    <cfRule type="cellIs" dxfId="1644" priority="4449" stopIfTrue="1" operator="equal">
      <formula>"3 Delete"</formula>
    </cfRule>
  </conditionalFormatting>
  <conditionalFormatting sqref="C1484">
    <cfRule type="cellIs" dxfId="1643" priority="4450" stopIfTrue="1" operator="equal">
      <formula>"1 Modify"</formula>
    </cfRule>
  </conditionalFormatting>
  <conditionalFormatting sqref="C1484">
    <cfRule type="cellIs" dxfId="1642" priority="4451" stopIfTrue="1" operator="equal">
      <formula>"2 Add"</formula>
    </cfRule>
  </conditionalFormatting>
  <conditionalFormatting sqref="C1484">
    <cfRule type="cellIs" dxfId="1641" priority="4452" stopIfTrue="1" operator="equal">
      <formula>"3 Delete"</formula>
    </cfRule>
  </conditionalFormatting>
  <conditionalFormatting sqref="C1485">
    <cfRule type="cellIs" dxfId="1640" priority="4453" stopIfTrue="1" operator="equal">
      <formula>"1 Modify"</formula>
    </cfRule>
  </conditionalFormatting>
  <conditionalFormatting sqref="C1485">
    <cfRule type="cellIs" dxfId="1639" priority="4454" stopIfTrue="1" operator="equal">
      <formula>"2 Add"</formula>
    </cfRule>
  </conditionalFormatting>
  <conditionalFormatting sqref="C1485">
    <cfRule type="cellIs" dxfId="1638" priority="4455" stopIfTrue="1" operator="equal">
      <formula>"3 Delete"</formula>
    </cfRule>
  </conditionalFormatting>
  <conditionalFormatting sqref="C1486">
    <cfRule type="cellIs" dxfId="1637" priority="4456" stopIfTrue="1" operator="equal">
      <formula>"1 Modify"</formula>
    </cfRule>
  </conditionalFormatting>
  <conditionalFormatting sqref="C1486">
    <cfRule type="cellIs" dxfId="1636" priority="4457" stopIfTrue="1" operator="equal">
      <formula>"2 Add"</formula>
    </cfRule>
  </conditionalFormatting>
  <conditionalFormatting sqref="C1486">
    <cfRule type="cellIs" dxfId="1635" priority="4458" stopIfTrue="1" operator="equal">
      <formula>"3 Delete"</formula>
    </cfRule>
  </conditionalFormatting>
  <conditionalFormatting sqref="C1487">
    <cfRule type="cellIs" dxfId="1634" priority="4459" stopIfTrue="1" operator="equal">
      <formula>"1 Modify"</formula>
    </cfRule>
  </conditionalFormatting>
  <conditionalFormatting sqref="C1487">
    <cfRule type="cellIs" dxfId="1633" priority="4460" stopIfTrue="1" operator="equal">
      <formula>"2 Add"</formula>
    </cfRule>
  </conditionalFormatting>
  <conditionalFormatting sqref="C1487">
    <cfRule type="cellIs" dxfId="1632" priority="4461" stopIfTrue="1" operator="equal">
      <formula>"3 Delete"</formula>
    </cfRule>
  </conditionalFormatting>
  <conditionalFormatting sqref="C1488">
    <cfRule type="cellIs" dxfId="1631" priority="4462" stopIfTrue="1" operator="equal">
      <formula>"1 Modify"</formula>
    </cfRule>
  </conditionalFormatting>
  <conditionalFormatting sqref="C1488">
    <cfRule type="cellIs" dxfId="1630" priority="4463" stopIfTrue="1" operator="equal">
      <formula>"2 Add"</formula>
    </cfRule>
  </conditionalFormatting>
  <conditionalFormatting sqref="C1488">
    <cfRule type="cellIs" dxfId="1629" priority="4464" stopIfTrue="1" operator="equal">
      <formula>"3 Delete"</formula>
    </cfRule>
  </conditionalFormatting>
  <conditionalFormatting sqref="C1489">
    <cfRule type="cellIs" dxfId="1628" priority="4465" stopIfTrue="1" operator="equal">
      <formula>"1 Modify"</formula>
    </cfRule>
  </conditionalFormatting>
  <conditionalFormatting sqref="C1489">
    <cfRule type="cellIs" dxfId="1627" priority="4466" stopIfTrue="1" operator="equal">
      <formula>"2 Add"</formula>
    </cfRule>
  </conditionalFormatting>
  <conditionalFormatting sqref="C1489">
    <cfRule type="cellIs" dxfId="1626" priority="4467" stopIfTrue="1" operator="equal">
      <formula>"3 Delete"</formula>
    </cfRule>
  </conditionalFormatting>
  <conditionalFormatting sqref="C1490">
    <cfRule type="cellIs" dxfId="1625" priority="4468" stopIfTrue="1" operator="equal">
      <formula>"1 Modify"</formula>
    </cfRule>
  </conditionalFormatting>
  <conditionalFormatting sqref="C1490">
    <cfRule type="cellIs" dxfId="1624" priority="4469" stopIfTrue="1" operator="equal">
      <formula>"2 Add"</formula>
    </cfRule>
  </conditionalFormatting>
  <conditionalFormatting sqref="C1490">
    <cfRule type="cellIs" dxfId="1623" priority="4470" stopIfTrue="1" operator="equal">
      <formula>"3 Delete"</formula>
    </cfRule>
  </conditionalFormatting>
  <conditionalFormatting sqref="C1491">
    <cfRule type="cellIs" dxfId="1622" priority="4471" stopIfTrue="1" operator="equal">
      <formula>"1 Modify"</formula>
    </cfRule>
  </conditionalFormatting>
  <conditionalFormatting sqref="C1491">
    <cfRule type="cellIs" dxfId="1621" priority="4472" stopIfTrue="1" operator="equal">
      <formula>"2 Add"</formula>
    </cfRule>
  </conditionalFormatting>
  <conditionalFormatting sqref="C1491">
    <cfRule type="cellIs" dxfId="1620" priority="4473" stopIfTrue="1" operator="equal">
      <formula>"3 Delete"</formula>
    </cfRule>
  </conditionalFormatting>
  <conditionalFormatting sqref="C1492">
    <cfRule type="cellIs" dxfId="1619" priority="4474" stopIfTrue="1" operator="equal">
      <formula>"1 Modify"</formula>
    </cfRule>
  </conditionalFormatting>
  <conditionalFormatting sqref="C1492">
    <cfRule type="cellIs" dxfId="1618" priority="4475" stopIfTrue="1" operator="equal">
      <formula>"2 Add"</formula>
    </cfRule>
  </conditionalFormatting>
  <conditionalFormatting sqref="C1492">
    <cfRule type="cellIs" dxfId="1617" priority="4476" stopIfTrue="1" operator="equal">
      <formula>"3 Delete"</formula>
    </cfRule>
  </conditionalFormatting>
  <conditionalFormatting sqref="C1493">
    <cfRule type="cellIs" dxfId="1616" priority="4477" stopIfTrue="1" operator="equal">
      <formula>"1 Modify"</formula>
    </cfRule>
  </conditionalFormatting>
  <conditionalFormatting sqref="C1493">
    <cfRule type="cellIs" dxfId="1615" priority="4478" stopIfTrue="1" operator="equal">
      <formula>"2 Add"</formula>
    </cfRule>
  </conditionalFormatting>
  <conditionalFormatting sqref="C1493">
    <cfRule type="cellIs" dxfId="1614" priority="4479" stopIfTrue="1" operator="equal">
      <formula>"3 Delete"</formula>
    </cfRule>
  </conditionalFormatting>
  <conditionalFormatting sqref="C1494">
    <cfRule type="cellIs" dxfId="1613" priority="4480" stopIfTrue="1" operator="equal">
      <formula>"1 Modify"</formula>
    </cfRule>
  </conditionalFormatting>
  <conditionalFormatting sqref="C1494">
    <cfRule type="cellIs" dxfId="1612" priority="4481" stopIfTrue="1" operator="equal">
      <formula>"2 Add"</formula>
    </cfRule>
  </conditionalFormatting>
  <conditionalFormatting sqref="C1494">
    <cfRule type="cellIs" dxfId="1611" priority="4482" stopIfTrue="1" operator="equal">
      <formula>"3 Delete"</formula>
    </cfRule>
  </conditionalFormatting>
  <conditionalFormatting sqref="C1495">
    <cfRule type="cellIs" dxfId="1610" priority="4483" stopIfTrue="1" operator="equal">
      <formula>"1 Modify"</formula>
    </cfRule>
  </conditionalFormatting>
  <conditionalFormatting sqref="C1495">
    <cfRule type="cellIs" dxfId="1609" priority="4484" stopIfTrue="1" operator="equal">
      <formula>"2 Add"</formula>
    </cfRule>
  </conditionalFormatting>
  <conditionalFormatting sqref="C1495">
    <cfRule type="cellIs" dxfId="1608" priority="4485" stopIfTrue="1" operator="equal">
      <formula>"3 Delete"</formula>
    </cfRule>
  </conditionalFormatting>
  <conditionalFormatting sqref="C1496">
    <cfRule type="cellIs" dxfId="1607" priority="4486" stopIfTrue="1" operator="equal">
      <formula>"1 Modify"</formula>
    </cfRule>
  </conditionalFormatting>
  <conditionalFormatting sqref="C1496">
    <cfRule type="cellIs" dxfId="1606" priority="4487" stopIfTrue="1" operator="equal">
      <formula>"2 Add"</formula>
    </cfRule>
  </conditionalFormatting>
  <conditionalFormatting sqref="C1496">
    <cfRule type="cellIs" dxfId="1605" priority="4488" stopIfTrue="1" operator="equal">
      <formula>"3 Delete"</formula>
    </cfRule>
  </conditionalFormatting>
  <conditionalFormatting sqref="C1497">
    <cfRule type="cellIs" dxfId="1604" priority="4489" stopIfTrue="1" operator="equal">
      <formula>"1 Modify"</formula>
    </cfRule>
  </conditionalFormatting>
  <conditionalFormatting sqref="C1497">
    <cfRule type="cellIs" dxfId="1603" priority="4490" stopIfTrue="1" operator="equal">
      <formula>"2 Add"</formula>
    </cfRule>
  </conditionalFormatting>
  <conditionalFormatting sqref="C1497">
    <cfRule type="cellIs" dxfId="1602" priority="4491" stopIfTrue="1" operator="equal">
      <formula>"3 Delete"</formula>
    </cfRule>
  </conditionalFormatting>
  <conditionalFormatting sqref="C1498">
    <cfRule type="cellIs" dxfId="1601" priority="4492" stopIfTrue="1" operator="equal">
      <formula>"1 Modify"</formula>
    </cfRule>
  </conditionalFormatting>
  <conditionalFormatting sqref="C1498">
    <cfRule type="cellIs" dxfId="1600" priority="4493" stopIfTrue="1" operator="equal">
      <formula>"2 Add"</formula>
    </cfRule>
  </conditionalFormatting>
  <conditionalFormatting sqref="C1498">
    <cfRule type="cellIs" dxfId="1599" priority="4494" stopIfTrue="1" operator="equal">
      <formula>"3 Delete"</formula>
    </cfRule>
  </conditionalFormatting>
  <conditionalFormatting sqref="C1499">
    <cfRule type="cellIs" dxfId="1598" priority="4495" stopIfTrue="1" operator="equal">
      <formula>"1 Modify"</formula>
    </cfRule>
  </conditionalFormatting>
  <conditionalFormatting sqref="C1499">
    <cfRule type="cellIs" dxfId="1597" priority="4496" stopIfTrue="1" operator="equal">
      <formula>"2 Add"</formula>
    </cfRule>
  </conditionalFormatting>
  <conditionalFormatting sqref="C1499">
    <cfRule type="cellIs" dxfId="1596" priority="4497" stopIfTrue="1" operator="equal">
      <formula>"3 Delete"</formula>
    </cfRule>
  </conditionalFormatting>
  <conditionalFormatting sqref="C1500">
    <cfRule type="cellIs" dxfId="1595" priority="4498" stopIfTrue="1" operator="equal">
      <formula>"1 Modify"</formula>
    </cfRule>
  </conditionalFormatting>
  <conditionalFormatting sqref="C1500">
    <cfRule type="cellIs" dxfId="1594" priority="4499" stopIfTrue="1" operator="equal">
      <formula>"2 Add"</formula>
    </cfRule>
  </conditionalFormatting>
  <conditionalFormatting sqref="C1500">
    <cfRule type="cellIs" dxfId="1593" priority="4500" stopIfTrue="1" operator="equal">
      <formula>"3 Delete"</formula>
    </cfRule>
  </conditionalFormatting>
  <conditionalFormatting sqref="C1501">
    <cfRule type="cellIs" dxfId="1592" priority="4501" stopIfTrue="1" operator="equal">
      <formula>"1 Modify"</formula>
    </cfRule>
  </conditionalFormatting>
  <conditionalFormatting sqref="C1501">
    <cfRule type="cellIs" dxfId="1591" priority="4502" stopIfTrue="1" operator="equal">
      <formula>"2 Add"</formula>
    </cfRule>
  </conditionalFormatting>
  <conditionalFormatting sqref="C1501">
    <cfRule type="cellIs" dxfId="1590" priority="4503" stopIfTrue="1" operator="equal">
      <formula>"3 Delete"</formula>
    </cfRule>
  </conditionalFormatting>
  <conditionalFormatting sqref="C1502">
    <cfRule type="cellIs" dxfId="1589" priority="4504" stopIfTrue="1" operator="equal">
      <formula>"1 Modify"</formula>
    </cfRule>
  </conditionalFormatting>
  <conditionalFormatting sqref="C1502">
    <cfRule type="cellIs" dxfId="1588" priority="4505" stopIfTrue="1" operator="equal">
      <formula>"2 Add"</formula>
    </cfRule>
  </conditionalFormatting>
  <conditionalFormatting sqref="C1502">
    <cfRule type="cellIs" dxfId="1587" priority="4506" stopIfTrue="1" operator="equal">
      <formula>"3 Delete"</formula>
    </cfRule>
  </conditionalFormatting>
  <conditionalFormatting sqref="C1503">
    <cfRule type="cellIs" dxfId="1586" priority="4507" stopIfTrue="1" operator="equal">
      <formula>"1 Modify"</formula>
    </cfRule>
  </conditionalFormatting>
  <conditionalFormatting sqref="C1503">
    <cfRule type="cellIs" dxfId="1585" priority="4508" stopIfTrue="1" operator="equal">
      <formula>"2 Add"</formula>
    </cfRule>
  </conditionalFormatting>
  <conditionalFormatting sqref="C1503">
    <cfRule type="cellIs" dxfId="1584" priority="4509" stopIfTrue="1" operator="equal">
      <formula>"3 Delete"</formula>
    </cfRule>
  </conditionalFormatting>
  <conditionalFormatting sqref="C1504">
    <cfRule type="cellIs" dxfId="1583" priority="4510" stopIfTrue="1" operator="equal">
      <formula>"1 Modify"</formula>
    </cfRule>
  </conditionalFormatting>
  <conditionalFormatting sqref="C1504">
    <cfRule type="cellIs" dxfId="1582" priority="4511" stopIfTrue="1" operator="equal">
      <formula>"2 Add"</formula>
    </cfRule>
  </conditionalFormatting>
  <conditionalFormatting sqref="C1504">
    <cfRule type="cellIs" dxfId="1581" priority="4512" stopIfTrue="1" operator="equal">
      <formula>"3 Delete"</formula>
    </cfRule>
  </conditionalFormatting>
  <conditionalFormatting sqref="C1505">
    <cfRule type="cellIs" dxfId="1580" priority="4513" stopIfTrue="1" operator="equal">
      <formula>"1 Modify"</formula>
    </cfRule>
  </conditionalFormatting>
  <conditionalFormatting sqref="C1505">
    <cfRule type="cellIs" dxfId="1579" priority="4514" stopIfTrue="1" operator="equal">
      <formula>"2 Add"</formula>
    </cfRule>
  </conditionalFormatting>
  <conditionalFormatting sqref="C1505">
    <cfRule type="cellIs" dxfId="1578" priority="4515" stopIfTrue="1" operator="equal">
      <formula>"3 Delete"</formula>
    </cfRule>
  </conditionalFormatting>
  <conditionalFormatting sqref="C1506">
    <cfRule type="cellIs" dxfId="1577" priority="4516" stopIfTrue="1" operator="equal">
      <formula>"1 Modify"</formula>
    </cfRule>
  </conditionalFormatting>
  <conditionalFormatting sqref="C1506">
    <cfRule type="cellIs" dxfId="1576" priority="4517" stopIfTrue="1" operator="equal">
      <formula>"2 Add"</formula>
    </cfRule>
  </conditionalFormatting>
  <conditionalFormatting sqref="C1506">
    <cfRule type="cellIs" dxfId="1575" priority="4518" stopIfTrue="1" operator="equal">
      <formula>"3 Delete"</formula>
    </cfRule>
  </conditionalFormatting>
  <conditionalFormatting sqref="C1507">
    <cfRule type="cellIs" dxfId="1574" priority="4519" stopIfTrue="1" operator="equal">
      <formula>"1 Modify"</formula>
    </cfRule>
  </conditionalFormatting>
  <conditionalFormatting sqref="C1507">
    <cfRule type="cellIs" dxfId="1573" priority="4520" stopIfTrue="1" operator="equal">
      <formula>"2 Add"</formula>
    </cfRule>
  </conditionalFormatting>
  <conditionalFormatting sqref="C1507">
    <cfRule type="cellIs" dxfId="1572" priority="4521" stopIfTrue="1" operator="equal">
      <formula>"3 Delete"</formula>
    </cfRule>
  </conditionalFormatting>
  <conditionalFormatting sqref="C1508">
    <cfRule type="cellIs" dxfId="1571" priority="4522" stopIfTrue="1" operator="equal">
      <formula>"1 Modify"</formula>
    </cfRule>
  </conditionalFormatting>
  <conditionalFormatting sqref="C1508">
    <cfRule type="cellIs" dxfId="1570" priority="4523" stopIfTrue="1" operator="equal">
      <formula>"2 Add"</formula>
    </cfRule>
  </conditionalFormatting>
  <conditionalFormatting sqref="C1508">
    <cfRule type="cellIs" dxfId="1569" priority="4524" stopIfTrue="1" operator="equal">
      <formula>"3 Delete"</formula>
    </cfRule>
  </conditionalFormatting>
  <conditionalFormatting sqref="C1509">
    <cfRule type="cellIs" dxfId="1568" priority="4525" stopIfTrue="1" operator="equal">
      <formula>"1 Modify"</formula>
    </cfRule>
  </conditionalFormatting>
  <conditionalFormatting sqref="C1509">
    <cfRule type="cellIs" dxfId="1567" priority="4526" stopIfTrue="1" operator="equal">
      <formula>"2 Add"</formula>
    </cfRule>
  </conditionalFormatting>
  <conditionalFormatting sqref="C1509">
    <cfRule type="cellIs" dxfId="1566" priority="4527" stopIfTrue="1" operator="equal">
      <formula>"3 Delete"</formula>
    </cfRule>
  </conditionalFormatting>
  <conditionalFormatting sqref="C1510">
    <cfRule type="cellIs" dxfId="1565" priority="4528" stopIfTrue="1" operator="equal">
      <formula>"1 Modify"</formula>
    </cfRule>
  </conditionalFormatting>
  <conditionalFormatting sqref="C1510">
    <cfRule type="cellIs" dxfId="1564" priority="4529" stopIfTrue="1" operator="equal">
      <formula>"2 Add"</formula>
    </cfRule>
  </conditionalFormatting>
  <conditionalFormatting sqref="C1510">
    <cfRule type="cellIs" dxfId="1563" priority="4530" stopIfTrue="1" operator="equal">
      <formula>"3 Delete"</formula>
    </cfRule>
  </conditionalFormatting>
  <conditionalFormatting sqref="C1511">
    <cfRule type="cellIs" dxfId="1562" priority="4531" stopIfTrue="1" operator="equal">
      <formula>"1 Modify"</formula>
    </cfRule>
  </conditionalFormatting>
  <conditionalFormatting sqref="C1511">
    <cfRule type="cellIs" dxfId="1561" priority="4532" stopIfTrue="1" operator="equal">
      <formula>"2 Add"</formula>
    </cfRule>
  </conditionalFormatting>
  <conditionalFormatting sqref="C1511">
    <cfRule type="cellIs" dxfId="1560" priority="4533" stopIfTrue="1" operator="equal">
      <formula>"3 Delete"</formula>
    </cfRule>
  </conditionalFormatting>
  <conditionalFormatting sqref="C1512">
    <cfRule type="cellIs" dxfId="1559" priority="4534" stopIfTrue="1" operator="equal">
      <formula>"1 Modify"</formula>
    </cfRule>
  </conditionalFormatting>
  <conditionalFormatting sqref="C1512">
    <cfRule type="cellIs" dxfId="1558" priority="4535" stopIfTrue="1" operator="equal">
      <formula>"2 Add"</formula>
    </cfRule>
  </conditionalFormatting>
  <conditionalFormatting sqref="C1512">
    <cfRule type="cellIs" dxfId="1557" priority="4536" stopIfTrue="1" operator="equal">
      <formula>"3 Delete"</formula>
    </cfRule>
  </conditionalFormatting>
  <conditionalFormatting sqref="C1513">
    <cfRule type="cellIs" dxfId="1556" priority="4537" stopIfTrue="1" operator="equal">
      <formula>"1 Modify"</formula>
    </cfRule>
  </conditionalFormatting>
  <conditionalFormatting sqref="C1513">
    <cfRule type="cellIs" dxfId="1555" priority="4538" stopIfTrue="1" operator="equal">
      <formula>"2 Add"</formula>
    </cfRule>
  </conditionalFormatting>
  <conditionalFormatting sqref="C1513">
    <cfRule type="cellIs" dxfId="1554" priority="4539" stopIfTrue="1" operator="equal">
      <formula>"3 Delete"</formula>
    </cfRule>
  </conditionalFormatting>
  <conditionalFormatting sqref="C1514">
    <cfRule type="cellIs" dxfId="1553" priority="4540" stopIfTrue="1" operator="equal">
      <formula>"1 Modify"</formula>
    </cfRule>
  </conditionalFormatting>
  <conditionalFormatting sqref="C1514">
    <cfRule type="cellIs" dxfId="1552" priority="4541" stopIfTrue="1" operator="equal">
      <formula>"2 Add"</formula>
    </cfRule>
  </conditionalFormatting>
  <conditionalFormatting sqref="C1514">
    <cfRule type="cellIs" dxfId="1551" priority="4542" stopIfTrue="1" operator="equal">
      <formula>"3 Delete"</formula>
    </cfRule>
  </conditionalFormatting>
  <conditionalFormatting sqref="C1515">
    <cfRule type="cellIs" dxfId="1550" priority="4543" stopIfTrue="1" operator="equal">
      <formula>"1 Modify"</formula>
    </cfRule>
  </conditionalFormatting>
  <conditionalFormatting sqref="C1515">
    <cfRule type="cellIs" dxfId="1549" priority="4544" stopIfTrue="1" operator="equal">
      <formula>"2 Add"</formula>
    </cfRule>
  </conditionalFormatting>
  <conditionalFormatting sqref="C1515">
    <cfRule type="cellIs" dxfId="1548" priority="4545" stopIfTrue="1" operator="equal">
      <formula>"3 Delete"</formula>
    </cfRule>
  </conditionalFormatting>
  <conditionalFormatting sqref="C1516">
    <cfRule type="cellIs" dxfId="1547" priority="4546" stopIfTrue="1" operator="equal">
      <formula>"1 Modify"</formula>
    </cfRule>
  </conditionalFormatting>
  <conditionalFormatting sqref="C1516">
    <cfRule type="cellIs" dxfId="1546" priority="4547" stopIfTrue="1" operator="equal">
      <formula>"2 Add"</formula>
    </cfRule>
  </conditionalFormatting>
  <conditionalFormatting sqref="C1516">
    <cfRule type="cellIs" dxfId="1545" priority="4548" stopIfTrue="1" operator="equal">
      <formula>"3 Delete"</formula>
    </cfRule>
  </conditionalFormatting>
  <conditionalFormatting sqref="C1517">
    <cfRule type="cellIs" dxfId="1544" priority="4549" stopIfTrue="1" operator="equal">
      <formula>"1 Modify"</formula>
    </cfRule>
  </conditionalFormatting>
  <conditionalFormatting sqref="C1517">
    <cfRule type="cellIs" dxfId="1543" priority="4550" stopIfTrue="1" operator="equal">
      <formula>"2 Add"</formula>
    </cfRule>
  </conditionalFormatting>
  <conditionalFormatting sqref="C1517">
    <cfRule type="cellIs" dxfId="1542" priority="4551" stopIfTrue="1" operator="equal">
      <formula>"3 Delete"</formula>
    </cfRule>
  </conditionalFormatting>
  <conditionalFormatting sqref="C1518">
    <cfRule type="cellIs" dxfId="1541" priority="4552" stopIfTrue="1" operator="equal">
      <formula>"1 Modify"</formula>
    </cfRule>
  </conditionalFormatting>
  <conditionalFormatting sqref="C1518">
    <cfRule type="cellIs" dxfId="1540" priority="4553" stopIfTrue="1" operator="equal">
      <formula>"2 Add"</formula>
    </cfRule>
  </conditionalFormatting>
  <conditionalFormatting sqref="C1518">
    <cfRule type="cellIs" dxfId="1539" priority="4554" stopIfTrue="1" operator="equal">
      <formula>"3 Delete"</formula>
    </cfRule>
  </conditionalFormatting>
  <conditionalFormatting sqref="C1519">
    <cfRule type="cellIs" dxfId="1538" priority="4555" stopIfTrue="1" operator="equal">
      <formula>"1 Modify"</formula>
    </cfRule>
  </conditionalFormatting>
  <conditionalFormatting sqref="C1519">
    <cfRule type="cellIs" dxfId="1537" priority="4556" stopIfTrue="1" operator="equal">
      <formula>"2 Add"</formula>
    </cfRule>
  </conditionalFormatting>
  <conditionalFormatting sqref="C1519">
    <cfRule type="cellIs" dxfId="1536" priority="4557" stopIfTrue="1" operator="equal">
      <formula>"3 Delete"</formula>
    </cfRule>
  </conditionalFormatting>
  <conditionalFormatting sqref="C1520">
    <cfRule type="cellIs" dxfId="1535" priority="4558" stopIfTrue="1" operator="equal">
      <formula>"1 Modify"</formula>
    </cfRule>
  </conditionalFormatting>
  <conditionalFormatting sqref="C1520">
    <cfRule type="cellIs" dxfId="1534" priority="4559" stopIfTrue="1" operator="equal">
      <formula>"2 Add"</formula>
    </cfRule>
  </conditionalFormatting>
  <conditionalFormatting sqref="C1520">
    <cfRule type="cellIs" dxfId="1533" priority="4560" stopIfTrue="1" operator="equal">
      <formula>"3 Delete"</formula>
    </cfRule>
  </conditionalFormatting>
  <conditionalFormatting sqref="C1521">
    <cfRule type="cellIs" dxfId="1532" priority="4561" stopIfTrue="1" operator="equal">
      <formula>"1 Modify"</formula>
    </cfRule>
  </conditionalFormatting>
  <conditionalFormatting sqref="C1521">
    <cfRule type="cellIs" dxfId="1531" priority="4562" stopIfTrue="1" operator="equal">
      <formula>"2 Add"</formula>
    </cfRule>
  </conditionalFormatting>
  <conditionalFormatting sqref="C1521">
    <cfRule type="cellIs" dxfId="1530" priority="4563" stopIfTrue="1" operator="equal">
      <formula>"3 Delete"</formula>
    </cfRule>
  </conditionalFormatting>
  <conditionalFormatting sqref="C1522">
    <cfRule type="cellIs" dxfId="1529" priority="4564" stopIfTrue="1" operator="equal">
      <formula>"1 Modify"</formula>
    </cfRule>
  </conditionalFormatting>
  <conditionalFormatting sqref="C1522">
    <cfRule type="cellIs" dxfId="1528" priority="4565" stopIfTrue="1" operator="equal">
      <formula>"2 Add"</formula>
    </cfRule>
  </conditionalFormatting>
  <conditionalFormatting sqref="C1522">
    <cfRule type="cellIs" dxfId="1527" priority="4566" stopIfTrue="1" operator="equal">
      <formula>"3 Delete"</formula>
    </cfRule>
  </conditionalFormatting>
  <conditionalFormatting sqref="C1523">
    <cfRule type="cellIs" dxfId="1526" priority="4567" stopIfTrue="1" operator="equal">
      <formula>"1 Modify"</formula>
    </cfRule>
  </conditionalFormatting>
  <conditionalFormatting sqref="C1523">
    <cfRule type="cellIs" dxfId="1525" priority="4568" stopIfTrue="1" operator="equal">
      <formula>"2 Add"</formula>
    </cfRule>
  </conditionalFormatting>
  <conditionalFormatting sqref="C1523">
    <cfRule type="cellIs" dxfId="1524" priority="4569" stopIfTrue="1" operator="equal">
      <formula>"3 Delete"</formula>
    </cfRule>
  </conditionalFormatting>
  <conditionalFormatting sqref="C1524">
    <cfRule type="cellIs" dxfId="1523" priority="4570" stopIfTrue="1" operator="equal">
      <formula>"1 Modify"</formula>
    </cfRule>
  </conditionalFormatting>
  <conditionalFormatting sqref="C1524">
    <cfRule type="cellIs" dxfId="1522" priority="4571" stopIfTrue="1" operator="equal">
      <formula>"2 Add"</formula>
    </cfRule>
  </conditionalFormatting>
  <conditionalFormatting sqref="C1524">
    <cfRule type="cellIs" dxfId="1521" priority="4572" stopIfTrue="1" operator="equal">
      <formula>"3 Delete"</formula>
    </cfRule>
  </conditionalFormatting>
  <conditionalFormatting sqref="C1525">
    <cfRule type="cellIs" dxfId="1520" priority="4573" stopIfTrue="1" operator="equal">
      <formula>"1 Modify"</formula>
    </cfRule>
  </conditionalFormatting>
  <conditionalFormatting sqref="C1525">
    <cfRule type="cellIs" dxfId="1519" priority="4574" stopIfTrue="1" operator="equal">
      <formula>"2 Add"</formula>
    </cfRule>
  </conditionalFormatting>
  <conditionalFormatting sqref="C1525">
    <cfRule type="cellIs" dxfId="1518" priority="4575" stopIfTrue="1" operator="equal">
      <formula>"3 Delete"</formula>
    </cfRule>
  </conditionalFormatting>
  <conditionalFormatting sqref="C1526">
    <cfRule type="cellIs" dxfId="1517" priority="4576" stopIfTrue="1" operator="equal">
      <formula>"1 Modify"</formula>
    </cfRule>
  </conditionalFormatting>
  <conditionalFormatting sqref="C1526">
    <cfRule type="cellIs" dxfId="1516" priority="4577" stopIfTrue="1" operator="equal">
      <formula>"2 Add"</formula>
    </cfRule>
  </conditionalFormatting>
  <conditionalFormatting sqref="C1526">
    <cfRule type="cellIs" dxfId="1515" priority="4578" stopIfTrue="1" operator="equal">
      <formula>"3 Delete"</formula>
    </cfRule>
  </conditionalFormatting>
  <conditionalFormatting sqref="C1527">
    <cfRule type="cellIs" dxfId="1514" priority="4579" stopIfTrue="1" operator="equal">
      <formula>"1 Modify"</formula>
    </cfRule>
  </conditionalFormatting>
  <conditionalFormatting sqref="C1527">
    <cfRule type="cellIs" dxfId="1513" priority="4580" stopIfTrue="1" operator="equal">
      <formula>"2 Add"</formula>
    </cfRule>
  </conditionalFormatting>
  <conditionalFormatting sqref="C1527">
    <cfRule type="cellIs" dxfId="1512" priority="4581" stopIfTrue="1" operator="equal">
      <formula>"3 Delete"</formula>
    </cfRule>
  </conditionalFormatting>
  <conditionalFormatting sqref="C1528">
    <cfRule type="cellIs" dxfId="1511" priority="4582" stopIfTrue="1" operator="equal">
      <formula>"1 Modify"</formula>
    </cfRule>
  </conditionalFormatting>
  <conditionalFormatting sqref="C1528">
    <cfRule type="cellIs" dxfId="1510" priority="4583" stopIfTrue="1" operator="equal">
      <formula>"2 Add"</formula>
    </cfRule>
  </conditionalFormatting>
  <conditionalFormatting sqref="C1528">
    <cfRule type="cellIs" dxfId="1509" priority="4584" stopIfTrue="1" operator="equal">
      <formula>"3 Delete"</formula>
    </cfRule>
  </conditionalFormatting>
  <conditionalFormatting sqref="C1529">
    <cfRule type="cellIs" dxfId="1508" priority="4585" stopIfTrue="1" operator="equal">
      <formula>"1 Modify"</formula>
    </cfRule>
  </conditionalFormatting>
  <conditionalFormatting sqref="C1529">
    <cfRule type="cellIs" dxfId="1507" priority="4586" stopIfTrue="1" operator="equal">
      <formula>"2 Add"</formula>
    </cfRule>
  </conditionalFormatting>
  <conditionalFormatting sqref="C1529">
    <cfRule type="cellIs" dxfId="1506" priority="4587" stopIfTrue="1" operator="equal">
      <formula>"3 Delete"</formula>
    </cfRule>
  </conditionalFormatting>
  <conditionalFormatting sqref="C1530">
    <cfRule type="cellIs" dxfId="1505" priority="4588" stopIfTrue="1" operator="equal">
      <formula>"1 Modify"</formula>
    </cfRule>
  </conditionalFormatting>
  <conditionalFormatting sqref="C1530">
    <cfRule type="cellIs" dxfId="1504" priority="4589" stopIfTrue="1" operator="equal">
      <formula>"2 Add"</formula>
    </cfRule>
  </conditionalFormatting>
  <conditionalFormatting sqref="C1530">
    <cfRule type="cellIs" dxfId="1503" priority="4590" stopIfTrue="1" operator="equal">
      <formula>"3 Delete"</formula>
    </cfRule>
  </conditionalFormatting>
  <conditionalFormatting sqref="C1531">
    <cfRule type="cellIs" dxfId="1502" priority="4591" stopIfTrue="1" operator="equal">
      <formula>"1 Modify"</formula>
    </cfRule>
  </conditionalFormatting>
  <conditionalFormatting sqref="C1531">
    <cfRule type="cellIs" dxfId="1501" priority="4592" stopIfTrue="1" operator="equal">
      <formula>"2 Add"</formula>
    </cfRule>
  </conditionalFormatting>
  <conditionalFormatting sqref="C1531">
    <cfRule type="cellIs" dxfId="1500" priority="4593" stopIfTrue="1" operator="equal">
      <formula>"3 Delete"</formula>
    </cfRule>
  </conditionalFormatting>
  <conditionalFormatting sqref="C1532">
    <cfRule type="cellIs" dxfId="1499" priority="4594" stopIfTrue="1" operator="equal">
      <formula>"1 Modify"</formula>
    </cfRule>
  </conditionalFormatting>
  <conditionalFormatting sqref="C1532">
    <cfRule type="cellIs" dxfId="1498" priority="4595" stopIfTrue="1" operator="equal">
      <formula>"2 Add"</formula>
    </cfRule>
  </conditionalFormatting>
  <conditionalFormatting sqref="C1532">
    <cfRule type="cellIs" dxfId="1497" priority="4596" stopIfTrue="1" operator="equal">
      <formula>"3 Delete"</formula>
    </cfRule>
  </conditionalFormatting>
  <conditionalFormatting sqref="C1533">
    <cfRule type="cellIs" dxfId="1496" priority="4597" stopIfTrue="1" operator="equal">
      <formula>"1 Modify"</formula>
    </cfRule>
  </conditionalFormatting>
  <conditionalFormatting sqref="C1533">
    <cfRule type="cellIs" dxfId="1495" priority="4598" stopIfTrue="1" operator="equal">
      <formula>"2 Add"</formula>
    </cfRule>
  </conditionalFormatting>
  <conditionalFormatting sqref="C1533">
    <cfRule type="cellIs" dxfId="1494" priority="4599" stopIfTrue="1" operator="equal">
      <formula>"3 Delete"</formula>
    </cfRule>
  </conditionalFormatting>
  <conditionalFormatting sqref="C1534">
    <cfRule type="cellIs" dxfId="1493" priority="4600" stopIfTrue="1" operator="equal">
      <formula>"1 Modify"</formula>
    </cfRule>
  </conditionalFormatting>
  <conditionalFormatting sqref="C1534">
    <cfRule type="cellIs" dxfId="1492" priority="4601" stopIfTrue="1" operator="equal">
      <formula>"2 Add"</formula>
    </cfRule>
  </conditionalFormatting>
  <conditionalFormatting sqref="C1534">
    <cfRule type="cellIs" dxfId="1491" priority="4602" stopIfTrue="1" operator="equal">
      <formula>"3 Delete"</formula>
    </cfRule>
  </conditionalFormatting>
  <conditionalFormatting sqref="C1535">
    <cfRule type="cellIs" dxfId="1490" priority="4603" stopIfTrue="1" operator="equal">
      <formula>"1 Modify"</formula>
    </cfRule>
  </conditionalFormatting>
  <conditionalFormatting sqref="C1535">
    <cfRule type="cellIs" dxfId="1489" priority="4604" stopIfTrue="1" operator="equal">
      <formula>"2 Add"</formula>
    </cfRule>
  </conditionalFormatting>
  <conditionalFormatting sqref="C1535">
    <cfRule type="cellIs" dxfId="1488" priority="4605" stopIfTrue="1" operator="equal">
      <formula>"3 Delete"</formula>
    </cfRule>
  </conditionalFormatting>
  <conditionalFormatting sqref="C1536">
    <cfRule type="cellIs" dxfId="1487" priority="4606" stopIfTrue="1" operator="equal">
      <formula>"1 Modify"</formula>
    </cfRule>
  </conditionalFormatting>
  <conditionalFormatting sqref="C1536">
    <cfRule type="cellIs" dxfId="1486" priority="4607" stopIfTrue="1" operator="equal">
      <formula>"2 Add"</formula>
    </cfRule>
  </conditionalFormatting>
  <conditionalFormatting sqref="C1536">
    <cfRule type="cellIs" dxfId="1485" priority="4608" stopIfTrue="1" operator="equal">
      <formula>"3 Delete"</formula>
    </cfRule>
  </conditionalFormatting>
  <conditionalFormatting sqref="C1537">
    <cfRule type="cellIs" dxfId="1484" priority="4609" stopIfTrue="1" operator="equal">
      <formula>"1 Modify"</formula>
    </cfRule>
  </conditionalFormatting>
  <conditionalFormatting sqref="C1537">
    <cfRule type="cellIs" dxfId="1483" priority="4610" stopIfTrue="1" operator="equal">
      <formula>"2 Add"</formula>
    </cfRule>
  </conditionalFormatting>
  <conditionalFormatting sqref="C1537">
    <cfRule type="cellIs" dxfId="1482" priority="4611" stopIfTrue="1" operator="equal">
      <formula>"3 Delete"</formula>
    </cfRule>
  </conditionalFormatting>
  <conditionalFormatting sqref="C1538">
    <cfRule type="cellIs" dxfId="1481" priority="4612" stopIfTrue="1" operator="equal">
      <formula>"1 Modify"</formula>
    </cfRule>
  </conditionalFormatting>
  <conditionalFormatting sqref="C1538">
    <cfRule type="cellIs" dxfId="1480" priority="4613" stopIfTrue="1" operator="equal">
      <formula>"2 Add"</formula>
    </cfRule>
  </conditionalFormatting>
  <conditionalFormatting sqref="C1538">
    <cfRule type="cellIs" dxfId="1479" priority="4614" stopIfTrue="1" operator="equal">
      <formula>"3 Delete"</formula>
    </cfRule>
  </conditionalFormatting>
  <conditionalFormatting sqref="C1539">
    <cfRule type="cellIs" dxfId="1478" priority="4615" stopIfTrue="1" operator="equal">
      <formula>"1 Modify"</formula>
    </cfRule>
  </conditionalFormatting>
  <conditionalFormatting sqref="C1539">
    <cfRule type="cellIs" dxfId="1477" priority="4616" stopIfTrue="1" operator="equal">
      <formula>"2 Add"</formula>
    </cfRule>
  </conditionalFormatting>
  <conditionalFormatting sqref="C1539">
    <cfRule type="cellIs" dxfId="1476" priority="4617" stopIfTrue="1" operator="equal">
      <formula>"3 Delete"</formula>
    </cfRule>
  </conditionalFormatting>
  <conditionalFormatting sqref="C1540">
    <cfRule type="cellIs" dxfId="1475" priority="4618" stopIfTrue="1" operator="equal">
      <formula>"1 Modify"</formula>
    </cfRule>
  </conditionalFormatting>
  <conditionalFormatting sqref="C1540">
    <cfRule type="cellIs" dxfId="1474" priority="4619" stopIfTrue="1" operator="equal">
      <formula>"2 Add"</formula>
    </cfRule>
  </conditionalFormatting>
  <conditionalFormatting sqref="C1540">
    <cfRule type="cellIs" dxfId="1473" priority="4620" stopIfTrue="1" operator="equal">
      <formula>"3 Delete"</formula>
    </cfRule>
  </conditionalFormatting>
  <conditionalFormatting sqref="C1541">
    <cfRule type="cellIs" dxfId="1472" priority="4621" stopIfTrue="1" operator="equal">
      <formula>"1 Modify"</formula>
    </cfRule>
  </conditionalFormatting>
  <conditionalFormatting sqref="C1541">
    <cfRule type="cellIs" dxfId="1471" priority="4622" stopIfTrue="1" operator="equal">
      <formula>"2 Add"</formula>
    </cfRule>
  </conditionalFormatting>
  <conditionalFormatting sqref="C1541">
    <cfRule type="cellIs" dxfId="1470" priority="4623" stopIfTrue="1" operator="equal">
      <formula>"3 Delete"</formula>
    </cfRule>
  </conditionalFormatting>
  <conditionalFormatting sqref="C1542">
    <cfRule type="cellIs" dxfId="1469" priority="4624" stopIfTrue="1" operator="equal">
      <formula>"1 Modify"</formula>
    </cfRule>
  </conditionalFormatting>
  <conditionalFormatting sqref="C1542">
    <cfRule type="cellIs" dxfId="1468" priority="4625" stopIfTrue="1" operator="equal">
      <formula>"2 Add"</formula>
    </cfRule>
  </conditionalFormatting>
  <conditionalFormatting sqref="C1542">
    <cfRule type="cellIs" dxfId="1467" priority="4626" stopIfTrue="1" operator="equal">
      <formula>"3 Delete"</formula>
    </cfRule>
  </conditionalFormatting>
  <conditionalFormatting sqref="C1543">
    <cfRule type="cellIs" dxfId="1466" priority="4627" stopIfTrue="1" operator="equal">
      <formula>"1 Modify"</formula>
    </cfRule>
  </conditionalFormatting>
  <conditionalFormatting sqref="C1543">
    <cfRule type="cellIs" dxfId="1465" priority="4628" stopIfTrue="1" operator="equal">
      <formula>"2 Add"</formula>
    </cfRule>
  </conditionalFormatting>
  <conditionalFormatting sqref="C1543">
    <cfRule type="cellIs" dxfId="1464" priority="4629" stopIfTrue="1" operator="equal">
      <formula>"3 Delete"</formula>
    </cfRule>
  </conditionalFormatting>
  <conditionalFormatting sqref="C1544">
    <cfRule type="cellIs" dxfId="1463" priority="4630" stopIfTrue="1" operator="equal">
      <formula>"1 Modify"</formula>
    </cfRule>
  </conditionalFormatting>
  <conditionalFormatting sqref="C1544">
    <cfRule type="cellIs" dxfId="1462" priority="4631" stopIfTrue="1" operator="equal">
      <formula>"2 Add"</formula>
    </cfRule>
  </conditionalFormatting>
  <conditionalFormatting sqref="C1544">
    <cfRule type="cellIs" dxfId="1461" priority="4632" stopIfTrue="1" operator="equal">
      <formula>"3 Delete"</formula>
    </cfRule>
  </conditionalFormatting>
  <conditionalFormatting sqref="C1545">
    <cfRule type="cellIs" dxfId="1460" priority="4633" stopIfTrue="1" operator="equal">
      <formula>"1 Modify"</formula>
    </cfRule>
  </conditionalFormatting>
  <conditionalFormatting sqref="C1545">
    <cfRule type="cellIs" dxfId="1459" priority="4634" stopIfTrue="1" operator="equal">
      <formula>"2 Add"</formula>
    </cfRule>
  </conditionalFormatting>
  <conditionalFormatting sqref="C1545">
    <cfRule type="cellIs" dxfId="1458" priority="4635" stopIfTrue="1" operator="equal">
      <formula>"3 Delete"</formula>
    </cfRule>
  </conditionalFormatting>
  <conditionalFormatting sqref="C1546">
    <cfRule type="cellIs" dxfId="1457" priority="4636" stopIfTrue="1" operator="equal">
      <formula>"1 Modify"</formula>
    </cfRule>
  </conditionalFormatting>
  <conditionalFormatting sqref="C1546">
    <cfRule type="cellIs" dxfId="1456" priority="4637" stopIfTrue="1" operator="equal">
      <formula>"2 Add"</formula>
    </cfRule>
  </conditionalFormatting>
  <conditionalFormatting sqref="C1546">
    <cfRule type="cellIs" dxfId="1455" priority="4638" stopIfTrue="1" operator="equal">
      <formula>"3 Delete"</formula>
    </cfRule>
  </conditionalFormatting>
  <conditionalFormatting sqref="C1547">
    <cfRule type="cellIs" dxfId="1454" priority="4639" stopIfTrue="1" operator="equal">
      <formula>"1 Modify"</formula>
    </cfRule>
  </conditionalFormatting>
  <conditionalFormatting sqref="C1547">
    <cfRule type="cellIs" dxfId="1453" priority="4640" stopIfTrue="1" operator="equal">
      <formula>"2 Add"</formula>
    </cfRule>
  </conditionalFormatting>
  <conditionalFormatting sqref="C1547">
    <cfRule type="cellIs" dxfId="1452" priority="4641" stopIfTrue="1" operator="equal">
      <formula>"3 Delete"</formula>
    </cfRule>
  </conditionalFormatting>
  <conditionalFormatting sqref="C1548">
    <cfRule type="cellIs" dxfId="1451" priority="4642" stopIfTrue="1" operator="equal">
      <formula>"1 Modify"</formula>
    </cfRule>
  </conditionalFormatting>
  <conditionalFormatting sqref="C1548">
    <cfRule type="cellIs" dxfId="1450" priority="4643" stopIfTrue="1" operator="equal">
      <formula>"2 Add"</formula>
    </cfRule>
  </conditionalFormatting>
  <conditionalFormatting sqref="C1548">
    <cfRule type="cellIs" dxfId="1449" priority="4644" stopIfTrue="1" operator="equal">
      <formula>"3 Delete"</formula>
    </cfRule>
  </conditionalFormatting>
  <conditionalFormatting sqref="C1549">
    <cfRule type="cellIs" dxfId="1448" priority="4645" stopIfTrue="1" operator="equal">
      <formula>"1 Modify"</formula>
    </cfRule>
  </conditionalFormatting>
  <conditionalFormatting sqref="C1549">
    <cfRule type="cellIs" dxfId="1447" priority="4646" stopIfTrue="1" operator="equal">
      <formula>"2 Add"</formula>
    </cfRule>
  </conditionalFormatting>
  <conditionalFormatting sqref="C1549">
    <cfRule type="cellIs" dxfId="1446" priority="4647" stopIfTrue="1" operator="equal">
      <formula>"3 Delete"</formula>
    </cfRule>
  </conditionalFormatting>
  <conditionalFormatting sqref="C1550">
    <cfRule type="cellIs" dxfId="1445" priority="4648" stopIfTrue="1" operator="equal">
      <formula>"1 Modify"</formula>
    </cfRule>
  </conditionalFormatting>
  <conditionalFormatting sqref="C1550">
    <cfRule type="cellIs" dxfId="1444" priority="4649" stopIfTrue="1" operator="equal">
      <formula>"2 Add"</formula>
    </cfRule>
  </conditionalFormatting>
  <conditionalFormatting sqref="C1550">
    <cfRule type="cellIs" dxfId="1443" priority="4650" stopIfTrue="1" operator="equal">
      <formula>"3 Delete"</formula>
    </cfRule>
  </conditionalFormatting>
  <conditionalFormatting sqref="C1551">
    <cfRule type="cellIs" dxfId="1442" priority="4651" stopIfTrue="1" operator="equal">
      <formula>"1 Modify"</formula>
    </cfRule>
  </conditionalFormatting>
  <conditionalFormatting sqref="C1551">
    <cfRule type="cellIs" dxfId="1441" priority="4652" stopIfTrue="1" operator="equal">
      <formula>"2 Add"</formula>
    </cfRule>
  </conditionalFormatting>
  <conditionalFormatting sqref="C1551">
    <cfRule type="cellIs" dxfId="1440" priority="4653" stopIfTrue="1" operator="equal">
      <formula>"3 Delete"</formula>
    </cfRule>
  </conditionalFormatting>
  <conditionalFormatting sqref="C1552">
    <cfRule type="cellIs" dxfId="1439" priority="4654" stopIfTrue="1" operator="equal">
      <formula>"1 Modify"</formula>
    </cfRule>
  </conditionalFormatting>
  <conditionalFormatting sqref="C1552">
    <cfRule type="cellIs" dxfId="1438" priority="4655" stopIfTrue="1" operator="equal">
      <formula>"2 Add"</formula>
    </cfRule>
  </conditionalFormatting>
  <conditionalFormatting sqref="C1552">
    <cfRule type="cellIs" dxfId="1437" priority="4656" stopIfTrue="1" operator="equal">
      <formula>"3 Delete"</formula>
    </cfRule>
  </conditionalFormatting>
  <conditionalFormatting sqref="C1553">
    <cfRule type="cellIs" dxfId="1436" priority="4657" stopIfTrue="1" operator="equal">
      <formula>"1 Modify"</formula>
    </cfRule>
  </conditionalFormatting>
  <conditionalFormatting sqref="C1553">
    <cfRule type="cellIs" dxfId="1435" priority="4658" stopIfTrue="1" operator="equal">
      <formula>"2 Add"</formula>
    </cfRule>
  </conditionalFormatting>
  <conditionalFormatting sqref="C1553">
    <cfRule type="cellIs" dxfId="1434" priority="4659" stopIfTrue="1" operator="equal">
      <formula>"3 Delete"</formula>
    </cfRule>
  </conditionalFormatting>
  <conditionalFormatting sqref="C1554">
    <cfRule type="cellIs" dxfId="1433" priority="4660" stopIfTrue="1" operator="equal">
      <formula>"1 Modify"</formula>
    </cfRule>
  </conditionalFormatting>
  <conditionalFormatting sqref="C1554">
    <cfRule type="cellIs" dxfId="1432" priority="4661" stopIfTrue="1" operator="equal">
      <formula>"2 Add"</formula>
    </cfRule>
  </conditionalFormatting>
  <conditionalFormatting sqref="C1554">
    <cfRule type="cellIs" dxfId="1431" priority="4662" stopIfTrue="1" operator="equal">
      <formula>"3 Delete"</formula>
    </cfRule>
  </conditionalFormatting>
  <conditionalFormatting sqref="C1555">
    <cfRule type="cellIs" dxfId="1430" priority="4663" stopIfTrue="1" operator="equal">
      <formula>"1 Modify"</formula>
    </cfRule>
  </conditionalFormatting>
  <conditionalFormatting sqref="C1555">
    <cfRule type="cellIs" dxfId="1429" priority="4664" stopIfTrue="1" operator="equal">
      <formula>"2 Add"</formula>
    </cfRule>
  </conditionalFormatting>
  <conditionalFormatting sqref="C1555">
    <cfRule type="cellIs" dxfId="1428" priority="4665" stopIfTrue="1" operator="equal">
      <formula>"3 Delete"</formula>
    </cfRule>
  </conditionalFormatting>
  <conditionalFormatting sqref="C1556">
    <cfRule type="cellIs" dxfId="1427" priority="4666" stopIfTrue="1" operator="equal">
      <formula>"1 Modify"</formula>
    </cfRule>
  </conditionalFormatting>
  <conditionalFormatting sqref="C1556">
    <cfRule type="cellIs" dxfId="1426" priority="4667" stopIfTrue="1" operator="equal">
      <formula>"2 Add"</formula>
    </cfRule>
  </conditionalFormatting>
  <conditionalFormatting sqref="C1556">
    <cfRule type="cellIs" dxfId="1425" priority="4668" stopIfTrue="1" operator="equal">
      <formula>"3 Delete"</formula>
    </cfRule>
  </conditionalFormatting>
  <conditionalFormatting sqref="C1557">
    <cfRule type="cellIs" dxfId="1424" priority="4669" stopIfTrue="1" operator="equal">
      <formula>"1 Modify"</formula>
    </cfRule>
  </conditionalFormatting>
  <conditionalFormatting sqref="C1557">
    <cfRule type="cellIs" dxfId="1423" priority="4670" stopIfTrue="1" operator="equal">
      <formula>"2 Add"</formula>
    </cfRule>
  </conditionalFormatting>
  <conditionalFormatting sqref="C1557">
    <cfRule type="cellIs" dxfId="1422" priority="4671" stopIfTrue="1" operator="equal">
      <formula>"3 Delete"</formula>
    </cfRule>
  </conditionalFormatting>
  <conditionalFormatting sqref="C1558">
    <cfRule type="cellIs" dxfId="1421" priority="4672" stopIfTrue="1" operator="equal">
      <formula>"1 Modify"</formula>
    </cfRule>
  </conditionalFormatting>
  <conditionalFormatting sqref="C1558">
    <cfRule type="cellIs" dxfId="1420" priority="4673" stopIfTrue="1" operator="equal">
      <formula>"2 Add"</formula>
    </cfRule>
  </conditionalFormatting>
  <conditionalFormatting sqref="C1558">
    <cfRule type="cellIs" dxfId="1419" priority="4674" stopIfTrue="1" operator="equal">
      <formula>"3 Delete"</formula>
    </cfRule>
  </conditionalFormatting>
  <conditionalFormatting sqref="C1559">
    <cfRule type="cellIs" dxfId="1418" priority="4675" stopIfTrue="1" operator="equal">
      <formula>"1 Modify"</formula>
    </cfRule>
  </conditionalFormatting>
  <conditionalFormatting sqref="C1559">
    <cfRule type="cellIs" dxfId="1417" priority="4676" stopIfTrue="1" operator="equal">
      <formula>"2 Add"</formula>
    </cfRule>
  </conditionalFormatting>
  <conditionalFormatting sqref="C1559">
    <cfRule type="cellIs" dxfId="1416" priority="4677" stopIfTrue="1" operator="equal">
      <formula>"3 Delete"</formula>
    </cfRule>
  </conditionalFormatting>
  <conditionalFormatting sqref="C1560">
    <cfRule type="cellIs" dxfId="1415" priority="4678" stopIfTrue="1" operator="equal">
      <formula>"1 Modify"</formula>
    </cfRule>
  </conditionalFormatting>
  <conditionalFormatting sqref="C1560">
    <cfRule type="cellIs" dxfId="1414" priority="4679" stopIfTrue="1" operator="equal">
      <formula>"2 Add"</formula>
    </cfRule>
  </conditionalFormatting>
  <conditionalFormatting sqref="C1560">
    <cfRule type="cellIs" dxfId="1413" priority="4680" stopIfTrue="1" operator="equal">
      <formula>"3 Delete"</formula>
    </cfRule>
  </conditionalFormatting>
  <conditionalFormatting sqref="C1561">
    <cfRule type="cellIs" dxfId="1412" priority="4681" stopIfTrue="1" operator="equal">
      <formula>"1 Modify"</formula>
    </cfRule>
  </conditionalFormatting>
  <conditionalFormatting sqref="C1561">
    <cfRule type="cellIs" dxfId="1411" priority="4682" stopIfTrue="1" operator="equal">
      <formula>"2 Add"</formula>
    </cfRule>
  </conditionalFormatting>
  <conditionalFormatting sqref="C1561">
    <cfRule type="cellIs" dxfId="1410" priority="4683" stopIfTrue="1" operator="equal">
      <formula>"3 Delete"</formula>
    </cfRule>
  </conditionalFormatting>
  <conditionalFormatting sqref="C1562">
    <cfRule type="cellIs" dxfId="1409" priority="4684" stopIfTrue="1" operator="equal">
      <formula>"1 Modify"</formula>
    </cfRule>
  </conditionalFormatting>
  <conditionalFormatting sqref="C1562">
    <cfRule type="cellIs" dxfId="1408" priority="4685" stopIfTrue="1" operator="equal">
      <formula>"2 Add"</formula>
    </cfRule>
  </conditionalFormatting>
  <conditionalFormatting sqref="C1562">
    <cfRule type="cellIs" dxfId="1407" priority="4686" stopIfTrue="1" operator="equal">
      <formula>"3 Delete"</formula>
    </cfRule>
  </conditionalFormatting>
  <conditionalFormatting sqref="C1563">
    <cfRule type="cellIs" dxfId="1406" priority="4687" stopIfTrue="1" operator="equal">
      <formula>"1 Modify"</formula>
    </cfRule>
  </conditionalFormatting>
  <conditionalFormatting sqref="C1563">
    <cfRule type="cellIs" dxfId="1405" priority="4688" stopIfTrue="1" operator="equal">
      <formula>"2 Add"</formula>
    </cfRule>
  </conditionalFormatting>
  <conditionalFormatting sqref="C1563">
    <cfRule type="cellIs" dxfId="1404" priority="4689" stopIfTrue="1" operator="equal">
      <formula>"3 Delete"</formula>
    </cfRule>
  </conditionalFormatting>
  <conditionalFormatting sqref="C1564">
    <cfRule type="cellIs" dxfId="1403" priority="4690" stopIfTrue="1" operator="equal">
      <formula>"1 Modify"</formula>
    </cfRule>
  </conditionalFormatting>
  <conditionalFormatting sqref="C1564">
    <cfRule type="cellIs" dxfId="1402" priority="4691" stopIfTrue="1" operator="equal">
      <formula>"2 Add"</formula>
    </cfRule>
  </conditionalFormatting>
  <conditionalFormatting sqref="C1564">
    <cfRule type="cellIs" dxfId="1401" priority="4692" stopIfTrue="1" operator="equal">
      <formula>"3 Delete"</formula>
    </cfRule>
  </conditionalFormatting>
  <conditionalFormatting sqref="C1565">
    <cfRule type="cellIs" dxfId="1400" priority="4693" stopIfTrue="1" operator="equal">
      <formula>"1 Modify"</formula>
    </cfRule>
  </conditionalFormatting>
  <conditionalFormatting sqref="C1565">
    <cfRule type="cellIs" dxfId="1399" priority="4694" stopIfTrue="1" operator="equal">
      <formula>"2 Add"</formula>
    </cfRule>
  </conditionalFormatting>
  <conditionalFormatting sqref="C1565">
    <cfRule type="cellIs" dxfId="1398" priority="4695" stopIfTrue="1" operator="equal">
      <formula>"3 Delete"</formula>
    </cfRule>
  </conditionalFormatting>
  <conditionalFormatting sqref="C1566">
    <cfRule type="cellIs" dxfId="1397" priority="4696" stopIfTrue="1" operator="equal">
      <formula>"1 Modify"</formula>
    </cfRule>
  </conditionalFormatting>
  <conditionalFormatting sqref="C1566">
    <cfRule type="cellIs" dxfId="1396" priority="4697" stopIfTrue="1" operator="equal">
      <formula>"2 Add"</formula>
    </cfRule>
  </conditionalFormatting>
  <conditionalFormatting sqref="C1566">
    <cfRule type="cellIs" dxfId="1395" priority="4698" stopIfTrue="1" operator="equal">
      <formula>"3 Delete"</formula>
    </cfRule>
  </conditionalFormatting>
  <conditionalFormatting sqref="C1567">
    <cfRule type="cellIs" dxfId="1394" priority="4699" stopIfTrue="1" operator="equal">
      <formula>"1 Modify"</formula>
    </cfRule>
  </conditionalFormatting>
  <conditionalFormatting sqref="C1567">
    <cfRule type="cellIs" dxfId="1393" priority="4700" stopIfTrue="1" operator="equal">
      <formula>"2 Add"</formula>
    </cfRule>
  </conditionalFormatting>
  <conditionalFormatting sqref="C1567">
    <cfRule type="cellIs" dxfId="1392" priority="4701" stopIfTrue="1" operator="equal">
      <formula>"3 Delete"</formula>
    </cfRule>
  </conditionalFormatting>
  <conditionalFormatting sqref="C1568">
    <cfRule type="cellIs" dxfId="1391" priority="4702" stopIfTrue="1" operator="equal">
      <formula>"1 Modify"</formula>
    </cfRule>
  </conditionalFormatting>
  <conditionalFormatting sqref="C1568">
    <cfRule type="cellIs" dxfId="1390" priority="4703" stopIfTrue="1" operator="equal">
      <formula>"2 Add"</formula>
    </cfRule>
  </conditionalFormatting>
  <conditionalFormatting sqref="C1568">
    <cfRule type="cellIs" dxfId="1389" priority="4704" stopIfTrue="1" operator="equal">
      <formula>"3 Delete"</formula>
    </cfRule>
  </conditionalFormatting>
  <conditionalFormatting sqref="C1569">
    <cfRule type="cellIs" dxfId="1388" priority="4705" stopIfTrue="1" operator="equal">
      <formula>"1 Modify"</formula>
    </cfRule>
  </conditionalFormatting>
  <conditionalFormatting sqref="C1569">
    <cfRule type="cellIs" dxfId="1387" priority="4706" stopIfTrue="1" operator="equal">
      <formula>"2 Add"</formula>
    </cfRule>
  </conditionalFormatting>
  <conditionalFormatting sqref="C1569">
    <cfRule type="cellIs" dxfId="1386" priority="4707" stopIfTrue="1" operator="equal">
      <formula>"3 Delete"</formula>
    </cfRule>
  </conditionalFormatting>
  <conditionalFormatting sqref="C1570">
    <cfRule type="cellIs" dxfId="1385" priority="4708" stopIfTrue="1" operator="equal">
      <formula>"1 Modify"</formula>
    </cfRule>
  </conditionalFormatting>
  <conditionalFormatting sqref="C1570">
    <cfRule type="cellIs" dxfId="1384" priority="4709" stopIfTrue="1" operator="equal">
      <formula>"2 Add"</formula>
    </cfRule>
  </conditionalFormatting>
  <conditionalFormatting sqref="C1570">
    <cfRule type="cellIs" dxfId="1383" priority="4710" stopIfTrue="1" operator="equal">
      <formula>"3 Delete"</formula>
    </cfRule>
  </conditionalFormatting>
  <conditionalFormatting sqref="C1571">
    <cfRule type="cellIs" dxfId="1382" priority="4711" stopIfTrue="1" operator="equal">
      <formula>"1 Modify"</formula>
    </cfRule>
  </conditionalFormatting>
  <conditionalFormatting sqref="C1571">
    <cfRule type="cellIs" dxfId="1381" priority="4712" stopIfTrue="1" operator="equal">
      <formula>"2 Add"</formula>
    </cfRule>
  </conditionalFormatting>
  <conditionalFormatting sqref="C1571">
    <cfRule type="cellIs" dxfId="1380" priority="4713" stopIfTrue="1" operator="equal">
      <formula>"3 Delete"</formula>
    </cfRule>
  </conditionalFormatting>
  <conditionalFormatting sqref="C1572">
    <cfRule type="cellIs" dxfId="1379" priority="4714" stopIfTrue="1" operator="equal">
      <formula>"1 Modify"</formula>
    </cfRule>
  </conditionalFormatting>
  <conditionalFormatting sqref="C1572">
    <cfRule type="cellIs" dxfId="1378" priority="4715" stopIfTrue="1" operator="equal">
      <formula>"2 Add"</formula>
    </cfRule>
  </conditionalFormatting>
  <conditionalFormatting sqref="C1572">
    <cfRule type="cellIs" dxfId="1377" priority="4716" stopIfTrue="1" operator="equal">
      <formula>"3 Delete"</formula>
    </cfRule>
  </conditionalFormatting>
  <conditionalFormatting sqref="C1573">
    <cfRule type="cellIs" dxfId="1376" priority="4717" stopIfTrue="1" operator="equal">
      <formula>"1 Modify"</formula>
    </cfRule>
  </conditionalFormatting>
  <conditionalFormatting sqref="C1573">
    <cfRule type="cellIs" dxfId="1375" priority="4718" stopIfTrue="1" operator="equal">
      <formula>"2 Add"</formula>
    </cfRule>
  </conditionalFormatting>
  <conditionalFormatting sqref="C1573">
    <cfRule type="cellIs" dxfId="1374" priority="4719" stopIfTrue="1" operator="equal">
      <formula>"3 Delete"</formula>
    </cfRule>
  </conditionalFormatting>
  <conditionalFormatting sqref="C1574">
    <cfRule type="cellIs" dxfId="1373" priority="4720" stopIfTrue="1" operator="equal">
      <formula>"1 Modify"</formula>
    </cfRule>
  </conditionalFormatting>
  <conditionalFormatting sqref="C1574">
    <cfRule type="cellIs" dxfId="1372" priority="4721" stopIfTrue="1" operator="equal">
      <formula>"2 Add"</formula>
    </cfRule>
  </conditionalFormatting>
  <conditionalFormatting sqref="C1574">
    <cfRule type="cellIs" dxfId="1371" priority="4722" stopIfTrue="1" operator="equal">
      <formula>"3 Delete"</formula>
    </cfRule>
  </conditionalFormatting>
  <conditionalFormatting sqref="C1575">
    <cfRule type="cellIs" dxfId="1370" priority="4723" stopIfTrue="1" operator="equal">
      <formula>"1 Modify"</formula>
    </cfRule>
  </conditionalFormatting>
  <conditionalFormatting sqref="C1575">
    <cfRule type="cellIs" dxfId="1369" priority="4724" stopIfTrue="1" operator="equal">
      <formula>"2 Add"</formula>
    </cfRule>
  </conditionalFormatting>
  <conditionalFormatting sqref="C1575">
    <cfRule type="cellIs" dxfId="1368" priority="4725" stopIfTrue="1" operator="equal">
      <formula>"3 Delete"</formula>
    </cfRule>
  </conditionalFormatting>
  <conditionalFormatting sqref="C1576">
    <cfRule type="cellIs" dxfId="1367" priority="4726" stopIfTrue="1" operator="equal">
      <formula>"1 Modify"</formula>
    </cfRule>
  </conditionalFormatting>
  <conditionalFormatting sqref="C1576">
    <cfRule type="cellIs" dxfId="1366" priority="4727" stopIfTrue="1" operator="equal">
      <formula>"2 Add"</formula>
    </cfRule>
  </conditionalFormatting>
  <conditionalFormatting sqref="C1576">
    <cfRule type="cellIs" dxfId="1365" priority="4728" stopIfTrue="1" operator="equal">
      <formula>"3 Delete"</formula>
    </cfRule>
  </conditionalFormatting>
  <conditionalFormatting sqref="C1577">
    <cfRule type="cellIs" dxfId="1364" priority="4729" stopIfTrue="1" operator="equal">
      <formula>"1 Modify"</formula>
    </cfRule>
  </conditionalFormatting>
  <conditionalFormatting sqref="C1577">
    <cfRule type="cellIs" dxfId="1363" priority="4730" stopIfTrue="1" operator="equal">
      <formula>"2 Add"</formula>
    </cfRule>
  </conditionalFormatting>
  <conditionalFormatting sqref="C1577">
    <cfRule type="cellIs" dxfId="1362" priority="4731" stopIfTrue="1" operator="equal">
      <formula>"3 Delete"</formula>
    </cfRule>
  </conditionalFormatting>
  <conditionalFormatting sqref="C1578">
    <cfRule type="cellIs" dxfId="1361" priority="4732" stopIfTrue="1" operator="equal">
      <formula>"1 Modify"</formula>
    </cfRule>
  </conditionalFormatting>
  <conditionalFormatting sqref="C1578">
    <cfRule type="cellIs" dxfId="1360" priority="4733" stopIfTrue="1" operator="equal">
      <formula>"2 Add"</formula>
    </cfRule>
  </conditionalFormatting>
  <conditionalFormatting sqref="C1578">
    <cfRule type="cellIs" dxfId="1359" priority="4734" stopIfTrue="1" operator="equal">
      <formula>"3 Delete"</formula>
    </cfRule>
  </conditionalFormatting>
  <conditionalFormatting sqref="C1579">
    <cfRule type="cellIs" dxfId="1358" priority="4735" stopIfTrue="1" operator="equal">
      <formula>"1 Modify"</formula>
    </cfRule>
  </conditionalFormatting>
  <conditionalFormatting sqref="C1579">
    <cfRule type="cellIs" dxfId="1357" priority="4736" stopIfTrue="1" operator="equal">
      <formula>"2 Add"</formula>
    </cfRule>
  </conditionalFormatting>
  <conditionalFormatting sqref="C1579">
    <cfRule type="cellIs" dxfId="1356" priority="4737" stopIfTrue="1" operator="equal">
      <formula>"3 Delete"</formula>
    </cfRule>
  </conditionalFormatting>
  <conditionalFormatting sqref="C1580">
    <cfRule type="cellIs" dxfId="1355" priority="4738" stopIfTrue="1" operator="equal">
      <formula>"1 Modify"</formula>
    </cfRule>
  </conditionalFormatting>
  <conditionalFormatting sqref="C1580">
    <cfRule type="cellIs" dxfId="1354" priority="4739" stopIfTrue="1" operator="equal">
      <formula>"2 Add"</formula>
    </cfRule>
  </conditionalFormatting>
  <conditionalFormatting sqref="C1580">
    <cfRule type="cellIs" dxfId="1353" priority="4740" stopIfTrue="1" operator="equal">
      <formula>"3 Delete"</formula>
    </cfRule>
  </conditionalFormatting>
  <conditionalFormatting sqref="C1581">
    <cfRule type="cellIs" dxfId="1352" priority="4741" stopIfTrue="1" operator="equal">
      <formula>"1 Modify"</formula>
    </cfRule>
  </conditionalFormatting>
  <conditionalFormatting sqref="C1581">
    <cfRule type="cellIs" dxfId="1351" priority="4742" stopIfTrue="1" operator="equal">
      <formula>"2 Add"</formula>
    </cfRule>
  </conditionalFormatting>
  <conditionalFormatting sqref="C1581">
    <cfRule type="cellIs" dxfId="1350" priority="4743" stopIfTrue="1" operator="equal">
      <formula>"3 Delete"</formula>
    </cfRule>
  </conditionalFormatting>
  <conditionalFormatting sqref="C1582">
    <cfRule type="cellIs" dxfId="1349" priority="4744" stopIfTrue="1" operator="equal">
      <formula>"1 Modify"</formula>
    </cfRule>
  </conditionalFormatting>
  <conditionalFormatting sqref="C1582">
    <cfRule type="cellIs" dxfId="1348" priority="4745" stopIfTrue="1" operator="equal">
      <formula>"2 Add"</formula>
    </cfRule>
  </conditionalFormatting>
  <conditionalFormatting sqref="C1582">
    <cfRule type="cellIs" dxfId="1347" priority="4746" stopIfTrue="1" operator="equal">
      <formula>"3 Delete"</formula>
    </cfRule>
  </conditionalFormatting>
  <conditionalFormatting sqref="C1583">
    <cfRule type="cellIs" dxfId="1346" priority="4747" stopIfTrue="1" operator="equal">
      <formula>"1 Modify"</formula>
    </cfRule>
  </conditionalFormatting>
  <conditionalFormatting sqref="C1583">
    <cfRule type="cellIs" dxfId="1345" priority="4748" stopIfTrue="1" operator="equal">
      <formula>"2 Add"</formula>
    </cfRule>
  </conditionalFormatting>
  <conditionalFormatting sqref="C1583">
    <cfRule type="cellIs" dxfId="1344" priority="4749" stopIfTrue="1" operator="equal">
      <formula>"3 Delete"</formula>
    </cfRule>
  </conditionalFormatting>
  <conditionalFormatting sqref="C1584">
    <cfRule type="cellIs" dxfId="1343" priority="4750" stopIfTrue="1" operator="equal">
      <formula>"1 Modify"</formula>
    </cfRule>
  </conditionalFormatting>
  <conditionalFormatting sqref="C1584">
    <cfRule type="cellIs" dxfId="1342" priority="4751" stopIfTrue="1" operator="equal">
      <formula>"2 Add"</formula>
    </cfRule>
  </conditionalFormatting>
  <conditionalFormatting sqref="C1584">
    <cfRule type="cellIs" dxfId="1341" priority="4752" stopIfTrue="1" operator="equal">
      <formula>"3 Delete"</formula>
    </cfRule>
  </conditionalFormatting>
  <conditionalFormatting sqref="C1585">
    <cfRule type="cellIs" dxfId="1340" priority="4753" stopIfTrue="1" operator="equal">
      <formula>"1 Modify"</formula>
    </cfRule>
  </conditionalFormatting>
  <conditionalFormatting sqref="C1585">
    <cfRule type="cellIs" dxfId="1339" priority="4754" stopIfTrue="1" operator="equal">
      <formula>"2 Add"</formula>
    </cfRule>
  </conditionalFormatting>
  <conditionalFormatting sqref="C1585">
    <cfRule type="cellIs" dxfId="1338" priority="4755" stopIfTrue="1" operator="equal">
      <formula>"3 Delete"</formula>
    </cfRule>
  </conditionalFormatting>
  <conditionalFormatting sqref="C1586">
    <cfRule type="cellIs" dxfId="1337" priority="4756" stopIfTrue="1" operator="equal">
      <formula>"1 Modify"</formula>
    </cfRule>
  </conditionalFormatting>
  <conditionalFormatting sqref="C1586">
    <cfRule type="cellIs" dxfId="1336" priority="4757" stopIfTrue="1" operator="equal">
      <formula>"2 Add"</formula>
    </cfRule>
  </conditionalFormatting>
  <conditionalFormatting sqref="C1586">
    <cfRule type="cellIs" dxfId="1335" priority="4758" stopIfTrue="1" operator="equal">
      <formula>"3 Delete"</formula>
    </cfRule>
  </conditionalFormatting>
  <conditionalFormatting sqref="C1587">
    <cfRule type="cellIs" dxfId="1334" priority="4759" stopIfTrue="1" operator="equal">
      <formula>"1 Modify"</formula>
    </cfRule>
  </conditionalFormatting>
  <conditionalFormatting sqref="C1587">
    <cfRule type="cellIs" dxfId="1333" priority="4760" stopIfTrue="1" operator="equal">
      <formula>"2 Add"</formula>
    </cfRule>
  </conditionalFormatting>
  <conditionalFormatting sqref="C1587">
    <cfRule type="cellIs" dxfId="1332" priority="4761" stopIfTrue="1" operator="equal">
      <formula>"3 Delete"</formula>
    </cfRule>
  </conditionalFormatting>
  <conditionalFormatting sqref="C1588">
    <cfRule type="cellIs" dxfId="1331" priority="4762" stopIfTrue="1" operator="equal">
      <formula>"1 Modify"</formula>
    </cfRule>
  </conditionalFormatting>
  <conditionalFormatting sqref="C1588">
    <cfRule type="cellIs" dxfId="1330" priority="4763" stopIfTrue="1" operator="equal">
      <formula>"2 Add"</formula>
    </cfRule>
  </conditionalFormatting>
  <conditionalFormatting sqref="C1588">
    <cfRule type="cellIs" dxfId="1329" priority="4764" stopIfTrue="1" operator="equal">
      <formula>"3 Delete"</formula>
    </cfRule>
  </conditionalFormatting>
  <conditionalFormatting sqref="C1589">
    <cfRule type="cellIs" dxfId="1328" priority="4765" stopIfTrue="1" operator="equal">
      <formula>"1 Modify"</formula>
    </cfRule>
  </conditionalFormatting>
  <conditionalFormatting sqref="C1589">
    <cfRule type="cellIs" dxfId="1327" priority="4766" stopIfTrue="1" operator="equal">
      <formula>"2 Add"</formula>
    </cfRule>
  </conditionalFormatting>
  <conditionalFormatting sqref="C1589">
    <cfRule type="cellIs" dxfId="1326" priority="4767" stopIfTrue="1" operator="equal">
      <formula>"3 Delete"</formula>
    </cfRule>
  </conditionalFormatting>
  <conditionalFormatting sqref="C1590">
    <cfRule type="cellIs" dxfId="1325" priority="4768" stopIfTrue="1" operator="equal">
      <formula>"1 Modify"</formula>
    </cfRule>
  </conditionalFormatting>
  <conditionalFormatting sqref="C1590">
    <cfRule type="cellIs" dxfId="1324" priority="4769" stopIfTrue="1" operator="equal">
      <formula>"2 Add"</formula>
    </cfRule>
  </conditionalFormatting>
  <conditionalFormatting sqref="C1590">
    <cfRule type="cellIs" dxfId="1323" priority="4770" stopIfTrue="1" operator="equal">
      <formula>"3 Delete"</formula>
    </cfRule>
  </conditionalFormatting>
  <conditionalFormatting sqref="C1591">
    <cfRule type="cellIs" dxfId="1322" priority="4771" stopIfTrue="1" operator="equal">
      <formula>"1 Modify"</formula>
    </cfRule>
  </conditionalFormatting>
  <conditionalFormatting sqref="C1591">
    <cfRule type="cellIs" dxfId="1321" priority="4772" stopIfTrue="1" operator="equal">
      <formula>"2 Add"</formula>
    </cfRule>
  </conditionalFormatting>
  <conditionalFormatting sqref="C1591">
    <cfRule type="cellIs" dxfId="1320" priority="4773" stopIfTrue="1" operator="equal">
      <formula>"3 Delete"</formula>
    </cfRule>
  </conditionalFormatting>
  <conditionalFormatting sqref="C1592">
    <cfRule type="cellIs" dxfId="1319" priority="4774" stopIfTrue="1" operator="equal">
      <formula>"1 Modify"</formula>
    </cfRule>
  </conditionalFormatting>
  <conditionalFormatting sqref="C1592">
    <cfRule type="cellIs" dxfId="1318" priority="4775" stopIfTrue="1" operator="equal">
      <formula>"2 Add"</formula>
    </cfRule>
  </conditionalFormatting>
  <conditionalFormatting sqref="C1592">
    <cfRule type="cellIs" dxfId="1317" priority="4776" stopIfTrue="1" operator="equal">
      <formula>"3 Delete"</formula>
    </cfRule>
  </conditionalFormatting>
  <conditionalFormatting sqref="C1593">
    <cfRule type="cellIs" dxfId="1316" priority="4777" stopIfTrue="1" operator="equal">
      <formula>"1 Modify"</formula>
    </cfRule>
  </conditionalFormatting>
  <conditionalFormatting sqref="C1593">
    <cfRule type="cellIs" dxfId="1315" priority="4778" stopIfTrue="1" operator="equal">
      <formula>"2 Add"</formula>
    </cfRule>
  </conditionalFormatting>
  <conditionalFormatting sqref="C1593">
    <cfRule type="cellIs" dxfId="1314" priority="4779" stopIfTrue="1" operator="equal">
      <formula>"3 Delete"</formula>
    </cfRule>
  </conditionalFormatting>
  <conditionalFormatting sqref="C1594">
    <cfRule type="cellIs" dxfId="1313" priority="4780" stopIfTrue="1" operator="equal">
      <formula>"1 Modify"</formula>
    </cfRule>
  </conditionalFormatting>
  <conditionalFormatting sqref="C1594">
    <cfRule type="cellIs" dxfId="1312" priority="4781" stopIfTrue="1" operator="equal">
      <formula>"2 Add"</formula>
    </cfRule>
  </conditionalFormatting>
  <conditionalFormatting sqref="C1594">
    <cfRule type="cellIs" dxfId="1311" priority="4782" stopIfTrue="1" operator="equal">
      <formula>"3 Delete"</formula>
    </cfRule>
  </conditionalFormatting>
  <conditionalFormatting sqref="C1595">
    <cfRule type="cellIs" dxfId="1310" priority="4783" stopIfTrue="1" operator="equal">
      <formula>"1 Modify"</formula>
    </cfRule>
  </conditionalFormatting>
  <conditionalFormatting sqref="C1595">
    <cfRule type="cellIs" dxfId="1309" priority="4784" stopIfTrue="1" operator="equal">
      <formula>"2 Add"</formula>
    </cfRule>
  </conditionalFormatting>
  <conditionalFormatting sqref="C1595">
    <cfRule type="cellIs" dxfId="1308" priority="4785" stopIfTrue="1" operator="equal">
      <formula>"3 Delete"</formula>
    </cfRule>
  </conditionalFormatting>
  <conditionalFormatting sqref="C1596">
    <cfRule type="cellIs" dxfId="1307" priority="4786" stopIfTrue="1" operator="equal">
      <formula>"1 Modify"</formula>
    </cfRule>
  </conditionalFormatting>
  <conditionalFormatting sqref="C1596">
    <cfRule type="cellIs" dxfId="1306" priority="4787" stopIfTrue="1" operator="equal">
      <formula>"2 Add"</formula>
    </cfRule>
  </conditionalFormatting>
  <conditionalFormatting sqref="C1596">
    <cfRule type="cellIs" dxfId="1305" priority="4788" stopIfTrue="1" operator="equal">
      <formula>"3 Delete"</formula>
    </cfRule>
  </conditionalFormatting>
  <conditionalFormatting sqref="C1597">
    <cfRule type="cellIs" dxfId="1304" priority="4789" stopIfTrue="1" operator="equal">
      <formula>"1 Modify"</formula>
    </cfRule>
  </conditionalFormatting>
  <conditionalFormatting sqref="C1597">
    <cfRule type="cellIs" dxfId="1303" priority="4790" stopIfTrue="1" operator="equal">
      <formula>"2 Add"</formula>
    </cfRule>
  </conditionalFormatting>
  <conditionalFormatting sqref="C1597">
    <cfRule type="cellIs" dxfId="1302" priority="4791" stopIfTrue="1" operator="equal">
      <formula>"3 Delete"</formula>
    </cfRule>
  </conditionalFormatting>
  <conditionalFormatting sqref="C1598">
    <cfRule type="cellIs" dxfId="1301" priority="4792" stopIfTrue="1" operator="equal">
      <formula>"1 Modify"</formula>
    </cfRule>
  </conditionalFormatting>
  <conditionalFormatting sqref="C1598">
    <cfRule type="cellIs" dxfId="1300" priority="4793" stopIfTrue="1" operator="equal">
      <formula>"2 Add"</formula>
    </cfRule>
  </conditionalFormatting>
  <conditionalFormatting sqref="C1598">
    <cfRule type="cellIs" dxfId="1299" priority="4794" stopIfTrue="1" operator="equal">
      <formula>"3 Delete"</formula>
    </cfRule>
  </conditionalFormatting>
  <conditionalFormatting sqref="C1599">
    <cfRule type="cellIs" dxfId="1298" priority="4795" stopIfTrue="1" operator="equal">
      <formula>"1 Modify"</formula>
    </cfRule>
  </conditionalFormatting>
  <conditionalFormatting sqref="C1599">
    <cfRule type="cellIs" dxfId="1297" priority="4796" stopIfTrue="1" operator="equal">
      <formula>"2 Add"</formula>
    </cfRule>
  </conditionalFormatting>
  <conditionalFormatting sqref="C1599">
    <cfRule type="cellIs" dxfId="1296" priority="4797" stopIfTrue="1" operator="equal">
      <formula>"3 Delete"</formula>
    </cfRule>
  </conditionalFormatting>
  <conditionalFormatting sqref="C1600">
    <cfRule type="cellIs" dxfId="1295" priority="4798" stopIfTrue="1" operator="equal">
      <formula>"1 Modify"</formula>
    </cfRule>
  </conditionalFormatting>
  <conditionalFormatting sqref="C1600">
    <cfRule type="cellIs" dxfId="1294" priority="4799" stopIfTrue="1" operator="equal">
      <formula>"2 Add"</formula>
    </cfRule>
  </conditionalFormatting>
  <conditionalFormatting sqref="C1600">
    <cfRule type="cellIs" dxfId="1293" priority="4800" stopIfTrue="1" operator="equal">
      <formula>"3 Delete"</formula>
    </cfRule>
  </conditionalFormatting>
  <conditionalFormatting sqref="C1601">
    <cfRule type="cellIs" dxfId="1292" priority="4801" stopIfTrue="1" operator="equal">
      <formula>"1 Modify"</formula>
    </cfRule>
  </conditionalFormatting>
  <conditionalFormatting sqref="C1601">
    <cfRule type="cellIs" dxfId="1291" priority="4802" stopIfTrue="1" operator="equal">
      <formula>"2 Add"</formula>
    </cfRule>
  </conditionalFormatting>
  <conditionalFormatting sqref="C1601">
    <cfRule type="cellIs" dxfId="1290" priority="4803" stopIfTrue="1" operator="equal">
      <formula>"3 Delete"</formula>
    </cfRule>
  </conditionalFormatting>
  <conditionalFormatting sqref="C1602">
    <cfRule type="cellIs" dxfId="1289" priority="4804" stopIfTrue="1" operator="equal">
      <formula>"1 Modify"</formula>
    </cfRule>
  </conditionalFormatting>
  <conditionalFormatting sqref="C1602">
    <cfRule type="cellIs" dxfId="1288" priority="4805" stopIfTrue="1" operator="equal">
      <formula>"2 Add"</formula>
    </cfRule>
  </conditionalFormatting>
  <conditionalFormatting sqref="C1602">
    <cfRule type="cellIs" dxfId="1287" priority="4806" stopIfTrue="1" operator="equal">
      <formula>"3 Delete"</formula>
    </cfRule>
  </conditionalFormatting>
  <conditionalFormatting sqref="C1603">
    <cfRule type="cellIs" dxfId="1286" priority="4807" stopIfTrue="1" operator="equal">
      <formula>"1 Modify"</formula>
    </cfRule>
  </conditionalFormatting>
  <conditionalFormatting sqref="C1603">
    <cfRule type="cellIs" dxfId="1285" priority="4808" stopIfTrue="1" operator="equal">
      <formula>"2 Add"</formula>
    </cfRule>
  </conditionalFormatting>
  <conditionalFormatting sqref="C1603">
    <cfRule type="cellIs" dxfId="1284" priority="4809" stopIfTrue="1" operator="equal">
      <formula>"3 Delete"</formula>
    </cfRule>
  </conditionalFormatting>
  <conditionalFormatting sqref="C1604">
    <cfRule type="cellIs" dxfId="1283" priority="4810" stopIfTrue="1" operator="equal">
      <formula>"1 Modify"</formula>
    </cfRule>
  </conditionalFormatting>
  <conditionalFormatting sqref="C1604">
    <cfRule type="cellIs" dxfId="1282" priority="4811" stopIfTrue="1" operator="equal">
      <formula>"2 Add"</formula>
    </cfRule>
  </conditionalFormatting>
  <conditionalFormatting sqref="C1604">
    <cfRule type="cellIs" dxfId="1281" priority="4812" stopIfTrue="1" operator="equal">
      <formula>"3 Delete"</formula>
    </cfRule>
  </conditionalFormatting>
  <conditionalFormatting sqref="C1605">
    <cfRule type="cellIs" dxfId="1280" priority="4813" stopIfTrue="1" operator="equal">
      <formula>"1 Modify"</formula>
    </cfRule>
  </conditionalFormatting>
  <conditionalFormatting sqref="C1605">
    <cfRule type="cellIs" dxfId="1279" priority="4814" stopIfTrue="1" operator="equal">
      <formula>"2 Add"</formula>
    </cfRule>
  </conditionalFormatting>
  <conditionalFormatting sqref="C1605">
    <cfRule type="cellIs" dxfId="1278" priority="4815" stopIfTrue="1" operator="equal">
      <formula>"3 Delete"</formula>
    </cfRule>
  </conditionalFormatting>
  <conditionalFormatting sqref="C1606">
    <cfRule type="cellIs" dxfId="1277" priority="4816" stopIfTrue="1" operator="equal">
      <formula>"1 Modify"</formula>
    </cfRule>
  </conditionalFormatting>
  <conditionalFormatting sqref="C1606">
    <cfRule type="cellIs" dxfId="1276" priority="4817" stopIfTrue="1" operator="equal">
      <formula>"2 Add"</formula>
    </cfRule>
  </conditionalFormatting>
  <conditionalFormatting sqref="C1606">
    <cfRule type="cellIs" dxfId="1275" priority="4818" stopIfTrue="1" operator="equal">
      <formula>"3 Delete"</formula>
    </cfRule>
  </conditionalFormatting>
  <conditionalFormatting sqref="C1607">
    <cfRule type="cellIs" dxfId="1274" priority="4819" stopIfTrue="1" operator="equal">
      <formula>"1 Modify"</formula>
    </cfRule>
  </conditionalFormatting>
  <conditionalFormatting sqref="C1607">
    <cfRule type="cellIs" dxfId="1273" priority="4820" stopIfTrue="1" operator="equal">
      <formula>"2 Add"</formula>
    </cfRule>
  </conditionalFormatting>
  <conditionalFormatting sqref="C1607">
    <cfRule type="cellIs" dxfId="1272" priority="4821" stopIfTrue="1" operator="equal">
      <formula>"3 Delete"</formula>
    </cfRule>
  </conditionalFormatting>
  <conditionalFormatting sqref="C1608">
    <cfRule type="cellIs" dxfId="1271" priority="4822" stopIfTrue="1" operator="equal">
      <formula>"1 Modify"</formula>
    </cfRule>
  </conditionalFormatting>
  <conditionalFormatting sqref="C1608">
    <cfRule type="cellIs" dxfId="1270" priority="4823" stopIfTrue="1" operator="equal">
      <formula>"2 Add"</formula>
    </cfRule>
  </conditionalFormatting>
  <conditionalFormatting sqref="C1608">
    <cfRule type="cellIs" dxfId="1269" priority="4824" stopIfTrue="1" operator="equal">
      <formula>"3 Delete"</formula>
    </cfRule>
  </conditionalFormatting>
  <conditionalFormatting sqref="C1609">
    <cfRule type="cellIs" dxfId="1268" priority="4825" stopIfTrue="1" operator="equal">
      <formula>"1 Modify"</formula>
    </cfRule>
  </conditionalFormatting>
  <conditionalFormatting sqref="C1609">
    <cfRule type="cellIs" dxfId="1267" priority="4826" stopIfTrue="1" operator="equal">
      <formula>"2 Add"</formula>
    </cfRule>
  </conditionalFormatting>
  <conditionalFormatting sqref="C1609">
    <cfRule type="cellIs" dxfId="1266" priority="4827" stopIfTrue="1" operator="equal">
      <formula>"3 Delete"</formula>
    </cfRule>
  </conditionalFormatting>
  <conditionalFormatting sqref="C1610">
    <cfRule type="cellIs" dxfId="1265" priority="4828" stopIfTrue="1" operator="equal">
      <formula>"1 Modify"</formula>
    </cfRule>
  </conditionalFormatting>
  <conditionalFormatting sqref="C1610">
    <cfRule type="cellIs" dxfId="1264" priority="4829" stopIfTrue="1" operator="equal">
      <formula>"2 Add"</formula>
    </cfRule>
  </conditionalFormatting>
  <conditionalFormatting sqref="C1610">
    <cfRule type="cellIs" dxfId="1263" priority="4830" stopIfTrue="1" operator="equal">
      <formula>"3 Delete"</formula>
    </cfRule>
  </conditionalFormatting>
  <conditionalFormatting sqref="C1611">
    <cfRule type="cellIs" dxfId="1262" priority="4831" stopIfTrue="1" operator="equal">
      <formula>"1 Modify"</formula>
    </cfRule>
  </conditionalFormatting>
  <conditionalFormatting sqref="C1611">
    <cfRule type="cellIs" dxfId="1261" priority="4832" stopIfTrue="1" operator="equal">
      <formula>"2 Add"</formula>
    </cfRule>
  </conditionalFormatting>
  <conditionalFormatting sqref="C1611">
    <cfRule type="cellIs" dxfId="1260" priority="4833" stopIfTrue="1" operator="equal">
      <formula>"3 Delete"</formula>
    </cfRule>
  </conditionalFormatting>
  <conditionalFormatting sqref="C1612">
    <cfRule type="cellIs" dxfId="1259" priority="4834" stopIfTrue="1" operator="equal">
      <formula>"1 Modify"</formula>
    </cfRule>
  </conditionalFormatting>
  <conditionalFormatting sqref="C1612">
    <cfRule type="cellIs" dxfId="1258" priority="4835" stopIfTrue="1" operator="equal">
      <formula>"2 Add"</formula>
    </cfRule>
  </conditionalFormatting>
  <conditionalFormatting sqref="C1612">
    <cfRule type="cellIs" dxfId="1257" priority="4836" stopIfTrue="1" operator="equal">
      <formula>"3 Delete"</formula>
    </cfRule>
  </conditionalFormatting>
  <conditionalFormatting sqref="C1613">
    <cfRule type="cellIs" dxfId="1256" priority="4837" stopIfTrue="1" operator="equal">
      <formula>"1 Modify"</formula>
    </cfRule>
  </conditionalFormatting>
  <conditionalFormatting sqref="C1613">
    <cfRule type="cellIs" dxfId="1255" priority="4838" stopIfTrue="1" operator="equal">
      <formula>"2 Add"</formula>
    </cfRule>
  </conditionalFormatting>
  <conditionalFormatting sqref="C1613">
    <cfRule type="cellIs" dxfId="1254" priority="4839" stopIfTrue="1" operator="equal">
      <formula>"3 Delete"</formula>
    </cfRule>
  </conditionalFormatting>
  <conditionalFormatting sqref="C1614">
    <cfRule type="cellIs" dxfId="1253" priority="4840" stopIfTrue="1" operator="equal">
      <formula>"1 Modify"</formula>
    </cfRule>
  </conditionalFormatting>
  <conditionalFormatting sqref="C1614">
    <cfRule type="cellIs" dxfId="1252" priority="4841" stopIfTrue="1" operator="equal">
      <formula>"2 Add"</formula>
    </cfRule>
  </conditionalFormatting>
  <conditionalFormatting sqref="C1614">
    <cfRule type="cellIs" dxfId="1251" priority="4842" stopIfTrue="1" operator="equal">
      <formula>"3 Delete"</formula>
    </cfRule>
  </conditionalFormatting>
  <conditionalFormatting sqref="C1615">
    <cfRule type="cellIs" dxfId="1250" priority="4843" stopIfTrue="1" operator="equal">
      <formula>"1 Modify"</formula>
    </cfRule>
  </conditionalFormatting>
  <conditionalFormatting sqref="C1615">
    <cfRule type="cellIs" dxfId="1249" priority="4844" stopIfTrue="1" operator="equal">
      <formula>"2 Add"</formula>
    </cfRule>
  </conditionalFormatting>
  <conditionalFormatting sqref="C1615">
    <cfRule type="cellIs" dxfId="1248" priority="4845" stopIfTrue="1" operator="equal">
      <formula>"3 Delete"</formula>
    </cfRule>
  </conditionalFormatting>
  <conditionalFormatting sqref="C1616">
    <cfRule type="cellIs" dxfId="1247" priority="4846" stopIfTrue="1" operator="equal">
      <formula>"1 Modify"</formula>
    </cfRule>
  </conditionalFormatting>
  <conditionalFormatting sqref="C1616">
    <cfRule type="cellIs" dxfId="1246" priority="4847" stopIfTrue="1" operator="equal">
      <formula>"2 Add"</formula>
    </cfRule>
  </conditionalFormatting>
  <conditionalFormatting sqref="C1616">
    <cfRule type="cellIs" dxfId="1245" priority="4848" stopIfTrue="1" operator="equal">
      <formula>"3 Delete"</formula>
    </cfRule>
  </conditionalFormatting>
  <conditionalFormatting sqref="C1617">
    <cfRule type="cellIs" dxfId="1244" priority="4849" stopIfTrue="1" operator="equal">
      <formula>"1 Modify"</formula>
    </cfRule>
  </conditionalFormatting>
  <conditionalFormatting sqref="C1617">
    <cfRule type="cellIs" dxfId="1243" priority="4850" stopIfTrue="1" operator="equal">
      <formula>"2 Add"</formula>
    </cfRule>
  </conditionalFormatting>
  <conditionalFormatting sqref="C1617">
    <cfRule type="cellIs" dxfId="1242" priority="4851" stopIfTrue="1" operator="equal">
      <formula>"3 Delete"</formula>
    </cfRule>
  </conditionalFormatting>
  <conditionalFormatting sqref="C1618">
    <cfRule type="cellIs" dxfId="1241" priority="4852" stopIfTrue="1" operator="equal">
      <formula>"1 Modify"</formula>
    </cfRule>
  </conditionalFormatting>
  <conditionalFormatting sqref="C1618">
    <cfRule type="cellIs" dxfId="1240" priority="4853" stopIfTrue="1" operator="equal">
      <formula>"2 Add"</formula>
    </cfRule>
  </conditionalFormatting>
  <conditionalFormatting sqref="C1618">
    <cfRule type="cellIs" dxfId="1239" priority="4854" stopIfTrue="1" operator="equal">
      <formula>"3 Delete"</formula>
    </cfRule>
  </conditionalFormatting>
  <conditionalFormatting sqref="C1619">
    <cfRule type="cellIs" dxfId="1238" priority="4855" stopIfTrue="1" operator="equal">
      <formula>"1 Modify"</formula>
    </cfRule>
  </conditionalFormatting>
  <conditionalFormatting sqref="C1619">
    <cfRule type="cellIs" dxfId="1237" priority="4856" stopIfTrue="1" operator="equal">
      <formula>"2 Add"</formula>
    </cfRule>
  </conditionalFormatting>
  <conditionalFormatting sqref="C1619">
    <cfRule type="cellIs" dxfId="1236" priority="4857" stopIfTrue="1" operator="equal">
      <formula>"3 Delete"</formula>
    </cfRule>
  </conditionalFormatting>
  <conditionalFormatting sqref="C1620">
    <cfRule type="cellIs" dxfId="1235" priority="4858" stopIfTrue="1" operator="equal">
      <formula>"1 Modify"</formula>
    </cfRule>
  </conditionalFormatting>
  <conditionalFormatting sqref="C1620">
    <cfRule type="cellIs" dxfId="1234" priority="4859" stopIfTrue="1" operator="equal">
      <formula>"2 Add"</formula>
    </cfRule>
  </conditionalFormatting>
  <conditionalFormatting sqref="C1620">
    <cfRule type="cellIs" dxfId="1233" priority="4860" stopIfTrue="1" operator="equal">
      <formula>"3 Delete"</formula>
    </cfRule>
  </conditionalFormatting>
  <conditionalFormatting sqref="C1621">
    <cfRule type="cellIs" dxfId="1232" priority="4861" stopIfTrue="1" operator="equal">
      <formula>"1 Modify"</formula>
    </cfRule>
  </conditionalFormatting>
  <conditionalFormatting sqref="C1621">
    <cfRule type="cellIs" dxfId="1231" priority="4862" stopIfTrue="1" operator="equal">
      <formula>"2 Add"</formula>
    </cfRule>
  </conditionalFormatting>
  <conditionalFormatting sqref="C1621">
    <cfRule type="cellIs" dxfId="1230" priority="4863" stopIfTrue="1" operator="equal">
      <formula>"3 Delete"</formula>
    </cfRule>
  </conditionalFormatting>
  <conditionalFormatting sqref="C1622">
    <cfRule type="cellIs" dxfId="1229" priority="4864" stopIfTrue="1" operator="equal">
      <formula>"1 Modify"</formula>
    </cfRule>
  </conditionalFormatting>
  <conditionalFormatting sqref="C1622">
    <cfRule type="cellIs" dxfId="1228" priority="4865" stopIfTrue="1" operator="equal">
      <formula>"2 Add"</formula>
    </cfRule>
  </conditionalFormatting>
  <conditionalFormatting sqref="C1622">
    <cfRule type="cellIs" dxfId="1227" priority="4866" stopIfTrue="1" operator="equal">
      <formula>"3 Delete"</formula>
    </cfRule>
  </conditionalFormatting>
  <conditionalFormatting sqref="C1623">
    <cfRule type="cellIs" dxfId="1226" priority="4867" stopIfTrue="1" operator="equal">
      <formula>"1 Modify"</formula>
    </cfRule>
  </conditionalFormatting>
  <conditionalFormatting sqref="C1623">
    <cfRule type="cellIs" dxfId="1225" priority="4868" stopIfTrue="1" operator="equal">
      <formula>"2 Add"</formula>
    </cfRule>
  </conditionalFormatting>
  <conditionalFormatting sqref="C1623">
    <cfRule type="cellIs" dxfId="1224" priority="4869" stopIfTrue="1" operator="equal">
      <formula>"3 Delete"</formula>
    </cfRule>
  </conditionalFormatting>
  <conditionalFormatting sqref="C1624">
    <cfRule type="cellIs" dxfId="1223" priority="4870" stopIfTrue="1" operator="equal">
      <formula>"1 Modify"</formula>
    </cfRule>
  </conditionalFormatting>
  <conditionalFormatting sqref="C1624">
    <cfRule type="cellIs" dxfId="1222" priority="4871" stopIfTrue="1" operator="equal">
      <formula>"2 Add"</formula>
    </cfRule>
  </conditionalFormatting>
  <conditionalFormatting sqref="C1624">
    <cfRule type="cellIs" dxfId="1221" priority="4872" stopIfTrue="1" operator="equal">
      <formula>"3 Delete"</formula>
    </cfRule>
  </conditionalFormatting>
  <conditionalFormatting sqref="C1625">
    <cfRule type="cellIs" dxfId="1220" priority="4873" stopIfTrue="1" operator="equal">
      <formula>"1 Modify"</formula>
    </cfRule>
  </conditionalFormatting>
  <conditionalFormatting sqref="C1625">
    <cfRule type="cellIs" dxfId="1219" priority="4874" stopIfTrue="1" operator="equal">
      <formula>"2 Add"</formula>
    </cfRule>
  </conditionalFormatting>
  <conditionalFormatting sqref="C1625">
    <cfRule type="cellIs" dxfId="1218" priority="4875" stopIfTrue="1" operator="equal">
      <formula>"3 Delete"</formula>
    </cfRule>
  </conditionalFormatting>
  <conditionalFormatting sqref="C1626">
    <cfRule type="cellIs" dxfId="1217" priority="4876" stopIfTrue="1" operator="equal">
      <formula>"1 Modify"</formula>
    </cfRule>
  </conditionalFormatting>
  <conditionalFormatting sqref="C1626">
    <cfRule type="cellIs" dxfId="1216" priority="4877" stopIfTrue="1" operator="equal">
      <formula>"2 Add"</formula>
    </cfRule>
  </conditionalFormatting>
  <conditionalFormatting sqref="C1626">
    <cfRule type="cellIs" dxfId="1215" priority="4878" stopIfTrue="1" operator="equal">
      <formula>"3 Delete"</formula>
    </cfRule>
  </conditionalFormatting>
  <conditionalFormatting sqref="C1627">
    <cfRule type="cellIs" dxfId="1214" priority="4879" stopIfTrue="1" operator="equal">
      <formula>"1 Modify"</formula>
    </cfRule>
  </conditionalFormatting>
  <conditionalFormatting sqref="C1627">
    <cfRule type="cellIs" dxfId="1213" priority="4880" stopIfTrue="1" operator="equal">
      <formula>"2 Add"</formula>
    </cfRule>
  </conditionalFormatting>
  <conditionalFormatting sqref="C1627">
    <cfRule type="cellIs" dxfId="1212" priority="4881" stopIfTrue="1" operator="equal">
      <formula>"3 Delete"</formula>
    </cfRule>
  </conditionalFormatting>
  <conditionalFormatting sqref="C1628">
    <cfRule type="cellIs" dxfId="1211" priority="4882" stopIfTrue="1" operator="equal">
      <formula>"1 Modify"</formula>
    </cfRule>
  </conditionalFormatting>
  <conditionalFormatting sqref="C1628">
    <cfRule type="cellIs" dxfId="1210" priority="4883" stopIfTrue="1" operator="equal">
      <formula>"2 Add"</formula>
    </cfRule>
  </conditionalFormatting>
  <conditionalFormatting sqref="C1628">
    <cfRule type="cellIs" dxfId="1209" priority="4884" stopIfTrue="1" operator="equal">
      <formula>"3 Delete"</formula>
    </cfRule>
  </conditionalFormatting>
  <conditionalFormatting sqref="C1629">
    <cfRule type="cellIs" dxfId="1208" priority="4885" stopIfTrue="1" operator="equal">
      <formula>"1 Modify"</formula>
    </cfRule>
  </conditionalFormatting>
  <conditionalFormatting sqref="C1629">
    <cfRule type="cellIs" dxfId="1207" priority="4886" stopIfTrue="1" operator="equal">
      <formula>"2 Add"</formula>
    </cfRule>
  </conditionalFormatting>
  <conditionalFormatting sqref="C1629">
    <cfRule type="cellIs" dxfId="1206" priority="4887" stopIfTrue="1" operator="equal">
      <formula>"3 Delete"</formula>
    </cfRule>
  </conditionalFormatting>
  <conditionalFormatting sqref="C1630">
    <cfRule type="cellIs" dxfId="1205" priority="4888" stopIfTrue="1" operator="equal">
      <formula>"1 Modify"</formula>
    </cfRule>
  </conditionalFormatting>
  <conditionalFormatting sqref="C1630">
    <cfRule type="cellIs" dxfId="1204" priority="4889" stopIfTrue="1" operator="equal">
      <formula>"2 Add"</formula>
    </cfRule>
  </conditionalFormatting>
  <conditionalFormatting sqref="C1630">
    <cfRule type="cellIs" dxfId="1203" priority="4890" stopIfTrue="1" operator="equal">
      <formula>"3 Delete"</formula>
    </cfRule>
  </conditionalFormatting>
  <conditionalFormatting sqref="C1631">
    <cfRule type="cellIs" dxfId="1202" priority="4891" stopIfTrue="1" operator="equal">
      <formula>"1 Modify"</formula>
    </cfRule>
  </conditionalFormatting>
  <conditionalFormatting sqref="C1631">
    <cfRule type="cellIs" dxfId="1201" priority="4892" stopIfTrue="1" operator="equal">
      <formula>"2 Add"</formula>
    </cfRule>
  </conditionalFormatting>
  <conditionalFormatting sqref="C1631">
    <cfRule type="cellIs" dxfId="1200" priority="4893" stopIfTrue="1" operator="equal">
      <formula>"3 Delete"</formula>
    </cfRule>
  </conditionalFormatting>
  <conditionalFormatting sqref="C1632">
    <cfRule type="cellIs" dxfId="1199" priority="4894" stopIfTrue="1" operator="equal">
      <formula>"1 Modify"</formula>
    </cfRule>
  </conditionalFormatting>
  <conditionalFormatting sqref="C1632">
    <cfRule type="cellIs" dxfId="1198" priority="4895" stopIfTrue="1" operator="equal">
      <formula>"2 Add"</formula>
    </cfRule>
  </conditionalFormatting>
  <conditionalFormatting sqref="C1632">
    <cfRule type="cellIs" dxfId="1197" priority="4896" stopIfTrue="1" operator="equal">
      <formula>"3 Delete"</formula>
    </cfRule>
  </conditionalFormatting>
  <conditionalFormatting sqref="C1633">
    <cfRule type="cellIs" dxfId="1196" priority="4897" stopIfTrue="1" operator="equal">
      <formula>"1 Modify"</formula>
    </cfRule>
  </conditionalFormatting>
  <conditionalFormatting sqref="C1633">
    <cfRule type="cellIs" dxfId="1195" priority="4898" stopIfTrue="1" operator="equal">
      <formula>"2 Add"</formula>
    </cfRule>
  </conditionalFormatting>
  <conditionalFormatting sqref="C1633">
    <cfRule type="cellIs" dxfId="1194" priority="4899" stopIfTrue="1" operator="equal">
      <formula>"3 Delete"</formula>
    </cfRule>
  </conditionalFormatting>
  <conditionalFormatting sqref="C1634">
    <cfRule type="cellIs" dxfId="1193" priority="4900" stopIfTrue="1" operator="equal">
      <formula>"1 Modify"</formula>
    </cfRule>
  </conditionalFormatting>
  <conditionalFormatting sqref="C1634">
    <cfRule type="cellIs" dxfId="1192" priority="4901" stopIfTrue="1" operator="equal">
      <formula>"2 Add"</formula>
    </cfRule>
  </conditionalFormatting>
  <conditionalFormatting sqref="C1634">
    <cfRule type="cellIs" dxfId="1191" priority="4902" stopIfTrue="1" operator="equal">
      <formula>"3 Delete"</formula>
    </cfRule>
  </conditionalFormatting>
  <conditionalFormatting sqref="C1635">
    <cfRule type="cellIs" dxfId="1190" priority="4903" stopIfTrue="1" operator="equal">
      <formula>"1 Modify"</formula>
    </cfRule>
  </conditionalFormatting>
  <conditionalFormatting sqref="C1635">
    <cfRule type="cellIs" dxfId="1189" priority="4904" stopIfTrue="1" operator="equal">
      <formula>"2 Add"</formula>
    </cfRule>
  </conditionalFormatting>
  <conditionalFormatting sqref="C1635">
    <cfRule type="cellIs" dxfId="1188" priority="4905" stopIfTrue="1" operator="equal">
      <formula>"3 Delete"</formula>
    </cfRule>
  </conditionalFormatting>
  <conditionalFormatting sqref="C1636">
    <cfRule type="cellIs" dxfId="1187" priority="4906" stopIfTrue="1" operator="equal">
      <formula>"1 Modify"</formula>
    </cfRule>
  </conditionalFormatting>
  <conditionalFormatting sqref="C1636">
    <cfRule type="cellIs" dxfId="1186" priority="4907" stopIfTrue="1" operator="equal">
      <formula>"2 Add"</formula>
    </cfRule>
  </conditionalFormatting>
  <conditionalFormatting sqref="C1636">
    <cfRule type="cellIs" dxfId="1185" priority="4908" stopIfTrue="1" operator="equal">
      <formula>"3 Delete"</formula>
    </cfRule>
  </conditionalFormatting>
  <conditionalFormatting sqref="C1637">
    <cfRule type="cellIs" dxfId="1184" priority="4909" stopIfTrue="1" operator="equal">
      <formula>"1 Modify"</formula>
    </cfRule>
  </conditionalFormatting>
  <conditionalFormatting sqref="C1637">
    <cfRule type="cellIs" dxfId="1183" priority="4910" stopIfTrue="1" operator="equal">
      <formula>"2 Add"</formula>
    </cfRule>
  </conditionalFormatting>
  <conditionalFormatting sqref="C1637">
    <cfRule type="cellIs" dxfId="1182" priority="4911" stopIfTrue="1" operator="equal">
      <formula>"3 Delete"</formula>
    </cfRule>
  </conditionalFormatting>
  <conditionalFormatting sqref="C1638">
    <cfRule type="cellIs" dxfId="1181" priority="4912" stopIfTrue="1" operator="equal">
      <formula>"1 Modify"</formula>
    </cfRule>
  </conditionalFormatting>
  <conditionalFormatting sqref="C1638">
    <cfRule type="cellIs" dxfId="1180" priority="4913" stopIfTrue="1" operator="equal">
      <formula>"2 Add"</formula>
    </cfRule>
  </conditionalFormatting>
  <conditionalFormatting sqref="C1638">
    <cfRule type="cellIs" dxfId="1179" priority="4914" stopIfTrue="1" operator="equal">
      <formula>"3 Delete"</formula>
    </cfRule>
  </conditionalFormatting>
  <conditionalFormatting sqref="C1639">
    <cfRule type="cellIs" dxfId="1178" priority="4915" stopIfTrue="1" operator="equal">
      <formula>"1 Modify"</formula>
    </cfRule>
  </conditionalFormatting>
  <conditionalFormatting sqref="C1639">
    <cfRule type="cellIs" dxfId="1177" priority="4916" stopIfTrue="1" operator="equal">
      <formula>"2 Add"</formula>
    </cfRule>
  </conditionalFormatting>
  <conditionalFormatting sqref="C1639">
    <cfRule type="cellIs" dxfId="1176" priority="4917" stopIfTrue="1" operator="equal">
      <formula>"3 Delete"</formula>
    </cfRule>
  </conditionalFormatting>
  <conditionalFormatting sqref="C1640">
    <cfRule type="cellIs" dxfId="1175" priority="4918" stopIfTrue="1" operator="equal">
      <formula>"1 Modify"</formula>
    </cfRule>
  </conditionalFormatting>
  <conditionalFormatting sqref="C1640">
    <cfRule type="cellIs" dxfId="1174" priority="4919" stopIfTrue="1" operator="equal">
      <formula>"2 Add"</formula>
    </cfRule>
  </conditionalFormatting>
  <conditionalFormatting sqref="C1640">
    <cfRule type="cellIs" dxfId="1173" priority="4920" stopIfTrue="1" operator="equal">
      <formula>"3 Delete"</formula>
    </cfRule>
  </conditionalFormatting>
  <conditionalFormatting sqref="C1641">
    <cfRule type="cellIs" dxfId="1172" priority="4921" stopIfTrue="1" operator="equal">
      <formula>"1 Modify"</formula>
    </cfRule>
  </conditionalFormatting>
  <conditionalFormatting sqref="C1641">
    <cfRule type="cellIs" dxfId="1171" priority="4922" stopIfTrue="1" operator="equal">
      <formula>"2 Add"</formula>
    </cfRule>
  </conditionalFormatting>
  <conditionalFormatting sqref="C1641">
    <cfRule type="cellIs" dxfId="1170" priority="4923" stopIfTrue="1" operator="equal">
      <formula>"3 Delete"</formula>
    </cfRule>
  </conditionalFormatting>
  <conditionalFormatting sqref="C1642">
    <cfRule type="cellIs" dxfId="1169" priority="4924" stopIfTrue="1" operator="equal">
      <formula>"1 Modify"</formula>
    </cfRule>
  </conditionalFormatting>
  <conditionalFormatting sqref="C1642">
    <cfRule type="cellIs" dxfId="1168" priority="4925" stopIfTrue="1" operator="equal">
      <formula>"2 Add"</formula>
    </cfRule>
  </conditionalFormatting>
  <conditionalFormatting sqref="C1642">
    <cfRule type="cellIs" dxfId="1167" priority="4926" stopIfTrue="1" operator="equal">
      <formula>"3 Delete"</formula>
    </cfRule>
  </conditionalFormatting>
  <conditionalFormatting sqref="C1643">
    <cfRule type="cellIs" dxfId="1166" priority="4927" stopIfTrue="1" operator="equal">
      <formula>"1 Modify"</formula>
    </cfRule>
  </conditionalFormatting>
  <conditionalFormatting sqref="C1643">
    <cfRule type="cellIs" dxfId="1165" priority="4928" stopIfTrue="1" operator="equal">
      <formula>"2 Add"</formula>
    </cfRule>
  </conditionalFormatting>
  <conditionalFormatting sqref="C1643">
    <cfRule type="cellIs" dxfId="1164" priority="4929" stopIfTrue="1" operator="equal">
      <formula>"3 Delete"</formula>
    </cfRule>
  </conditionalFormatting>
  <conditionalFormatting sqref="C1644">
    <cfRule type="cellIs" dxfId="1163" priority="4930" stopIfTrue="1" operator="equal">
      <formula>"1 Modify"</formula>
    </cfRule>
  </conditionalFormatting>
  <conditionalFormatting sqref="C1644">
    <cfRule type="cellIs" dxfId="1162" priority="4931" stopIfTrue="1" operator="equal">
      <formula>"2 Add"</formula>
    </cfRule>
  </conditionalFormatting>
  <conditionalFormatting sqref="C1644">
    <cfRule type="cellIs" dxfId="1161" priority="4932" stopIfTrue="1" operator="equal">
      <formula>"3 Delete"</formula>
    </cfRule>
  </conditionalFormatting>
  <conditionalFormatting sqref="C1645">
    <cfRule type="cellIs" dxfId="1160" priority="4933" stopIfTrue="1" operator="equal">
      <formula>"1 Modify"</formula>
    </cfRule>
  </conditionalFormatting>
  <conditionalFormatting sqref="C1645">
    <cfRule type="cellIs" dxfId="1159" priority="4934" stopIfTrue="1" operator="equal">
      <formula>"2 Add"</formula>
    </cfRule>
  </conditionalFormatting>
  <conditionalFormatting sqref="C1645">
    <cfRule type="cellIs" dxfId="1158" priority="4935" stopIfTrue="1" operator="equal">
      <formula>"3 Delete"</formula>
    </cfRule>
  </conditionalFormatting>
  <conditionalFormatting sqref="C1646">
    <cfRule type="cellIs" dxfId="1157" priority="4936" stopIfTrue="1" operator="equal">
      <formula>"1 Modify"</formula>
    </cfRule>
  </conditionalFormatting>
  <conditionalFormatting sqref="C1646">
    <cfRule type="cellIs" dxfId="1156" priority="4937" stopIfTrue="1" operator="equal">
      <formula>"2 Add"</formula>
    </cfRule>
  </conditionalFormatting>
  <conditionalFormatting sqref="C1646">
    <cfRule type="cellIs" dxfId="1155" priority="4938" stopIfTrue="1" operator="equal">
      <formula>"3 Delete"</formula>
    </cfRule>
  </conditionalFormatting>
  <conditionalFormatting sqref="C1647">
    <cfRule type="cellIs" dxfId="1154" priority="4939" stopIfTrue="1" operator="equal">
      <formula>"1 Modify"</formula>
    </cfRule>
  </conditionalFormatting>
  <conditionalFormatting sqref="C1647">
    <cfRule type="cellIs" dxfId="1153" priority="4940" stopIfTrue="1" operator="equal">
      <formula>"2 Add"</formula>
    </cfRule>
  </conditionalFormatting>
  <conditionalFormatting sqref="C1647">
    <cfRule type="cellIs" dxfId="1152" priority="4941" stopIfTrue="1" operator="equal">
      <formula>"3 Delete"</formula>
    </cfRule>
  </conditionalFormatting>
  <conditionalFormatting sqref="C1648">
    <cfRule type="cellIs" dxfId="1151" priority="4942" stopIfTrue="1" operator="equal">
      <formula>"1 Modify"</formula>
    </cfRule>
  </conditionalFormatting>
  <conditionalFormatting sqref="C1648">
    <cfRule type="cellIs" dxfId="1150" priority="4943" stopIfTrue="1" operator="equal">
      <formula>"2 Add"</formula>
    </cfRule>
  </conditionalFormatting>
  <conditionalFormatting sqref="C1648">
    <cfRule type="cellIs" dxfId="1149" priority="4944" stopIfTrue="1" operator="equal">
      <formula>"3 Delete"</formula>
    </cfRule>
  </conditionalFormatting>
  <conditionalFormatting sqref="C1649">
    <cfRule type="cellIs" dxfId="1148" priority="4945" stopIfTrue="1" operator="equal">
      <formula>"1 Modify"</formula>
    </cfRule>
  </conditionalFormatting>
  <conditionalFormatting sqref="C1649">
    <cfRule type="cellIs" dxfId="1147" priority="4946" stopIfTrue="1" operator="equal">
      <formula>"2 Add"</formula>
    </cfRule>
  </conditionalFormatting>
  <conditionalFormatting sqref="C1649">
    <cfRule type="cellIs" dxfId="1146" priority="4947" stopIfTrue="1" operator="equal">
      <formula>"3 Delete"</formula>
    </cfRule>
  </conditionalFormatting>
  <conditionalFormatting sqref="C1650">
    <cfRule type="cellIs" dxfId="1145" priority="4948" stopIfTrue="1" operator="equal">
      <formula>"1 Modify"</formula>
    </cfRule>
  </conditionalFormatting>
  <conditionalFormatting sqref="C1650">
    <cfRule type="cellIs" dxfId="1144" priority="4949" stopIfTrue="1" operator="equal">
      <formula>"2 Add"</formula>
    </cfRule>
  </conditionalFormatting>
  <conditionalFormatting sqref="C1650">
    <cfRule type="cellIs" dxfId="1143" priority="4950" stopIfTrue="1" operator="equal">
      <formula>"3 Delete"</formula>
    </cfRule>
  </conditionalFormatting>
  <conditionalFormatting sqref="C1651">
    <cfRule type="cellIs" dxfId="1142" priority="4951" stopIfTrue="1" operator="equal">
      <formula>"1 Modify"</formula>
    </cfRule>
  </conditionalFormatting>
  <conditionalFormatting sqref="C1651">
    <cfRule type="cellIs" dxfId="1141" priority="4952" stopIfTrue="1" operator="equal">
      <formula>"2 Add"</formula>
    </cfRule>
  </conditionalFormatting>
  <conditionalFormatting sqref="C1651">
    <cfRule type="cellIs" dxfId="1140" priority="4953" stopIfTrue="1" operator="equal">
      <formula>"3 Delete"</formula>
    </cfRule>
  </conditionalFormatting>
  <conditionalFormatting sqref="C1652">
    <cfRule type="cellIs" dxfId="1139" priority="4954" stopIfTrue="1" operator="equal">
      <formula>"1 Modify"</formula>
    </cfRule>
  </conditionalFormatting>
  <conditionalFormatting sqref="C1652">
    <cfRule type="cellIs" dxfId="1138" priority="4955" stopIfTrue="1" operator="equal">
      <formula>"2 Add"</formula>
    </cfRule>
  </conditionalFormatting>
  <conditionalFormatting sqref="C1652">
    <cfRule type="cellIs" dxfId="1137" priority="4956" stopIfTrue="1" operator="equal">
      <formula>"3 Delete"</formula>
    </cfRule>
  </conditionalFormatting>
  <conditionalFormatting sqref="C1653">
    <cfRule type="cellIs" dxfId="1136" priority="4957" stopIfTrue="1" operator="equal">
      <formula>"1 Modify"</formula>
    </cfRule>
  </conditionalFormatting>
  <conditionalFormatting sqref="C1653">
    <cfRule type="cellIs" dxfId="1135" priority="4958" stopIfTrue="1" operator="equal">
      <formula>"2 Add"</formula>
    </cfRule>
  </conditionalFormatting>
  <conditionalFormatting sqref="C1653">
    <cfRule type="cellIs" dxfId="1134" priority="4959" stopIfTrue="1" operator="equal">
      <formula>"3 Delete"</formula>
    </cfRule>
  </conditionalFormatting>
  <conditionalFormatting sqref="C1654">
    <cfRule type="cellIs" dxfId="1133" priority="4960" stopIfTrue="1" operator="equal">
      <formula>"1 Modify"</formula>
    </cfRule>
  </conditionalFormatting>
  <conditionalFormatting sqref="C1654">
    <cfRule type="cellIs" dxfId="1132" priority="4961" stopIfTrue="1" operator="equal">
      <formula>"2 Add"</formula>
    </cfRule>
  </conditionalFormatting>
  <conditionalFormatting sqref="C1654">
    <cfRule type="cellIs" dxfId="1131" priority="4962" stopIfTrue="1" operator="equal">
      <formula>"3 Delete"</formula>
    </cfRule>
  </conditionalFormatting>
  <conditionalFormatting sqref="C1655">
    <cfRule type="cellIs" dxfId="1130" priority="4963" stopIfTrue="1" operator="equal">
      <formula>"1 Modify"</formula>
    </cfRule>
  </conditionalFormatting>
  <conditionalFormatting sqref="C1655">
    <cfRule type="cellIs" dxfId="1129" priority="4964" stopIfTrue="1" operator="equal">
      <formula>"2 Add"</formula>
    </cfRule>
  </conditionalFormatting>
  <conditionalFormatting sqref="C1655">
    <cfRule type="cellIs" dxfId="1128" priority="4965" stopIfTrue="1" operator="equal">
      <formula>"3 Delete"</formula>
    </cfRule>
  </conditionalFormatting>
  <conditionalFormatting sqref="C1656">
    <cfRule type="cellIs" dxfId="1127" priority="4966" stopIfTrue="1" operator="equal">
      <formula>"1 Modify"</formula>
    </cfRule>
  </conditionalFormatting>
  <conditionalFormatting sqref="C1656">
    <cfRule type="cellIs" dxfId="1126" priority="4967" stopIfTrue="1" operator="equal">
      <formula>"2 Add"</formula>
    </cfRule>
  </conditionalFormatting>
  <conditionalFormatting sqref="C1656">
    <cfRule type="cellIs" dxfId="1125" priority="4968" stopIfTrue="1" operator="equal">
      <formula>"3 Delete"</formula>
    </cfRule>
  </conditionalFormatting>
  <conditionalFormatting sqref="C1657">
    <cfRule type="cellIs" dxfId="1124" priority="4969" stopIfTrue="1" operator="equal">
      <formula>"1 Modify"</formula>
    </cfRule>
  </conditionalFormatting>
  <conditionalFormatting sqref="C1657">
    <cfRule type="cellIs" dxfId="1123" priority="4970" stopIfTrue="1" operator="equal">
      <formula>"2 Add"</formula>
    </cfRule>
  </conditionalFormatting>
  <conditionalFormatting sqref="C1657">
    <cfRule type="cellIs" dxfId="1122" priority="4971" stopIfTrue="1" operator="equal">
      <formula>"3 Delete"</formula>
    </cfRule>
  </conditionalFormatting>
  <conditionalFormatting sqref="C1658">
    <cfRule type="cellIs" dxfId="1121" priority="4972" stopIfTrue="1" operator="equal">
      <formula>"1 Modify"</formula>
    </cfRule>
  </conditionalFormatting>
  <conditionalFormatting sqref="C1658">
    <cfRule type="cellIs" dxfId="1120" priority="4973" stopIfTrue="1" operator="equal">
      <formula>"2 Add"</formula>
    </cfRule>
  </conditionalFormatting>
  <conditionalFormatting sqref="C1658">
    <cfRule type="cellIs" dxfId="1119" priority="4974" stopIfTrue="1" operator="equal">
      <formula>"3 Delete"</formula>
    </cfRule>
  </conditionalFormatting>
  <conditionalFormatting sqref="C1659">
    <cfRule type="cellIs" dxfId="1118" priority="4975" stopIfTrue="1" operator="equal">
      <formula>"1 Modify"</formula>
    </cfRule>
  </conditionalFormatting>
  <conditionalFormatting sqref="C1659">
    <cfRule type="cellIs" dxfId="1117" priority="4976" stopIfTrue="1" operator="equal">
      <formula>"2 Add"</formula>
    </cfRule>
  </conditionalFormatting>
  <conditionalFormatting sqref="C1659">
    <cfRule type="cellIs" dxfId="1116" priority="4977" stopIfTrue="1" operator="equal">
      <formula>"3 Delete"</formula>
    </cfRule>
  </conditionalFormatting>
  <conditionalFormatting sqref="C1660">
    <cfRule type="cellIs" dxfId="1115" priority="4978" stopIfTrue="1" operator="equal">
      <formula>"1 Modify"</formula>
    </cfRule>
  </conditionalFormatting>
  <conditionalFormatting sqref="C1660">
    <cfRule type="cellIs" dxfId="1114" priority="4979" stopIfTrue="1" operator="equal">
      <formula>"2 Add"</formula>
    </cfRule>
  </conditionalFormatting>
  <conditionalFormatting sqref="C1660">
    <cfRule type="cellIs" dxfId="1113" priority="4980" stopIfTrue="1" operator="equal">
      <formula>"3 Delete"</formula>
    </cfRule>
  </conditionalFormatting>
  <conditionalFormatting sqref="C1661">
    <cfRule type="cellIs" dxfId="1112" priority="4981" stopIfTrue="1" operator="equal">
      <formula>"1 Modify"</formula>
    </cfRule>
  </conditionalFormatting>
  <conditionalFormatting sqref="C1661">
    <cfRule type="cellIs" dxfId="1111" priority="4982" stopIfTrue="1" operator="equal">
      <formula>"2 Add"</formula>
    </cfRule>
  </conditionalFormatting>
  <conditionalFormatting sqref="C1661">
    <cfRule type="cellIs" dxfId="1110" priority="4983" stopIfTrue="1" operator="equal">
      <formula>"3 Delete"</formula>
    </cfRule>
  </conditionalFormatting>
  <conditionalFormatting sqref="C1662">
    <cfRule type="cellIs" dxfId="1109" priority="4984" stopIfTrue="1" operator="equal">
      <formula>"1 Modify"</formula>
    </cfRule>
  </conditionalFormatting>
  <conditionalFormatting sqref="C1662">
    <cfRule type="cellIs" dxfId="1108" priority="4985" stopIfTrue="1" operator="equal">
      <formula>"2 Add"</formula>
    </cfRule>
  </conditionalFormatting>
  <conditionalFormatting sqref="C1662">
    <cfRule type="cellIs" dxfId="1107" priority="4986" stopIfTrue="1" operator="equal">
      <formula>"3 Delete"</formula>
    </cfRule>
  </conditionalFormatting>
  <conditionalFormatting sqref="C1663">
    <cfRule type="cellIs" dxfId="1106" priority="4987" stopIfTrue="1" operator="equal">
      <formula>"1 Modify"</formula>
    </cfRule>
  </conditionalFormatting>
  <conditionalFormatting sqref="C1663">
    <cfRule type="cellIs" dxfId="1105" priority="4988" stopIfTrue="1" operator="equal">
      <formula>"2 Add"</formula>
    </cfRule>
  </conditionalFormatting>
  <conditionalFormatting sqref="C1663">
    <cfRule type="cellIs" dxfId="1104" priority="4989" stopIfTrue="1" operator="equal">
      <formula>"3 Delete"</formula>
    </cfRule>
  </conditionalFormatting>
  <conditionalFormatting sqref="C1664">
    <cfRule type="cellIs" dxfId="1103" priority="4990" stopIfTrue="1" operator="equal">
      <formula>"1 Modify"</formula>
    </cfRule>
  </conditionalFormatting>
  <conditionalFormatting sqref="C1664">
    <cfRule type="cellIs" dxfId="1102" priority="4991" stopIfTrue="1" operator="equal">
      <formula>"2 Add"</formula>
    </cfRule>
  </conditionalFormatting>
  <conditionalFormatting sqref="C1664">
    <cfRule type="cellIs" dxfId="1101" priority="4992" stopIfTrue="1" operator="equal">
      <formula>"3 Delete"</formula>
    </cfRule>
  </conditionalFormatting>
  <conditionalFormatting sqref="C1665">
    <cfRule type="cellIs" dxfId="1100" priority="4993" stopIfTrue="1" operator="equal">
      <formula>"1 Modify"</formula>
    </cfRule>
  </conditionalFormatting>
  <conditionalFormatting sqref="C1665">
    <cfRule type="cellIs" dxfId="1099" priority="4994" stopIfTrue="1" operator="equal">
      <formula>"2 Add"</formula>
    </cfRule>
  </conditionalFormatting>
  <conditionalFormatting sqref="C1665">
    <cfRule type="cellIs" dxfId="1098" priority="4995" stopIfTrue="1" operator="equal">
      <formula>"3 Delete"</formula>
    </cfRule>
  </conditionalFormatting>
  <conditionalFormatting sqref="C1666">
    <cfRule type="cellIs" dxfId="1097" priority="4996" stopIfTrue="1" operator="equal">
      <formula>"1 Modify"</formula>
    </cfRule>
  </conditionalFormatting>
  <conditionalFormatting sqref="C1666">
    <cfRule type="cellIs" dxfId="1096" priority="4997" stopIfTrue="1" operator="equal">
      <formula>"2 Add"</formula>
    </cfRule>
  </conditionalFormatting>
  <conditionalFormatting sqref="C1666">
    <cfRule type="cellIs" dxfId="1095" priority="4998" stopIfTrue="1" operator="equal">
      <formula>"3 Delete"</formula>
    </cfRule>
  </conditionalFormatting>
  <conditionalFormatting sqref="C1667">
    <cfRule type="cellIs" dxfId="1094" priority="4999" stopIfTrue="1" operator="equal">
      <formula>"1 Modify"</formula>
    </cfRule>
  </conditionalFormatting>
  <conditionalFormatting sqref="C1667">
    <cfRule type="cellIs" dxfId="1093" priority="5000" stopIfTrue="1" operator="equal">
      <formula>"2 Add"</formula>
    </cfRule>
  </conditionalFormatting>
  <conditionalFormatting sqref="C1667">
    <cfRule type="cellIs" dxfId="1092" priority="5001" stopIfTrue="1" operator="equal">
      <formula>"3 Delete"</formula>
    </cfRule>
  </conditionalFormatting>
  <conditionalFormatting sqref="C1668">
    <cfRule type="cellIs" dxfId="1091" priority="5002" stopIfTrue="1" operator="equal">
      <formula>"1 Modify"</formula>
    </cfRule>
  </conditionalFormatting>
  <conditionalFormatting sqref="C1668">
    <cfRule type="cellIs" dxfId="1090" priority="5003" stopIfTrue="1" operator="equal">
      <formula>"2 Add"</formula>
    </cfRule>
  </conditionalFormatting>
  <conditionalFormatting sqref="C1668">
    <cfRule type="cellIs" dxfId="1089" priority="5004" stopIfTrue="1" operator="equal">
      <formula>"3 Delete"</formula>
    </cfRule>
  </conditionalFormatting>
  <conditionalFormatting sqref="C1669">
    <cfRule type="cellIs" dxfId="1088" priority="5005" stopIfTrue="1" operator="equal">
      <formula>"1 Modify"</formula>
    </cfRule>
  </conditionalFormatting>
  <conditionalFormatting sqref="C1669">
    <cfRule type="cellIs" dxfId="1087" priority="5006" stopIfTrue="1" operator="equal">
      <formula>"2 Add"</formula>
    </cfRule>
  </conditionalFormatting>
  <conditionalFormatting sqref="C1669">
    <cfRule type="cellIs" dxfId="1086" priority="5007" stopIfTrue="1" operator="equal">
      <formula>"3 Delete"</formula>
    </cfRule>
  </conditionalFormatting>
  <conditionalFormatting sqref="C1670">
    <cfRule type="cellIs" dxfId="1085" priority="5008" stopIfTrue="1" operator="equal">
      <formula>"1 Modify"</formula>
    </cfRule>
  </conditionalFormatting>
  <conditionalFormatting sqref="C1670">
    <cfRule type="cellIs" dxfId="1084" priority="5009" stopIfTrue="1" operator="equal">
      <formula>"2 Add"</formula>
    </cfRule>
  </conditionalFormatting>
  <conditionalFormatting sqref="C1670">
    <cfRule type="cellIs" dxfId="1083" priority="5010" stopIfTrue="1" operator="equal">
      <formula>"3 Delete"</formula>
    </cfRule>
  </conditionalFormatting>
  <conditionalFormatting sqref="C1671">
    <cfRule type="cellIs" dxfId="1082" priority="5011" stopIfTrue="1" operator="equal">
      <formula>"1 Modify"</formula>
    </cfRule>
  </conditionalFormatting>
  <conditionalFormatting sqref="C1671">
    <cfRule type="cellIs" dxfId="1081" priority="5012" stopIfTrue="1" operator="equal">
      <formula>"2 Add"</formula>
    </cfRule>
  </conditionalFormatting>
  <conditionalFormatting sqref="C1671">
    <cfRule type="cellIs" dxfId="1080" priority="5013" stopIfTrue="1" operator="equal">
      <formula>"3 Delete"</formula>
    </cfRule>
  </conditionalFormatting>
  <conditionalFormatting sqref="C1672">
    <cfRule type="cellIs" dxfId="1079" priority="5014" stopIfTrue="1" operator="equal">
      <formula>"1 Modify"</formula>
    </cfRule>
  </conditionalFormatting>
  <conditionalFormatting sqref="C1672">
    <cfRule type="cellIs" dxfId="1078" priority="5015" stopIfTrue="1" operator="equal">
      <formula>"2 Add"</formula>
    </cfRule>
  </conditionalFormatting>
  <conditionalFormatting sqref="C1672">
    <cfRule type="cellIs" dxfId="1077" priority="5016" stopIfTrue="1" operator="equal">
      <formula>"3 Delete"</formula>
    </cfRule>
  </conditionalFormatting>
  <conditionalFormatting sqref="C1673">
    <cfRule type="cellIs" dxfId="1076" priority="5017" stopIfTrue="1" operator="equal">
      <formula>"1 Modify"</formula>
    </cfRule>
  </conditionalFormatting>
  <conditionalFormatting sqref="C1673">
    <cfRule type="cellIs" dxfId="1075" priority="5018" stopIfTrue="1" operator="equal">
      <formula>"2 Add"</formula>
    </cfRule>
  </conditionalFormatting>
  <conditionalFormatting sqref="C1673">
    <cfRule type="cellIs" dxfId="1074" priority="5019" stopIfTrue="1" operator="equal">
      <formula>"3 Delete"</formula>
    </cfRule>
  </conditionalFormatting>
  <conditionalFormatting sqref="C1674">
    <cfRule type="cellIs" dxfId="1073" priority="5020" stopIfTrue="1" operator="equal">
      <formula>"1 Modify"</formula>
    </cfRule>
  </conditionalFormatting>
  <conditionalFormatting sqref="C1674">
    <cfRule type="cellIs" dxfId="1072" priority="5021" stopIfTrue="1" operator="equal">
      <formula>"2 Add"</formula>
    </cfRule>
  </conditionalFormatting>
  <conditionalFormatting sqref="C1674">
    <cfRule type="cellIs" dxfId="1071" priority="5022" stopIfTrue="1" operator="equal">
      <formula>"3 Delete"</formula>
    </cfRule>
  </conditionalFormatting>
  <conditionalFormatting sqref="C1675">
    <cfRule type="cellIs" dxfId="1070" priority="5023" stopIfTrue="1" operator="equal">
      <formula>"1 Modify"</formula>
    </cfRule>
  </conditionalFormatting>
  <conditionalFormatting sqref="C1675">
    <cfRule type="cellIs" dxfId="1069" priority="5024" stopIfTrue="1" operator="equal">
      <formula>"2 Add"</formula>
    </cfRule>
  </conditionalFormatting>
  <conditionalFormatting sqref="C1675">
    <cfRule type="cellIs" dxfId="1068" priority="5025" stopIfTrue="1" operator="equal">
      <formula>"3 Delete"</formula>
    </cfRule>
  </conditionalFormatting>
  <conditionalFormatting sqref="C1676">
    <cfRule type="cellIs" dxfId="1067" priority="5026" stopIfTrue="1" operator="equal">
      <formula>"1 Modify"</formula>
    </cfRule>
  </conditionalFormatting>
  <conditionalFormatting sqref="C1676">
    <cfRule type="cellIs" dxfId="1066" priority="5027" stopIfTrue="1" operator="equal">
      <formula>"2 Add"</formula>
    </cfRule>
  </conditionalFormatting>
  <conditionalFormatting sqref="C1676">
    <cfRule type="cellIs" dxfId="1065" priority="5028" stopIfTrue="1" operator="equal">
      <formula>"3 Delete"</formula>
    </cfRule>
  </conditionalFormatting>
  <conditionalFormatting sqref="C1677">
    <cfRule type="cellIs" dxfId="1064" priority="5029" stopIfTrue="1" operator="equal">
      <formula>"1 Modify"</formula>
    </cfRule>
  </conditionalFormatting>
  <conditionalFormatting sqref="C1677">
    <cfRule type="cellIs" dxfId="1063" priority="5030" stopIfTrue="1" operator="equal">
      <formula>"2 Add"</formula>
    </cfRule>
  </conditionalFormatting>
  <conditionalFormatting sqref="C1677">
    <cfRule type="cellIs" dxfId="1062" priority="5031" stopIfTrue="1" operator="equal">
      <formula>"3 Delete"</formula>
    </cfRule>
  </conditionalFormatting>
  <conditionalFormatting sqref="C1678">
    <cfRule type="cellIs" dxfId="1061" priority="5032" stopIfTrue="1" operator="equal">
      <formula>"1 Modify"</formula>
    </cfRule>
  </conditionalFormatting>
  <conditionalFormatting sqref="C1678">
    <cfRule type="cellIs" dxfId="1060" priority="5033" stopIfTrue="1" operator="equal">
      <formula>"2 Add"</formula>
    </cfRule>
  </conditionalFormatting>
  <conditionalFormatting sqref="C1678">
    <cfRule type="cellIs" dxfId="1059" priority="5034" stopIfTrue="1" operator="equal">
      <formula>"3 Delete"</formula>
    </cfRule>
  </conditionalFormatting>
  <conditionalFormatting sqref="C1679">
    <cfRule type="cellIs" dxfId="1058" priority="5035" stopIfTrue="1" operator="equal">
      <formula>"1 Modify"</formula>
    </cfRule>
  </conditionalFormatting>
  <conditionalFormatting sqref="C1679">
    <cfRule type="cellIs" dxfId="1057" priority="5036" stopIfTrue="1" operator="equal">
      <formula>"2 Add"</formula>
    </cfRule>
  </conditionalFormatting>
  <conditionalFormatting sqref="C1679">
    <cfRule type="cellIs" dxfId="1056" priority="5037" stopIfTrue="1" operator="equal">
      <formula>"3 Delete"</formula>
    </cfRule>
  </conditionalFormatting>
  <conditionalFormatting sqref="C1680">
    <cfRule type="cellIs" dxfId="1055" priority="5038" stopIfTrue="1" operator="equal">
      <formula>"1 Modify"</formula>
    </cfRule>
  </conditionalFormatting>
  <conditionalFormatting sqref="C1680">
    <cfRule type="cellIs" dxfId="1054" priority="5039" stopIfTrue="1" operator="equal">
      <formula>"2 Add"</formula>
    </cfRule>
  </conditionalFormatting>
  <conditionalFormatting sqref="C1680">
    <cfRule type="cellIs" dxfId="1053" priority="5040" stopIfTrue="1" operator="equal">
      <formula>"3 Delete"</formula>
    </cfRule>
  </conditionalFormatting>
  <conditionalFormatting sqref="C1681">
    <cfRule type="cellIs" dxfId="1052" priority="5041" stopIfTrue="1" operator="equal">
      <formula>"1 Modify"</formula>
    </cfRule>
  </conditionalFormatting>
  <conditionalFormatting sqref="C1681">
    <cfRule type="cellIs" dxfId="1051" priority="5042" stopIfTrue="1" operator="equal">
      <formula>"2 Add"</formula>
    </cfRule>
  </conditionalFormatting>
  <conditionalFormatting sqref="C1681">
    <cfRule type="cellIs" dxfId="1050" priority="5043" stopIfTrue="1" operator="equal">
      <formula>"3 Delete"</formula>
    </cfRule>
  </conditionalFormatting>
  <conditionalFormatting sqref="C1682">
    <cfRule type="cellIs" dxfId="1049" priority="5044" stopIfTrue="1" operator="equal">
      <formula>"1 Modify"</formula>
    </cfRule>
  </conditionalFormatting>
  <conditionalFormatting sqref="C1682">
    <cfRule type="cellIs" dxfId="1048" priority="5045" stopIfTrue="1" operator="equal">
      <formula>"2 Add"</formula>
    </cfRule>
  </conditionalFormatting>
  <conditionalFormatting sqref="C1682">
    <cfRule type="cellIs" dxfId="1047" priority="5046" stopIfTrue="1" operator="equal">
      <formula>"3 Delete"</formula>
    </cfRule>
  </conditionalFormatting>
  <conditionalFormatting sqref="C1683">
    <cfRule type="cellIs" dxfId="1046" priority="5047" stopIfTrue="1" operator="equal">
      <formula>"1 Modify"</formula>
    </cfRule>
  </conditionalFormatting>
  <conditionalFormatting sqref="C1683">
    <cfRule type="cellIs" dxfId="1045" priority="5048" stopIfTrue="1" operator="equal">
      <formula>"2 Add"</formula>
    </cfRule>
  </conditionalFormatting>
  <conditionalFormatting sqref="C1683">
    <cfRule type="cellIs" dxfId="1044" priority="5049" stopIfTrue="1" operator="equal">
      <formula>"3 Delete"</formula>
    </cfRule>
  </conditionalFormatting>
  <conditionalFormatting sqref="C1684">
    <cfRule type="cellIs" dxfId="1043" priority="5050" stopIfTrue="1" operator="equal">
      <formula>"1 Modify"</formula>
    </cfRule>
  </conditionalFormatting>
  <conditionalFormatting sqref="C1684">
    <cfRule type="cellIs" dxfId="1042" priority="5051" stopIfTrue="1" operator="equal">
      <formula>"2 Add"</formula>
    </cfRule>
  </conditionalFormatting>
  <conditionalFormatting sqref="C1684">
    <cfRule type="cellIs" dxfId="1041" priority="5052" stopIfTrue="1" operator="equal">
      <formula>"3 Delete"</formula>
    </cfRule>
  </conditionalFormatting>
  <conditionalFormatting sqref="C1685">
    <cfRule type="cellIs" dxfId="1040" priority="5053" stopIfTrue="1" operator="equal">
      <formula>"1 Modify"</formula>
    </cfRule>
  </conditionalFormatting>
  <conditionalFormatting sqref="C1685">
    <cfRule type="cellIs" dxfId="1039" priority="5054" stopIfTrue="1" operator="equal">
      <formula>"2 Add"</formula>
    </cfRule>
  </conditionalFormatting>
  <conditionalFormatting sqref="C1685">
    <cfRule type="cellIs" dxfId="1038" priority="5055" stopIfTrue="1" operator="equal">
      <formula>"3 Delete"</formula>
    </cfRule>
  </conditionalFormatting>
  <conditionalFormatting sqref="C1686">
    <cfRule type="cellIs" dxfId="1037" priority="5056" stopIfTrue="1" operator="equal">
      <formula>"1 Modify"</formula>
    </cfRule>
  </conditionalFormatting>
  <conditionalFormatting sqref="C1686">
    <cfRule type="cellIs" dxfId="1036" priority="5057" stopIfTrue="1" operator="equal">
      <formula>"2 Add"</formula>
    </cfRule>
  </conditionalFormatting>
  <conditionalFormatting sqref="C1686">
    <cfRule type="cellIs" dxfId="1035" priority="5058" stopIfTrue="1" operator="equal">
      <formula>"3 Delete"</formula>
    </cfRule>
  </conditionalFormatting>
  <conditionalFormatting sqref="C1687">
    <cfRule type="cellIs" dxfId="1034" priority="5059" stopIfTrue="1" operator="equal">
      <formula>"1 Modify"</formula>
    </cfRule>
  </conditionalFormatting>
  <conditionalFormatting sqref="C1687">
    <cfRule type="cellIs" dxfId="1033" priority="5060" stopIfTrue="1" operator="equal">
      <formula>"2 Add"</formula>
    </cfRule>
  </conditionalFormatting>
  <conditionalFormatting sqref="C1687">
    <cfRule type="cellIs" dxfId="1032" priority="5061" stopIfTrue="1" operator="equal">
      <formula>"3 Delete"</formula>
    </cfRule>
  </conditionalFormatting>
  <conditionalFormatting sqref="C1688">
    <cfRule type="cellIs" dxfId="1031" priority="5062" stopIfTrue="1" operator="equal">
      <formula>"1 Modify"</formula>
    </cfRule>
  </conditionalFormatting>
  <conditionalFormatting sqref="C1688">
    <cfRule type="cellIs" dxfId="1030" priority="5063" stopIfTrue="1" operator="equal">
      <formula>"2 Add"</formula>
    </cfRule>
  </conditionalFormatting>
  <conditionalFormatting sqref="C1688">
    <cfRule type="cellIs" dxfId="1029" priority="5064" stopIfTrue="1" operator="equal">
      <formula>"3 Delete"</formula>
    </cfRule>
  </conditionalFormatting>
  <conditionalFormatting sqref="C1689">
    <cfRule type="cellIs" dxfId="1028" priority="5065" stopIfTrue="1" operator="equal">
      <formula>"1 Modify"</formula>
    </cfRule>
  </conditionalFormatting>
  <conditionalFormatting sqref="C1689">
    <cfRule type="cellIs" dxfId="1027" priority="5066" stopIfTrue="1" operator="equal">
      <formula>"2 Add"</formula>
    </cfRule>
  </conditionalFormatting>
  <conditionalFormatting sqref="C1689">
    <cfRule type="cellIs" dxfId="1026" priority="5067" stopIfTrue="1" operator="equal">
      <formula>"3 Delete"</formula>
    </cfRule>
  </conditionalFormatting>
  <conditionalFormatting sqref="C1690">
    <cfRule type="cellIs" dxfId="1025" priority="5068" stopIfTrue="1" operator="equal">
      <formula>"1 Modify"</formula>
    </cfRule>
  </conditionalFormatting>
  <conditionalFormatting sqref="C1690">
    <cfRule type="cellIs" dxfId="1024" priority="5069" stopIfTrue="1" operator="equal">
      <formula>"2 Add"</formula>
    </cfRule>
  </conditionalFormatting>
  <conditionalFormatting sqref="C1690">
    <cfRule type="cellIs" dxfId="1023" priority="5070" stopIfTrue="1" operator="equal">
      <formula>"3 Delete"</formula>
    </cfRule>
  </conditionalFormatting>
  <conditionalFormatting sqref="C1691">
    <cfRule type="cellIs" dxfId="1022" priority="5071" stopIfTrue="1" operator="equal">
      <formula>"1 Modify"</formula>
    </cfRule>
  </conditionalFormatting>
  <conditionalFormatting sqref="C1691">
    <cfRule type="cellIs" dxfId="1021" priority="5072" stopIfTrue="1" operator="equal">
      <formula>"2 Add"</formula>
    </cfRule>
  </conditionalFormatting>
  <conditionalFormatting sqref="C1691">
    <cfRule type="cellIs" dxfId="1020" priority="5073" stopIfTrue="1" operator="equal">
      <formula>"3 Delete"</formula>
    </cfRule>
  </conditionalFormatting>
  <conditionalFormatting sqref="C1692">
    <cfRule type="cellIs" dxfId="1019" priority="5074" stopIfTrue="1" operator="equal">
      <formula>"1 Modify"</formula>
    </cfRule>
  </conditionalFormatting>
  <conditionalFormatting sqref="C1692">
    <cfRule type="cellIs" dxfId="1018" priority="5075" stopIfTrue="1" operator="equal">
      <formula>"2 Add"</formula>
    </cfRule>
  </conditionalFormatting>
  <conditionalFormatting sqref="C1692">
    <cfRule type="cellIs" dxfId="1017" priority="5076" stopIfTrue="1" operator="equal">
      <formula>"3 Delete"</formula>
    </cfRule>
  </conditionalFormatting>
  <conditionalFormatting sqref="C1693">
    <cfRule type="cellIs" dxfId="1016" priority="5077" stopIfTrue="1" operator="equal">
      <formula>"1 Modify"</formula>
    </cfRule>
  </conditionalFormatting>
  <conditionalFormatting sqref="C1693">
    <cfRule type="cellIs" dxfId="1015" priority="5078" stopIfTrue="1" operator="equal">
      <formula>"2 Add"</formula>
    </cfRule>
  </conditionalFormatting>
  <conditionalFormatting sqref="C1693">
    <cfRule type="cellIs" dxfId="1014" priority="5079" stopIfTrue="1" operator="equal">
      <formula>"3 Delete"</formula>
    </cfRule>
  </conditionalFormatting>
  <conditionalFormatting sqref="C1694">
    <cfRule type="cellIs" dxfId="1013" priority="5080" stopIfTrue="1" operator="equal">
      <formula>"1 Modify"</formula>
    </cfRule>
  </conditionalFormatting>
  <conditionalFormatting sqref="C1694">
    <cfRule type="cellIs" dxfId="1012" priority="5081" stopIfTrue="1" operator="equal">
      <formula>"2 Add"</formula>
    </cfRule>
  </conditionalFormatting>
  <conditionalFormatting sqref="C1694">
    <cfRule type="cellIs" dxfId="1011" priority="5082" stopIfTrue="1" operator="equal">
      <formula>"3 Delete"</formula>
    </cfRule>
  </conditionalFormatting>
  <conditionalFormatting sqref="C1695">
    <cfRule type="cellIs" dxfId="1010" priority="5083" stopIfTrue="1" operator="equal">
      <formula>"1 Modify"</formula>
    </cfRule>
  </conditionalFormatting>
  <conditionalFormatting sqref="C1695">
    <cfRule type="cellIs" dxfId="1009" priority="5084" stopIfTrue="1" operator="equal">
      <formula>"2 Add"</formula>
    </cfRule>
  </conditionalFormatting>
  <conditionalFormatting sqref="C1695">
    <cfRule type="cellIs" dxfId="1008" priority="5085" stopIfTrue="1" operator="equal">
      <formula>"3 Delete"</formula>
    </cfRule>
  </conditionalFormatting>
  <conditionalFormatting sqref="C1696">
    <cfRule type="cellIs" dxfId="1007" priority="5086" stopIfTrue="1" operator="equal">
      <formula>"1 Modify"</formula>
    </cfRule>
  </conditionalFormatting>
  <conditionalFormatting sqref="C1696">
    <cfRule type="cellIs" dxfId="1006" priority="5087" stopIfTrue="1" operator="equal">
      <formula>"2 Add"</formula>
    </cfRule>
  </conditionalFormatting>
  <conditionalFormatting sqref="C1696">
    <cfRule type="cellIs" dxfId="1005" priority="5088" stopIfTrue="1" operator="equal">
      <formula>"3 Delete"</formula>
    </cfRule>
  </conditionalFormatting>
  <conditionalFormatting sqref="C1697">
    <cfRule type="cellIs" dxfId="1004" priority="5089" stopIfTrue="1" operator="equal">
      <formula>"1 Modify"</formula>
    </cfRule>
  </conditionalFormatting>
  <conditionalFormatting sqref="C1697">
    <cfRule type="cellIs" dxfId="1003" priority="5090" stopIfTrue="1" operator="equal">
      <formula>"2 Add"</formula>
    </cfRule>
  </conditionalFormatting>
  <conditionalFormatting sqref="C1697">
    <cfRule type="cellIs" dxfId="1002" priority="5091" stopIfTrue="1" operator="equal">
      <formula>"3 Delete"</formula>
    </cfRule>
  </conditionalFormatting>
  <conditionalFormatting sqref="C1698">
    <cfRule type="cellIs" dxfId="1001" priority="5092" stopIfTrue="1" operator="equal">
      <formula>"1 Modify"</formula>
    </cfRule>
  </conditionalFormatting>
  <conditionalFormatting sqref="C1698">
    <cfRule type="cellIs" dxfId="1000" priority="5093" stopIfTrue="1" operator="equal">
      <formula>"2 Add"</formula>
    </cfRule>
  </conditionalFormatting>
  <conditionalFormatting sqref="C1698">
    <cfRule type="cellIs" dxfId="999" priority="5094" stopIfTrue="1" operator="equal">
      <formula>"3 Delete"</formula>
    </cfRule>
  </conditionalFormatting>
  <conditionalFormatting sqref="C1699">
    <cfRule type="cellIs" dxfId="998" priority="5095" stopIfTrue="1" operator="equal">
      <formula>"1 Modify"</formula>
    </cfRule>
  </conditionalFormatting>
  <conditionalFormatting sqref="C1699">
    <cfRule type="cellIs" dxfId="997" priority="5096" stopIfTrue="1" operator="equal">
      <formula>"2 Add"</formula>
    </cfRule>
  </conditionalFormatting>
  <conditionalFormatting sqref="C1699">
    <cfRule type="cellIs" dxfId="996" priority="5097" stopIfTrue="1" operator="equal">
      <formula>"3 Delete"</formula>
    </cfRule>
  </conditionalFormatting>
  <conditionalFormatting sqref="C1700">
    <cfRule type="cellIs" dxfId="995" priority="5098" stopIfTrue="1" operator="equal">
      <formula>"1 Modify"</formula>
    </cfRule>
  </conditionalFormatting>
  <conditionalFormatting sqref="C1700">
    <cfRule type="cellIs" dxfId="994" priority="5099" stopIfTrue="1" operator="equal">
      <formula>"2 Add"</formula>
    </cfRule>
  </conditionalFormatting>
  <conditionalFormatting sqref="C1700">
    <cfRule type="cellIs" dxfId="993" priority="5100" stopIfTrue="1" operator="equal">
      <formula>"3 Delete"</formula>
    </cfRule>
  </conditionalFormatting>
  <conditionalFormatting sqref="C1701">
    <cfRule type="cellIs" dxfId="992" priority="5101" stopIfTrue="1" operator="equal">
      <formula>"1 Modify"</formula>
    </cfRule>
  </conditionalFormatting>
  <conditionalFormatting sqref="C1701">
    <cfRule type="cellIs" dxfId="991" priority="5102" stopIfTrue="1" operator="equal">
      <formula>"2 Add"</formula>
    </cfRule>
  </conditionalFormatting>
  <conditionalFormatting sqref="C1701">
    <cfRule type="cellIs" dxfId="990" priority="5103" stopIfTrue="1" operator="equal">
      <formula>"3 Delete"</formula>
    </cfRule>
  </conditionalFormatting>
  <conditionalFormatting sqref="C1702">
    <cfRule type="cellIs" dxfId="989" priority="5104" stopIfTrue="1" operator="equal">
      <formula>"1 Modify"</formula>
    </cfRule>
  </conditionalFormatting>
  <conditionalFormatting sqref="C1702">
    <cfRule type="cellIs" dxfId="988" priority="5105" stopIfTrue="1" operator="equal">
      <formula>"2 Add"</formula>
    </cfRule>
  </conditionalFormatting>
  <conditionalFormatting sqref="C1702">
    <cfRule type="cellIs" dxfId="987" priority="5106" stopIfTrue="1" operator="equal">
      <formula>"3 Delete"</formula>
    </cfRule>
  </conditionalFormatting>
  <conditionalFormatting sqref="C1703">
    <cfRule type="cellIs" dxfId="986" priority="5107" stopIfTrue="1" operator="equal">
      <formula>"1 Modify"</formula>
    </cfRule>
  </conditionalFormatting>
  <conditionalFormatting sqref="C1703">
    <cfRule type="cellIs" dxfId="985" priority="5108" stopIfTrue="1" operator="equal">
      <formula>"2 Add"</formula>
    </cfRule>
  </conditionalFormatting>
  <conditionalFormatting sqref="C1703">
    <cfRule type="cellIs" dxfId="984" priority="5109" stopIfTrue="1" operator="equal">
      <formula>"3 Delete"</formula>
    </cfRule>
  </conditionalFormatting>
  <conditionalFormatting sqref="C1704">
    <cfRule type="cellIs" dxfId="983" priority="5110" stopIfTrue="1" operator="equal">
      <formula>"1 Modify"</formula>
    </cfRule>
  </conditionalFormatting>
  <conditionalFormatting sqref="C1704">
    <cfRule type="cellIs" dxfId="982" priority="5111" stopIfTrue="1" operator="equal">
      <formula>"2 Add"</formula>
    </cfRule>
  </conditionalFormatting>
  <conditionalFormatting sqref="C1704">
    <cfRule type="cellIs" dxfId="981" priority="5112" stopIfTrue="1" operator="equal">
      <formula>"3 Delete"</formula>
    </cfRule>
  </conditionalFormatting>
  <conditionalFormatting sqref="C1705">
    <cfRule type="cellIs" dxfId="980" priority="5113" stopIfTrue="1" operator="equal">
      <formula>"1 Modify"</formula>
    </cfRule>
  </conditionalFormatting>
  <conditionalFormatting sqref="C1705">
    <cfRule type="cellIs" dxfId="979" priority="5114" stopIfTrue="1" operator="equal">
      <formula>"2 Add"</formula>
    </cfRule>
  </conditionalFormatting>
  <conditionalFormatting sqref="C1705">
    <cfRule type="cellIs" dxfId="978" priority="5115" stopIfTrue="1" operator="equal">
      <formula>"3 Delete"</formula>
    </cfRule>
  </conditionalFormatting>
  <conditionalFormatting sqref="C1706">
    <cfRule type="cellIs" dxfId="977" priority="5116" stopIfTrue="1" operator="equal">
      <formula>"1 Modify"</formula>
    </cfRule>
  </conditionalFormatting>
  <conditionalFormatting sqref="C1706">
    <cfRule type="cellIs" dxfId="976" priority="5117" stopIfTrue="1" operator="equal">
      <formula>"2 Add"</formula>
    </cfRule>
  </conditionalFormatting>
  <conditionalFormatting sqref="C1706">
    <cfRule type="cellIs" dxfId="975" priority="5118" stopIfTrue="1" operator="equal">
      <formula>"3 Delete"</formula>
    </cfRule>
  </conditionalFormatting>
  <conditionalFormatting sqref="C1707">
    <cfRule type="cellIs" dxfId="974" priority="5119" stopIfTrue="1" operator="equal">
      <formula>"1 Modify"</formula>
    </cfRule>
  </conditionalFormatting>
  <conditionalFormatting sqref="C1707">
    <cfRule type="cellIs" dxfId="973" priority="5120" stopIfTrue="1" operator="equal">
      <formula>"2 Add"</formula>
    </cfRule>
  </conditionalFormatting>
  <conditionalFormatting sqref="C1707">
    <cfRule type="cellIs" dxfId="972" priority="5121" stopIfTrue="1" operator="equal">
      <formula>"3 Delete"</formula>
    </cfRule>
  </conditionalFormatting>
  <conditionalFormatting sqref="C1708">
    <cfRule type="cellIs" dxfId="971" priority="5122" stopIfTrue="1" operator="equal">
      <formula>"1 Modify"</formula>
    </cfRule>
  </conditionalFormatting>
  <conditionalFormatting sqref="C1708">
    <cfRule type="cellIs" dxfId="970" priority="5123" stopIfTrue="1" operator="equal">
      <formula>"2 Add"</formula>
    </cfRule>
  </conditionalFormatting>
  <conditionalFormatting sqref="C1708">
    <cfRule type="cellIs" dxfId="969" priority="5124" stopIfTrue="1" operator="equal">
      <formula>"3 Delete"</formula>
    </cfRule>
  </conditionalFormatting>
  <conditionalFormatting sqref="C1709">
    <cfRule type="cellIs" dxfId="968" priority="5125" stopIfTrue="1" operator="equal">
      <formula>"1 Modify"</formula>
    </cfRule>
  </conditionalFormatting>
  <conditionalFormatting sqref="C1709">
    <cfRule type="cellIs" dxfId="967" priority="5126" stopIfTrue="1" operator="equal">
      <formula>"2 Add"</formula>
    </cfRule>
  </conditionalFormatting>
  <conditionalFormatting sqref="C1709">
    <cfRule type="cellIs" dxfId="966" priority="5127" stopIfTrue="1" operator="equal">
      <formula>"3 Delete"</formula>
    </cfRule>
  </conditionalFormatting>
  <conditionalFormatting sqref="C1710">
    <cfRule type="cellIs" dxfId="965" priority="5128" stopIfTrue="1" operator="equal">
      <formula>"1 Modify"</formula>
    </cfRule>
  </conditionalFormatting>
  <conditionalFormatting sqref="C1710">
    <cfRule type="cellIs" dxfId="964" priority="5129" stopIfTrue="1" operator="equal">
      <formula>"2 Add"</formula>
    </cfRule>
  </conditionalFormatting>
  <conditionalFormatting sqref="C1710">
    <cfRule type="cellIs" dxfId="963" priority="5130" stopIfTrue="1" operator="equal">
      <formula>"3 Delete"</formula>
    </cfRule>
  </conditionalFormatting>
  <conditionalFormatting sqref="C1711">
    <cfRule type="cellIs" dxfId="962" priority="5131" stopIfTrue="1" operator="equal">
      <formula>"1 Modify"</formula>
    </cfRule>
  </conditionalFormatting>
  <conditionalFormatting sqref="C1711">
    <cfRule type="cellIs" dxfId="961" priority="5132" stopIfTrue="1" operator="equal">
      <formula>"2 Add"</formula>
    </cfRule>
  </conditionalFormatting>
  <conditionalFormatting sqref="C1711">
    <cfRule type="cellIs" dxfId="960" priority="5133" stopIfTrue="1" operator="equal">
      <formula>"3 Delete"</formula>
    </cfRule>
  </conditionalFormatting>
  <conditionalFormatting sqref="C1712">
    <cfRule type="cellIs" dxfId="959" priority="5134" stopIfTrue="1" operator="equal">
      <formula>"1 Modify"</formula>
    </cfRule>
  </conditionalFormatting>
  <conditionalFormatting sqref="C1712">
    <cfRule type="cellIs" dxfId="958" priority="5135" stopIfTrue="1" operator="equal">
      <formula>"2 Add"</formula>
    </cfRule>
  </conditionalFormatting>
  <conditionalFormatting sqref="C1712">
    <cfRule type="cellIs" dxfId="957" priority="5136" stopIfTrue="1" operator="equal">
      <formula>"3 Delete"</formula>
    </cfRule>
  </conditionalFormatting>
  <conditionalFormatting sqref="C1713">
    <cfRule type="cellIs" dxfId="956" priority="5137" stopIfTrue="1" operator="equal">
      <formula>"1 Modify"</formula>
    </cfRule>
  </conditionalFormatting>
  <conditionalFormatting sqref="C1713">
    <cfRule type="cellIs" dxfId="955" priority="5138" stopIfTrue="1" operator="equal">
      <formula>"2 Add"</formula>
    </cfRule>
  </conditionalFormatting>
  <conditionalFormatting sqref="C1713">
    <cfRule type="cellIs" dxfId="954" priority="5139" stopIfTrue="1" operator="equal">
      <formula>"3 Delete"</formula>
    </cfRule>
  </conditionalFormatting>
  <conditionalFormatting sqref="C1714">
    <cfRule type="cellIs" dxfId="953" priority="5140" stopIfTrue="1" operator="equal">
      <formula>"1 Modify"</formula>
    </cfRule>
  </conditionalFormatting>
  <conditionalFormatting sqref="C1714">
    <cfRule type="cellIs" dxfId="952" priority="5141" stopIfTrue="1" operator="equal">
      <formula>"2 Add"</formula>
    </cfRule>
  </conditionalFormatting>
  <conditionalFormatting sqref="C1714">
    <cfRule type="cellIs" dxfId="951" priority="5142" stopIfTrue="1" operator="equal">
      <formula>"3 Delete"</formula>
    </cfRule>
  </conditionalFormatting>
  <conditionalFormatting sqref="C1715">
    <cfRule type="cellIs" dxfId="950" priority="5143" stopIfTrue="1" operator="equal">
      <formula>"1 Modify"</formula>
    </cfRule>
  </conditionalFormatting>
  <conditionalFormatting sqref="C1715">
    <cfRule type="cellIs" dxfId="949" priority="5144" stopIfTrue="1" operator="equal">
      <formula>"2 Add"</formula>
    </cfRule>
  </conditionalFormatting>
  <conditionalFormatting sqref="C1715">
    <cfRule type="cellIs" dxfId="948" priority="5145" stopIfTrue="1" operator="equal">
      <formula>"3 Delete"</formula>
    </cfRule>
  </conditionalFormatting>
  <conditionalFormatting sqref="C1716">
    <cfRule type="cellIs" dxfId="947" priority="5146" stopIfTrue="1" operator="equal">
      <formula>"1 Modify"</formula>
    </cfRule>
  </conditionalFormatting>
  <conditionalFormatting sqref="C1716">
    <cfRule type="cellIs" dxfId="946" priority="5147" stopIfTrue="1" operator="equal">
      <formula>"2 Add"</formula>
    </cfRule>
  </conditionalFormatting>
  <conditionalFormatting sqref="C1716">
    <cfRule type="cellIs" dxfId="945" priority="5148" stopIfTrue="1" operator="equal">
      <formula>"3 Delete"</formula>
    </cfRule>
  </conditionalFormatting>
  <conditionalFormatting sqref="C1717">
    <cfRule type="cellIs" dxfId="944" priority="5149" stopIfTrue="1" operator="equal">
      <formula>"1 Modify"</formula>
    </cfRule>
  </conditionalFormatting>
  <conditionalFormatting sqref="C1717">
    <cfRule type="cellIs" dxfId="943" priority="5150" stopIfTrue="1" operator="equal">
      <formula>"2 Add"</formula>
    </cfRule>
  </conditionalFormatting>
  <conditionalFormatting sqref="C1717">
    <cfRule type="cellIs" dxfId="942" priority="5151" stopIfTrue="1" operator="equal">
      <formula>"3 Delete"</formula>
    </cfRule>
  </conditionalFormatting>
  <conditionalFormatting sqref="C1718">
    <cfRule type="cellIs" dxfId="941" priority="5152" stopIfTrue="1" operator="equal">
      <formula>"1 Modify"</formula>
    </cfRule>
  </conditionalFormatting>
  <conditionalFormatting sqref="C1718">
    <cfRule type="cellIs" dxfId="940" priority="5153" stopIfTrue="1" operator="equal">
      <formula>"2 Add"</formula>
    </cfRule>
  </conditionalFormatting>
  <conditionalFormatting sqref="C1718">
    <cfRule type="cellIs" dxfId="939" priority="5154" stopIfTrue="1" operator="equal">
      <formula>"3 Delete"</formula>
    </cfRule>
  </conditionalFormatting>
  <conditionalFormatting sqref="C1719">
    <cfRule type="cellIs" dxfId="938" priority="5155" stopIfTrue="1" operator="equal">
      <formula>"1 Modify"</formula>
    </cfRule>
  </conditionalFormatting>
  <conditionalFormatting sqref="C1719">
    <cfRule type="cellIs" dxfId="937" priority="5156" stopIfTrue="1" operator="equal">
      <formula>"2 Add"</formula>
    </cfRule>
  </conditionalFormatting>
  <conditionalFormatting sqref="C1719">
    <cfRule type="cellIs" dxfId="936" priority="5157" stopIfTrue="1" operator="equal">
      <formula>"3 Delete"</formula>
    </cfRule>
  </conditionalFormatting>
  <conditionalFormatting sqref="C1720">
    <cfRule type="cellIs" dxfId="935" priority="5158" stopIfTrue="1" operator="equal">
      <formula>"1 Modify"</formula>
    </cfRule>
  </conditionalFormatting>
  <conditionalFormatting sqref="C1720">
    <cfRule type="cellIs" dxfId="934" priority="5159" stopIfTrue="1" operator="equal">
      <formula>"2 Add"</formula>
    </cfRule>
  </conditionalFormatting>
  <conditionalFormatting sqref="C1720">
    <cfRule type="cellIs" dxfId="933" priority="5160" stopIfTrue="1" operator="equal">
      <formula>"3 Delete"</formula>
    </cfRule>
  </conditionalFormatting>
  <conditionalFormatting sqref="C1721">
    <cfRule type="cellIs" dxfId="932" priority="5161" stopIfTrue="1" operator="equal">
      <formula>"1 Modify"</formula>
    </cfRule>
  </conditionalFormatting>
  <conditionalFormatting sqref="C1721">
    <cfRule type="cellIs" dxfId="931" priority="5162" stopIfTrue="1" operator="equal">
      <formula>"2 Add"</formula>
    </cfRule>
  </conditionalFormatting>
  <conditionalFormatting sqref="C1721">
    <cfRule type="cellIs" dxfId="930" priority="5163" stopIfTrue="1" operator="equal">
      <formula>"3 Delete"</formula>
    </cfRule>
  </conditionalFormatting>
  <conditionalFormatting sqref="C1722">
    <cfRule type="cellIs" dxfId="929" priority="5164" stopIfTrue="1" operator="equal">
      <formula>"1 Modify"</formula>
    </cfRule>
  </conditionalFormatting>
  <conditionalFormatting sqref="C1722">
    <cfRule type="cellIs" dxfId="928" priority="5165" stopIfTrue="1" operator="equal">
      <formula>"2 Add"</formula>
    </cfRule>
  </conditionalFormatting>
  <conditionalFormatting sqref="C1722">
    <cfRule type="cellIs" dxfId="927" priority="5166" stopIfTrue="1" operator="equal">
      <formula>"3 Delete"</formula>
    </cfRule>
  </conditionalFormatting>
  <conditionalFormatting sqref="C1723">
    <cfRule type="cellIs" dxfId="926" priority="5167" stopIfTrue="1" operator="equal">
      <formula>"1 Modify"</formula>
    </cfRule>
  </conditionalFormatting>
  <conditionalFormatting sqref="C1723">
    <cfRule type="cellIs" dxfId="925" priority="5168" stopIfTrue="1" operator="equal">
      <formula>"2 Add"</formula>
    </cfRule>
  </conditionalFormatting>
  <conditionalFormatting sqref="C1723">
    <cfRule type="cellIs" dxfId="924" priority="5169" stopIfTrue="1" operator="equal">
      <formula>"3 Delete"</formula>
    </cfRule>
  </conditionalFormatting>
  <conditionalFormatting sqref="C1724">
    <cfRule type="cellIs" dxfId="923" priority="5170" stopIfTrue="1" operator="equal">
      <formula>"1 Modify"</formula>
    </cfRule>
  </conditionalFormatting>
  <conditionalFormatting sqref="C1724">
    <cfRule type="cellIs" dxfId="922" priority="5171" stopIfTrue="1" operator="equal">
      <formula>"2 Add"</formula>
    </cfRule>
  </conditionalFormatting>
  <conditionalFormatting sqref="C1724">
    <cfRule type="cellIs" dxfId="921" priority="5172" stopIfTrue="1" operator="equal">
      <formula>"3 Delete"</formula>
    </cfRule>
  </conditionalFormatting>
  <conditionalFormatting sqref="C1725">
    <cfRule type="cellIs" dxfId="920" priority="5173" stopIfTrue="1" operator="equal">
      <formula>"1 Modify"</formula>
    </cfRule>
  </conditionalFormatting>
  <conditionalFormatting sqref="C1725">
    <cfRule type="cellIs" dxfId="919" priority="5174" stopIfTrue="1" operator="equal">
      <formula>"2 Add"</formula>
    </cfRule>
  </conditionalFormatting>
  <conditionalFormatting sqref="C1725">
    <cfRule type="cellIs" dxfId="918" priority="5175" stopIfTrue="1" operator="equal">
      <formula>"3 Delete"</formula>
    </cfRule>
  </conditionalFormatting>
  <conditionalFormatting sqref="C1726">
    <cfRule type="cellIs" dxfId="917" priority="5176" stopIfTrue="1" operator="equal">
      <formula>"1 Modify"</formula>
    </cfRule>
  </conditionalFormatting>
  <conditionalFormatting sqref="C1726">
    <cfRule type="cellIs" dxfId="916" priority="5177" stopIfTrue="1" operator="equal">
      <formula>"2 Add"</formula>
    </cfRule>
  </conditionalFormatting>
  <conditionalFormatting sqref="C1726">
    <cfRule type="cellIs" dxfId="915" priority="5178" stopIfTrue="1" operator="equal">
      <formula>"3 Delete"</formula>
    </cfRule>
  </conditionalFormatting>
  <conditionalFormatting sqref="C1727">
    <cfRule type="cellIs" dxfId="914" priority="5179" stopIfTrue="1" operator="equal">
      <formula>"1 Modify"</formula>
    </cfRule>
  </conditionalFormatting>
  <conditionalFormatting sqref="C1727">
    <cfRule type="cellIs" dxfId="913" priority="5180" stopIfTrue="1" operator="equal">
      <formula>"2 Add"</formula>
    </cfRule>
  </conditionalFormatting>
  <conditionalFormatting sqref="C1727">
    <cfRule type="cellIs" dxfId="912" priority="5181" stopIfTrue="1" operator="equal">
      <formula>"3 Delete"</formula>
    </cfRule>
  </conditionalFormatting>
  <conditionalFormatting sqref="C1728">
    <cfRule type="cellIs" dxfId="911" priority="5182" stopIfTrue="1" operator="equal">
      <formula>"1 Modify"</formula>
    </cfRule>
  </conditionalFormatting>
  <conditionalFormatting sqref="C1728">
    <cfRule type="cellIs" dxfId="910" priority="5183" stopIfTrue="1" operator="equal">
      <formula>"2 Add"</formula>
    </cfRule>
  </conditionalFormatting>
  <conditionalFormatting sqref="C1728">
    <cfRule type="cellIs" dxfId="909" priority="5184" stopIfTrue="1" operator="equal">
      <formula>"3 Delete"</formula>
    </cfRule>
  </conditionalFormatting>
  <conditionalFormatting sqref="C1729">
    <cfRule type="cellIs" dxfId="908" priority="5185" stopIfTrue="1" operator="equal">
      <formula>"1 Modify"</formula>
    </cfRule>
  </conditionalFormatting>
  <conditionalFormatting sqref="C1729">
    <cfRule type="cellIs" dxfId="907" priority="5186" stopIfTrue="1" operator="equal">
      <formula>"2 Add"</formula>
    </cfRule>
  </conditionalFormatting>
  <conditionalFormatting sqref="C1729">
    <cfRule type="cellIs" dxfId="906" priority="5187" stopIfTrue="1" operator="equal">
      <formula>"3 Delete"</formula>
    </cfRule>
  </conditionalFormatting>
  <conditionalFormatting sqref="C1730">
    <cfRule type="cellIs" dxfId="905" priority="5188" stopIfTrue="1" operator="equal">
      <formula>"1 Modify"</formula>
    </cfRule>
  </conditionalFormatting>
  <conditionalFormatting sqref="C1730">
    <cfRule type="cellIs" dxfId="904" priority="5189" stopIfTrue="1" operator="equal">
      <formula>"2 Add"</formula>
    </cfRule>
  </conditionalFormatting>
  <conditionalFormatting sqref="C1730">
    <cfRule type="cellIs" dxfId="903" priority="5190" stopIfTrue="1" operator="equal">
      <formula>"3 Delete"</formula>
    </cfRule>
  </conditionalFormatting>
  <conditionalFormatting sqref="C1731">
    <cfRule type="cellIs" dxfId="902" priority="5191" stopIfTrue="1" operator="equal">
      <formula>"1 Modify"</formula>
    </cfRule>
  </conditionalFormatting>
  <conditionalFormatting sqref="C1731">
    <cfRule type="cellIs" dxfId="901" priority="5192" stopIfTrue="1" operator="equal">
      <formula>"2 Add"</formula>
    </cfRule>
  </conditionalFormatting>
  <conditionalFormatting sqref="C1731">
    <cfRule type="cellIs" dxfId="900" priority="5193" stopIfTrue="1" operator="equal">
      <formula>"3 Delete"</formula>
    </cfRule>
  </conditionalFormatting>
  <conditionalFormatting sqref="C1732">
    <cfRule type="cellIs" dxfId="899" priority="5194" stopIfTrue="1" operator="equal">
      <formula>"1 Modify"</formula>
    </cfRule>
  </conditionalFormatting>
  <conditionalFormatting sqref="C1732">
    <cfRule type="cellIs" dxfId="898" priority="5195" stopIfTrue="1" operator="equal">
      <formula>"2 Add"</formula>
    </cfRule>
  </conditionalFormatting>
  <conditionalFormatting sqref="C1732">
    <cfRule type="cellIs" dxfId="897" priority="5196" stopIfTrue="1" operator="equal">
      <formula>"3 Delete"</formula>
    </cfRule>
  </conditionalFormatting>
  <conditionalFormatting sqref="C1733">
    <cfRule type="cellIs" dxfId="896" priority="5197" stopIfTrue="1" operator="equal">
      <formula>"1 Modify"</formula>
    </cfRule>
  </conditionalFormatting>
  <conditionalFormatting sqref="C1733">
    <cfRule type="cellIs" dxfId="895" priority="5198" stopIfTrue="1" operator="equal">
      <formula>"2 Add"</formula>
    </cfRule>
  </conditionalFormatting>
  <conditionalFormatting sqref="C1733">
    <cfRule type="cellIs" dxfId="894" priority="5199" stopIfTrue="1" operator="equal">
      <formula>"3 Delete"</formula>
    </cfRule>
  </conditionalFormatting>
  <conditionalFormatting sqref="C1734">
    <cfRule type="cellIs" dxfId="893" priority="5200" stopIfTrue="1" operator="equal">
      <formula>"1 Modify"</formula>
    </cfRule>
  </conditionalFormatting>
  <conditionalFormatting sqref="C1734">
    <cfRule type="cellIs" dxfId="892" priority="5201" stopIfTrue="1" operator="equal">
      <formula>"2 Add"</formula>
    </cfRule>
  </conditionalFormatting>
  <conditionalFormatting sqref="C1734">
    <cfRule type="cellIs" dxfId="891" priority="5202" stopIfTrue="1" operator="equal">
      <formula>"3 Delete"</formula>
    </cfRule>
  </conditionalFormatting>
  <conditionalFormatting sqref="C1735">
    <cfRule type="cellIs" dxfId="890" priority="5203" stopIfTrue="1" operator="equal">
      <formula>"1 Modify"</formula>
    </cfRule>
  </conditionalFormatting>
  <conditionalFormatting sqref="C1735">
    <cfRule type="cellIs" dxfId="889" priority="5204" stopIfTrue="1" operator="equal">
      <formula>"2 Add"</formula>
    </cfRule>
  </conditionalFormatting>
  <conditionalFormatting sqref="C1735">
    <cfRule type="cellIs" dxfId="888" priority="5205" stopIfTrue="1" operator="equal">
      <formula>"3 Delete"</formula>
    </cfRule>
  </conditionalFormatting>
  <conditionalFormatting sqref="C1736">
    <cfRule type="cellIs" dxfId="887" priority="5206" stopIfTrue="1" operator="equal">
      <formula>"1 Modify"</formula>
    </cfRule>
  </conditionalFormatting>
  <conditionalFormatting sqref="C1736">
    <cfRule type="cellIs" dxfId="886" priority="5207" stopIfTrue="1" operator="equal">
      <formula>"2 Add"</formula>
    </cfRule>
  </conditionalFormatting>
  <conditionalFormatting sqref="C1736">
    <cfRule type="cellIs" dxfId="885" priority="5208" stopIfTrue="1" operator="equal">
      <formula>"3 Delete"</formula>
    </cfRule>
  </conditionalFormatting>
  <conditionalFormatting sqref="C1737">
    <cfRule type="cellIs" dxfId="884" priority="5209" stopIfTrue="1" operator="equal">
      <formula>"1 Modify"</formula>
    </cfRule>
  </conditionalFormatting>
  <conditionalFormatting sqref="C1737">
    <cfRule type="cellIs" dxfId="883" priority="5210" stopIfTrue="1" operator="equal">
      <formula>"2 Add"</formula>
    </cfRule>
  </conditionalFormatting>
  <conditionalFormatting sqref="C1737">
    <cfRule type="cellIs" dxfId="882" priority="5211" stopIfTrue="1" operator="equal">
      <formula>"3 Delete"</formula>
    </cfRule>
  </conditionalFormatting>
  <conditionalFormatting sqref="C1738">
    <cfRule type="cellIs" dxfId="881" priority="5212" stopIfTrue="1" operator="equal">
      <formula>"1 Modify"</formula>
    </cfRule>
  </conditionalFormatting>
  <conditionalFormatting sqref="C1738">
    <cfRule type="cellIs" dxfId="880" priority="5213" stopIfTrue="1" operator="equal">
      <formula>"2 Add"</formula>
    </cfRule>
  </conditionalFormatting>
  <conditionalFormatting sqref="C1738">
    <cfRule type="cellIs" dxfId="879" priority="5214" stopIfTrue="1" operator="equal">
      <formula>"3 Delete"</formula>
    </cfRule>
  </conditionalFormatting>
  <conditionalFormatting sqref="C1739">
    <cfRule type="cellIs" dxfId="878" priority="5215" stopIfTrue="1" operator="equal">
      <formula>"1 Modify"</formula>
    </cfRule>
  </conditionalFormatting>
  <conditionalFormatting sqref="C1739">
    <cfRule type="cellIs" dxfId="877" priority="5216" stopIfTrue="1" operator="equal">
      <formula>"2 Add"</formula>
    </cfRule>
  </conditionalFormatting>
  <conditionalFormatting sqref="C1739">
    <cfRule type="cellIs" dxfId="876" priority="5217" stopIfTrue="1" operator="equal">
      <formula>"3 Delete"</formula>
    </cfRule>
  </conditionalFormatting>
  <conditionalFormatting sqref="C1740">
    <cfRule type="cellIs" dxfId="875" priority="5218" stopIfTrue="1" operator="equal">
      <formula>"1 Modify"</formula>
    </cfRule>
  </conditionalFormatting>
  <conditionalFormatting sqref="C1740">
    <cfRule type="cellIs" dxfId="874" priority="5219" stopIfTrue="1" operator="equal">
      <formula>"2 Add"</formula>
    </cfRule>
  </conditionalFormatting>
  <conditionalFormatting sqref="C1740">
    <cfRule type="cellIs" dxfId="873" priority="5220" stopIfTrue="1" operator="equal">
      <formula>"3 Delete"</formula>
    </cfRule>
  </conditionalFormatting>
  <conditionalFormatting sqref="C1741">
    <cfRule type="cellIs" dxfId="872" priority="5221" stopIfTrue="1" operator="equal">
      <formula>"1 Modify"</formula>
    </cfRule>
  </conditionalFormatting>
  <conditionalFormatting sqref="C1741">
    <cfRule type="cellIs" dxfId="871" priority="5222" stopIfTrue="1" operator="equal">
      <formula>"2 Add"</formula>
    </cfRule>
  </conditionalFormatting>
  <conditionalFormatting sqref="C1741">
    <cfRule type="cellIs" dxfId="870" priority="5223" stopIfTrue="1" operator="equal">
      <formula>"3 Delete"</formula>
    </cfRule>
  </conditionalFormatting>
  <conditionalFormatting sqref="C1742">
    <cfRule type="cellIs" dxfId="869" priority="5224" stopIfTrue="1" operator="equal">
      <formula>"1 Modify"</formula>
    </cfRule>
  </conditionalFormatting>
  <conditionalFormatting sqref="C1742">
    <cfRule type="cellIs" dxfId="868" priority="5225" stopIfTrue="1" operator="equal">
      <formula>"2 Add"</formula>
    </cfRule>
  </conditionalFormatting>
  <conditionalFormatting sqref="C1742">
    <cfRule type="cellIs" dxfId="867" priority="5226" stopIfTrue="1" operator="equal">
      <formula>"3 Delete"</formula>
    </cfRule>
  </conditionalFormatting>
  <conditionalFormatting sqref="C1743">
    <cfRule type="cellIs" dxfId="866" priority="5227" stopIfTrue="1" operator="equal">
      <formula>"1 Modify"</formula>
    </cfRule>
  </conditionalFormatting>
  <conditionalFormatting sqref="C1743">
    <cfRule type="cellIs" dxfId="865" priority="5228" stopIfTrue="1" operator="equal">
      <formula>"2 Add"</formula>
    </cfRule>
  </conditionalFormatting>
  <conditionalFormatting sqref="C1743">
    <cfRule type="cellIs" dxfId="864" priority="5229" stopIfTrue="1" operator="equal">
      <formula>"3 Delete"</formula>
    </cfRule>
  </conditionalFormatting>
  <conditionalFormatting sqref="C1744">
    <cfRule type="cellIs" dxfId="863" priority="5230" stopIfTrue="1" operator="equal">
      <formula>"1 Modify"</formula>
    </cfRule>
  </conditionalFormatting>
  <conditionalFormatting sqref="C1744">
    <cfRule type="cellIs" dxfId="862" priority="5231" stopIfTrue="1" operator="equal">
      <formula>"2 Add"</formula>
    </cfRule>
  </conditionalFormatting>
  <conditionalFormatting sqref="C1744">
    <cfRule type="cellIs" dxfId="861" priority="5232" stopIfTrue="1" operator="equal">
      <formula>"3 Delete"</formula>
    </cfRule>
  </conditionalFormatting>
  <conditionalFormatting sqref="C1745">
    <cfRule type="cellIs" dxfId="860" priority="5233" stopIfTrue="1" operator="equal">
      <formula>"1 Modify"</formula>
    </cfRule>
  </conditionalFormatting>
  <conditionalFormatting sqref="C1745">
    <cfRule type="cellIs" dxfId="859" priority="5234" stopIfTrue="1" operator="equal">
      <formula>"2 Add"</formula>
    </cfRule>
  </conditionalFormatting>
  <conditionalFormatting sqref="C1745">
    <cfRule type="cellIs" dxfId="858" priority="5235" stopIfTrue="1" operator="equal">
      <formula>"3 Delete"</formula>
    </cfRule>
  </conditionalFormatting>
  <conditionalFormatting sqref="C1746">
    <cfRule type="cellIs" dxfId="857" priority="5236" stopIfTrue="1" operator="equal">
      <formula>"1 Modify"</formula>
    </cfRule>
  </conditionalFormatting>
  <conditionalFormatting sqref="C1746">
    <cfRule type="cellIs" dxfId="856" priority="5237" stopIfTrue="1" operator="equal">
      <formula>"2 Add"</formula>
    </cfRule>
  </conditionalFormatting>
  <conditionalFormatting sqref="C1746">
    <cfRule type="cellIs" dxfId="855" priority="5238" stopIfTrue="1" operator="equal">
      <formula>"3 Delete"</formula>
    </cfRule>
  </conditionalFormatting>
  <conditionalFormatting sqref="C1747">
    <cfRule type="cellIs" dxfId="854" priority="5239" stopIfTrue="1" operator="equal">
      <formula>"1 Modify"</formula>
    </cfRule>
  </conditionalFormatting>
  <conditionalFormatting sqref="C1747">
    <cfRule type="cellIs" dxfId="853" priority="5240" stopIfTrue="1" operator="equal">
      <formula>"2 Add"</formula>
    </cfRule>
  </conditionalFormatting>
  <conditionalFormatting sqref="C1747">
    <cfRule type="cellIs" dxfId="852" priority="5241" stopIfTrue="1" operator="equal">
      <formula>"3 Delete"</formula>
    </cfRule>
  </conditionalFormatting>
  <conditionalFormatting sqref="C1748">
    <cfRule type="cellIs" dxfId="851" priority="5242" stopIfTrue="1" operator="equal">
      <formula>"1 Modify"</formula>
    </cfRule>
  </conditionalFormatting>
  <conditionalFormatting sqref="C1748">
    <cfRule type="cellIs" dxfId="850" priority="5243" stopIfTrue="1" operator="equal">
      <formula>"2 Add"</formula>
    </cfRule>
  </conditionalFormatting>
  <conditionalFormatting sqref="C1748">
    <cfRule type="cellIs" dxfId="849" priority="5244" stopIfTrue="1" operator="equal">
      <formula>"3 Delete"</formula>
    </cfRule>
  </conditionalFormatting>
  <conditionalFormatting sqref="C1749">
    <cfRule type="cellIs" dxfId="848" priority="5245" stopIfTrue="1" operator="equal">
      <formula>"1 Modify"</formula>
    </cfRule>
  </conditionalFormatting>
  <conditionalFormatting sqref="C1749">
    <cfRule type="cellIs" dxfId="847" priority="5246" stopIfTrue="1" operator="equal">
      <formula>"2 Add"</formula>
    </cfRule>
  </conditionalFormatting>
  <conditionalFormatting sqref="C1749">
    <cfRule type="cellIs" dxfId="846" priority="5247" stopIfTrue="1" operator="equal">
      <formula>"3 Delete"</formula>
    </cfRule>
  </conditionalFormatting>
  <conditionalFormatting sqref="C1750">
    <cfRule type="cellIs" dxfId="845" priority="5248" stopIfTrue="1" operator="equal">
      <formula>"1 Modify"</formula>
    </cfRule>
  </conditionalFormatting>
  <conditionalFormatting sqref="C1750">
    <cfRule type="cellIs" dxfId="844" priority="5249" stopIfTrue="1" operator="equal">
      <formula>"2 Add"</formula>
    </cfRule>
  </conditionalFormatting>
  <conditionalFormatting sqref="C1750">
    <cfRule type="cellIs" dxfId="843" priority="5250" stopIfTrue="1" operator="equal">
      <formula>"3 Delete"</formula>
    </cfRule>
  </conditionalFormatting>
  <conditionalFormatting sqref="C1751">
    <cfRule type="cellIs" dxfId="842" priority="5251" stopIfTrue="1" operator="equal">
      <formula>"1 Modify"</formula>
    </cfRule>
  </conditionalFormatting>
  <conditionalFormatting sqref="C1751">
    <cfRule type="cellIs" dxfId="841" priority="5252" stopIfTrue="1" operator="equal">
      <formula>"2 Add"</formula>
    </cfRule>
  </conditionalFormatting>
  <conditionalFormatting sqref="C1751">
    <cfRule type="cellIs" dxfId="840" priority="5253" stopIfTrue="1" operator="equal">
      <formula>"3 Delete"</formula>
    </cfRule>
  </conditionalFormatting>
  <conditionalFormatting sqref="C1752">
    <cfRule type="cellIs" dxfId="839" priority="5254" stopIfTrue="1" operator="equal">
      <formula>"1 Modify"</formula>
    </cfRule>
  </conditionalFormatting>
  <conditionalFormatting sqref="C1752">
    <cfRule type="cellIs" dxfId="838" priority="5255" stopIfTrue="1" operator="equal">
      <formula>"2 Add"</formula>
    </cfRule>
  </conditionalFormatting>
  <conditionalFormatting sqref="C1752">
    <cfRule type="cellIs" dxfId="837" priority="5256" stopIfTrue="1" operator="equal">
      <formula>"3 Delete"</formula>
    </cfRule>
  </conditionalFormatting>
  <conditionalFormatting sqref="C1753">
    <cfRule type="cellIs" dxfId="836" priority="5257" stopIfTrue="1" operator="equal">
      <formula>"1 Modify"</formula>
    </cfRule>
  </conditionalFormatting>
  <conditionalFormatting sqref="C1753">
    <cfRule type="cellIs" dxfId="835" priority="5258" stopIfTrue="1" operator="equal">
      <formula>"2 Add"</formula>
    </cfRule>
  </conditionalFormatting>
  <conditionalFormatting sqref="C1753">
    <cfRule type="cellIs" dxfId="834" priority="5259" stopIfTrue="1" operator="equal">
      <formula>"3 Delete"</formula>
    </cfRule>
  </conditionalFormatting>
  <conditionalFormatting sqref="C1754">
    <cfRule type="cellIs" dxfId="833" priority="5260" stopIfTrue="1" operator="equal">
      <formula>"1 Modify"</formula>
    </cfRule>
  </conditionalFormatting>
  <conditionalFormatting sqref="C1754">
    <cfRule type="cellIs" dxfId="832" priority="5261" stopIfTrue="1" operator="equal">
      <formula>"2 Add"</formula>
    </cfRule>
  </conditionalFormatting>
  <conditionalFormatting sqref="C1754">
    <cfRule type="cellIs" dxfId="831" priority="5262" stopIfTrue="1" operator="equal">
      <formula>"3 Delete"</formula>
    </cfRule>
  </conditionalFormatting>
  <conditionalFormatting sqref="C1755">
    <cfRule type="cellIs" dxfId="830" priority="5263" stopIfTrue="1" operator="equal">
      <formula>"1 Modify"</formula>
    </cfRule>
  </conditionalFormatting>
  <conditionalFormatting sqref="C1755">
    <cfRule type="cellIs" dxfId="829" priority="5264" stopIfTrue="1" operator="equal">
      <formula>"2 Add"</formula>
    </cfRule>
  </conditionalFormatting>
  <conditionalFormatting sqref="C1755">
    <cfRule type="cellIs" dxfId="828" priority="5265" stopIfTrue="1" operator="equal">
      <formula>"3 Delete"</formula>
    </cfRule>
  </conditionalFormatting>
  <conditionalFormatting sqref="C1756">
    <cfRule type="cellIs" dxfId="827" priority="5266" stopIfTrue="1" operator="equal">
      <formula>"1 Modify"</formula>
    </cfRule>
  </conditionalFormatting>
  <conditionalFormatting sqref="C1756">
    <cfRule type="cellIs" dxfId="826" priority="5267" stopIfTrue="1" operator="equal">
      <formula>"2 Add"</formula>
    </cfRule>
  </conditionalFormatting>
  <conditionalFormatting sqref="C1756">
    <cfRule type="cellIs" dxfId="825" priority="5268" stopIfTrue="1" operator="equal">
      <formula>"3 Delete"</formula>
    </cfRule>
  </conditionalFormatting>
  <conditionalFormatting sqref="C1757">
    <cfRule type="cellIs" dxfId="824" priority="5269" stopIfTrue="1" operator="equal">
      <formula>"1 Modify"</formula>
    </cfRule>
  </conditionalFormatting>
  <conditionalFormatting sqref="C1757">
    <cfRule type="cellIs" dxfId="823" priority="5270" stopIfTrue="1" operator="equal">
      <formula>"2 Add"</formula>
    </cfRule>
  </conditionalFormatting>
  <conditionalFormatting sqref="C1757">
    <cfRule type="cellIs" dxfId="822" priority="5271" stopIfTrue="1" operator="equal">
      <formula>"3 Delete"</formula>
    </cfRule>
  </conditionalFormatting>
  <conditionalFormatting sqref="C1758">
    <cfRule type="cellIs" dxfId="821" priority="5272" stopIfTrue="1" operator="equal">
      <formula>"1 Modify"</formula>
    </cfRule>
  </conditionalFormatting>
  <conditionalFormatting sqref="C1758">
    <cfRule type="cellIs" dxfId="820" priority="5273" stopIfTrue="1" operator="equal">
      <formula>"2 Add"</formula>
    </cfRule>
  </conditionalFormatting>
  <conditionalFormatting sqref="C1758">
    <cfRule type="cellIs" dxfId="819" priority="5274" stopIfTrue="1" operator="equal">
      <formula>"3 Delete"</formula>
    </cfRule>
  </conditionalFormatting>
  <conditionalFormatting sqref="C1759">
    <cfRule type="cellIs" dxfId="818" priority="5275" stopIfTrue="1" operator="equal">
      <formula>"1 Modify"</formula>
    </cfRule>
  </conditionalFormatting>
  <conditionalFormatting sqref="C1759">
    <cfRule type="cellIs" dxfId="817" priority="5276" stopIfTrue="1" operator="equal">
      <formula>"2 Add"</formula>
    </cfRule>
  </conditionalFormatting>
  <conditionalFormatting sqref="C1759">
    <cfRule type="cellIs" dxfId="816" priority="5277" stopIfTrue="1" operator="equal">
      <formula>"3 Delete"</formula>
    </cfRule>
  </conditionalFormatting>
  <conditionalFormatting sqref="C1760">
    <cfRule type="cellIs" dxfId="815" priority="5278" stopIfTrue="1" operator="equal">
      <formula>"1 Modify"</formula>
    </cfRule>
  </conditionalFormatting>
  <conditionalFormatting sqref="C1760">
    <cfRule type="cellIs" dxfId="814" priority="5279" stopIfTrue="1" operator="equal">
      <formula>"2 Add"</formula>
    </cfRule>
  </conditionalFormatting>
  <conditionalFormatting sqref="C1760">
    <cfRule type="cellIs" dxfId="813" priority="5280" stopIfTrue="1" operator="equal">
      <formula>"3 Delete"</formula>
    </cfRule>
  </conditionalFormatting>
  <conditionalFormatting sqref="C1761">
    <cfRule type="cellIs" dxfId="812" priority="5281" stopIfTrue="1" operator="equal">
      <formula>"1 Modify"</formula>
    </cfRule>
  </conditionalFormatting>
  <conditionalFormatting sqref="C1761">
    <cfRule type="cellIs" dxfId="811" priority="5282" stopIfTrue="1" operator="equal">
      <formula>"2 Add"</formula>
    </cfRule>
  </conditionalFormatting>
  <conditionalFormatting sqref="C1761">
    <cfRule type="cellIs" dxfId="810" priority="5283" stopIfTrue="1" operator="equal">
      <formula>"3 Delete"</formula>
    </cfRule>
  </conditionalFormatting>
  <conditionalFormatting sqref="C1762">
    <cfRule type="cellIs" dxfId="809" priority="5284" stopIfTrue="1" operator="equal">
      <formula>"1 Modify"</formula>
    </cfRule>
  </conditionalFormatting>
  <conditionalFormatting sqref="C1762">
    <cfRule type="cellIs" dxfId="808" priority="5285" stopIfTrue="1" operator="equal">
      <formula>"2 Add"</formula>
    </cfRule>
  </conditionalFormatting>
  <conditionalFormatting sqref="C1762">
    <cfRule type="cellIs" dxfId="807" priority="5286" stopIfTrue="1" operator="equal">
      <formula>"3 Delete"</formula>
    </cfRule>
  </conditionalFormatting>
  <conditionalFormatting sqref="C1763">
    <cfRule type="cellIs" dxfId="806" priority="5287" stopIfTrue="1" operator="equal">
      <formula>"1 Modify"</formula>
    </cfRule>
  </conditionalFormatting>
  <conditionalFormatting sqref="C1763">
    <cfRule type="cellIs" dxfId="805" priority="5288" stopIfTrue="1" operator="equal">
      <formula>"2 Add"</formula>
    </cfRule>
  </conditionalFormatting>
  <conditionalFormatting sqref="C1763">
    <cfRule type="cellIs" dxfId="804" priority="5289" stopIfTrue="1" operator="equal">
      <formula>"3 Delete"</formula>
    </cfRule>
  </conditionalFormatting>
  <conditionalFormatting sqref="C1764">
    <cfRule type="cellIs" dxfId="803" priority="5290" stopIfTrue="1" operator="equal">
      <formula>"1 Modify"</formula>
    </cfRule>
  </conditionalFormatting>
  <conditionalFormatting sqref="C1764">
    <cfRule type="cellIs" dxfId="802" priority="5291" stopIfTrue="1" operator="equal">
      <formula>"2 Add"</formula>
    </cfRule>
  </conditionalFormatting>
  <conditionalFormatting sqref="C1764">
    <cfRule type="cellIs" dxfId="801" priority="5292" stopIfTrue="1" operator="equal">
      <formula>"3 Delete"</formula>
    </cfRule>
  </conditionalFormatting>
  <conditionalFormatting sqref="C1765">
    <cfRule type="cellIs" dxfId="800" priority="5293" stopIfTrue="1" operator="equal">
      <formula>"1 Modify"</formula>
    </cfRule>
  </conditionalFormatting>
  <conditionalFormatting sqref="C1765">
    <cfRule type="cellIs" dxfId="799" priority="5294" stopIfTrue="1" operator="equal">
      <formula>"2 Add"</formula>
    </cfRule>
  </conditionalFormatting>
  <conditionalFormatting sqref="C1765">
    <cfRule type="cellIs" dxfId="798" priority="5295" stopIfTrue="1" operator="equal">
      <formula>"3 Delete"</formula>
    </cfRule>
  </conditionalFormatting>
  <conditionalFormatting sqref="C1766">
    <cfRule type="cellIs" dxfId="797" priority="5296" stopIfTrue="1" operator="equal">
      <formula>"1 Modify"</formula>
    </cfRule>
  </conditionalFormatting>
  <conditionalFormatting sqref="C1766">
    <cfRule type="cellIs" dxfId="796" priority="5297" stopIfTrue="1" operator="equal">
      <formula>"2 Add"</formula>
    </cfRule>
  </conditionalFormatting>
  <conditionalFormatting sqref="C1766">
    <cfRule type="cellIs" dxfId="795" priority="5298" stopIfTrue="1" operator="equal">
      <formula>"3 Delete"</formula>
    </cfRule>
  </conditionalFormatting>
  <conditionalFormatting sqref="C1767">
    <cfRule type="cellIs" dxfId="794" priority="5299" stopIfTrue="1" operator="equal">
      <formula>"1 Modify"</formula>
    </cfRule>
  </conditionalFormatting>
  <conditionalFormatting sqref="C1767">
    <cfRule type="cellIs" dxfId="793" priority="5300" stopIfTrue="1" operator="equal">
      <formula>"2 Add"</formula>
    </cfRule>
  </conditionalFormatting>
  <conditionalFormatting sqref="C1767">
    <cfRule type="cellIs" dxfId="792" priority="5301" stopIfTrue="1" operator="equal">
      <formula>"3 Delete"</formula>
    </cfRule>
  </conditionalFormatting>
  <conditionalFormatting sqref="C1768">
    <cfRule type="cellIs" dxfId="791" priority="5302" stopIfTrue="1" operator="equal">
      <formula>"1 Modify"</formula>
    </cfRule>
  </conditionalFormatting>
  <conditionalFormatting sqref="C1768">
    <cfRule type="cellIs" dxfId="790" priority="5303" stopIfTrue="1" operator="equal">
      <formula>"2 Add"</formula>
    </cfRule>
  </conditionalFormatting>
  <conditionalFormatting sqref="C1768">
    <cfRule type="cellIs" dxfId="789" priority="5304" stopIfTrue="1" operator="equal">
      <formula>"3 Delete"</formula>
    </cfRule>
  </conditionalFormatting>
  <conditionalFormatting sqref="C1769">
    <cfRule type="cellIs" dxfId="788" priority="5305" stopIfTrue="1" operator="equal">
      <formula>"1 Modify"</formula>
    </cfRule>
  </conditionalFormatting>
  <conditionalFormatting sqref="C1769">
    <cfRule type="cellIs" dxfId="787" priority="5306" stopIfTrue="1" operator="equal">
      <formula>"2 Add"</formula>
    </cfRule>
  </conditionalFormatting>
  <conditionalFormatting sqref="C1769">
    <cfRule type="cellIs" dxfId="786" priority="5307" stopIfTrue="1" operator="equal">
      <formula>"3 Delete"</formula>
    </cfRule>
  </conditionalFormatting>
  <conditionalFormatting sqref="C1770">
    <cfRule type="cellIs" dxfId="785" priority="5308" stopIfTrue="1" operator="equal">
      <formula>"1 Modify"</formula>
    </cfRule>
  </conditionalFormatting>
  <conditionalFormatting sqref="C1770">
    <cfRule type="cellIs" dxfId="784" priority="5309" stopIfTrue="1" operator="equal">
      <formula>"2 Add"</formula>
    </cfRule>
  </conditionalFormatting>
  <conditionalFormatting sqref="C1770">
    <cfRule type="cellIs" dxfId="783" priority="5310" stopIfTrue="1" operator="equal">
      <formula>"3 Delete"</formula>
    </cfRule>
  </conditionalFormatting>
  <conditionalFormatting sqref="C1771">
    <cfRule type="cellIs" dxfId="782" priority="5311" stopIfTrue="1" operator="equal">
      <formula>"1 Modify"</formula>
    </cfRule>
  </conditionalFormatting>
  <conditionalFormatting sqref="C1771">
    <cfRule type="cellIs" dxfId="781" priority="5312" stopIfTrue="1" operator="equal">
      <formula>"2 Add"</formula>
    </cfRule>
  </conditionalFormatting>
  <conditionalFormatting sqref="C1771">
    <cfRule type="cellIs" dxfId="780" priority="5313" stopIfTrue="1" operator="equal">
      <formula>"3 Delete"</formula>
    </cfRule>
  </conditionalFormatting>
  <conditionalFormatting sqref="C1772">
    <cfRule type="cellIs" dxfId="779" priority="5314" stopIfTrue="1" operator="equal">
      <formula>"1 Modify"</formula>
    </cfRule>
  </conditionalFormatting>
  <conditionalFormatting sqref="C1772">
    <cfRule type="cellIs" dxfId="778" priority="5315" stopIfTrue="1" operator="equal">
      <formula>"2 Add"</formula>
    </cfRule>
  </conditionalFormatting>
  <conditionalFormatting sqref="C1772">
    <cfRule type="cellIs" dxfId="777" priority="5316" stopIfTrue="1" operator="equal">
      <formula>"3 Delete"</formula>
    </cfRule>
  </conditionalFormatting>
  <conditionalFormatting sqref="C1773">
    <cfRule type="cellIs" dxfId="776" priority="5317" stopIfTrue="1" operator="equal">
      <formula>"1 Modify"</formula>
    </cfRule>
  </conditionalFormatting>
  <conditionalFormatting sqref="C1773">
    <cfRule type="cellIs" dxfId="775" priority="5318" stopIfTrue="1" operator="equal">
      <formula>"2 Add"</formula>
    </cfRule>
  </conditionalFormatting>
  <conditionalFormatting sqref="C1773">
    <cfRule type="cellIs" dxfId="774" priority="5319" stopIfTrue="1" operator="equal">
      <formula>"3 Delete"</formula>
    </cfRule>
  </conditionalFormatting>
  <conditionalFormatting sqref="C1774">
    <cfRule type="cellIs" dxfId="773" priority="5320" stopIfTrue="1" operator="equal">
      <formula>"1 Modify"</formula>
    </cfRule>
  </conditionalFormatting>
  <conditionalFormatting sqref="C1774">
    <cfRule type="cellIs" dxfId="772" priority="5321" stopIfTrue="1" operator="equal">
      <formula>"2 Add"</formula>
    </cfRule>
  </conditionalFormatting>
  <conditionalFormatting sqref="C1774">
    <cfRule type="cellIs" dxfId="771" priority="5322" stopIfTrue="1" operator="equal">
      <formula>"3 Delete"</formula>
    </cfRule>
  </conditionalFormatting>
  <conditionalFormatting sqref="C1775">
    <cfRule type="cellIs" dxfId="770" priority="5323" stopIfTrue="1" operator="equal">
      <formula>"1 Modify"</formula>
    </cfRule>
  </conditionalFormatting>
  <conditionalFormatting sqref="C1775">
    <cfRule type="cellIs" dxfId="769" priority="5324" stopIfTrue="1" operator="equal">
      <formula>"2 Add"</formula>
    </cfRule>
  </conditionalFormatting>
  <conditionalFormatting sqref="C1775">
    <cfRule type="cellIs" dxfId="768" priority="5325" stopIfTrue="1" operator="equal">
      <formula>"3 Delete"</formula>
    </cfRule>
  </conditionalFormatting>
  <conditionalFormatting sqref="C1776">
    <cfRule type="cellIs" dxfId="767" priority="5326" stopIfTrue="1" operator="equal">
      <formula>"1 Modify"</formula>
    </cfRule>
  </conditionalFormatting>
  <conditionalFormatting sqref="C1776">
    <cfRule type="cellIs" dxfId="766" priority="5327" stopIfTrue="1" operator="equal">
      <formula>"2 Add"</formula>
    </cfRule>
  </conditionalFormatting>
  <conditionalFormatting sqref="C1776">
    <cfRule type="cellIs" dxfId="765" priority="5328" stopIfTrue="1" operator="equal">
      <formula>"3 Delete"</formula>
    </cfRule>
  </conditionalFormatting>
  <conditionalFormatting sqref="C1777">
    <cfRule type="cellIs" dxfId="764" priority="5329" stopIfTrue="1" operator="equal">
      <formula>"1 Modify"</formula>
    </cfRule>
  </conditionalFormatting>
  <conditionalFormatting sqref="C1777">
    <cfRule type="cellIs" dxfId="763" priority="5330" stopIfTrue="1" operator="equal">
      <formula>"2 Add"</formula>
    </cfRule>
  </conditionalFormatting>
  <conditionalFormatting sqref="C1777">
    <cfRule type="cellIs" dxfId="762" priority="5331" stopIfTrue="1" operator="equal">
      <formula>"3 Delete"</formula>
    </cfRule>
  </conditionalFormatting>
  <conditionalFormatting sqref="C1778">
    <cfRule type="cellIs" dxfId="761" priority="5332" stopIfTrue="1" operator="equal">
      <formula>"1 Modify"</formula>
    </cfRule>
  </conditionalFormatting>
  <conditionalFormatting sqref="C1778">
    <cfRule type="cellIs" dxfId="760" priority="5333" stopIfTrue="1" operator="equal">
      <formula>"2 Add"</formula>
    </cfRule>
  </conditionalFormatting>
  <conditionalFormatting sqref="C1778">
    <cfRule type="cellIs" dxfId="759" priority="5334" stopIfTrue="1" operator="equal">
      <formula>"3 Delete"</formula>
    </cfRule>
  </conditionalFormatting>
  <conditionalFormatting sqref="C1779">
    <cfRule type="cellIs" dxfId="758" priority="5335" stopIfTrue="1" operator="equal">
      <formula>"1 Modify"</formula>
    </cfRule>
  </conditionalFormatting>
  <conditionalFormatting sqref="C1779">
    <cfRule type="cellIs" dxfId="757" priority="5336" stopIfTrue="1" operator="equal">
      <formula>"2 Add"</formula>
    </cfRule>
  </conditionalFormatting>
  <conditionalFormatting sqref="C1779">
    <cfRule type="cellIs" dxfId="756" priority="5337" stopIfTrue="1" operator="equal">
      <formula>"3 Delete"</formula>
    </cfRule>
  </conditionalFormatting>
  <conditionalFormatting sqref="C1780">
    <cfRule type="cellIs" dxfId="755" priority="5338" stopIfTrue="1" operator="equal">
      <formula>"1 Modify"</formula>
    </cfRule>
  </conditionalFormatting>
  <conditionalFormatting sqref="C1780">
    <cfRule type="cellIs" dxfId="754" priority="5339" stopIfTrue="1" operator="equal">
      <formula>"2 Add"</formula>
    </cfRule>
  </conditionalFormatting>
  <conditionalFormatting sqref="C1780">
    <cfRule type="cellIs" dxfId="753" priority="5340" stopIfTrue="1" operator="equal">
      <formula>"3 Delete"</formula>
    </cfRule>
  </conditionalFormatting>
  <conditionalFormatting sqref="C1781">
    <cfRule type="cellIs" dxfId="752" priority="5341" stopIfTrue="1" operator="equal">
      <formula>"1 Modify"</formula>
    </cfRule>
  </conditionalFormatting>
  <conditionalFormatting sqref="C1781">
    <cfRule type="cellIs" dxfId="751" priority="5342" stopIfTrue="1" operator="equal">
      <formula>"2 Add"</formula>
    </cfRule>
  </conditionalFormatting>
  <conditionalFormatting sqref="C1781">
    <cfRule type="cellIs" dxfId="750" priority="5343" stopIfTrue="1" operator="equal">
      <formula>"3 Delete"</formula>
    </cfRule>
  </conditionalFormatting>
  <conditionalFormatting sqref="C1782">
    <cfRule type="cellIs" dxfId="749" priority="5344" stopIfTrue="1" operator="equal">
      <formula>"1 Modify"</formula>
    </cfRule>
  </conditionalFormatting>
  <conditionalFormatting sqref="C1782">
    <cfRule type="cellIs" dxfId="748" priority="5345" stopIfTrue="1" operator="equal">
      <formula>"2 Add"</formula>
    </cfRule>
  </conditionalFormatting>
  <conditionalFormatting sqref="C1782">
    <cfRule type="cellIs" dxfId="747" priority="5346" stopIfTrue="1" operator="equal">
      <formula>"3 Delete"</formula>
    </cfRule>
  </conditionalFormatting>
  <conditionalFormatting sqref="C1783">
    <cfRule type="cellIs" dxfId="746" priority="5347" stopIfTrue="1" operator="equal">
      <formula>"1 Modify"</formula>
    </cfRule>
  </conditionalFormatting>
  <conditionalFormatting sqref="C1783">
    <cfRule type="cellIs" dxfId="745" priority="5348" stopIfTrue="1" operator="equal">
      <formula>"2 Add"</formula>
    </cfRule>
  </conditionalFormatting>
  <conditionalFormatting sqref="C1783">
    <cfRule type="cellIs" dxfId="744" priority="5349" stopIfTrue="1" operator="equal">
      <formula>"3 Delete"</formula>
    </cfRule>
  </conditionalFormatting>
  <conditionalFormatting sqref="C1784">
    <cfRule type="cellIs" dxfId="743" priority="5350" stopIfTrue="1" operator="equal">
      <formula>"1 Modify"</formula>
    </cfRule>
  </conditionalFormatting>
  <conditionalFormatting sqref="C1784">
    <cfRule type="cellIs" dxfId="742" priority="5351" stopIfTrue="1" operator="equal">
      <formula>"2 Add"</formula>
    </cfRule>
  </conditionalFormatting>
  <conditionalFormatting sqref="C1784">
    <cfRule type="cellIs" dxfId="741" priority="5352" stopIfTrue="1" operator="equal">
      <formula>"3 Delete"</formula>
    </cfRule>
  </conditionalFormatting>
  <conditionalFormatting sqref="C1785">
    <cfRule type="cellIs" dxfId="740" priority="5353" stopIfTrue="1" operator="equal">
      <formula>"1 Modify"</formula>
    </cfRule>
  </conditionalFormatting>
  <conditionalFormatting sqref="C1785">
    <cfRule type="cellIs" dxfId="739" priority="5354" stopIfTrue="1" operator="equal">
      <formula>"2 Add"</formula>
    </cfRule>
  </conditionalFormatting>
  <conditionalFormatting sqref="C1785">
    <cfRule type="cellIs" dxfId="738" priority="5355" stopIfTrue="1" operator="equal">
      <formula>"3 Delete"</formula>
    </cfRule>
  </conditionalFormatting>
  <conditionalFormatting sqref="C1786">
    <cfRule type="cellIs" dxfId="737" priority="5356" stopIfTrue="1" operator="equal">
      <formula>"1 Modify"</formula>
    </cfRule>
  </conditionalFormatting>
  <conditionalFormatting sqref="C1786">
    <cfRule type="cellIs" dxfId="736" priority="5357" stopIfTrue="1" operator="equal">
      <formula>"2 Add"</formula>
    </cfRule>
  </conditionalFormatting>
  <conditionalFormatting sqref="C1786">
    <cfRule type="cellIs" dxfId="735" priority="5358" stopIfTrue="1" operator="equal">
      <formula>"3 Delete"</formula>
    </cfRule>
  </conditionalFormatting>
  <conditionalFormatting sqref="C1787">
    <cfRule type="cellIs" dxfId="734" priority="5359" stopIfTrue="1" operator="equal">
      <formula>"1 Modify"</formula>
    </cfRule>
  </conditionalFormatting>
  <conditionalFormatting sqref="C1787">
    <cfRule type="cellIs" dxfId="733" priority="5360" stopIfTrue="1" operator="equal">
      <formula>"2 Add"</formula>
    </cfRule>
  </conditionalFormatting>
  <conditionalFormatting sqref="C1787">
    <cfRule type="cellIs" dxfId="732" priority="5361" stopIfTrue="1" operator="equal">
      <formula>"3 Delete"</formula>
    </cfRule>
  </conditionalFormatting>
  <conditionalFormatting sqref="C1788">
    <cfRule type="cellIs" dxfId="731" priority="5362" stopIfTrue="1" operator="equal">
      <formula>"1 Modify"</formula>
    </cfRule>
  </conditionalFormatting>
  <conditionalFormatting sqref="C1788">
    <cfRule type="cellIs" dxfId="730" priority="5363" stopIfTrue="1" operator="equal">
      <formula>"2 Add"</formula>
    </cfRule>
  </conditionalFormatting>
  <conditionalFormatting sqref="C1788">
    <cfRule type="cellIs" dxfId="729" priority="5364" stopIfTrue="1" operator="equal">
      <formula>"3 Delete"</formula>
    </cfRule>
  </conditionalFormatting>
  <conditionalFormatting sqref="C1789">
    <cfRule type="cellIs" dxfId="728" priority="5365" stopIfTrue="1" operator="equal">
      <formula>"1 Modify"</formula>
    </cfRule>
  </conditionalFormatting>
  <conditionalFormatting sqref="C1789">
    <cfRule type="cellIs" dxfId="727" priority="5366" stopIfTrue="1" operator="equal">
      <formula>"2 Add"</formula>
    </cfRule>
  </conditionalFormatting>
  <conditionalFormatting sqref="C1789">
    <cfRule type="cellIs" dxfId="726" priority="5367" stopIfTrue="1" operator="equal">
      <formula>"3 Delete"</formula>
    </cfRule>
  </conditionalFormatting>
  <conditionalFormatting sqref="C1790">
    <cfRule type="cellIs" dxfId="725" priority="5368" stopIfTrue="1" operator="equal">
      <formula>"1 Modify"</formula>
    </cfRule>
  </conditionalFormatting>
  <conditionalFormatting sqref="C1790">
    <cfRule type="cellIs" dxfId="724" priority="5369" stopIfTrue="1" operator="equal">
      <formula>"2 Add"</formula>
    </cfRule>
  </conditionalFormatting>
  <conditionalFormatting sqref="C1790">
    <cfRule type="cellIs" dxfId="723" priority="5370" stopIfTrue="1" operator="equal">
      <formula>"3 Delete"</formula>
    </cfRule>
  </conditionalFormatting>
  <conditionalFormatting sqref="C1791">
    <cfRule type="cellIs" dxfId="722" priority="5371" stopIfTrue="1" operator="equal">
      <formula>"1 Modify"</formula>
    </cfRule>
  </conditionalFormatting>
  <conditionalFormatting sqref="C1791">
    <cfRule type="cellIs" dxfId="721" priority="5372" stopIfTrue="1" operator="equal">
      <formula>"2 Add"</formula>
    </cfRule>
  </conditionalFormatting>
  <conditionalFormatting sqref="C1791">
    <cfRule type="cellIs" dxfId="720" priority="5373" stopIfTrue="1" operator="equal">
      <formula>"3 Delete"</formula>
    </cfRule>
  </conditionalFormatting>
  <conditionalFormatting sqref="C1792">
    <cfRule type="cellIs" dxfId="719" priority="5374" stopIfTrue="1" operator="equal">
      <formula>"1 Modify"</formula>
    </cfRule>
  </conditionalFormatting>
  <conditionalFormatting sqref="C1792">
    <cfRule type="cellIs" dxfId="718" priority="5375" stopIfTrue="1" operator="equal">
      <formula>"2 Add"</formula>
    </cfRule>
  </conditionalFormatting>
  <conditionalFormatting sqref="C1792">
    <cfRule type="cellIs" dxfId="717" priority="5376" stopIfTrue="1" operator="equal">
      <formula>"3 Delete"</formula>
    </cfRule>
  </conditionalFormatting>
  <conditionalFormatting sqref="C1793">
    <cfRule type="cellIs" dxfId="716" priority="5377" stopIfTrue="1" operator="equal">
      <formula>"1 Modify"</formula>
    </cfRule>
  </conditionalFormatting>
  <conditionalFormatting sqref="C1793">
    <cfRule type="cellIs" dxfId="715" priority="5378" stopIfTrue="1" operator="equal">
      <formula>"2 Add"</formula>
    </cfRule>
  </conditionalFormatting>
  <conditionalFormatting sqref="C1793">
    <cfRule type="cellIs" dxfId="714" priority="5379" stopIfTrue="1" operator="equal">
      <formula>"3 Delete"</formula>
    </cfRule>
  </conditionalFormatting>
  <conditionalFormatting sqref="C1794">
    <cfRule type="cellIs" dxfId="713" priority="5380" stopIfTrue="1" operator="equal">
      <formula>"1 Modify"</formula>
    </cfRule>
  </conditionalFormatting>
  <conditionalFormatting sqref="C1794">
    <cfRule type="cellIs" dxfId="712" priority="5381" stopIfTrue="1" operator="equal">
      <formula>"2 Add"</formula>
    </cfRule>
  </conditionalFormatting>
  <conditionalFormatting sqref="C1794">
    <cfRule type="cellIs" dxfId="711" priority="5382" stopIfTrue="1" operator="equal">
      <formula>"3 Delete"</formula>
    </cfRule>
  </conditionalFormatting>
  <conditionalFormatting sqref="C1795">
    <cfRule type="cellIs" dxfId="710" priority="5383" stopIfTrue="1" operator="equal">
      <formula>"1 Modify"</formula>
    </cfRule>
  </conditionalFormatting>
  <conditionalFormatting sqref="C1795">
    <cfRule type="cellIs" dxfId="709" priority="5384" stopIfTrue="1" operator="equal">
      <formula>"2 Add"</formula>
    </cfRule>
  </conditionalFormatting>
  <conditionalFormatting sqref="C1795">
    <cfRule type="cellIs" dxfId="708" priority="5385" stopIfTrue="1" operator="equal">
      <formula>"3 Delete"</formula>
    </cfRule>
  </conditionalFormatting>
  <conditionalFormatting sqref="C1796">
    <cfRule type="cellIs" dxfId="707" priority="5386" stopIfTrue="1" operator="equal">
      <formula>"1 Modify"</formula>
    </cfRule>
  </conditionalFormatting>
  <conditionalFormatting sqref="C1796">
    <cfRule type="cellIs" dxfId="706" priority="5387" stopIfTrue="1" operator="equal">
      <formula>"2 Add"</formula>
    </cfRule>
  </conditionalFormatting>
  <conditionalFormatting sqref="C1796">
    <cfRule type="cellIs" dxfId="705" priority="5388" stopIfTrue="1" operator="equal">
      <formula>"3 Delete"</formula>
    </cfRule>
  </conditionalFormatting>
  <conditionalFormatting sqref="C1797">
    <cfRule type="cellIs" dxfId="704" priority="5389" stopIfTrue="1" operator="equal">
      <formula>"1 Modify"</formula>
    </cfRule>
  </conditionalFormatting>
  <conditionalFormatting sqref="C1797">
    <cfRule type="cellIs" dxfId="703" priority="5390" stopIfTrue="1" operator="equal">
      <formula>"2 Add"</formula>
    </cfRule>
  </conditionalFormatting>
  <conditionalFormatting sqref="C1797">
    <cfRule type="cellIs" dxfId="702" priority="5391" stopIfTrue="1" operator="equal">
      <formula>"3 Delete"</formula>
    </cfRule>
  </conditionalFormatting>
  <conditionalFormatting sqref="C1798">
    <cfRule type="cellIs" dxfId="701" priority="5392" stopIfTrue="1" operator="equal">
      <formula>"1 Modify"</formula>
    </cfRule>
  </conditionalFormatting>
  <conditionalFormatting sqref="C1798">
    <cfRule type="cellIs" dxfId="700" priority="5393" stopIfTrue="1" operator="equal">
      <formula>"2 Add"</formula>
    </cfRule>
  </conditionalFormatting>
  <conditionalFormatting sqref="C1798">
    <cfRule type="cellIs" dxfId="699" priority="5394" stopIfTrue="1" operator="equal">
      <formula>"3 Delete"</formula>
    </cfRule>
  </conditionalFormatting>
  <conditionalFormatting sqref="C1799">
    <cfRule type="cellIs" dxfId="698" priority="5395" stopIfTrue="1" operator="equal">
      <formula>"1 Modify"</formula>
    </cfRule>
  </conditionalFormatting>
  <conditionalFormatting sqref="C1799">
    <cfRule type="cellIs" dxfId="697" priority="5396" stopIfTrue="1" operator="equal">
      <formula>"2 Add"</formula>
    </cfRule>
  </conditionalFormatting>
  <conditionalFormatting sqref="C1799">
    <cfRule type="cellIs" dxfId="696" priority="5397" stopIfTrue="1" operator="equal">
      <formula>"3 Delete"</formula>
    </cfRule>
  </conditionalFormatting>
  <conditionalFormatting sqref="C1800">
    <cfRule type="cellIs" dxfId="695" priority="5398" stopIfTrue="1" operator="equal">
      <formula>"1 Modify"</formula>
    </cfRule>
  </conditionalFormatting>
  <conditionalFormatting sqref="C1800">
    <cfRule type="cellIs" dxfId="694" priority="5399" stopIfTrue="1" operator="equal">
      <formula>"2 Add"</formula>
    </cfRule>
  </conditionalFormatting>
  <conditionalFormatting sqref="C1800">
    <cfRule type="cellIs" dxfId="693" priority="5400" stopIfTrue="1" operator="equal">
      <formula>"3 Delete"</formula>
    </cfRule>
  </conditionalFormatting>
  <conditionalFormatting sqref="C1801">
    <cfRule type="cellIs" dxfId="692" priority="5401" stopIfTrue="1" operator="equal">
      <formula>"1 Modify"</formula>
    </cfRule>
  </conditionalFormatting>
  <conditionalFormatting sqref="C1801">
    <cfRule type="cellIs" dxfId="691" priority="5402" stopIfTrue="1" operator="equal">
      <formula>"2 Add"</formula>
    </cfRule>
  </conditionalFormatting>
  <conditionalFormatting sqref="C1801">
    <cfRule type="cellIs" dxfId="690" priority="5403" stopIfTrue="1" operator="equal">
      <formula>"3 Delete"</formula>
    </cfRule>
  </conditionalFormatting>
  <conditionalFormatting sqref="C1802">
    <cfRule type="cellIs" dxfId="689" priority="5404" stopIfTrue="1" operator="equal">
      <formula>"1 Modify"</formula>
    </cfRule>
  </conditionalFormatting>
  <conditionalFormatting sqref="C1802">
    <cfRule type="cellIs" dxfId="688" priority="5405" stopIfTrue="1" operator="equal">
      <formula>"2 Add"</formula>
    </cfRule>
  </conditionalFormatting>
  <conditionalFormatting sqref="C1802">
    <cfRule type="cellIs" dxfId="687" priority="5406" stopIfTrue="1" operator="equal">
      <formula>"3 Delete"</formula>
    </cfRule>
  </conditionalFormatting>
  <conditionalFormatting sqref="C1803">
    <cfRule type="cellIs" dxfId="686" priority="5407" stopIfTrue="1" operator="equal">
      <formula>"1 Modify"</formula>
    </cfRule>
  </conditionalFormatting>
  <conditionalFormatting sqref="C1803">
    <cfRule type="cellIs" dxfId="685" priority="5408" stopIfTrue="1" operator="equal">
      <formula>"2 Add"</formula>
    </cfRule>
  </conditionalFormatting>
  <conditionalFormatting sqref="C1803">
    <cfRule type="cellIs" dxfId="684" priority="5409" stopIfTrue="1" operator="equal">
      <formula>"3 Delete"</formula>
    </cfRule>
  </conditionalFormatting>
  <conditionalFormatting sqref="C1804">
    <cfRule type="cellIs" dxfId="683" priority="5410" stopIfTrue="1" operator="equal">
      <formula>"1 Modify"</formula>
    </cfRule>
  </conditionalFormatting>
  <conditionalFormatting sqref="C1804">
    <cfRule type="cellIs" dxfId="682" priority="5411" stopIfTrue="1" operator="equal">
      <formula>"2 Add"</formula>
    </cfRule>
  </conditionalFormatting>
  <conditionalFormatting sqref="C1804">
    <cfRule type="cellIs" dxfId="681" priority="5412" stopIfTrue="1" operator="equal">
      <formula>"3 Delete"</formula>
    </cfRule>
  </conditionalFormatting>
  <conditionalFormatting sqref="C1805">
    <cfRule type="cellIs" dxfId="680" priority="5413" stopIfTrue="1" operator="equal">
      <formula>"1 Modify"</formula>
    </cfRule>
  </conditionalFormatting>
  <conditionalFormatting sqref="C1805">
    <cfRule type="cellIs" dxfId="679" priority="5414" stopIfTrue="1" operator="equal">
      <formula>"2 Add"</formula>
    </cfRule>
  </conditionalFormatting>
  <conditionalFormatting sqref="C1805">
    <cfRule type="cellIs" dxfId="678" priority="5415" stopIfTrue="1" operator="equal">
      <formula>"3 Delete"</formula>
    </cfRule>
  </conditionalFormatting>
  <conditionalFormatting sqref="C1806">
    <cfRule type="cellIs" dxfId="677" priority="5416" stopIfTrue="1" operator="equal">
      <formula>"1 Modify"</formula>
    </cfRule>
  </conditionalFormatting>
  <conditionalFormatting sqref="C1806">
    <cfRule type="cellIs" dxfId="676" priority="5417" stopIfTrue="1" operator="equal">
      <formula>"2 Add"</formula>
    </cfRule>
  </conditionalFormatting>
  <conditionalFormatting sqref="C1806">
    <cfRule type="cellIs" dxfId="675" priority="5418" stopIfTrue="1" operator="equal">
      <formula>"3 Delete"</formula>
    </cfRule>
  </conditionalFormatting>
  <conditionalFormatting sqref="C1807">
    <cfRule type="cellIs" dxfId="674" priority="5419" stopIfTrue="1" operator="equal">
      <formula>"1 Modify"</formula>
    </cfRule>
  </conditionalFormatting>
  <conditionalFormatting sqref="C1807">
    <cfRule type="cellIs" dxfId="673" priority="5420" stopIfTrue="1" operator="equal">
      <formula>"2 Add"</formula>
    </cfRule>
  </conditionalFormatting>
  <conditionalFormatting sqref="C1807">
    <cfRule type="cellIs" dxfId="672" priority="5421" stopIfTrue="1" operator="equal">
      <formula>"3 Delete"</formula>
    </cfRule>
  </conditionalFormatting>
  <conditionalFormatting sqref="C1808">
    <cfRule type="cellIs" dxfId="671" priority="5422" stopIfTrue="1" operator="equal">
      <formula>"1 Modify"</formula>
    </cfRule>
  </conditionalFormatting>
  <conditionalFormatting sqref="C1808">
    <cfRule type="cellIs" dxfId="670" priority="5423" stopIfTrue="1" operator="equal">
      <formula>"2 Add"</formula>
    </cfRule>
  </conditionalFormatting>
  <conditionalFormatting sqref="C1808">
    <cfRule type="cellIs" dxfId="669" priority="5424" stopIfTrue="1" operator="equal">
      <formula>"3 Delete"</formula>
    </cfRule>
  </conditionalFormatting>
  <conditionalFormatting sqref="C1809">
    <cfRule type="cellIs" dxfId="668" priority="5425" stopIfTrue="1" operator="equal">
      <formula>"1 Modify"</formula>
    </cfRule>
  </conditionalFormatting>
  <conditionalFormatting sqref="C1809">
    <cfRule type="cellIs" dxfId="667" priority="5426" stopIfTrue="1" operator="equal">
      <formula>"2 Add"</formula>
    </cfRule>
  </conditionalFormatting>
  <conditionalFormatting sqref="C1809">
    <cfRule type="cellIs" dxfId="666" priority="5427" stopIfTrue="1" operator="equal">
      <formula>"3 Delete"</formula>
    </cfRule>
  </conditionalFormatting>
  <conditionalFormatting sqref="C1810">
    <cfRule type="cellIs" dxfId="665" priority="5428" stopIfTrue="1" operator="equal">
      <formula>"1 Modify"</formula>
    </cfRule>
  </conditionalFormatting>
  <conditionalFormatting sqref="C1810">
    <cfRule type="cellIs" dxfId="664" priority="5429" stopIfTrue="1" operator="equal">
      <formula>"2 Add"</formula>
    </cfRule>
  </conditionalFormatting>
  <conditionalFormatting sqref="C1810">
    <cfRule type="cellIs" dxfId="663" priority="5430" stopIfTrue="1" operator="equal">
      <formula>"3 Delete"</formula>
    </cfRule>
  </conditionalFormatting>
  <conditionalFormatting sqref="C1811">
    <cfRule type="cellIs" dxfId="662" priority="5431" stopIfTrue="1" operator="equal">
      <formula>"1 Modify"</formula>
    </cfRule>
  </conditionalFormatting>
  <conditionalFormatting sqref="C1811">
    <cfRule type="cellIs" dxfId="661" priority="5432" stopIfTrue="1" operator="equal">
      <formula>"2 Add"</formula>
    </cfRule>
  </conditionalFormatting>
  <conditionalFormatting sqref="C1811">
    <cfRule type="cellIs" dxfId="660" priority="5433" stopIfTrue="1" operator="equal">
      <formula>"3 Delete"</formula>
    </cfRule>
  </conditionalFormatting>
  <conditionalFormatting sqref="C1812">
    <cfRule type="cellIs" dxfId="659" priority="5434" stopIfTrue="1" operator="equal">
      <formula>"1 Modify"</formula>
    </cfRule>
  </conditionalFormatting>
  <conditionalFormatting sqref="C1812">
    <cfRule type="cellIs" dxfId="658" priority="5435" stopIfTrue="1" operator="equal">
      <formula>"2 Add"</formula>
    </cfRule>
  </conditionalFormatting>
  <conditionalFormatting sqref="C1812">
    <cfRule type="cellIs" dxfId="657" priority="5436" stopIfTrue="1" operator="equal">
      <formula>"3 Delete"</formula>
    </cfRule>
  </conditionalFormatting>
  <conditionalFormatting sqref="C1813">
    <cfRule type="cellIs" dxfId="656" priority="5437" stopIfTrue="1" operator="equal">
      <formula>"1 Modify"</formula>
    </cfRule>
  </conditionalFormatting>
  <conditionalFormatting sqref="C1813">
    <cfRule type="cellIs" dxfId="655" priority="5438" stopIfTrue="1" operator="equal">
      <formula>"2 Add"</formula>
    </cfRule>
  </conditionalFormatting>
  <conditionalFormatting sqref="C1813">
    <cfRule type="cellIs" dxfId="654" priority="5439" stopIfTrue="1" operator="equal">
      <formula>"3 Delete"</formula>
    </cfRule>
  </conditionalFormatting>
  <conditionalFormatting sqref="C1814">
    <cfRule type="cellIs" dxfId="653" priority="5440" stopIfTrue="1" operator="equal">
      <formula>"1 Modify"</formula>
    </cfRule>
  </conditionalFormatting>
  <conditionalFormatting sqref="C1814">
    <cfRule type="cellIs" dxfId="652" priority="5441" stopIfTrue="1" operator="equal">
      <formula>"2 Add"</formula>
    </cfRule>
  </conditionalFormatting>
  <conditionalFormatting sqref="C1814">
    <cfRule type="cellIs" dxfId="651" priority="5442" stopIfTrue="1" operator="equal">
      <formula>"3 Delete"</formula>
    </cfRule>
  </conditionalFormatting>
  <conditionalFormatting sqref="C1815">
    <cfRule type="cellIs" dxfId="650" priority="5443" stopIfTrue="1" operator="equal">
      <formula>"1 Modify"</formula>
    </cfRule>
  </conditionalFormatting>
  <conditionalFormatting sqref="C1815">
    <cfRule type="cellIs" dxfId="649" priority="5444" stopIfTrue="1" operator="equal">
      <formula>"2 Add"</formula>
    </cfRule>
  </conditionalFormatting>
  <conditionalFormatting sqref="C1815">
    <cfRule type="cellIs" dxfId="648" priority="5445" stopIfTrue="1" operator="equal">
      <formula>"3 Delete"</formula>
    </cfRule>
  </conditionalFormatting>
  <conditionalFormatting sqref="C1816">
    <cfRule type="cellIs" dxfId="647" priority="5446" stopIfTrue="1" operator="equal">
      <formula>"1 Modify"</formula>
    </cfRule>
  </conditionalFormatting>
  <conditionalFormatting sqref="C1816">
    <cfRule type="cellIs" dxfId="646" priority="5447" stopIfTrue="1" operator="equal">
      <formula>"2 Add"</formula>
    </cfRule>
  </conditionalFormatting>
  <conditionalFormatting sqref="C1816">
    <cfRule type="cellIs" dxfId="645" priority="5448" stopIfTrue="1" operator="equal">
      <formula>"3 Delete"</formula>
    </cfRule>
  </conditionalFormatting>
  <conditionalFormatting sqref="C1817">
    <cfRule type="cellIs" dxfId="644" priority="5449" stopIfTrue="1" operator="equal">
      <formula>"1 Modify"</formula>
    </cfRule>
  </conditionalFormatting>
  <conditionalFormatting sqref="C1817">
    <cfRule type="cellIs" dxfId="643" priority="5450" stopIfTrue="1" operator="equal">
      <formula>"2 Add"</formula>
    </cfRule>
  </conditionalFormatting>
  <conditionalFormatting sqref="C1817">
    <cfRule type="cellIs" dxfId="642" priority="5451" stopIfTrue="1" operator="equal">
      <formula>"3 Delete"</formula>
    </cfRule>
  </conditionalFormatting>
  <conditionalFormatting sqref="C1818">
    <cfRule type="cellIs" dxfId="641" priority="5452" stopIfTrue="1" operator="equal">
      <formula>"1 Modify"</formula>
    </cfRule>
  </conditionalFormatting>
  <conditionalFormatting sqref="C1818">
    <cfRule type="cellIs" dxfId="640" priority="5453" stopIfTrue="1" operator="equal">
      <formula>"2 Add"</formula>
    </cfRule>
  </conditionalFormatting>
  <conditionalFormatting sqref="C1818">
    <cfRule type="cellIs" dxfId="639" priority="5454" stopIfTrue="1" operator="equal">
      <formula>"3 Delete"</formula>
    </cfRule>
  </conditionalFormatting>
  <conditionalFormatting sqref="C1819">
    <cfRule type="cellIs" dxfId="638" priority="5455" stopIfTrue="1" operator="equal">
      <formula>"1 Modify"</formula>
    </cfRule>
  </conditionalFormatting>
  <conditionalFormatting sqref="C1819">
    <cfRule type="cellIs" dxfId="637" priority="5456" stopIfTrue="1" operator="equal">
      <formula>"2 Add"</formula>
    </cfRule>
  </conditionalFormatting>
  <conditionalFormatting sqref="C1819">
    <cfRule type="cellIs" dxfId="636" priority="5457" stopIfTrue="1" operator="equal">
      <formula>"3 Delete"</formula>
    </cfRule>
  </conditionalFormatting>
  <conditionalFormatting sqref="C1820">
    <cfRule type="cellIs" dxfId="635" priority="5458" stopIfTrue="1" operator="equal">
      <formula>"1 Modify"</formula>
    </cfRule>
  </conditionalFormatting>
  <conditionalFormatting sqref="C1820">
    <cfRule type="cellIs" dxfId="634" priority="5459" stopIfTrue="1" operator="equal">
      <formula>"2 Add"</formula>
    </cfRule>
  </conditionalFormatting>
  <conditionalFormatting sqref="C1820">
    <cfRule type="cellIs" dxfId="633" priority="5460" stopIfTrue="1" operator="equal">
      <formula>"3 Delete"</formula>
    </cfRule>
  </conditionalFormatting>
  <conditionalFormatting sqref="C1821">
    <cfRule type="cellIs" dxfId="632" priority="5461" stopIfTrue="1" operator="equal">
      <formula>"1 Modify"</formula>
    </cfRule>
  </conditionalFormatting>
  <conditionalFormatting sqref="C1821">
    <cfRule type="cellIs" dxfId="631" priority="5462" stopIfTrue="1" operator="equal">
      <formula>"2 Add"</formula>
    </cfRule>
  </conditionalFormatting>
  <conditionalFormatting sqref="C1821">
    <cfRule type="cellIs" dxfId="630" priority="5463" stopIfTrue="1" operator="equal">
      <formula>"3 Delete"</formula>
    </cfRule>
  </conditionalFormatting>
  <conditionalFormatting sqref="C1822">
    <cfRule type="cellIs" dxfId="629" priority="5464" stopIfTrue="1" operator="equal">
      <formula>"1 Modify"</formula>
    </cfRule>
  </conditionalFormatting>
  <conditionalFormatting sqref="C1822">
    <cfRule type="cellIs" dxfId="628" priority="5465" stopIfTrue="1" operator="equal">
      <formula>"2 Add"</formula>
    </cfRule>
  </conditionalFormatting>
  <conditionalFormatting sqref="C1822">
    <cfRule type="cellIs" dxfId="627" priority="5466" stopIfTrue="1" operator="equal">
      <formula>"3 Delete"</formula>
    </cfRule>
  </conditionalFormatting>
  <conditionalFormatting sqref="C1823">
    <cfRule type="cellIs" dxfId="626" priority="5467" stopIfTrue="1" operator="equal">
      <formula>"1 Modify"</formula>
    </cfRule>
  </conditionalFormatting>
  <conditionalFormatting sqref="C1823">
    <cfRule type="cellIs" dxfId="625" priority="5468" stopIfTrue="1" operator="equal">
      <formula>"2 Add"</formula>
    </cfRule>
  </conditionalFormatting>
  <conditionalFormatting sqref="C1823">
    <cfRule type="cellIs" dxfId="624" priority="5469" stopIfTrue="1" operator="equal">
      <formula>"3 Delete"</formula>
    </cfRule>
  </conditionalFormatting>
  <conditionalFormatting sqref="C1824">
    <cfRule type="cellIs" dxfId="623" priority="5470" stopIfTrue="1" operator="equal">
      <formula>"1 Modify"</formula>
    </cfRule>
  </conditionalFormatting>
  <conditionalFormatting sqref="C1824">
    <cfRule type="cellIs" dxfId="622" priority="5471" stopIfTrue="1" operator="equal">
      <formula>"2 Add"</formula>
    </cfRule>
  </conditionalFormatting>
  <conditionalFormatting sqref="C1824">
    <cfRule type="cellIs" dxfId="621" priority="5472" stopIfTrue="1" operator="equal">
      <formula>"3 Delete"</formula>
    </cfRule>
  </conditionalFormatting>
  <conditionalFormatting sqref="C1825">
    <cfRule type="cellIs" dxfId="620" priority="5473" stopIfTrue="1" operator="equal">
      <formula>"1 Modify"</formula>
    </cfRule>
  </conditionalFormatting>
  <conditionalFormatting sqref="C1825">
    <cfRule type="cellIs" dxfId="619" priority="5474" stopIfTrue="1" operator="equal">
      <formula>"2 Add"</formula>
    </cfRule>
  </conditionalFormatting>
  <conditionalFormatting sqref="C1825">
    <cfRule type="cellIs" dxfId="618" priority="5475" stopIfTrue="1" operator="equal">
      <formula>"3 Delete"</formula>
    </cfRule>
  </conditionalFormatting>
  <conditionalFormatting sqref="C1826">
    <cfRule type="cellIs" dxfId="617" priority="5476" stopIfTrue="1" operator="equal">
      <formula>"1 Modify"</formula>
    </cfRule>
  </conditionalFormatting>
  <conditionalFormatting sqref="C1826">
    <cfRule type="cellIs" dxfId="616" priority="5477" stopIfTrue="1" operator="equal">
      <formula>"2 Add"</formula>
    </cfRule>
  </conditionalFormatting>
  <conditionalFormatting sqref="C1826">
    <cfRule type="cellIs" dxfId="615" priority="5478" stopIfTrue="1" operator="equal">
      <formula>"3 Delete"</formula>
    </cfRule>
  </conditionalFormatting>
  <conditionalFormatting sqref="C1827">
    <cfRule type="cellIs" dxfId="614" priority="5479" stopIfTrue="1" operator="equal">
      <formula>"1 Modify"</formula>
    </cfRule>
  </conditionalFormatting>
  <conditionalFormatting sqref="C1827">
    <cfRule type="cellIs" dxfId="613" priority="5480" stopIfTrue="1" operator="equal">
      <formula>"2 Add"</formula>
    </cfRule>
  </conditionalFormatting>
  <conditionalFormatting sqref="C1827">
    <cfRule type="cellIs" dxfId="612" priority="5481" stopIfTrue="1" operator="equal">
      <formula>"3 Delete"</formula>
    </cfRule>
  </conditionalFormatting>
  <conditionalFormatting sqref="C1828">
    <cfRule type="cellIs" dxfId="611" priority="5482" stopIfTrue="1" operator="equal">
      <formula>"1 Modify"</formula>
    </cfRule>
  </conditionalFormatting>
  <conditionalFormatting sqref="C1828">
    <cfRule type="cellIs" dxfId="610" priority="5483" stopIfTrue="1" operator="equal">
      <formula>"2 Add"</formula>
    </cfRule>
  </conditionalFormatting>
  <conditionalFormatting sqref="C1828">
    <cfRule type="cellIs" dxfId="609" priority="5484" stopIfTrue="1" operator="equal">
      <formula>"3 Delete"</formula>
    </cfRule>
  </conditionalFormatting>
  <conditionalFormatting sqref="C1829">
    <cfRule type="cellIs" dxfId="608" priority="5485" stopIfTrue="1" operator="equal">
      <formula>"1 Modify"</formula>
    </cfRule>
  </conditionalFormatting>
  <conditionalFormatting sqref="C1829">
    <cfRule type="cellIs" dxfId="607" priority="5486" stopIfTrue="1" operator="equal">
      <formula>"2 Add"</formula>
    </cfRule>
  </conditionalFormatting>
  <conditionalFormatting sqref="C1829">
    <cfRule type="cellIs" dxfId="606" priority="5487" stopIfTrue="1" operator="equal">
      <formula>"3 Delete"</formula>
    </cfRule>
  </conditionalFormatting>
  <conditionalFormatting sqref="C1830">
    <cfRule type="cellIs" dxfId="605" priority="5488" stopIfTrue="1" operator="equal">
      <formula>"1 Modify"</formula>
    </cfRule>
  </conditionalFormatting>
  <conditionalFormatting sqref="C1830">
    <cfRule type="cellIs" dxfId="604" priority="5489" stopIfTrue="1" operator="equal">
      <formula>"2 Add"</formula>
    </cfRule>
  </conditionalFormatting>
  <conditionalFormatting sqref="C1830">
    <cfRule type="cellIs" dxfId="603" priority="5490" stopIfTrue="1" operator="equal">
      <formula>"3 Delete"</formula>
    </cfRule>
  </conditionalFormatting>
  <conditionalFormatting sqref="C1831">
    <cfRule type="cellIs" dxfId="602" priority="5491" stopIfTrue="1" operator="equal">
      <formula>"1 Modify"</formula>
    </cfRule>
  </conditionalFormatting>
  <conditionalFormatting sqref="C1831">
    <cfRule type="cellIs" dxfId="601" priority="5492" stopIfTrue="1" operator="equal">
      <formula>"2 Add"</formula>
    </cfRule>
  </conditionalFormatting>
  <conditionalFormatting sqref="C1831">
    <cfRule type="cellIs" dxfId="600" priority="5493" stopIfTrue="1" operator="equal">
      <formula>"3 Delete"</formula>
    </cfRule>
  </conditionalFormatting>
  <conditionalFormatting sqref="C1832">
    <cfRule type="cellIs" dxfId="599" priority="5494" stopIfTrue="1" operator="equal">
      <formula>"1 Modify"</formula>
    </cfRule>
  </conditionalFormatting>
  <conditionalFormatting sqref="C1832">
    <cfRule type="cellIs" dxfId="598" priority="5495" stopIfTrue="1" operator="equal">
      <formula>"2 Add"</formula>
    </cfRule>
  </conditionalFormatting>
  <conditionalFormatting sqref="C1832">
    <cfRule type="cellIs" dxfId="597" priority="5496" stopIfTrue="1" operator="equal">
      <formula>"3 Delete"</formula>
    </cfRule>
  </conditionalFormatting>
  <conditionalFormatting sqref="C1833">
    <cfRule type="cellIs" dxfId="596" priority="5497" stopIfTrue="1" operator="equal">
      <formula>"1 Modify"</formula>
    </cfRule>
  </conditionalFormatting>
  <conditionalFormatting sqref="C1833">
    <cfRule type="cellIs" dxfId="595" priority="5498" stopIfTrue="1" operator="equal">
      <formula>"2 Add"</formula>
    </cfRule>
  </conditionalFormatting>
  <conditionalFormatting sqref="C1833">
    <cfRule type="cellIs" dxfId="594" priority="5499" stopIfTrue="1" operator="equal">
      <formula>"3 Delete"</formula>
    </cfRule>
  </conditionalFormatting>
  <conditionalFormatting sqref="C1834">
    <cfRule type="cellIs" dxfId="593" priority="5500" stopIfTrue="1" operator="equal">
      <formula>"1 Modify"</formula>
    </cfRule>
  </conditionalFormatting>
  <conditionalFormatting sqref="C1834">
    <cfRule type="cellIs" dxfId="592" priority="5501" stopIfTrue="1" operator="equal">
      <formula>"2 Add"</formula>
    </cfRule>
  </conditionalFormatting>
  <conditionalFormatting sqref="C1834">
    <cfRule type="cellIs" dxfId="591" priority="5502" stopIfTrue="1" operator="equal">
      <formula>"3 Delete"</formula>
    </cfRule>
  </conditionalFormatting>
  <conditionalFormatting sqref="C1835">
    <cfRule type="cellIs" dxfId="590" priority="5503" stopIfTrue="1" operator="equal">
      <formula>"1 Modify"</formula>
    </cfRule>
  </conditionalFormatting>
  <conditionalFormatting sqref="C1835">
    <cfRule type="cellIs" dxfId="589" priority="5504" stopIfTrue="1" operator="equal">
      <formula>"2 Add"</formula>
    </cfRule>
  </conditionalFormatting>
  <conditionalFormatting sqref="C1835">
    <cfRule type="cellIs" dxfId="588" priority="5505" stopIfTrue="1" operator="equal">
      <formula>"3 Delete"</formula>
    </cfRule>
  </conditionalFormatting>
  <conditionalFormatting sqref="C1836">
    <cfRule type="cellIs" dxfId="587" priority="5506" stopIfTrue="1" operator="equal">
      <formula>"1 Modify"</formula>
    </cfRule>
  </conditionalFormatting>
  <conditionalFormatting sqref="C1836">
    <cfRule type="cellIs" dxfId="586" priority="5507" stopIfTrue="1" operator="equal">
      <formula>"2 Add"</formula>
    </cfRule>
  </conditionalFormatting>
  <conditionalFormatting sqref="C1836">
    <cfRule type="cellIs" dxfId="585" priority="5508" stopIfTrue="1" operator="equal">
      <formula>"3 Delete"</formula>
    </cfRule>
  </conditionalFormatting>
  <conditionalFormatting sqref="C1837">
    <cfRule type="cellIs" dxfId="584" priority="5509" stopIfTrue="1" operator="equal">
      <formula>"1 Modify"</formula>
    </cfRule>
  </conditionalFormatting>
  <conditionalFormatting sqref="C1837">
    <cfRule type="cellIs" dxfId="583" priority="5510" stopIfTrue="1" operator="equal">
      <formula>"2 Add"</formula>
    </cfRule>
  </conditionalFormatting>
  <conditionalFormatting sqref="C1837">
    <cfRule type="cellIs" dxfId="582" priority="5511" stopIfTrue="1" operator="equal">
      <formula>"3 Delete"</formula>
    </cfRule>
  </conditionalFormatting>
  <conditionalFormatting sqref="C1838">
    <cfRule type="cellIs" dxfId="581" priority="5512" stopIfTrue="1" operator="equal">
      <formula>"1 Modify"</formula>
    </cfRule>
  </conditionalFormatting>
  <conditionalFormatting sqref="C1838">
    <cfRule type="cellIs" dxfId="580" priority="5513" stopIfTrue="1" operator="equal">
      <formula>"2 Add"</formula>
    </cfRule>
  </conditionalFormatting>
  <conditionalFormatting sqref="C1838">
    <cfRule type="cellIs" dxfId="579" priority="5514" stopIfTrue="1" operator="equal">
      <formula>"3 Delete"</formula>
    </cfRule>
  </conditionalFormatting>
  <conditionalFormatting sqref="C1839">
    <cfRule type="cellIs" dxfId="578" priority="5515" stopIfTrue="1" operator="equal">
      <formula>"1 Modify"</formula>
    </cfRule>
  </conditionalFormatting>
  <conditionalFormatting sqref="C1839">
    <cfRule type="cellIs" dxfId="577" priority="5516" stopIfTrue="1" operator="equal">
      <formula>"2 Add"</formula>
    </cfRule>
  </conditionalFormatting>
  <conditionalFormatting sqref="C1839">
    <cfRule type="cellIs" dxfId="576" priority="5517" stopIfTrue="1" operator="equal">
      <formula>"3 Delete"</formula>
    </cfRule>
  </conditionalFormatting>
  <conditionalFormatting sqref="C1840">
    <cfRule type="cellIs" dxfId="575" priority="5518" stopIfTrue="1" operator="equal">
      <formula>"1 Modify"</formula>
    </cfRule>
  </conditionalFormatting>
  <conditionalFormatting sqref="C1840">
    <cfRule type="cellIs" dxfId="574" priority="5519" stopIfTrue="1" operator="equal">
      <formula>"2 Add"</formula>
    </cfRule>
  </conditionalFormatting>
  <conditionalFormatting sqref="C1840">
    <cfRule type="cellIs" dxfId="573" priority="5520" stopIfTrue="1" operator="equal">
      <formula>"3 Delete"</formula>
    </cfRule>
  </conditionalFormatting>
  <conditionalFormatting sqref="C1841">
    <cfRule type="cellIs" dxfId="572" priority="5521" stopIfTrue="1" operator="equal">
      <formula>"1 Modify"</formula>
    </cfRule>
  </conditionalFormatting>
  <conditionalFormatting sqref="C1841">
    <cfRule type="cellIs" dxfId="571" priority="5522" stopIfTrue="1" operator="equal">
      <formula>"2 Add"</formula>
    </cfRule>
  </conditionalFormatting>
  <conditionalFormatting sqref="C1841">
    <cfRule type="cellIs" dxfId="570" priority="5523" stopIfTrue="1" operator="equal">
      <formula>"3 Delete"</formula>
    </cfRule>
  </conditionalFormatting>
  <conditionalFormatting sqref="C1842">
    <cfRule type="cellIs" dxfId="569" priority="5524" stopIfTrue="1" operator="equal">
      <formula>"1 Modify"</formula>
    </cfRule>
  </conditionalFormatting>
  <conditionalFormatting sqref="C1842">
    <cfRule type="cellIs" dxfId="568" priority="5525" stopIfTrue="1" operator="equal">
      <formula>"2 Add"</formula>
    </cfRule>
  </conditionalFormatting>
  <conditionalFormatting sqref="C1842">
    <cfRule type="cellIs" dxfId="567" priority="5526" stopIfTrue="1" operator="equal">
      <formula>"3 Delete"</formula>
    </cfRule>
  </conditionalFormatting>
  <conditionalFormatting sqref="C1843">
    <cfRule type="cellIs" dxfId="566" priority="5527" stopIfTrue="1" operator="equal">
      <formula>"1 Modify"</formula>
    </cfRule>
  </conditionalFormatting>
  <conditionalFormatting sqref="C1843">
    <cfRule type="cellIs" dxfId="565" priority="5528" stopIfTrue="1" operator="equal">
      <formula>"2 Add"</formula>
    </cfRule>
  </conditionalFormatting>
  <conditionalFormatting sqref="C1843">
    <cfRule type="cellIs" dxfId="564" priority="5529" stopIfTrue="1" operator="equal">
      <formula>"3 Delete"</formula>
    </cfRule>
  </conditionalFormatting>
  <conditionalFormatting sqref="C1844">
    <cfRule type="cellIs" dxfId="563" priority="5530" stopIfTrue="1" operator="equal">
      <formula>"1 Modify"</formula>
    </cfRule>
  </conditionalFormatting>
  <conditionalFormatting sqref="C1844">
    <cfRule type="cellIs" dxfId="562" priority="5531" stopIfTrue="1" operator="equal">
      <formula>"2 Add"</formula>
    </cfRule>
  </conditionalFormatting>
  <conditionalFormatting sqref="C1844">
    <cfRule type="cellIs" dxfId="561" priority="5532" stopIfTrue="1" operator="equal">
      <formula>"3 Delete"</formula>
    </cfRule>
  </conditionalFormatting>
  <conditionalFormatting sqref="C1845">
    <cfRule type="cellIs" dxfId="560" priority="5533" stopIfTrue="1" operator="equal">
      <formula>"1 Modify"</formula>
    </cfRule>
  </conditionalFormatting>
  <conditionalFormatting sqref="C1845">
    <cfRule type="cellIs" dxfId="559" priority="5534" stopIfTrue="1" operator="equal">
      <formula>"2 Add"</formula>
    </cfRule>
  </conditionalFormatting>
  <conditionalFormatting sqref="C1845">
    <cfRule type="cellIs" dxfId="558" priority="5535" stopIfTrue="1" operator="equal">
      <formula>"3 Delete"</formula>
    </cfRule>
  </conditionalFormatting>
  <conditionalFormatting sqref="C1846">
    <cfRule type="cellIs" dxfId="557" priority="5536" stopIfTrue="1" operator="equal">
      <formula>"1 Modify"</formula>
    </cfRule>
  </conditionalFormatting>
  <conditionalFormatting sqref="C1846">
    <cfRule type="cellIs" dxfId="556" priority="5537" stopIfTrue="1" operator="equal">
      <formula>"2 Add"</formula>
    </cfRule>
  </conditionalFormatting>
  <conditionalFormatting sqref="C1846">
    <cfRule type="cellIs" dxfId="555" priority="5538" stopIfTrue="1" operator="equal">
      <formula>"3 Delete"</formula>
    </cfRule>
  </conditionalFormatting>
  <conditionalFormatting sqref="C1847">
    <cfRule type="cellIs" dxfId="554" priority="5539" stopIfTrue="1" operator="equal">
      <formula>"1 Modify"</formula>
    </cfRule>
  </conditionalFormatting>
  <conditionalFormatting sqref="C1847">
    <cfRule type="cellIs" dxfId="553" priority="5540" stopIfTrue="1" operator="equal">
      <formula>"2 Add"</formula>
    </cfRule>
  </conditionalFormatting>
  <conditionalFormatting sqref="C1847">
    <cfRule type="cellIs" dxfId="552" priority="5541" stopIfTrue="1" operator="equal">
      <formula>"3 Delete"</formula>
    </cfRule>
  </conditionalFormatting>
  <conditionalFormatting sqref="C1848">
    <cfRule type="cellIs" dxfId="551" priority="5542" stopIfTrue="1" operator="equal">
      <formula>"1 Modify"</formula>
    </cfRule>
  </conditionalFormatting>
  <conditionalFormatting sqref="C1848">
    <cfRule type="cellIs" dxfId="550" priority="5543" stopIfTrue="1" operator="equal">
      <formula>"2 Add"</formula>
    </cfRule>
  </conditionalFormatting>
  <conditionalFormatting sqref="C1848">
    <cfRule type="cellIs" dxfId="549" priority="5544" stopIfTrue="1" operator="equal">
      <formula>"3 Delete"</formula>
    </cfRule>
  </conditionalFormatting>
  <conditionalFormatting sqref="C1849">
    <cfRule type="cellIs" dxfId="548" priority="5545" stopIfTrue="1" operator="equal">
      <formula>"1 Modify"</formula>
    </cfRule>
  </conditionalFormatting>
  <conditionalFormatting sqref="C1849">
    <cfRule type="cellIs" dxfId="547" priority="5546" stopIfTrue="1" operator="equal">
      <formula>"2 Add"</formula>
    </cfRule>
  </conditionalFormatting>
  <conditionalFormatting sqref="C1849">
    <cfRule type="cellIs" dxfId="546" priority="5547" stopIfTrue="1" operator="equal">
      <formula>"3 Delete"</formula>
    </cfRule>
  </conditionalFormatting>
  <conditionalFormatting sqref="C1850">
    <cfRule type="cellIs" dxfId="545" priority="5548" stopIfTrue="1" operator="equal">
      <formula>"1 Modify"</formula>
    </cfRule>
  </conditionalFormatting>
  <conditionalFormatting sqref="C1850">
    <cfRule type="cellIs" dxfId="544" priority="5549" stopIfTrue="1" operator="equal">
      <formula>"2 Add"</formula>
    </cfRule>
  </conditionalFormatting>
  <conditionalFormatting sqref="C1850">
    <cfRule type="cellIs" dxfId="543" priority="5550" stopIfTrue="1" operator="equal">
      <formula>"3 Delete"</formula>
    </cfRule>
  </conditionalFormatting>
  <conditionalFormatting sqref="C1851">
    <cfRule type="cellIs" dxfId="542" priority="5551" stopIfTrue="1" operator="equal">
      <formula>"1 Modify"</formula>
    </cfRule>
  </conditionalFormatting>
  <conditionalFormatting sqref="C1851">
    <cfRule type="cellIs" dxfId="541" priority="5552" stopIfTrue="1" operator="equal">
      <formula>"2 Add"</formula>
    </cfRule>
  </conditionalFormatting>
  <conditionalFormatting sqref="C1851">
    <cfRule type="cellIs" dxfId="540" priority="5553" stopIfTrue="1" operator="equal">
      <formula>"3 Delete"</formula>
    </cfRule>
  </conditionalFormatting>
  <conditionalFormatting sqref="C1852">
    <cfRule type="cellIs" dxfId="539" priority="5554" stopIfTrue="1" operator="equal">
      <formula>"1 Modify"</formula>
    </cfRule>
  </conditionalFormatting>
  <conditionalFormatting sqref="C1852">
    <cfRule type="cellIs" dxfId="538" priority="5555" stopIfTrue="1" operator="equal">
      <formula>"2 Add"</formula>
    </cfRule>
  </conditionalFormatting>
  <conditionalFormatting sqref="C1852">
    <cfRule type="cellIs" dxfId="537" priority="5556" stopIfTrue="1" operator="equal">
      <formula>"3 Delete"</formula>
    </cfRule>
  </conditionalFormatting>
  <conditionalFormatting sqref="C1853">
    <cfRule type="cellIs" dxfId="536" priority="5557" stopIfTrue="1" operator="equal">
      <formula>"1 Modify"</formula>
    </cfRule>
  </conditionalFormatting>
  <conditionalFormatting sqref="C1853">
    <cfRule type="cellIs" dxfId="535" priority="5558" stopIfTrue="1" operator="equal">
      <formula>"2 Add"</formula>
    </cfRule>
  </conditionalFormatting>
  <conditionalFormatting sqref="C1853">
    <cfRule type="cellIs" dxfId="534" priority="5559" stopIfTrue="1" operator="equal">
      <formula>"3 Delete"</formula>
    </cfRule>
  </conditionalFormatting>
  <conditionalFormatting sqref="C1854">
    <cfRule type="cellIs" dxfId="533" priority="5560" stopIfTrue="1" operator="equal">
      <formula>"1 Modify"</formula>
    </cfRule>
  </conditionalFormatting>
  <conditionalFormatting sqref="C1854">
    <cfRule type="cellIs" dxfId="532" priority="5561" stopIfTrue="1" operator="equal">
      <formula>"2 Add"</formula>
    </cfRule>
  </conditionalFormatting>
  <conditionalFormatting sqref="C1854">
    <cfRule type="cellIs" dxfId="531" priority="5562" stopIfTrue="1" operator="equal">
      <formula>"3 Delete"</formula>
    </cfRule>
  </conditionalFormatting>
  <conditionalFormatting sqref="C1855">
    <cfRule type="cellIs" dxfId="530" priority="5563" stopIfTrue="1" operator="equal">
      <formula>"1 Modify"</formula>
    </cfRule>
  </conditionalFormatting>
  <conditionalFormatting sqref="C1855">
    <cfRule type="cellIs" dxfId="529" priority="5564" stopIfTrue="1" operator="equal">
      <formula>"2 Add"</formula>
    </cfRule>
  </conditionalFormatting>
  <conditionalFormatting sqref="C1855">
    <cfRule type="cellIs" dxfId="528" priority="5565" stopIfTrue="1" operator="equal">
      <formula>"3 Delete"</formula>
    </cfRule>
  </conditionalFormatting>
  <conditionalFormatting sqref="C1856">
    <cfRule type="cellIs" dxfId="527" priority="5566" stopIfTrue="1" operator="equal">
      <formula>"1 Modify"</formula>
    </cfRule>
  </conditionalFormatting>
  <conditionalFormatting sqref="C1856">
    <cfRule type="cellIs" dxfId="526" priority="5567" stopIfTrue="1" operator="equal">
      <formula>"2 Add"</formula>
    </cfRule>
  </conditionalFormatting>
  <conditionalFormatting sqref="C1856">
    <cfRule type="cellIs" dxfId="525" priority="5568" stopIfTrue="1" operator="equal">
      <formula>"3 Delete"</formula>
    </cfRule>
  </conditionalFormatting>
  <conditionalFormatting sqref="C1857">
    <cfRule type="cellIs" dxfId="524" priority="5569" stopIfTrue="1" operator="equal">
      <formula>"1 Modify"</formula>
    </cfRule>
  </conditionalFormatting>
  <conditionalFormatting sqref="C1857">
    <cfRule type="cellIs" dxfId="523" priority="5570" stopIfTrue="1" operator="equal">
      <formula>"2 Add"</formula>
    </cfRule>
  </conditionalFormatting>
  <conditionalFormatting sqref="C1857">
    <cfRule type="cellIs" dxfId="522" priority="5571" stopIfTrue="1" operator="equal">
      <formula>"3 Delete"</formula>
    </cfRule>
  </conditionalFormatting>
  <conditionalFormatting sqref="C1858">
    <cfRule type="cellIs" dxfId="521" priority="5572" stopIfTrue="1" operator="equal">
      <formula>"1 Modify"</formula>
    </cfRule>
  </conditionalFormatting>
  <conditionalFormatting sqref="C1858">
    <cfRule type="cellIs" dxfId="520" priority="5573" stopIfTrue="1" operator="equal">
      <formula>"2 Add"</formula>
    </cfRule>
  </conditionalFormatting>
  <conditionalFormatting sqref="C1858">
    <cfRule type="cellIs" dxfId="519" priority="5574" stopIfTrue="1" operator="equal">
      <formula>"3 Delete"</formula>
    </cfRule>
  </conditionalFormatting>
  <conditionalFormatting sqref="C1859">
    <cfRule type="cellIs" dxfId="518" priority="5575" stopIfTrue="1" operator="equal">
      <formula>"1 Modify"</formula>
    </cfRule>
  </conditionalFormatting>
  <conditionalFormatting sqref="C1859">
    <cfRule type="cellIs" dxfId="517" priority="5576" stopIfTrue="1" operator="equal">
      <formula>"2 Add"</formula>
    </cfRule>
  </conditionalFormatting>
  <conditionalFormatting sqref="C1859">
    <cfRule type="cellIs" dxfId="516" priority="5577" stopIfTrue="1" operator="equal">
      <formula>"3 Delete"</formula>
    </cfRule>
  </conditionalFormatting>
  <conditionalFormatting sqref="C1860">
    <cfRule type="cellIs" dxfId="515" priority="5578" stopIfTrue="1" operator="equal">
      <formula>"1 Modify"</formula>
    </cfRule>
  </conditionalFormatting>
  <conditionalFormatting sqref="C1860">
    <cfRule type="cellIs" dxfId="514" priority="5579" stopIfTrue="1" operator="equal">
      <formula>"2 Add"</formula>
    </cfRule>
  </conditionalFormatting>
  <conditionalFormatting sqref="C1860">
    <cfRule type="cellIs" dxfId="513" priority="5580" stopIfTrue="1" operator="equal">
      <formula>"3 Delete"</formula>
    </cfRule>
  </conditionalFormatting>
  <conditionalFormatting sqref="C1861">
    <cfRule type="cellIs" dxfId="512" priority="5581" stopIfTrue="1" operator="equal">
      <formula>"1 Modify"</formula>
    </cfRule>
  </conditionalFormatting>
  <conditionalFormatting sqref="C1861">
    <cfRule type="cellIs" dxfId="511" priority="5582" stopIfTrue="1" operator="equal">
      <formula>"2 Add"</formula>
    </cfRule>
  </conditionalFormatting>
  <conditionalFormatting sqref="C1861">
    <cfRule type="cellIs" dxfId="510" priority="5583" stopIfTrue="1" operator="equal">
      <formula>"3 Delete"</formula>
    </cfRule>
  </conditionalFormatting>
  <conditionalFormatting sqref="C1862">
    <cfRule type="cellIs" dxfId="509" priority="5584" stopIfTrue="1" operator="equal">
      <formula>"1 Modify"</formula>
    </cfRule>
  </conditionalFormatting>
  <conditionalFormatting sqref="C1862">
    <cfRule type="cellIs" dxfId="508" priority="5585" stopIfTrue="1" operator="equal">
      <formula>"2 Add"</formula>
    </cfRule>
  </conditionalFormatting>
  <conditionalFormatting sqref="C1862">
    <cfRule type="cellIs" dxfId="507" priority="5586" stopIfTrue="1" operator="equal">
      <formula>"3 Delete"</formula>
    </cfRule>
  </conditionalFormatting>
  <conditionalFormatting sqref="C1863">
    <cfRule type="cellIs" dxfId="506" priority="5587" stopIfTrue="1" operator="equal">
      <formula>"1 Modify"</formula>
    </cfRule>
  </conditionalFormatting>
  <conditionalFormatting sqref="C1863">
    <cfRule type="cellIs" dxfId="505" priority="5588" stopIfTrue="1" operator="equal">
      <formula>"2 Add"</formula>
    </cfRule>
  </conditionalFormatting>
  <conditionalFormatting sqref="C1863">
    <cfRule type="cellIs" dxfId="504" priority="5589" stopIfTrue="1" operator="equal">
      <formula>"3 Delete"</formula>
    </cfRule>
  </conditionalFormatting>
  <conditionalFormatting sqref="C1864">
    <cfRule type="cellIs" dxfId="503" priority="5590" stopIfTrue="1" operator="equal">
      <formula>"1 Modify"</formula>
    </cfRule>
  </conditionalFormatting>
  <conditionalFormatting sqref="C1864">
    <cfRule type="cellIs" dxfId="502" priority="5591" stopIfTrue="1" operator="equal">
      <formula>"2 Add"</formula>
    </cfRule>
  </conditionalFormatting>
  <conditionalFormatting sqref="C1864">
    <cfRule type="cellIs" dxfId="501" priority="5592" stopIfTrue="1" operator="equal">
      <formula>"3 Delete"</formula>
    </cfRule>
  </conditionalFormatting>
  <conditionalFormatting sqref="C1865">
    <cfRule type="cellIs" dxfId="500" priority="5593" stopIfTrue="1" operator="equal">
      <formula>"1 Modify"</formula>
    </cfRule>
  </conditionalFormatting>
  <conditionalFormatting sqref="C1865">
    <cfRule type="cellIs" dxfId="499" priority="5594" stopIfTrue="1" operator="equal">
      <formula>"2 Add"</formula>
    </cfRule>
  </conditionalFormatting>
  <conditionalFormatting sqref="C1865">
    <cfRule type="cellIs" dxfId="498" priority="5595" stopIfTrue="1" operator="equal">
      <formula>"3 Delete"</formula>
    </cfRule>
  </conditionalFormatting>
  <conditionalFormatting sqref="C1866">
    <cfRule type="cellIs" dxfId="497" priority="5596" stopIfTrue="1" operator="equal">
      <formula>"1 Modify"</formula>
    </cfRule>
  </conditionalFormatting>
  <conditionalFormatting sqref="C1866">
    <cfRule type="cellIs" dxfId="496" priority="5597" stopIfTrue="1" operator="equal">
      <formula>"2 Add"</formula>
    </cfRule>
  </conditionalFormatting>
  <conditionalFormatting sqref="C1866">
    <cfRule type="cellIs" dxfId="495" priority="5598" stopIfTrue="1" operator="equal">
      <formula>"3 Delete"</formula>
    </cfRule>
  </conditionalFormatting>
  <conditionalFormatting sqref="C1867">
    <cfRule type="cellIs" dxfId="494" priority="5599" stopIfTrue="1" operator="equal">
      <formula>"1 Modify"</formula>
    </cfRule>
  </conditionalFormatting>
  <conditionalFormatting sqref="C1867">
    <cfRule type="cellIs" dxfId="493" priority="5600" stopIfTrue="1" operator="equal">
      <formula>"2 Add"</formula>
    </cfRule>
  </conditionalFormatting>
  <conditionalFormatting sqref="C1867">
    <cfRule type="cellIs" dxfId="492" priority="5601" stopIfTrue="1" operator="equal">
      <formula>"3 Delete"</formula>
    </cfRule>
  </conditionalFormatting>
  <conditionalFormatting sqref="C1868">
    <cfRule type="cellIs" dxfId="491" priority="5602" stopIfTrue="1" operator="equal">
      <formula>"1 Modify"</formula>
    </cfRule>
  </conditionalFormatting>
  <conditionalFormatting sqref="C1868">
    <cfRule type="cellIs" dxfId="490" priority="5603" stopIfTrue="1" operator="equal">
      <formula>"2 Add"</formula>
    </cfRule>
  </conditionalFormatting>
  <conditionalFormatting sqref="C1868">
    <cfRule type="cellIs" dxfId="489" priority="5604" stopIfTrue="1" operator="equal">
      <formula>"3 Delete"</formula>
    </cfRule>
  </conditionalFormatting>
  <conditionalFormatting sqref="C1869">
    <cfRule type="cellIs" dxfId="488" priority="5605" stopIfTrue="1" operator="equal">
      <formula>"1 Modify"</formula>
    </cfRule>
  </conditionalFormatting>
  <conditionalFormatting sqref="C1869">
    <cfRule type="cellIs" dxfId="487" priority="5606" stopIfTrue="1" operator="equal">
      <formula>"2 Add"</formula>
    </cfRule>
  </conditionalFormatting>
  <conditionalFormatting sqref="C1869">
    <cfRule type="cellIs" dxfId="486" priority="5607" stopIfTrue="1" operator="equal">
      <formula>"3 Delete"</formula>
    </cfRule>
  </conditionalFormatting>
  <conditionalFormatting sqref="C1870">
    <cfRule type="cellIs" dxfId="485" priority="5608" stopIfTrue="1" operator="equal">
      <formula>"1 Modify"</formula>
    </cfRule>
  </conditionalFormatting>
  <conditionalFormatting sqref="C1870">
    <cfRule type="cellIs" dxfId="484" priority="5609" stopIfTrue="1" operator="equal">
      <formula>"2 Add"</formula>
    </cfRule>
  </conditionalFormatting>
  <conditionalFormatting sqref="C1870">
    <cfRule type="cellIs" dxfId="483" priority="5610" stopIfTrue="1" operator="equal">
      <formula>"3 Delete"</formula>
    </cfRule>
  </conditionalFormatting>
  <conditionalFormatting sqref="C1871">
    <cfRule type="cellIs" dxfId="482" priority="5611" stopIfTrue="1" operator="equal">
      <formula>"1 Modify"</formula>
    </cfRule>
  </conditionalFormatting>
  <conditionalFormatting sqref="C1871">
    <cfRule type="cellIs" dxfId="481" priority="5612" stopIfTrue="1" operator="equal">
      <formula>"2 Add"</formula>
    </cfRule>
  </conditionalFormatting>
  <conditionalFormatting sqref="C1871">
    <cfRule type="cellIs" dxfId="480" priority="5613" stopIfTrue="1" operator="equal">
      <formula>"3 Delete"</formula>
    </cfRule>
  </conditionalFormatting>
  <conditionalFormatting sqref="C1872">
    <cfRule type="cellIs" dxfId="479" priority="5614" stopIfTrue="1" operator="equal">
      <formula>"1 Modify"</formula>
    </cfRule>
  </conditionalFormatting>
  <conditionalFormatting sqref="C1872">
    <cfRule type="cellIs" dxfId="478" priority="5615" stopIfTrue="1" operator="equal">
      <formula>"2 Add"</formula>
    </cfRule>
  </conditionalFormatting>
  <conditionalFormatting sqref="C1872">
    <cfRule type="cellIs" dxfId="477" priority="5616" stopIfTrue="1" operator="equal">
      <formula>"3 Delete"</formula>
    </cfRule>
  </conditionalFormatting>
  <conditionalFormatting sqref="C1873">
    <cfRule type="cellIs" dxfId="476" priority="5617" stopIfTrue="1" operator="equal">
      <formula>"1 Modify"</formula>
    </cfRule>
  </conditionalFormatting>
  <conditionalFormatting sqref="C1873">
    <cfRule type="cellIs" dxfId="475" priority="5618" stopIfTrue="1" operator="equal">
      <formula>"2 Add"</formula>
    </cfRule>
  </conditionalFormatting>
  <conditionalFormatting sqref="C1873">
    <cfRule type="cellIs" dxfId="474" priority="5619" stopIfTrue="1" operator="equal">
      <formula>"3 Delete"</formula>
    </cfRule>
  </conditionalFormatting>
  <conditionalFormatting sqref="C1874">
    <cfRule type="cellIs" dxfId="473" priority="5620" stopIfTrue="1" operator="equal">
      <formula>"1 Modify"</formula>
    </cfRule>
  </conditionalFormatting>
  <conditionalFormatting sqref="C1874">
    <cfRule type="cellIs" dxfId="472" priority="5621" stopIfTrue="1" operator="equal">
      <formula>"2 Add"</formula>
    </cfRule>
  </conditionalFormatting>
  <conditionalFormatting sqref="C1874">
    <cfRule type="cellIs" dxfId="471" priority="5622" stopIfTrue="1" operator="equal">
      <formula>"3 Delete"</formula>
    </cfRule>
  </conditionalFormatting>
  <conditionalFormatting sqref="C1875">
    <cfRule type="cellIs" dxfId="470" priority="5623" stopIfTrue="1" operator="equal">
      <formula>"1 Modify"</formula>
    </cfRule>
  </conditionalFormatting>
  <conditionalFormatting sqref="C1875">
    <cfRule type="cellIs" dxfId="469" priority="5624" stopIfTrue="1" operator="equal">
      <formula>"2 Add"</formula>
    </cfRule>
  </conditionalFormatting>
  <conditionalFormatting sqref="C1875">
    <cfRule type="cellIs" dxfId="468" priority="5625" stopIfTrue="1" operator="equal">
      <formula>"3 Delete"</formula>
    </cfRule>
  </conditionalFormatting>
  <conditionalFormatting sqref="C1876">
    <cfRule type="cellIs" dxfId="467" priority="5626" stopIfTrue="1" operator="equal">
      <formula>"1 Modify"</formula>
    </cfRule>
  </conditionalFormatting>
  <conditionalFormatting sqref="C1876">
    <cfRule type="cellIs" dxfId="466" priority="5627" stopIfTrue="1" operator="equal">
      <formula>"2 Add"</formula>
    </cfRule>
  </conditionalFormatting>
  <conditionalFormatting sqref="C1876">
    <cfRule type="cellIs" dxfId="465" priority="5628" stopIfTrue="1" operator="equal">
      <formula>"3 Delete"</formula>
    </cfRule>
  </conditionalFormatting>
  <conditionalFormatting sqref="C1877">
    <cfRule type="cellIs" dxfId="464" priority="5629" stopIfTrue="1" operator="equal">
      <formula>"1 Modify"</formula>
    </cfRule>
  </conditionalFormatting>
  <conditionalFormatting sqref="C1877">
    <cfRule type="cellIs" dxfId="463" priority="5630" stopIfTrue="1" operator="equal">
      <formula>"2 Add"</formula>
    </cfRule>
  </conditionalFormatting>
  <conditionalFormatting sqref="C1877">
    <cfRule type="cellIs" dxfId="462" priority="5631" stopIfTrue="1" operator="equal">
      <formula>"3 Delete"</formula>
    </cfRule>
  </conditionalFormatting>
  <conditionalFormatting sqref="C1878">
    <cfRule type="cellIs" dxfId="461" priority="5632" stopIfTrue="1" operator="equal">
      <formula>"1 Modify"</formula>
    </cfRule>
  </conditionalFormatting>
  <conditionalFormatting sqref="C1878">
    <cfRule type="cellIs" dxfId="460" priority="5633" stopIfTrue="1" operator="equal">
      <formula>"2 Add"</formula>
    </cfRule>
  </conditionalFormatting>
  <conditionalFormatting sqref="C1878">
    <cfRule type="cellIs" dxfId="459" priority="5634" stopIfTrue="1" operator="equal">
      <formula>"3 Delete"</formula>
    </cfRule>
  </conditionalFormatting>
  <conditionalFormatting sqref="C1879">
    <cfRule type="cellIs" dxfId="458" priority="5635" stopIfTrue="1" operator="equal">
      <formula>"1 Modify"</formula>
    </cfRule>
  </conditionalFormatting>
  <conditionalFormatting sqref="C1879">
    <cfRule type="cellIs" dxfId="457" priority="5636" stopIfTrue="1" operator="equal">
      <formula>"2 Add"</formula>
    </cfRule>
  </conditionalFormatting>
  <conditionalFormatting sqref="C1879">
    <cfRule type="cellIs" dxfId="456" priority="5637" stopIfTrue="1" operator="equal">
      <formula>"3 Delete"</formula>
    </cfRule>
  </conditionalFormatting>
  <conditionalFormatting sqref="C1880">
    <cfRule type="cellIs" dxfId="455" priority="5638" stopIfTrue="1" operator="equal">
      <formula>"1 Modify"</formula>
    </cfRule>
  </conditionalFormatting>
  <conditionalFormatting sqref="C1880">
    <cfRule type="cellIs" dxfId="454" priority="5639" stopIfTrue="1" operator="equal">
      <formula>"2 Add"</formula>
    </cfRule>
  </conditionalFormatting>
  <conditionalFormatting sqref="C1880">
    <cfRule type="cellIs" dxfId="453" priority="5640" stopIfTrue="1" operator="equal">
      <formula>"3 Delete"</formula>
    </cfRule>
  </conditionalFormatting>
  <conditionalFormatting sqref="C1881">
    <cfRule type="cellIs" dxfId="452" priority="5641" stopIfTrue="1" operator="equal">
      <formula>"1 Modify"</formula>
    </cfRule>
  </conditionalFormatting>
  <conditionalFormatting sqref="C1881">
    <cfRule type="cellIs" dxfId="451" priority="5642" stopIfTrue="1" operator="equal">
      <formula>"2 Add"</formula>
    </cfRule>
  </conditionalFormatting>
  <conditionalFormatting sqref="C1881">
    <cfRule type="cellIs" dxfId="450" priority="5643" stopIfTrue="1" operator="equal">
      <formula>"3 Delete"</formula>
    </cfRule>
  </conditionalFormatting>
  <conditionalFormatting sqref="C1882">
    <cfRule type="cellIs" dxfId="449" priority="5644" stopIfTrue="1" operator="equal">
      <formula>"1 Modify"</formula>
    </cfRule>
  </conditionalFormatting>
  <conditionalFormatting sqref="C1882">
    <cfRule type="cellIs" dxfId="448" priority="5645" stopIfTrue="1" operator="equal">
      <formula>"2 Add"</formula>
    </cfRule>
  </conditionalFormatting>
  <conditionalFormatting sqref="C1882">
    <cfRule type="cellIs" dxfId="447" priority="5646" stopIfTrue="1" operator="equal">
      <formula>"3 Delete"</formula>
    </cfRule>
  </conditionalFormatting>
  <conditionalFormatting sqref="C1883">
    <cfRule type="cellIs" dxfId="446" priority="5647" stopIfTrue="1" operator="equal">
      <formula>"1 Modify"</formula>
    </cfRule>
  </conditionalFormatting>
  <conditionalFormatting sqref="C1883">
    <cfRule type="cellIs" dxfId="445" priority="5648" stopIfTrue="1" operator="equal">
      <formula>"2 Add"</formula>
    </cfRule>
  </conditionalFormatting>
  <conditionalFormatting sqref="C1883">
    <cfRule type="cellIs" dxfId="444" priority="5649" stopIfTrue="1" operator="equal">
      <formula>"3 Delete"</formula>
    </cfRule>
  </conditionalFormatting>
  <conditionalFormatting sqref="C1884">
    <cfRule type="cellIs" dxfId="443" priority="5650" stopIfTrue="1" operator="equal">
      <formula>"1 Modify"</formula>
    </cfRule>
  </conditionalFormatting>
  <conditionalFormatting sqref="C1884">
    <cfRule type="cellIs" dxfId="442" priority="5651" stopIfTrue="1" operator="equal">
      <formula>"2 Add"</formula>
    </cfRule>
  </conditionalFormatting>
  <conditionalFormatting sqref="C1884">
    <cfRule type="cellIs" dxfId="441" priority="5652" stopIfTrue="1" operator="equal">
      <formula>"3 Delete"</formula>
    </cfRule>
  </conditionalFormatting>
  <conditionalFormatting sqref="C1885">
    <cfRule type="cellIs" dxfId="440" priority="5653" stopIfTrue="1" operator="equal">
      <formula>"1 Modify"</formula>
    </cfRule>
  </conditionalFormatting>
  <conditionalFormatting sqref="C1885">
    <cfRule type="cellIs" dxfId="439" priority="5654" stopIfTrue="1" operator="equal">
      <formula>"2 Add"</formula>
    </cfRule>
  </conditionalFormatting>
  <conditionalFormatting sqref="C1885">
    <cfRule type="cellIs" dxfId="438" priority="5655" stopIfTrue="1" operator="equal">
      <formula>"3 Delete"</formula>
    </cfRule>
  </conditionalFormatting>
  <conditionalFormatting sqref="C1886">
    <cfRule type="cellIs" dxfId="437" priority="5656" stopIfTrue="1" operator="equal">
      <formula>"1 Modify"</formula>
    </cfRule>
  </conditionalFormatting>
  <conditionalFormatting sqref="C1886">
    <cfRule type="cellIs" dxfId="436" priority="5657" stopIfTrue="1" operator="equal">
      <formula>"2 Add"</formula>
    </cfRule>
  </conditionalFormatting>
  <conditionalFormatting sqref="C1886">
    <cfRule type="cellIs" dxfId="435" priority="5658" stopIfTrue="1" operator="equal">
      <formula>"3 Delete"</formula>
    </cfRule>
  </conditionalFormatting>
  <conditionalFormatting sqref="C1887">
    <cfRule type="cellIs" dxfId="434" priority="5659" stopIfTrue="1" operator="equal">
      <formula>"1 Modify"</formula>
    </cfRule>
  </conditionalFormatting>
  <conditionalFormatting sqref="C1887">
    <cfRule type="cellIs" dxfId="433" priority="5660" stopIfTrue="1" operator="equal">
      <formula>"2 Add"</formula>
    </cfRule>
  </conditionalFormatting>
  <conditionalFormatting sqref="C1887">
    <cfRule type="cellIs" dxfId="432" priority="5661" stopIfTrue="1" operator="equal">
      <formula>"3 Delete"</formula>
    </cfRule>
  </conditionalFormatting>
  <conditionalFormatting sqref="C1888">
    <cfRule type="cellIs" dxfId="431" priority="5662" stopIfTrue="1" operator="equal">
      <formula>"1 Modify"</formula>
    </cfRule>
  </conditionalFormatting>
  <conditionalFormatting sqref="C1888">
    <cfRule type="cellIs" dxfId="430" priority="5663" stopIfTrue="1" operator="equal">
      <formula>"2 Add"</formula>
    </cfRule>
  </conditionalFormatting>
  <conditionalFormatting sqref="C1888">
    <cfRule type="cellIs" dxfId="429" priority="5664" stopIfTrue="1" operator="equal">
      <formula>"3 Delete"</formula>
    </cfRule>
  </conditionalFormatting>
  <conditionalFormatting sqref="C1889">
    <cfRule type="cellIs" dxfId="428" priority="5665" stopIfTrue="1" operator="equal">
      <formula>"1 Modify"</formula>
    </cfRule>
  </conditionalFormatting>
  <conditionalFormatting sqref="C1889">
    <cfRule type="cellIs" dxfId="427" priority="5666" stopIfTrue="1" operator="equal">
      <formula>"2 Add"</formula>
    </cfRule>
  </conditionalFormatting>
  <conditionalFormatting sqref="C1889">
    <cfRule type="cellIs" dxfId="426" priority="5667" stopIfTrue="1" operator="equal">
      <formula>"3 Delete"</formula>
    </cfRule>
  </conditionalFormatting>
  <conditionalFormatting sqref="C1890">
    <cfRule type="cellIs" dxfId="425" priority="5668" stopIfTrue="1" operator="equal">
      <formula>"1 Modify"</formula>
    </cfRule>
  </conditionalFormatting>
  <conditionalFormatting sqref="C1890">
    <cfRule type="cellIs" dxfId="424" priority="5669" stopIfTrue="1" operator="equal">
      <formula>"2 Add"</formula>
    </cfRule>
  </conditionalFormatting>
  <conditionalFormatting sqref="C1890">
    <cfRule type="cellIs" dxfId="423" priority="5670" stopIfTrue="1" operator="equal">
      <formula>"3 Delete"</formula>
    </cfRule>
  </conditionalFormatting>
  <conditionalFormatting sqref="C1891">
    <cfRule type="cellIs" dxfId="422" priority="5671" stopIfTrue="1" operator="equal">
      <formula>"1 Modify"</formula>
    </cfRule>
  </conditionalFormatting>
  <conditionalFormatting sqref="C1891">
    <cfRule type="cellIs" dxfId="421" priority="5672" stopIfTrue="1" operator="equal">
      <formula>"2 Add"</formula>
    </cfRule>
  </conditionalFormatting>
  <conditionalFormatting sqref="C1891">
    <cfRule type="cellIs" dxfId="420" priority="5673" stopIfTrue="1" operator="equal">
      <formula>"3 Delete"</formula>
    </cfRule>
  </conditionalFormatting>
  <conditionalFormatting sqref="C1892">
    <cfRule type="cellIs" dxfId="419" priority="5674" stopIfTrue="1" operator="equal">
      <formula>"1 Modify"</formula>
    </cfRule>
  </conditionalFormatting>
  <conditionalFormatting sqref="C1892">
    <cfRule type="cellIs" dxfId="418" priority="5675" stopIfTrue="1" operator="equal">
      <formula>"2 Add"</formula>
    </cfRule>
  </conditionalFormatting>
  <conditionalFormatting sqref="C1892">
    <cfRule type="cellIs" dxfId="417" priority="5676" stopIfTrue="1" operator="equal">
      <formula>"3 Delete"</formula>
    </cfRule>
  </conditionalFormatting>
  <conditionalFormatting sqref="C1893">
    <cfRule type="cellIs" dxfId="416" priority="5677" stopIfTrue="1" operator="equal">
      <formula>"1 Modify"</formula>
    </cfRule>
  </conditionalFormatting>
  <conditionalFormatting sqref="C1893">
    <cfRule type="cellIs" dxfId="415" priority="5678" stopIfTrue="1" operator="equal">
      <formula>"2 Add"</formula>
    </cfRule>
  </conditionalFormatting>
  <conditionalFormatting sqref="C1893">
    <cfRule type="cellIs" dxfId="414" priority="5679" stopIfTrue="1" operator="equal">
      <formula>"3 Delete"</formula>
    </cfRule>
  </conditionalFormatting>
  <conditionalFormatting sqref="C1894">
    <cfRule type="cellIs" dxfId="413" priority="5680" stopIfTrue="1" operator="equal">
      <formula>"1 Modify"</formula>
    </cfRule>
  </conditionalFormatting>
  <conditionalFormatting sqref="C1894">
    <cfRule type="cellIs" dxfId="412" priority="5681" stopIfTrue="1" operator="equal">
      <formula>"2 Add"</formula>
    </cfRule>
  </conditionalFormatting>
  <conditionalFormatting sqref="C1894">
    <cfRule type="cellIs" dxfId="411" priority="5682" stopIfTrue="1" operator="equal">
      <formula>"3 Delete"</formula>
    </cfRule>
  </conditionalFormatting>
  <conditionalFormatting sqref="C1895">
    <cfRule type="cellIs" dxfId="410" priority="5683" stopIfTrue="1" operator="equal">
      <formula>"1 Modify"</formula>
    </cfRule>
  </conditionalFormatting>
  <conditionalFormatting sqref="C1895">
    <cfRule type="cellIs" dxfId="409" priority="5684" stopIfTrue="1" operator="equal">
      <formula>"2 Add"</formula>
    </cfRule>
  </conditionalFormatting>
  <conditionalFormatting sqref="C1895">
    <cfRule type="cellIs" dxfId="408" priority="5685" stopIfTrue="1" operator="equal">
      <formula>"3 Delete"</formula>
    </cfRule>
  </conditionalFormatting>
  <conditionalFormatting sqref="C1896">
    <cfRule type="cellIs" dxfId="407" priority="5686" stopIfTrue="1" operator="equal">
      <formula>"1 Modify"</formula>
    </cfRule>
  </conditionalFormatting>
  <conditionalFormatting sqref="C1896">
    <cfRule type="cellIs" dxfId="406" priority="5687" stopIfTrue="1" operator="equal">
      <formula>"2 Add"</formula>
    </cfRule>
  </conditionalFormatting>
  <conditionalFormatting sqref="C1896">
    <cfRule type="cellIs" dxfId="405" priority="5688" stopIfTrue="1" operator="equal">
      <formula>"3 Delete"</formula>
    </cfRule>
  </conditionalFormatting>
  <conditionalFormatting sqref="C1897">
    <cfRule type="cellIs" dxfId="404" priority="5689" stopIfTrue="1" operator="equal">
      <formula>"1 Modify"</formula>
    </cfRule>
  </conditionalFormatting>
  <conditionalFormatting sqref="C1897">
    <cfRule type="cellIs" dxfId="403" priority="5690" stopIfTrue="1" operator="equal">
      <formula>"2 Add"</formula>
    </cfRule>
  </conditionalFormatting>
  <conditionalFormatting sqref="C1897">
    <cfRule type="cellIs" dxfId="402" priority="5691" stopIfTrue="1" operator="equal">
      <formula>"3 Delete"</formula>
    </cfRule>
  </conditionalFormatting>
  <conditionalFormatting sqref="C1898">
    <cfRule type="cellIs" dxfId="401" priority="5692" stopIfTrue="1" operator="equal">
      <formula>"1 Modify"</formula>
    </cfRule>
  </conditionalFormatting>
  <conditionalFormatting sqref="C1898">
    <cfRule type="cellIs" dxfId="400" priority="5693" stopIfTrue="1" operator="equal">
      <formula>"2 Add"</formula>
    </cfRule>
  </conditionalFormatting>
  <conditionalFormatting sqref="C1898">
    <cfRule type="cellIs" dxfId="399" priority="5694" stopIfTrue="1" operator="equal">
      <formula>"3 Delete"</formula>
    </cfRule>
  </conditionalFormatting>
  <conditionalFormatting sqref="C1899">
    <cfRule type="cellIs" dxfId="398" priority="5695" stopIfTrue="1" operator="equal">
      <formula>"1 Modify"</formula>
    </cfRule>
  </conditionalFormatting>
  <conditionalFormatting sqref="C1899">
    <cfRule type="cellIs" dxfId="397" priority="5696" stopIfTrue="1" operator="equal">
      <formula>"2 Add"</formula>
    </cfRule>
  </conditionalFormatting>
  <conditionalFormatting sqref="C1899">
    <cfRule type="cellIs" dxfId="396" priority="5697" stopIfTrue="1" operator="equal">
      <formula>"3 Delete"</formula>
    </cfRule>
  </conditionalFormatting>
  <conditionalFormatting sqref="C1900">
    <cfRule type="cellIs" dxfId="395" priority="5698" stopIfTrue="1" operator="equal">
      <formula>"1 Modify"</formula>
    </cfRule>
  </conditionalFormatting>
  <conditionalFormatting sqref="C1900">
    <cfRule type="cellIs" dxfId="394" priority="5699" stopIfTrue="1" operator="equal">
      <formula>"2 Add"</formula>
    </cfRule>
  </conditionalFormatting>
  <conditionalFormatting sqref="C1900">
    <cfRule type="cellIs" dxfId="393" priority="5700" stopIfTrue="1" operator="equal">
      <formula>"3 Delete"</formula>
    </cfRule>
  </conditionalFormatting>
  <conditionalFormatting sqref="C1901">
    <cfRule type="cellIs" dxfId="392" priority="5701" stopIfTrue="1" operator="equal">
      <formula>"1 Modify"</formula>
    </cfRule>
  </conditionalFormatting>
  <conditionalFormatting sqref="C1901">
    <cfRule type="cellIs" dxfId="391" priority="5702" stopIfTrue="1" operator="equal">
      <formula>"2 Add"</formula>
    </cfRule>
  </conditionalFormatting>
  <conditionalFormatting sqref="C1901">
    <cfRule type="cellIs" dxfId="390" priority="5703" stopIfTrue="1" operator="equal">
      <formula>"3 Delete"</formula>
    </cfRule>
  </conditionalFormatting>
  <conditionalFormatting sqref="C1902">
    <cfRule type="cellIs" dxfId="389" priority="5704" stopIfTrue="1" operator="equal">
      <formula>"1 Modify"</formula>
    </cfRule>
  </conditionalFormatting>
  <conditionalFormatting sqref="C1902">
    <cfRule type="cellIs" dxfId="388" priority="5705" stopIfTrue="1" operator="equal">
      <formula>"2 Add"</formula>
    </cfRule>
  </conditionalFormatting>
  <conditionalFormatting sqref="C1902">
    <cfRule type="cellIs" dxfId="387" priority="5706" stopIfTrue="1" operator="equal">
      <formula>"3 Delete"</formula>
    </cfRule>
  </conditionalFormatting>
  <conditionalFormatting sqref="C1903">
    <cfRule type="cellIs" dxfId="386" priority="5707" stopIfTrue="1" operator="equal">
      <formula>"1 Modify"</formula>
    </cfRule>
  </conditionalFormatting>
  <conditionalFormatting sqref="C1903">
    <cfRule type="cellIs" dxfId="385" priority="5708" stopIfTrue="1" operator="equal">
      <formula>"2 Add"</formula>
    </cfRule>
  </conditionalFormatting>
  <conditionalFormatting sqref="C1903">
    <cfRule type="cellIs" dxfId="384" priority="5709" stopIfTrue="1" operator="equal">
      <formula>"3 Delete"</formula>
    </cfRule>
  </conditionalFormatting>
  <conditionalFormatting sqref="C1904">
    <cfRule type="cellIs" dxfId="383" priority="5710" stopIfTrue="1" operator="equal">
      <formula>"1 Modify"</formula>
    </cfRule>
  </conditionalFormatting>
  <conditionalFormatting sqref="C1904">
    <cfRule type="cellIs" dxfId="382" priority="5711" stopIfTrue="1" operator="equal">
      <formula>"2 Add"</formula>
    </cfRule>
  </conditionalFormatting>
  <conditionalFormatting sqref="C1904">
    <cfRule type="cellIs" dxfId="381" priority="5712" stopIfTrue="1" operator="equal">
      <formula>"3 Delete"</formula>
    </cfRule>
  </conditionalFormatting>
  <conditionalFormatting sqref="C1905">
    <cfRule type="cellIs" dxfId="380" priority="5713" stopIfTrue="1" operator="equal">
      <formula>"1 Modify"</formula>
    </cfRule>
  </conditionalFormatting>
  <conditionalFormatting sqref="C1905">
    <cfRule type="cellIs" dxfId="379" priority="5714" stopIfTrue="1" operator="equal">
      <formula>"2 Add"</formula>
    </cfRule>
  </conditionalFormatting>
  <conditionalFormatting sqref="C1905">
    <cfRule type="cellIs" dxfId="378" priority="5715" stopIfTrue="1" operator="equal">
      <formula>"3 Delete"</formula>
    </cfRule>
  </conditionalFormatting>
  <conditionalFormatting sqref="C1906">
    <cfRule type="cellIs" dxfId="377" priority="5716" stopIfTrue="1" operator="equal">
      <formula>"1 Modify"</formula>
    </cfRule>
  </conditionalFormatting>
  <conditionalFormatting sqref="C1906">
    <cfRule type="cellIs" dxfId="376" priority="5717" stopIfTrue="1" operator="equal">
      <formula>"2 Add"</formula>
    </cfRule>
  </conditionalFormatting>
  <conditionalFormatting sqref="C1906">
    <cfRule type="cellIs" dxfId="375" priority="5718" stopIfTrue="1" operator="equal">
      <formula>"3 Delete"</formula>
    </cfRule>
  </conditionalFormatting>
  <conditionalFormatting sqref="C1907">
    <cfRule type="cellIs" dxfId="374" priority="5719" stopIfTrue="1" operator="equal">
      <formula>"1 Modify"</formula>
    </cfRule>
  </conditionalFormatting>
  <conditionalFormatting sqref="C1907">
    <cfRule type="cellIs" dxfId="373" priority="5720" stopIfTrue="1" operator="equal">
      <formula>"2 Add"</formula>
    </cfRule>
  </conditionalFormatting>
  <conditionalFormatting sqref="C1907">
    <cfRule type="cellIs" dxfId="372" priority="5721" stopIfTrue="1" operator="equal">
      <formula>"3 Delete"</formula>
    </cfRule>
  </conditionalFormatting>
  <conditionalFormatting sqref="C1908">
    <cfRule type="cellIs" dxfId="371" priority="5722" stopIfTrue="1" operator="equal">
      <formula>"1 Modify"</formula>
    </cfRule>
  </conditionalFormatting>
  <conditionalFormatting sqref="C1908">
    <cfRule type="cellIs" dxfId="370" priority="5723" stopIfTrue="1" operator="equal">
      <formula>"2 Add"</formula>
    </cfRule>
  </conditionalFormatting>
  <conditionalFormatting sqref="C1908">
    <cfRule type="cellIs" dxfId="369" priority="5724" stopIfTrue="1" operator="equal">
      <formula>"3 Delete"</formula>
    </cfRule>
  </conditionalFormatting>
  <conditionalFormatting sqref="C1909">
    <cfRule type="cellIs" dxfId="368" priority="5725" stopIfTrue="1" operator="equal">
      <formula>"1 Modify"</formula>
    </cfRule>
  </conditionalFormatting>
  <conditionalFormatting sqref="C1909">
    <cfRule type="cellIs" dxfId="367" priority="5726" stopIfTrue="1" operator="equal">
      <formula>"2 Add"</formula>
    </cfRule>
  </conditionalFormatting>
  <conditionalFormatting sqref="C1909">
    <cfRule type="cellIs" dxfId="366" priority="5727" stopIfTrue="1" operator="equal">
      <formula>"3 Delete"</formula>
    </cfRule>
  </conditionalFormatting>
  <conditionalFormatting sqref="C1910">
    <cfRule type="cellIs" dxfId="365" priority="5728" stopIfTrue="1" operator="equal">
      <formula>"1 Modify"</formula>
    </cfRule>
  </conditionalFormatting>
  <conditionalFormatting sqref="C1910">
    <cfRule type="cellIs" dxfId="364" priority="5729" stopIfTrue="1" operator="equal">
      <formula>"2 Add"</formula>
    </cfRule>
  </conditionalFormatting>
  <conditionalFormatting sqref="C1910">
    <cfRule type="cellIs" dxfId="363" priority="5730" stopIfTrue="1" operator="equal">
      <formula>"3 Delete"</formula>
    </cfRule>
  </conditionalFormatting>
  <conditionalFormatting sqref="C1911">
    <cfRule type="cellIs" dxfId="362" priority="5731" stopIfTrue="1" operator="equal">
      <formula>"1 Modify"</formula>
    </cfRule>
  </conditionalFormatting>
  <conditionalFormatting sqref="C1911">
    <cfRule type="cellIs" dxfId="361" priority="5732" stopIfTrue="1" operator="equal">
      <formula>"2 Add"</formula>
    </cfRule>
  </conditionalFormatting>
  <conditionalFormatting sqref="C1911">
    <cfRule type="cellIs" dxfId="360" priority="5733" stopIfTrue="1" operator="equal">
      <formula>"3 Delete"</formula>
    </cfRule>
  </conditionalFormatting>
  <conditionalFormatting sqref="C1912">
    <cfRule type="cellIs" dxfId="359" priority="5734" stopIfTrue="1" operator="equal">
      <formula>"1 Modify"</formula>
    </cfRule>
  </conditionalFormatting>
  <conditionalFormatting sqref="C1912">
    <cfRule type="cellIs" dxfId="358" priority="5735" stopIfTrue="1" operator="equal">
      <formula>"2 Add"</formula>
    </cfRule>
  </conditionalFormatting>
  <conditionalFormatting sqref="C1912">
    <cfRule type="cellIs" dxfId="357" priority="5736" stopIfTrue="1" operator="equal">
      <formula>"3 Delete"</formula>
    </cfRule>
  </conditionalFormatting>
  <conditionalFormatting sqref="C1913">
    <cfRule type="cellIs" dxfId="356" priority="5737" stopIfTrue="1" operator="equal">
      <formula>"1 Modify"</formula>
    </cfRule>
  </conditionalFormatting>
  <conditionalFormatting sqref="C1913">
    <cfRule type="cellIs" dxfId="355" priority="5738" stopIfTrue="1" operator="equal">
      <formula>"2 Add"</formula>
    </cfRule>
  </conditionalFormatting>
  <conditionalFormatting sqref="C1913">
    <cfRule type="cellIs" dxfId="354" priority="5739" stopIfTrue="1" operator="equal">
      <formula>"3 Delete"</formula>
    </cfRule>
  </conditionalFormatting>
  <conditionalFormatting sqref="C1914">
    <cfRule type="cellIs" dxfId="353" priority="5740" stopIfTrue="1" operator="equal">
      <formula>"1 Modify"</formula>
    </cfRule>
  </conditionalFormatting>
  <conditionalFormatting sqref="C1914">
    <cfRule type="cellIs" dxfId="352" priority="5741" stopIfTrue="1" operator="equal">
      <formula>"2 Add"</formula>
    </cfRule>
  </conditionalFormatting>
  <conditionalFormatting sqref="C1914">
    <cfRule type="cellIs" dxfId="351" priority="5742" stopIfTrue="1" operator="equal">
      <formula>"3 Delete"</formula>
    </cfRule>
  </conditionalFormatting>
  <conditionalFormatting sqref="C1915">
    <cfRule type="cellIs" dxfId="350" priority="5743" stopIfTrue="1" operator="equal">
      <formula>"1 Modify"</formula>
    </cfRule>
  </conditionalFormatting>
  <conditionalFormatting sqref="C1915">
    <cfRule type="cellIs" dxfId="349" priority="5744" stopIfTrue="1" operator="equal">
      <formula>"2 Add"</formula>
    </cfRule>
  </conditionalFormatting>
  <conditionalFormatting sqref="C1915">
    <cfRule type="cellIs" dxfId="348" priority="5745" stopIfTrue="1" operator="equal">
      <formula>"3 Delete"</formula>
    </cfRule>
  </conditionalFormatting>
  <conditionalFormatting sqref="C1916">
    <cfRule type="cellIs" dxfId="347" priority="5746" stopIfTrue="1" operator="equal">
      <formula>"1 Modify"</formula>
    </cfRule>
  </conditionalFormatting>
  <conditionalFormatting sqref="C1916">
    <cfRule type="cellIs" dxfId="346" priority="5747" stopIfTrue="1" operator="equal">
      <formula>"2 Add"</formula>
    </cfRule>
  </conditionalFormatting>
  <conditionalFormatting sqref="C1916">
    <cfRule type="cellIs" dxfId="345" priority="5748" stopIfTrue="1" operator="equal">
      <formula>"3 Delete"</formula>
    </cfRule>
  </conditionalFormatting>
  <conditionalFormatting sqref="C1917">
    <cfRule type="cellIs" dxfId="344" priority="5749" stopIfTrue="1" operator="equal">
      <formula>"1 Modify"</formula>
    </cfRule>
  </conditionalFormatting>
  <conditionalFormatting sqref="C1917">
    <cfRule type="cellIs" dxfId="343" priority="5750" stopIfTrue="1" operator="equal">
      <formula>"2 Add"</formula>
    </cfRule>
  </conditionalFormatting>
  <conditionalFormatting sqref="C1917">
    <cfRule type="cellIs" dxfId="342" priority="5751" stopIfTrue="1" operator="equal">
      <formula>"3 Delete"</formula>
    </cfRule>
  </conditionalFormatting>
  <conditionalFormatting sqref="C1918">
    <cfRule type="cellIs" dxfId="341" priority="5752" stopIfTrue="1" operator="equal">
      <formula>"1 Modify"</formula>
    </cfRule>
  </conditionalFormatting>
  <conditionalFormatting sqref="C1918">
    <cfRule type="cellIs" dxfId="340" priority="5753" stopIfTrue="1" operator="equal">
      <formula>"2 Add"</formula>
    </cfRule>
  </conditionalFormatting>
  <conditionalFormatting sqref="C1918">
    <cfRule type="cellIs" dxfId="339" priority="5754" stopIfTrue="1" operator="equal">
      <formula>"3 Delete"</formula>
    </cfRule>
  </conditionalFormatting>
  <conditionalFormatting sqref="C1919">
    <cfRule type="cellIs" dxfId="338" priority="5755" stopIfTrue="1" operator="equal">
      <formula>"1 Modify"</formula>
    </cfRule>
  </conditionalFormatting>
  <conditionalFormatting sqref="C1919">
    <cfRule type="cellIs" dxfId="337" priority="5756" stopIfTrue="1" operator="equal">
      <formula>"2 Add"</formula>
    </cfRule>
  </conditionalFormatting>
  <conditionalFormatting sqref="C1919">
    <cfRule type="cellIs" dxfId="336" priority="5757" stopIfTrue="1" operator="equal">
      <formula>"3 Delete"</formula>
    </cfRule>
  </conditionalFormatting>
  <conditionalFormatting sqref="C1920">
    <cfRule type="cellIs" dxfId="335" priority="5758" stopIfTrue="1" operator="equal">
      <formula>"1 Modify"</formula>
    </cfRule>
  </conditionalFormatting>
  <conditionalFormatting sqref="C1920">
    <cfRule type="cellIs" dxfId="334" priority="5759" stopIfTrue="1" operator="equal">
      <formula>"2 Add"</formula>
    </cfRule>
  </conditionalFormatting>
  <conditionalFormatting sqref="C1920">
    <cfRule type="cellIs" dxfId="333" priority="5760" stopIfTrue="1" operator="equal">
      <formula>"3 Delete"</formula>
    </cfRule>
  </conditionalFormatting>
  <conditionalFormatting sqref="C1921">
    <cfRule type="cellIs" dxfId="332" priority="5761" stopIfTrue="1" operator="equal">
      <formula>"1 Modify"</formula>
    </cfRule>
  </conditionalFormatting>
  <conditionalFormatting sqref="C1921">
    <cfRule type="cellIs" dxfId="331" priority="5762" stopIfTrue="1" operator="equal">
      <formula>"2 Add"</formula>
    </cfRule>
  </conditionalFormatting>
  <conditionalFormatting sqref="C1921">
    <cfRule type="cellIs" dxfId="330" priority="5763" stopIfTrue="1" operator="equal">
      <formula>"3 Delete"</formula>
    </cfRule>
  </conditionalFormatting>
  <conditionalFormatting sqref="C1922">
    <cfRule type="cellIs" dxfId="329" priority="5764" stopIfTrue="1" operator="equal">
      <formula>"1 Modify"</formula>
    </cfRule>
  </conditionalFormatting>
  <conditionalFormatting sqref="C1922">
    <cfRule type="cellIs" dxfId="328" priority="5765" stopIfTrue="1" operator="equal">
      <formula>"2 Add"</formula>
    </cfRule>
  </conditionalFormatting>
  <conditionalFormatting sqref="C1922">
    <cfRule type="cellIs" dxfId="327" priority="5766" stopIfTrue="1" operator="equal">
      <formula>"3 Delete"</formula>
    </cfRule>
  </conditionalFormatting>
  <conditionalFormatting sqref="C1923">
    <cfRule type="cellIs" dxfId="326" priority="5767" stopIfTrue="1" operator="equal">
      <formula>"1 Modify"</formula>
    </cfRule>
  </conditionalFormatting>
  <conditionalFormatting sqref="C1923">
    <cfRule type="cellIs" dxfId="325" priority="5768" stopIfTrue="1" operator="equal">
      <formula>"2 Add"</formula>
    </cfRule>
  </conditionalFormatting>
  <conditionalFormatting sqref="C1923">
    <cfRule type="cellIs" dxfId="324" priority="5769" stopIfTrue="1" operator="equal">
      <formula>"3 Delete"</formula>
    </cfRule>
  </conditionalFormatting>
  <conditionalFormatting sqref="C1924">
    <cfRule type="cellIs" dxfId="323" priority="5770" stopIfTrue="1" operator="equal">
      <formula>"1 Modify"</formula>
    </cfRule>
  </conditionalFormatting>
  <conditionalFormatting sqref="C1924">
    <cfRule type="cellIs" dxfId="322" priority="5771" stopIfTrue="1" operator="equal">
      <formula>"2 Add"</formula>
    </cfRule>
  </conditionalFormatting>
  <conditionalFormatting sqref="C1924">
    <cfRule type="cellIs" dxfId="321" priority="5772" stopIfTrue="1" operator="equal">
      <formula>"3 Delete"</formula>
    </cfRule>
  </conditionalFormatting>
  <conditionalFormatting sqref="C1925">
    <cfRule type="cellIs" dxfId="320" priority="5773" stopIfTrue="1" operator="equal">
      <formula>"1 Modify"</formula>
    </cfRule>
  </conditionalFormatting>
  <conditionalFormatting sqref="C1925">
    <cfRule type="cellIs" dxfId="319" priority="5774" stopIfTrue="1" operator="equal">
      <formula>"2 Add"</formula>
    </cfRule>
  </conditionalFormatting>
  <conditionalFormatting sqref="C1925">
    <cfRule type="cellIs" dxfId="318" priority="5775" stopIfTrue="1" operator="equal">
      <formula>"3 Delete"</formula>
    </cfRule>
  </conditionalFormatting>
  <conditionalFormatting sqref="C1926">
    <cfRule type="cellIs" dxfId="317" priority="5776" stopIfTrue="1" operator="equal">
      <formula>"1 Modify"</formula>
    </cfRule>
  </conditionalFormatting>
  <conditionalFormatting sqref="C1926">
    <cfRule type="cellIs" dxfId="316" priority="5777" stopIfTrue="1" operator="equal">
      <formula>"2 Add"</formula>
    </cfRule>
  </conditionalFormatting>
  <conditionalFormatting sqref="C1926">
    <cfRule type="cellIs" dxfId="315" priority="5778" stopIfTrue="1" operator="equal">
      <formula>"3 Delete"</formula>
    </cfRule>
  </conditionalFormatting>
  <conditionalFormatting sqref="C1927">
    <cfRule type="cellIs" dxfId="314" priority="5779" stopIfTrue="1" operator="equal">
      <formula>"1 Modify"</formula>
    </cfRule>
  </conditionalFormatting>
  <conditionalFormatting sqref="C1927">
    <cfRule type="cellIs" dxfId="313" priority="5780" stopIfTrue="1" operator="equal">
      <formula>"2 Add"</formula>
    </cfRule>
  </conditionalFormatting>
  <conditionalFormatting sqref="C1927">
    <cfRule type="cellIs" dxfId="312" priority="5781" stopIfTrue="1" operator="equal">
      <formula>"3 Delete"</formula>
    </cfRule>
  </conditionalFormatting>
  <conditionalFormatting sqref="C1928">
    <cfRule type="cellIs" dxfId="311" priority="5782" stopIfTrue="1" operator="equal">
      <formula>"1 Modify"</formula>
    </cfRule>
  </conditionalFormatting>
  <conditionalFormatting sqref="C1928">
    <cfRule type="cellIs" dxfId="310" priority="5783" stopIfTrue="1" operator="equal">
      <formula>"2 Add"</formula>
    </cfRule>
  </conditionalFormatting>
  <conditionalFormatting sqref="C1928">
    <cfRule type="cellIs" dxfId="309" priority="5784" stopIfTrue="1" operator="equal">
      <formula>"3 Delete"</formula>
    </cfRule>
  </conditionalFormatting>
  <conditionalFormatting sqref="C1929">
    <cfRule type="cellIs" dxfId="308" priority="5785" stopIfTrue="1" operator="equal">
      <formula>"1 Modify"</formula>
    </cfRule>
  </conditionalFormatting>
  <conditionalFormatting sqref="C1929">
    <cfRule type="cellIs" dxfId="307" priority="5786" stopIfTrue="1" operator="equal">
      <formula>"2 Add"</formula>
    </cfRule>
  </conditionalFormatting>
  <conditionalFormatting sqref="C1929">
    <cfRule type="cellIs" dxfId="306" priority="5787" stopIfTrue="1" operator="equal">
      <formula>"3 Delete"</formula>
    </cfRule>
  </conditionalFormatting>
  <conditionalFormatting sqref="C1930">
    <cfRule type="cellIs" dxfId="305" priority="5788" stopIfTrue="1" operator="equal">
      <formula>"1 Modify"</formula>
    </cfRule>
  </conditionalFormatting>
  <conditionalFormatting sqref="C1930">
    <cfRule type="cellIs" dxfId="304" priority="5789" stopIfTrue="1" operator="equal">
      <formula>"2 Add"</formula>
    </cfRule>
  </conditionalFormatting>
  <conditionalFormatting sqref="C1930">
    <cfRule type="cellIs" dxfId="303" priority="5790" stopIfTrue="1" operator="equal">
      <formula>"3 Delete"</formula>
    </cfRule>
  </conditionalFormatting>
  <conditionalFormatting sqref="C1931">
    <cfRule type="cellIs" dxfId="302" priority="5791" stopIfTrue="1" operator="equal">
      <formula>"1 Modify"</formula>
    </cfRule>
  </conditionalFormatting>
  <conditionalFormatting sqref="C1931">
    <cfRule type="cellIs" dxfId="301" priority="5792" stopIfTrue="1" operator="equal">
      <formula>"2 Add"</formula>
    </cfRule>
  </conditionalFormatting>
  <conditionalFormatting sqref="C1931">
    <cfRule type="cellIs" dxfId="300" priority="5793" stopIfTrue="1" operator="equal">
      <formula>"3 Delete"</formula>
    </cfRule>
  </conditionalFormatting>
  <conditionalFormatting sqref="C1932">
    <cfRule type="cellIs" dxfId="299" priority="5794" stopIfTrue="1" operator="equal">
      <formula>"1 Modify"</formula>
    </cfRule>
  </conditionalFormatting>
  <conditionalFormatting sqref="C1932">
    <cfRule type="cellIs" dxfId="298" priority="5795" stopIfTrue="1" operator="equal">
      <formula>"2 Add"</formula>
    </cfRule>
  </conditionalFormatting>
  <conditionalFormatting sqref="C1932">
    <cfRule type="cellIs" dxfId="297" priority="5796" stopIfTrue="1" operator="equal">
      <formula>"3 Delete"</formula>
    </cfRule>
  </conditionalFormatting>
  <conditionalFormatting sqref="C1933">
    <cfRule type="cellIs" dxfId="296" priority="5797" stopIfTrue="1" operator="equal">
      <formula>"1 Modify"</formula>
    </cfRule>
  </conditionalFormatting>
  <conditionalFormatting sqref="C1933">
    <cfRule type="cellIs" dxfId="295" priority="5798" stopIfTrue="1" operator="equal">
      <formula>"2 Add"</formula>
    </cfRule>
  </conditionalFormatting>
  <conditionalFormatting sqref="C1933">
    <cfRule type="cellIs" dxfId="294" priority="5799" stopIfTrue="1" operator="equal">
      <formula>"3 Delete"</formula>
    </cfRule>
  </conditionalFormatting>
  <conditionalFormatting sqref="C1934">
    <cfRule type="cellIs" dxfId="293" priority="5800" stopIfTrue="1" operator="equal">
      <formula>"1 Modify"</formula>
    </cfRule>
  </conditionalFormatting>
  <conditionalFormatting sqref="C1934">
    <cfRule type="cellIs" dxfId="292" priority="5801" stopIfTrue="1" operator="equal">
      <formula>"2 Add"</formula>
    </cfRule>
  </conditionalFormatting>
  <conditionalFormatting sqref="C1934">
    <cfRule type="cellIs" dxfId="291" priority="5802" stopIfTrue="1" operator="equal">
      <formula>"3 Delete"</formula>
    </cfRule>
  </conditionalFormatting>
  <conditionalFormatting sqref="C1935">
    <cfRule type="cellIs" dxfId="290" priority="5803" stopIfTrue="1" operator="equal">
      <formula>"1 Modify"</formula>
    </cfRule>
  </conditionalFormatting>
  <conditionalFormatting sqref="C1935">
    <cfRule type="cellIs" dxfId="289" priority="5804" stopIfTrue="1" operator="equal">
      <formula>"2 Add"</formula>
    </cfRule>
  </conditionalFormatting>
  <conditionalFormatting sqref="C1935">
    <cfRule type="cellIs" dxfId="288" priority="5805" stopIfTrue="1" operator="equal">
      <formula>"3 Delete"</formula>
    </cfRule>
  </conditionalFormatting>
  <conditionalFormatting sqref="C1936">
    <cfRule type="cellIs" dxfId="287" priority="5806" stopIfTrue="1" operator="equal">
      <formula>"1 Modify"</formula>
    </cfRule>
  </conditionalFormatting>
  <conditionalFormatting sqref="C1936">
    <cfRule type="cellIs" dxfId="286" priority="5807" stopIfTrue="1" operator="equal">
      <formula>"2 Add"</formula>
    </cfRule>
  </conditionalFormatting>
  <conditionalFormatting sqref="C1936">
    <cfRule type="cellIs" dxfId="285" priority="5808" stopIfTrue="1" operator="equal">
      <formula>"3 Delete"</formula>
    </cfRule>
  </conditionalFormatting>
  <conditionalFormatting sqref="C1937">
    <cfRule type="cellIs" dxfId="284" priority="5809" stopIfTrue="1" operator="equal">
      <formula>"1 Modify"</formula>
    </cfRule>
  </conditionalFormatting>
  <conditionalFormatting sqref="C1937">
    <cfRule type="cellIs" dxfId="283" priority="5810" stopIfTrue="1" operator="equal">
      <formula>"2 Add"</formula>
    </cfRule>
  </conditionalFormatting>
  <conditionalFormatting sqref="C1937">
    <cfRule type="cellIs" dxfId="282" priority="5811" stopIfTrue="1" operator="equal">
      <formula>"3 Delete"</formula>
    </cfRule>
  </conditionalFormatting>
  <conditionalFormatting sqref="C1938">
    <cfRule type="cellIs" dxfId="281" priority="5812" stopIfTrue="1" operator="equal">
      <formula>"1 Modify"</formula>
    </cfRule>
  </conditionalFormatting>
  <conditionalFormatting sqref="C1938">
    <cfRule type="cellIs" dxfId="280" priority="5813" stopIfTrue="1" operator="equal">
      <formula>"2 Add"</formula>
    </cfRule>
  </conditionalFormatting>
  <conditionalFormatting sqref="C1938">
    <cfRule type="cellIs" dxfId="279" priority="5814" stopIfTrue="1" operator="equal">
      <formula>"3 Delete"</formula>
    </cfRule>
  </conditionalFormatting>
  <conditionalFormatting sqref="C1939">
    <cfRule type="cellIs" dxfId="278" priority="5815" stopIfTrue="1" operator="equal">
      <formula>"1 Modify"</formula>
    </cfRule>
  </conditionalFormatting>
  <conditionalFormatting sqref="C1939">
    <cfRule type="cellIs" dxfId="277" priority="5816" stopIfTrue="1" operator="equal">
      <formula>"2 Add"</formula>
    </cfRule>
  </conditionalFormatting>
  <conditionalFormatting sqref="C1939">
    <cfRule type="cellIs" dxfId="276" priority="5817" stopIfTrue="1" operator="equal">
      <formula>"3 Delete"</formula>
    </cfRule>
  </conditionalFormatting>
  <conditionalFormatting sqref="C1940">
    <cfRule type="cellIs" dxfId="275" priority="5818" stopIfTrue="1" operator="equal">
      <formula>"1 Modify"</formula>
    </cfRule>
  </conditionalFormatting>
  <conditionalFormatting sqref="C1940">
    <cfRule type="cellIs" dxfId="274" priority="5819" stopIfTrue="1" operator="equal">
      <formula>"2 Add"</formula>
    </cfRule>
  </conditionalFormatting>
  <conditionalFormatting sqref="C1940">
    <cfRule type="cellIs" dxfId="273" priority="5820" stopIfTrue="1" operator="equal">
      <formula>"3 Delete"</formula>
    </cfRule>
  </conditionalFormatting>
  <conditionalFormatting sqref="C1941">
    <cfRule type="cellIs" dxfId="272" priority="5821" stopIfTrue="1" operator="equal">
      <formula>"1 Modify"</formula>
    </cfRule>
  </conditionalFormatting>
  <conditionalFormatting sqref="C1941">
    <cfRule type="cellIs" dxfId="271" priority="5822" stopIfTrue="1" operator="equal">
      <formula>"2 Add"</formula>
    </cfRule>
  </conditionalFormatting>
  <conditionalFormatting sqref="C1941">
    <cfRule type="cellIs" dxfId="270" priority="5823" stopIfTrue="1" operator="equal">
      <formula>"3 Delete"</formula>
    </cfRule>
  </conditionalFormatting>
  <conditionalFormatting sqref="C1942">
    <cfRule type="cellIs" dxfId="269" priority="5824" stopIfTrue="1" operator="equal">
      <formula>"1 Modify"</formula>
    </cfRule>
  </conditionalFormatting>
  <conditionalFormatting sqref="C1942">
    <cfRule type="cellIs" dxfId="268" priority="5825" stopIfTrue="1" operator="equal">
      <formula>"2 Add"</formula>
    </cfRule>
  </conditionalFormatting>
  <conditionalFormatting sqref="C1942">
    <cfRule type="cellIs" dxfId="267" priority="5826" stopIfTrue="1" operator="equal">
      <formula>"3 Delete"</formula>
    </cfRule>
  </conditionalFormatting>
  <conditionalFormatting sqref="C1943">
    <cfRule type="cellIs" dxfId="266" priority="5827" stopIfTrue="1" operator="equal">
      <formula>"1 Modify"</formula>
    </cfRule>
  </conditionalFormatting>
  <conditionalFormatting sqref="C1943">
    <cfRule type="cellIs" dxfId="265" priority="5828" stopIfTrue="1" operator="equal">
      <formula>"2 Add"</formula>
    </cfRule>
  </conditionalFormatting>
  <conditionalFormatting sqref="C1943">
    <cfRule type="cellIs" dxfId="264" priority="5829" stopIfTrue="1" operator="equal">
      <formula>"3 Delete"</formula>
    </cfRule>
  </conditionalFormatting>
  <conditionalFormatting sqref="C1944">
    <cfRule type="cellIs" dxfId="263" priority="5830" stopIfTrue="1" operator="equal">
      <formula>"1 Modify"</formula>
    </cfRule>
  </conditionalFormatting>
  <conditionalFormatting sqref="C1944">
    <cfRule type="cellIs" dxfId="262" priority="5831" stopIfTrue="1" operator="equal">
      <formula>"2 Add"</formula>
    </cfRule>
  </conditionalFormatting>
  <conditionalFormatting sqref="C1944">
    <cfRule type="cellIs" dxfId="261" priority="5832" stopIfTrue="1" operator="equal">
      <formula>"3 Delete"</formula>
    </cfRule>
  </conditionalFormatting>
  <conditionalFormatting sqref="C1945">
    <cfRule type="cellIs" dxfId="260" priority="5833" stopIfTrue="1" operator="equal">
      <formula>"1 Modify"</formula>
    </cfRule>
  </conditionalFormatting>
  <conditionalFormatting sqref="C1945">
    <cfRule type="cellIs" dxfId="259" priority="5834" stopIfTrue="1" operator="equal">
      <formula>"2 Add"</formula>
    </cfRule>
  </conditionalFormatting>
  <conditionalFormatting sqref="C1945">
    <cfRule type="cellIs" dxfId="258" priority="5835" stopIfTrue="1" operator="equal">
      <formula>"3 Delete"</formula>
    </cfRule>
  </conditionalFormatting>
  <conditionalFormatting sqref="C1946">
    <cfRule type="cellIs" dxfId="257" priority="5836" stopIfTrue="1" operator="equal">
      <formula>"1 Modify"</formula>
    </cfRule>
  </conditionalFormatting>
  <conditionalFormatting sqref="C1946">
    <cfRule type="cellIs" dxfId="256" priority="5837" stopIfTrue="1" operator="equal">
      <formula>"2 Add"</formula>
    </cfRule>
  </conditionalFormatting>
  <conditionalFormatting sqref="C1946">
    <cfRule type="cellIs" dxfId="255" priority="5838" stopIfTrue="1" operator="equal">
      <formula>"3 Delete"</formula>
    </cfRule>
  </conditionalFormatting>
  <conditionalFormatting sqref="C1947">
    <cfRule type="cellIs" dxfId="254" priority="5839" stopIfTrue="1" operator="equal">
      <formula>"1 Modify"</formula>
    </cfRule>
  </conditionalFormatting>
  <conditionalFormatting sqref="C1947">
    <cfRule type="cellIs" dxfId="253" priority="5840" stopIfTrue="1" operator="equal">
      <formula>"2 Add"</formula>
    </cfRule>
  </conditionalFormatting>
  <conditionalFormatting sqref="C1947">
    <cfRule type="cellIs" dxfId="252" priority="5841" stopIfTrue="1" operator="equal">
      <formula>"3 Delete"</formula>
    </cfRule>
  </conditionalFormatting>
  <conditionalFormatting sqref="C1948">
    <cfRule type="cellIs" dxfId="251" priority="5842" stopIfTrue="1" operator="equal">
      <formula>"1 Modify"</formula>
    </cfRule>
  </conditionalFormatting>
  <conditionalFormatting sqref="C1948">
    <cfRule type="cellIs" dxfId="250" priority="5843" stopIfTrue="1" operator="equal">
      <formula>"2 Add"</formula>
    </cfRule>
  </conditionalFormatting>
  <conditionalFormatting sqref="C1948">
    <cfRule type="cellIs" dxfId="249" priority="5844" stopIfTrue="1" operator="equal">
      <formula>"3 Delete"</formula>
    </cfRule>
  </conditionalFormatting>
  <conditionalFormatting sqref="C1949">
    <cfRule type="cellIs" dxfId="248" priority="5845" stopIfTrue="1" operator="equal">
      <formula>"1 Modify"</formula>
    </cfRule>
  </conditionalFormatting>
  <conditionalFormatting sqref="C1949">
    <cfRule type="cellIs" dxfId="247" priority="5846" stopIfTrue="1" operator="equal">
      <formula>"2 Add"</formula>
    </cfRule>
  </conditionalFormatting>
  <conditionalFormatting sqref="C1949">
    <cfRule type="cellIs" dxfId="246" priority="5847" stopIfTrue="1" operator="equal">
      <formula>"3 Delete"</formula>
    </cfRule>
  </conditionalFormatting>
  <conditionalFormatting sqref="C1950">
    <cfRule type="cellIs" dxfId="245" priority="5848" stopIfTrue="1" operator="equal">
      <formula>"1 Modify"</formula>
    </cfRule>
  </conditionalFormatting>
  <conditionalFormatting sqref="C1950">
    <cfRule type="cellIs" dxfId="244" priority="5849" stopIfTrue="1" operator="equal">
      <formula>"2 Add"</formula>
    </cfRule>
  </conditionalFormatting>
  <conditionalFormatting sqref="C1950">
    <cfRule type="cellIs" dxfId="243" priority="5850" stopIfTrue="1" operator="equal">
      <formula>"3 Delete"</formula>
    </cfRule>
  </conditionalFormatting>
  <conditionalFormatting sqref="C1951">
    <cfRule type="cellIs" dxfId="242" priority="5851" stopIfTrue="1" operator="equal">
      <formula>"1 Modify"</formula>
    </cfRule>
  </conditionalFormatting>
  <conditionalFormatting sqref="C1951">
    <cfRule type="cellIs" dxfId="241" priority="5852" stopIfTrue="1" operator="equal">
      <formula>"2 Add"</formula>
    </cfRule>
  </conditionalFormatting>
  <conditionalFormatting sqref="C1951">
    <cfRule type="cellIs" dxfId="240" priority="5853" stopIfTrue="1" operator="equal">
      <formula>"3 Delete"</formula>
    </cfRule>
  </conditionalFormatting>
  <conditionalFormatting sqref="C1952">
    <cfRule type="cellIs" dxfId="239" priority="5854" stopIfTrue="1" operator="equal">
      <formula>"1 Modify"</formula>
    </cfRule>
  </conditionalFormatting>
  <conditionalFormatting sqref="C1952">
    <cfRule type="cellIs" dxfId="238" priority="5855" stopIfTrue="1" operator="equal">
      <formula>"2 Add"</formula>
    </cfRule>
  </conditionalFormatting>
  <conditionalFormatting sqref="C1952">
    <cfRule type="cellIs" dxfId="237" priority="5856" stopIfTrue="1" operator="equal">
      <formula>"3 Delete"</formula>
    </cfRule>
  </conditionalFormatting>
  <conditionalFormatting sqref="C1953">
    <cfRule type="cellIs" dxfId="236" priority="5857" stopIfTrue="1" operator="equal">
      <formula>"1 Modify"</formula>
    </cfRule>
  </conditionalFormatting>
  <conditionalFormatting sqref="C1953">
    <cfRule type="cellIs" dxfId="235" priority="5858" stopIfTrue="1" operator="equal">
      <formula>"2 Add"</formula>
    </cfRule>
  </conditionalFormatting>
  <conditionalFormatting sqref="C1953">
    <cfRule type="cellIs" dxfId="234" priority="5859" stopIfTrue="1" operator="equal">
      <formula>"3 Delete"</formula>
    </cfRule>
  </conditionalFormatting>
  <conditionalFormatting sqref="C1954">
    <cfRule type="cellIs" dxfId="233" priority="5860" stopIfTrue="1" operator="equal">
      <formula>"1 Modify"</formula>
    </cfRule>
  </conditionalFormatting>
  <conditionalFormatting sqref="C1954">
    <cfRule type="cellIs" dxfId="232" priority="5861" stopIfTrue="1" operator="equal">
      <formula>"2 Add"</formula>
    </cfRule>
  </conditionalFormatting>
  <conditionalFormatting sqref="C1954">
    <cfRule type="cellIs" dxfId="231" priority="5862" stopIfTrue="1" operator="equal">
      <formula>"3 Delete"</formula>
    </cfRule>
  </conditionalFormatting>
  <conditionalFormatting sqref="C1955">
    <cfRule type="cellIs" dxfId="230" priority="5863" stopIfTrue="1" operator="equal">
      <formula>"1 Modify"</formula>
    </cfRule>
  </conditionalFormatting>
  <conditionalFormatting sqref="C1955">
    <cfRule type="cellIs" dxfId="229" priority="5864" stopIfTrue="1" operator="equal">
      <formula>"2 Add"</formula>
    </cfRule>
  </conditionalFormatting>
  <conditionalFormatting sqref="C1955">
    <cfRule type="cellIs" dxfId="228" priority="5865" stopIfTrue="1" operator="equal">
      <formula>"3 Delete"</formula>
    </cfRule>
  </conditionalFormatting>
  <conditionalFormatting sqref="C1956">
    <cfRule type="cellIs" dxfId="227" priority="5866" stopIfTrue="1" operator="equal">
      <formula>"1 Modify"</formula>
    </cfRule>
  </conditionalFormatting>
  <conditionalFormatting sqref="C1956">
    <cfRule type="cellIs" dxfId="226" priority="5867" stopIfTrue="1" operator="equal">
      <formula>"2 Add"</formula>
    </cfRule>
  </conditionalFormatting>
  <conditionalFormatting sqref="C1956">
    <cfRule type="cellIs" dxfId="225" priority="5868" stopIfTrue="1" operator="equal">
      <formula>"3 Delete"</formula>
    </cfRule>
  </conditionalFormatting>
  <conditionalFormatting sqref="C1957">
    <cfRule type="cellIs" dxfId="224" priority="5869" stopIfTrue="1" operator="equal">
      <formula>"1 Modify"</formula>
    </cfRule>
  </conditionalFormatting>
  <conditionalFormatting sqref="C1957">
    <cfRule type="cellIs" dxfId="223" priority="5870" stopIfTrue="1" operator="equal">
      <formula>"2 Add"</formula>
    </cfRule>
  </conditionalFormatting>
  <conditionalFormatting sqref="C1957">
    <cfRule type="cellIs" dxfId="222" priority="5871" stopIfTrue="1" operator="equal">
      <formula>"3 Delete"</formula>
    </cfRule>
  </conditionalFormatting>
  <conditionalFormatting sqref="C1958">
    <cfRule type="cellIs" dxfId="221" priority="5872" stopIfTrue="1" operator="equal">
      <formula>"1 Modify"</formula>
    </cfRule>
  </conditionalFormatting>
  <conditionalFormatting sqref="C1958">
    <cfRule type="cellIs" dxfId="220" priority="5873" stopIfTrue="1" operator="equal">
      <formula>"2 Add"</formula>
    </cfRule>
  </conditionalFormatting>
  <conditionalFormatting sqref="C1958">
    <cfRule type="cellIs" dxfId="219" priority="5874" stopIfTrue="1" operator="equal">
      <formula>"3 Delete"</formula>
    </cfRule>
  </conditionalFormatting>
  <conditionalFormatting sqref="C1959">
    <cfRule type="cellIs" dxfId="218" priority="5875" stopIfTrue="1" operator="equal">
      <formula>"1 Modify"</formula>
    </cfRule>
  </conditionalFormatting>
  <conditionalFormatting sqref="C1959">
    <cfRule type="cellIs" dxfId="217" priority="5876" stopIfTrue="1" operator="equal">
      <formula>"2 Add"</formula>
    </cfRule>
  </conditionalFormatting>
  <conditionalFormatting sqref="C1959">
    <cfRule type="cellIs" dxfId="216" priority="5877" stopIfTrue="1" operator="equal">
      <formula>"3 Delete"</formula>
    </cfRule>
  </conditionalFormatting>
  <conditionalFormatting sqref="C1960">
    <cfRule type="cellIs" dxfId="215" priority="5878" stopIfTrue="1" operator="equal">
      <formula>"1 Modify"</formula>
    </cfRule>
  </conditionalFormatting>
  <conditionalFormatting sqref="C1960">
    <cfRule type="cellIs" dxfId="214" priority="5879" stopIfTrue="1" operator="equal">
      <formula>"2 Add"</formula>
    </cfRule>
  </conditionalFormatting>
  <conditionalFormatting sqref="C1960">
    <cfRule type="cellIs" dxfId="213" priority="5880" stopIfTrue="1" operator="equal">
      <formula>"3 Delete"</formula>
    </cfRule>
  </conditionalFormatting>
  <conditionalFormatting sqref="C1961">
    <cfRule type="cellIs" dxfId="212" priority="5881" stopIfTrue="1" operator="equal">
      <formula>"1 Modify"</formula>
    </cfRule>
  </conditionalFormatting>
  <conditionalFormatting sqref="C1961">
    <cfRule type="cellIs" dxfId="211" priority="5882" stopIfTrue="1" operator="equal">
      <formula>"2 Add"</formula>
    </cfRule>
  </conditionalFormatting>
  <conditionalFormatting sqref="C1961">
    <cfRule type="cellIs" dxfId="210" priority="5883" stopIfTrue="1" operator="equal">
      <formula>"3 Delete"</formula>
    </cfRule>
  </conditionalFormatting>
  <conditionalFormatting sqref="C1962">
    <cfRule type="cellIs" dxfId="209" priority="5884" stopIfTrue="1" operator="equal">
      <formula>"1 Modify"</formula>
    </cfRule>
  </conditionalFormatting>
  <conditionalFormatting sqref="C1962">
    <cfRule type="cellIs" dxfId="208" priority="5885" stopIfTrue="1" operator="equal">
      <formula>"2 Add"</formula>
    </cfRule>
  </conditionalFormatting>
  <conditionalFormatting sqref="C1962">
    <cfRule type="cellIs" dxfId="207" priority="5886" stopIfTrue="1" operator="equal">
      <formula>"3 Delete"</formula>
    </cfRule>
  </conditionalFormatting>
  <conditionalFormatting sqref="C1963">
    <cfRule type="cellIs" dxfId="206" priority="5887" stopIfTrue="1" operator="equal">
      <formula>"1 Modify"</formula>
    </cfRule>
  </conditionalFormatting>
  <conditionalFormatting sqref="C1963">
    <cfRule type="cellIs" dxfId="205" priority="5888" stopIfTrue="1" operator="equal">
      <formula>"2 Add"</formula>
    </cfRule>
  </conditionalFormatting>
  <conditionalFormatting sqref="C1963">
    <cfRule type="cellIs" dxfId="204" priority="5889" stopIfTrue="1" operator="equal">
      <formula>"3 Delete"</formula>
    </cfRule>
  </conditionalFormatting>
  <conditionalFormatting sqref="C1964">
    <cfRule type="cellIs" dxfId="203" priority="5890" stopIfTrue="1" operator="equal">
      <formula>"1 Modify"</formula>
    </cfRule>
  </conditionalFormatting>
  <conditionalFormatting sqref="C1964">
    <cfRule type="cellIs" dxfId="202" priority="5891" stopIfTrue="1" operator="equal">
      <formula>"2 Add"</formula>
    </cfRule>
  </conditionalFormatting>
  <conditionalFormatting sqref="C1964">
    <cfRule type="cellIs" dxfId="201" priority="5892" stopIfTrue="1" operator="equal">
      <formula>"3 Delete"</formula>
    </cfRule>
  </conditionalFormatting>
  <conditionalFormatting sqref="C1965">
    <cfRule type="cellIs" dxfId="200" priority="5893" stopIfTrue="1" operator="equal">
      <formula>"1 Modify"</formula>
    </cfRule>
  </conditionalFormatting>
  <conditionalFormatting sqref="C1965">
    <cfRule type="cellIs" dxfId="199" priority="5894" stopIfTrue="1" operator="equal">
      <formula>"2 Add"</formula>
    </cfRule>
  </conditionalFormatting>
  <conditionalFormatting sqref="C1965">
    <cfRule type="cellIs" dxfId="198" priority="5895" stopIfTrue="1" operator="equal">
      <formula>"3 Delete"</formula>
    </cfRule>
  </conditionalFormatting>
  <conditionalFormatting sqref="C1966">
    <cfRule type="cellIs" dxfId="197" priority="5896" stopIfTrue="1" operator="equal">
      <formula>"1 Modify"</formula>
    </cfRule>
  </conditionalFormatting>
  <conditionalFormatting sqref="C1966">
    <cfRule type="cellIs" dxfId="196" priority="5897" stopIfTrue="1" operator="equal">
      <formula>"2 Add"</formula>
    </cfRule>
  </conditionalFormatting>
  <conditionalFormatting sqref="C1966">
    <cfRule type="cellIs" dxfId="195" priority="5898" stopIfTrue="1" operator="equal">
      <formula>"3 Delete"</formula>
    </cfRule>
  </conditionalFormatting>
  <conditionalFormatting sqref="C1967">
    <cfRule type="cellIs" dxfId="194" priority="5899" stopIfTrue="1" operator="equal">
      <formula>"1 Modify"</formula>
    </cfRule>
  </conditionalFormatting>
  <conditionalFormatting sqref="C1967">
    <cfRule type="cellIs" dxfId="193" priority="5900" stopIfTrue="1" operator="equal">
      <formula>"2 Add"</formula>
    </cfRule>
  </conditionalFormatting>
  <conditionalFormatting sqref="C1967">
    <cfRule type="cellIs" dxfId="192" priority="5901" stopIfTrue="1" operator="equal">
      <formula>"3 Delete"</formula>
    </cfRule>
  </conditionalFormatting>
  <conditionalFormatting sqref="C1968">
    <cfRule type="cellIs" dxfId="191" priority="5902" stopIfTrue="1" operator="equal">
      <formula>"1 Modify"</formula>
    </cfRule>
  </conditionalFormatting>
  <conditionalFormatting sqref="C1968">
    <cfRule type="cellIs" dxfId="190" priority="5903" stopIfTrue="1" operator="equal">
      <formula>"2 Add"</formula>
    </cfRule>
  </conditionalFormatting>
  <conditionalFormatting sqref="C1968">
    <cfRule type="cellIs" dxfId="189" priority="5904" stopIfTrue="1" operator="equal">
      <formula>"3 Delete"</formula>
    </cfRule>
  </conditionalFormatting>
  <conditionalFormatting sqref="C1969">
    <cfRule type="cellIs" dxfId="188" priority="5905" stopIfTrue="1" operator="equal">
      <formula>"1 Modify"</formula>
    </cfRule>
  </conditionalFormatting>
  <conditionalFormatting sqref="C1969">
    <cfRule type="cellIs" dxfId="187" priority="5906" stopIfTrue="1" operator="equal">
      <formula>"2 Add"</formula>
    </cfRule>
  </conditionalFormatting>
  <conditionalFormatting sqref="C1969">
    <cfRule type="cellIs" dxfId="186" priority="5907" stopIfTrue="1" operator="equal">
      <formula>"3 Delete"</formula>
    </cfRule>
  </conditionalFormatting>
  <conditionalFormatting sqref="C1970">
    <cfRule type="cellIs" dxfId="185" priority="5908" stopIfTrue="1" operator="equal">
      <formula>"1 Modify"</formula>
    </cfRule>
  </conditionalFormatting>
  <conditionalFormatting sqref="C1970">
    <cfRule type="cellIs" dxfId="184" priority="5909" stopIfTrue="1" operator="equal">
      <formula>"2 Add"</formula>
    </cfRule>
  </conditionalFormatting>
  <conditionalFormatting sqref="C1970">
    <cfRule type="cellIs" dxfId="183" priority="5910" stopIfTrue="1" operator="equal">
      <formula>"3 Delete"</formula>
    </cfRule>
  </conditionalFormatting>
  <conditionalFormatting sqref="C1971">
    <cfRule type="cellIs" dxfId="182" priority="5911" stopIfTrue="1" operator="equal">
      <formula>"1 Modify"</formula>
    </cfRule>
  </conditionalFormatting>
  <conditionalFormatting sqref="C1971">
    <cfRule type="cellIs" dxfId="181" priority="5912" stopIfTrue="1" operator="equal">
      <formula>"2 Add"</formula>
    </cfRule>
  </conditionalFormatting>
  <conditionalFormatting sqref="C1971">
    <cfRule type="cellIs" dxfId="180" priority="5913" stopIfTrue="1" operator="equal">
      <formula>"3 Delete"</formula>
    </cfRule>
  </conditionalFormatting>
  <conditionalFormatting sqref="C1972">
    <cfRule type="cellIs" dxfId="179" priority="5914" stopIfTrue="1" operator="equal">
      <formula>"1 Modify"</formula>
    </cfRule>
  </conditionalFormatting>
  <conditionalFormatting sqref="C1972">
    <cfRule type="cellIs" dxfId="178" priority="5915" stopIfTrue="1" operator="equal">
      <formula>"2 Add"</formula>
    </cfRule>
  </conditionalFormatting>
  <conditionalFormatting sqref="C1972">
    <cfRule type="cellIs" dxfId="177" priority="5916" stopIfTrue="1" operator="equal">
      <formula>"3 Delete"</formula>
    </cfRule>
  </conditionalFormatting>
  <conditionalFormatting sqref="C1973">
    <cfRule type="cellIs" dxfId="176" priority="5917" stopIfTrue="1" operator="equal">
      <formula>"1 Modify"</formula>
    </cfRule>
  </conditionalFormatting>
  <conditionalFormatting sqref="C1973">
    <cfRule type="cellIs" dxfId="175" priority="5918" stopIfTrue="1" operator="equal">
      <formula>"2 Add"</formula>
    </cfRule>
  </conditionalFormatting>
  <conditionalFormatting sqref="C1973">
    <cfRule type="cellIs" dxfId="174" priority="5919" stopIfTrue="1" operator="equal">
      <formula>"3 Delete"</formula>
    </cfRule>
  </conditionalFormatting>
  <conditionalFormatting sqref="C1974">
    <cfRule type="cellIs" dxfId="173" priority="5920" stopIfTrue="1" operator="equal">
      <formula>"1 Modify"</formula>
    </cfRule>
  </conditionalFormatting>
  <conditionalFormatting sqref="C1974">
    <cfRule type="cellIs" dxfId="172" priority="5921" stopIfTrue="1" operator="equal">
      <formula>"2 Add"</formula>
    </cfRule>
  </conditionalFormatting>
  <conditionalFormatting sqref="C1974">
    <cfRule type="cellIs" dxfId="171" priority="5922" stopIfTrue="1" operator="equal">
      <formula>"3 Delete"</formula>
    </cfRule>
  </conditionalFormatting>
  <conditionalFormatting sqref="C1975">
    <cfRule type="cellIs" dxfId="170" priority="5923" stopIfTrue="1" operator="equal">
      <formula>"1 Modify"</formula>
    </cfRule>
  </conditionalFormatting>
  <conditionalFormatting sqref="C1975">
    <cfRule type="cellIs" dxfId="169" priority="5924" stopIfTrue="1" operator="equal">
      <formula>"2 Add"</formula>
    </cfRule>
  </conditionalFormatting>
  <conditionalFormatting sqref="C1975">
    <cfRule type="cellIs" dxfId="168" priority="5925" stopIfTrue="1" operator="equal">
      <formula>"3 Delete"</formula>
    </cfRule>
  </conditionalFormatting>
  <conditionalFormatting sqref="C1976">
    <cfRule type="cellIs" dxfId="167" priority="5926" stopIfTrue="1" operator="equal">
      <formula>"1 Modify"</formula>
    </cfRule>
  </conditionalFormatting>
  <conditionalFormatting sqref="C1976">
    <cfRule type="cellIs" dxfId="166" priority="5927" stopIfTrue="1" operator="equal">
      <formula>"2 Add"</formula>
    </cfRule>
  </conditionalFormatting>
  <conditionalFormatting sqref="C1976">
    <cfRule type="cellIs" dxfId="165" priority="5928" stopIfTrue="1" operator="equal">
      <formula>"3 Delete"</formula>
    </cfRule>
  </conditionalFormatting>
  <conditionalFormatting sqref="C1977">
    <cfRule type="cellIs" dxfId="164" priority="5929" stopIfTrue="1" operator="equal">
      <formula>"1 Modify"</formula>
    </cfRule>
  </conditionalFormatting>
  <conditionalFormatting sqref="C1977">
    <cfRule type="cellIs" dxfId="163" priority="5930" stopIfTrue="1" operator="equal">
      <formula>"2 Add"</formula>
    </cfRule>
  </conditionalFormatting>
  <conditionalFormatting sqref="C1977">
    <cfRule type="cellIs" dxfId="162" priority="5931" stopIfTrue="1" operator="equal">
      <formula>"3 Delete"</formula>
    </cfRule>
  </conditionalFormatting>
  <conditionalFormatting sqref="C1978">
    <cfRule type="cellIs" dxfId="161" priority="5932" stopIfTrue="1" operator="equal">
      <formula>"1 Modify"</formula>
    </cfRule>
  </conditionalFormatting>
  <conditionalFormatting sqref="C1978">
    <cfRule type="cellIs" dxfId="160" priority="5933" stopIfTrue="1" operator="equal">
      <formula>"2 Add"</formula>
    </cfRule>
  </conditionalFormatting>
  <conditionalFormatting sqref="C1978">
    <cfRule type="cellIs" dxfId="159" priority="5934" stopIfTrue="1" operator="equal">
      <formula>"3 Delete"</formula>
    </cfRule>
  </conditionalFormatting>
  <conditionalFormatting sqref="C1979">
    <cfRule type="cellIs" dxfId="158" priority="5935" stopIfTrue="1" operator="equal">
      <formula>"1 Modify"</formula>
    </cfRule>
  </conditionalFormatting>
  <conditionalFormatting sqref="C1979">
    <cfRule type="cellIs" dxfId="157" priority="5936" stopIfTrue="1" operator="equal">
      <formula>"2 Add"</formula>
    </cfRule>
  </conditionalFormatting>
  <conditionalFormatting sqref="C1979">
    <cfRule type="cellIs" dxfId="156" priority="5937" stopIfTrue="1" operator="equal">
      <formula>"3 Delete"</formula>
    </cfRule>
  </conditionalFormatting>
  <conditionalFormatting sqref="C1980">
    <cfRule type="cellIs" dxfId="155" priority="5938" stopIfTrue="1" operator="equal">
      <formula>"1 Modify"</formula>
    </cfRule>
  </conditionalFormatting>
  <conditionalFormatting sqref="C1980">
    <cfRule type="cellIs" dxfId="154" priority="5939" stopIfTrue="1" operator="equal">
      <formula>"2 Add"</formula>
    </cfRule>
  </conditionalFormatting>
  <conditionalFormatting sqref="C1980">
    <cfRule type="cellIs" dxfId="153" priority="5940" stopIfTrue="1" operator="equal">
      <formula>"3 Delete"</formula>
    </cfRule>
  </conditionalFormatting>
  <conditionalFormatting sqref="C1981">
    <cfRule type="cellIs" dxfId="152" priority="5941" stopIfTrue="1" operator="equal">
      <formula>"1 Modify"</formula>
    </cfRule>
  </conditionalFormatting>
  <conditionalFormatting sqref="C1981">
    <cfRule type="cellIs" dxfId="151" priority="5942" stopIfTrue="1" operator="equal">
      <formula>"2 Add"</formula>
    </cfRule>
  </conditionalFormatting>
  <conditionalFormatting sqref="C1981">
    <cfRule type="cellIs" dxfId="150" priority="5943" stopIfTrue="1" operator="equal">
      <formula>"3 Delete"</formula>
    </cfRule>
  </conditionalFormatting>
  <conditionalFormatting sqref="C1982">
    <cfRule type="cellIs" dxfId="149" priority="5944" stopIfTrue="1" operator="equal">
      <formula>"1 Modify"</formula>
    </cfRule>
  </conditionalFormatting>
  <conditionalFormatting sqref="C1982">
    <cfRule type="cellIs" dxfId="148" priority="5945" stopIfTrue="1" operator="equal">
      <formula>"2 Add"</formula>
    </cfRule>
  </conditionalFormatting>
  <conditionalFormatting sqref="C1982">
    <cfRule type="cellIs" dxfId="147" priority="5946" stopIfTrue="1" operator="equal">
      <formula>"3 Delete"</formula>
    </cfRule>
  </conditionalFormatting>
  <conditionalFormatting sqref="C1983">
    <cfRule type="cellIs" dxfId="146" priority="5947" stopIfTrue="1" operator="equal">
      <formula>"1 Modify"</formula>
    </cfRule>
  </conditionalFormatting>
  <conditionalFormatting sqref="C1983">
    <cfRule type="cellIs" dxfId="145" priority="5948" stopIfTrue="1" operator="equal">
      <formula>"2 Add"</formula>
    </cfRule>
  </conditionalFormatting>
  <conditionalFormatting sqref="C1983">
    <cfRule type="cellIs" dxfId="144" priority="5949" stopIfTrue="1" operator="equal">
      <formula>"3 Delete"</formula>
    </cfRule>
  </conditionalFormatting>
  <conditionalFormatting sqref="C1984">
    <cfRule type="cellIs" dxfId="143" priority="5950" stopIfTrue="1" operator="equal">
      <formula>"1 Modify"</formula>
    </cfRule>
  </conditionalFormatting>
  <conditionalFormatting sqref="C1984">
    <cfRule type="cellIs" dxfId="142" priority="5951" stopIfTrue="1" operator="equal">
      <formula>"2 Add"</formula>
    </cfRule>
  </conditionalFormatting>
  <conditionalFormatting sqref="C1984">
    <cfRule type="cellIs" dxfId="141" priority="5952" stopIfTrue="1" operator="equal">
      <formula>"3 Delete"</formula>
    </cfRule>
  </conditionalFormatting>
  <conditionalFormatting sqref="C1985">
    <cfRule type="cellIs" dxfId="140" priority="5953" stopIfTrue="1" operator="equal">
      <formula>"1 Modify"</formula>
    </cfRule>
  </conditionalFormatting>
  <conditionalFormatting sqref="C1985">
    <cfRule type="cellIs" dxfId="139" priority="5954" stopIfTrue="1" operator="equal">
      <formula>"2 Add"</formula>
    </cfRule>
  </conditionalFormatting>
  <conditionalFormatting sqref="C1985">
    <cfRule type="cellIs" dxfId="138" priority="5955" stopIfTrue="1" operator="equal">
      <formula>"3 Delete"</formula>
    </cfRule>
  </conditionalFormatting>
  <conditionalFormatting sqref="C1986">
    <cfRule type="cellIs" dxfId="137" priority="5956" stopIfTrue="1" operator="equal">
      <formula>"1 Modify"</formula>
    </cfRule>
  </conditionalFormatting>
  <conditionalFormatting sqref="C1986">
    <cfRule type="cellIs" dxfId="136" priority="5957" stopIfTrue="1" operator="equal">
      <formula>"2 Add"</formula>
    </cfRule>
  </conditionalFormatting>
  <conditionalFormatting sqref="C1986">
    <cfRule type="cellIs" dxfId="135" priority="5958" stopIfTrue="1" operator="equal">
      <formula>"3 Delete"</formula>
    </cfRule>
  </conditionalFormatting>
  <conditionalFormatting sqref="C1987">
    <cfRule type="cellIs" dxfId="134" priority="5959" stopIfTrue="1" operator="equal">
      <formula>"1 Modify"</formula>
    </cfRule>
  </conditionalFormatting>
  <conditionalFormatting sqref="C1987">
    <cfRule type="cellIs" dxfId="133" priority="5960" stopIfTrue="1" operator="equal">
      <formula>"2 Add"</formula>
    </cfRule>
  </conditionalFormatting>
  <conditionalFormatting sqref="C1987">
    <cfRule type="cellIs" dxfId="132" priority="5961" stopIfTrue="1" operator="equal">
      <formula>"3 Delete"</formula>
    </cfRule>
  </conditionalFormatting>
  <conditionalFormatting sqref="C1988">
    <cfRule type="cellIs" dxfId="131" priority="5962" stopIfTrue="1" operator="equal">
      <formula>"1 Modify"</formula>
    </cfRule>
  </conditionalFormatting>
  <conditionalFormatting sqref="C1988">
    <cfRule type="cellIs" dxfId="130" priority="5963" stopIfTrue="1" operator="equal">
      <formula>"2 Add"</formula>
    </cfRule>
  </conditionalFormatting>
  <conditionalFormatting sqref="C1988">
    <cfRule type="cellIs" dxfId="129" priority="5964" stopIfTrue="1" operator="equal">
      <formula>"3 Delete"</formula>
    </cfRule>
  </conditionalFormatting>
  <conditionalFormatting sqref="C1989">
    <cfRule type="cellIs" dxfId="128" priority="5965" stopIfTrue="1" operator="equal">
      <formula>"1 Modify"</formula>
    </cfRule>
  </conditionalFormatting>
  <conditionalFormatting sqref="C1989">
    <cfRule type="cellIs" dxfId="127" priority="5966" stopIfTrue="1" operator="equal">
      <formula>"2 Add"</formula>
    </cfRule>
  </conditionalFormatting>
  <conditionalFormatting sqref="C1989">
    <cfRule type="cellIs" dxfId="126" priority="5967" stopIfTrue="1" operator="equal">
      <formula>"3 Delete"</formula>
    </cfRule>
  </conditionalFormatting>
  <conditionalFormatting sqref="C1990">
    <cfRule type="cellIs" dxfId="125" priority="5968" stopIfTrue="1" operator="equal">
      <formula>"1 Modify"</formula>
    </cfRule>
  </conditionalFormatting>
  <conditionalFormatting sqref="C1990">
    <cfRule type="cellIs" dxfId="124" priority="5969" stopIfTrue="1" operator="equal">
      <formula>"2 Add"</formula>
    </cfRule>
  </conditionalFormatting>
  <conditionalFormatting sqref="C1990">
    <cfRule type="cellIs" dxfId="123" priority="5970" stopIfTrue="1" operator="equal">
      <formula>"3 Delete"</formula>
    </cfRule>
  </conditionalFormatting>
  <conditionalFormatting sqref="C1991">
    <cfRule type="cellIs" dxfId="122" priority="5971" stopIfTrue="1" operator="equal">
      <formula>"1 Modify"</formula>
    </cfRule>
  </conditionalFormatting>
  <conditionalFormatting sqref="C1991">
    <cfRule type="cellIs" dxfId="121" priority="5972" stopIfTrue="1" operator="equal">
      <formula>"2 Add"</formula>
    </cfRule>
  </conditionalFormatting>
  <conditionalFormatting sqref="C1991">
    <cfRule type="cellIs" dxfId="120" priority="5973" stopIfTrue="1" operator="equal">
      <formula>"3 Delete"</formula>
    </cfRule>
  </conditionalFormatting>
  <conditionalFormatting sqref="C1992">
    <cfRule type="cellIs" dxfId="119" priority="5974" stopIfTrue="1" operator="equal">
      <formula>"1 Modify"</formula>
    </cfRule>
  </conditionalFormatting>
  <conditionalFormatting sqref="C1992">
    <cfRule type="cellIs" dxfId="118" priority="5975" stopIfTrue="1" operator="equal">
      <formula>"2 Add"</formula>
    </cfRule>
  </conditionalFormatting>
  <conditionalFormatting sqref="C1992">
    <cfRule type="cellIs" dxfId="117" priority="5976" stopIfTrue="1" operator="equal">
      <formula>"3 Delete"</formula>
    </cfRule>
  </conditionalFormatting>
  <conditionalFormatting sqref="C1993">
    <cfRule type="cellIs" dxfId="116" priority="5977" stopIfTrue="1" operator="equal">
      <formula>"1 Modify"</formula>
    </cfRule>
  </conditionalFormatting>
  <conditionalFormatting sqref="C1993">
    <cfRule type="cellIs" dxfId="115" priority="5978" stopIfTrue="1" operator="equal">
      <formula>"2 Add"</formula>
    </cfRule>
  </conditionalFormatting>
  <conditionalFormatting sqref="C1993">
    <cfRule type="cellIs" dxfId="114" priority="5979" stopIfTrue="1" operator="equal">
      <formula>"3 Delete"</formula>
    </cfRule>
  </conditionalFormatting>
  <conditionalFormatting sqref="C1994">
    <cfRule type="cellIs" dxfId="113" priority="5980" stopIfTrue="1" operator="equal">
      <formula>"1 Modify"</formula>
    </cfRule>
  </conditionalFormatting>
  <conditionalFormatting sqref="C1994">
    <cfRule type="cellIs" dxfId="112" priority="5981" stopIfTrue="1" operator="equal">
      <formula>"2 Add"</formula>
    </cfRule>
  </conditionalFormatting>
  <conditionalFormatting sqref="C1994">
    <cfRule type="cellIs" dxfId="111" priority="5982" stopIfTrue="1" operator="equal">
      <formula>"3 Delete"</formula>
    </cfRule>
  </conditionalFormatting>
  <conditionalFormatting sqref="C1995">
    <cfRule type="cellIs" dxfId="110" priority="5983" stopIfTrue="1" operator="equal">
      <formula>"1 Modify"</formula>
    </cfRule>
  </conditionalFormatting>
  <conditionalFormatting sqref="C1995">
    <cfRule type="cellIs" dxfId="109" priority="5984" stopIfTrue="1" operator="equal">
      <formula>"2 Add"</formula>
    </cfRule>
  </conditionalFormatting>
  <conditionalFormatting sqref="C1995">
    <cfRule type="cellIs" dxfId="108" priority="5985" stopIfTrue="1" operator="equal">
      <formula>"3 Delete"</formula>
    </cfRule>
  </conditionalFormatting>
  <conditionalFormatting sqref="C1996">
    <cfRule type="cellIs" dxfId="107" priority="5986" stopIfTrue="1" operator="equal">
      <formula>"1 Modify"</formula>
    </cfRule>
  </conditionalFormatting>
  <conditionalFormatting sqref="C1996">
    <cfRule type="cellIs" dxfId="106" priority="5987" stopIfTrue="1" operator="equal">
      <formula>"2 Add"</formula>
    </cfRule>
  </conditionalFormatting>
  <conditionalFormatting sqref="C1996">
    <cfRule type="cellIs" dxfId="105" priority="5988" stopIfTrue="1" operator="equal">
      <formula>"3 Delete"</formula>
    </cfRule>
  </conditionalFormatting>
  <conditionalFormatting sqref="C1997">
    <cfRule type="cellIs" dxfId="104" priority="5989" stopIfTrue="1" operator="equal">
      <formula>"1 Modify"</formula>
    </cfRule>
  </conditionalFormatting>
  <conditionalFormatting sqref="C1997">
    <cfRule type="cellIs" dxfId="103" priority="5990" stopIfTrue="1" operator="equal">
      <formula>"2 Add"</formula>
    </cfRule>
  </conditionalFormatting>
  <conditionalFormatting sqref="C1997">
    <cfRule type="cellIs" dxfId="102" priority="5991" stopIfTrue="1" operator="equal">
      <formula>"3 Delete"</formula>
    </cfRule>
  </conditionalFormatting>
  <conditionalFormatting sqref="C1998">
    <cfRule type="cellIs" dxfId="101" priority="5992" stopIfTrue="1" operator="equal">
      <formula>"1 Modify"</formula>
    </cfRule>
  </conditionalFormatting>
  <conditionalFormatting sqref="C1998">
    <cfRule type="cellIs" dxfId="100" priority="5993" stopIfTrue="1" operator="equal">
      <formula>"2 Add"</formula>
    </cfRule>
  </conditionalFormatting>
  <conditionalFormatting sqref="C1998">
    <cfRule type="cellIs" dxfId="99" priority="5994" stopIfTrue="1" operator="equal">
      <formula>"3 Delete"</formula>
    </cfRule>
  </conditionalFormatting>
  <conditionalFormatting sqref="C1999">
    <cfRule type="cellIs" dxfId="98" priority="5995" stopIfTrue="1" operator="equal">
      <formula>"1 Modify"</formula>
    </cfRule>
  </conditionalFormatting>
  <conditionalFormatting sqref="C1999">
    <cfRule type="cellIs" dxfId="97" priority="5996" stopIfTrue="1" operator="equal">
      <formula>"2 Add"</formula>
    </cfRule>
  </conditionalFormatting>
  <conditionalFormatting sqref="C1999">
    <cfRule type="cellIs" dxfId="96" priority="5997" stopIfTrue="1" operator="equal">
      <formula>"3 Delete"</formula>
    </cfRule>
  </conditionalFormatting>
  <conditionalFormatting sqref="C2000">
    <cfRule type="cellIs" dxfId="95" priority="5998" stopIfTrue="1" operator="equal">
      <formula>"1 Modify"</formula>
    </cfRule>
  </conditionalFormatting>
  <conditionalFormatting sqref="C2000">
    <cfRule type="cellIs" dxfId="94" priority="5999" stopIfTrue="1" operator="equal">
      <formula>"2 Add"</formula>
    </cfRule>
  </conditionalFormatting>
  <conditionalFormatting sqref="C2000">
    <cfRule type="cellIs" dxfId="93" priority="6000" stopIfTrue="1" operator="equal">
      <formula>"3 Delete"</formula>
    </cfRule>
  </conditionalFormatting>
  <conditionalFormatting sqref="C2001">
    <cfRule type="cellIs" dxfId="92" priority="6001" stopIfTrue="1" operator="equal">
      <formula>"1 Modify"</formula>
    </cfRule>
  </conditionalFormatting>
  <conditionalFormatting sqref="C2001">
    <cfRule type="cellIs" dxfId="91" priority="6002" stopIfTrue="1" operator="equal">
      <formula>"2 Add"</formula>
    </cfRule>
  </conditionalFormatting>
  <conditionalFormatting sqref="C2001">
    <cfRule type="cellIs" dxfId="90" priority="6003" stopIfTrue="1" operator="equal">
      <formula>"3 Delete"</formula>
    </cfRule>
  </conditionalFormatting>
  <conditionalFormatting sqref="C2002">
    <cfRule type="cellIs" dxfId="89" priority="6004" stopIfTrue="1" operator="equal">
      <formula>"1 Modify"</formula>
    </cfRule>
  </conditionalFormatting>
  <conditionalFormatting sqref="C2002">
    <cfRule type="cellIs" dxfId="88" priority="6005" stopIfTrue="1" operator="equal">
      <formula>"2 Add"</formula>
    </cfRule>
  </conditionalFormatting>
  <conditionalFormatting sqref="C2002">
    <cfRule type="cellIs" dxfId="87" priority="6006" stopIfTrue="1" operator="equal">
      <formula>"3 Delete"</formula>
    </cfRule>
  </conditionalFormatting>
  <dataValidations count="17">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is read-only" sqref="E2:E1048576">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list" allowBlank="1" showInputMessage="1" showErrorMessage="1" error="Value is a foreign key" sqref="G2:G1048576">
      <formula1>Options__sandwich_id</formula1>
    </dataValidation>
    <dataValidation type="custom" allowBlank="1" showInputMessage="1" showErrorMessage="1" error="Column Headers are read-only" sqref="G1">
      <formula1>FALSE</formula1>
    </dataValidation>
    <dataValidation type="decimal" operator="greaterThan" allowBlank="1" showInputMessage="1" showErrorMessage="1" error="Value must be a Decimal Number" sqref="H2:H1048576">
      <formula1>-999999</formula1>
    </dataValidation>
    <dataValidation type="custom" allowBlank="1" showInputMessage="1" showErrorMessage="1" error="Column Headers are read-only" sqref="H1">
      <formula1>FALSE</formula1>
    </dataValidation>
    <dataValidation type="whole" operator="greaterThan" allowBlank="1" showInputMessage="1" showErrorMessage="1" error="Value must be an Integer" sqref="I2:I1048576">
      <formula1>-999999</formula1>
    </dataValidation>
    <dataValidation type="custom" allowBlank="1" showInputMessage="1" showErrorMessage="1" error="Column Headers are read-only" sqref="I1">
      <formula1>FALSE</formula1>
    </dataValidation>
    <dataValidation type="custom" allowBlank="1" showInputMessage="1" showErrorMessage="1" error="Column Headers are read-only" sqref="J1">
      <formula1>FALSE</formula1>
    </dataValidation>
    <dataValidation type="date" operator="greaterThan" allowBlank="1" showInputMessage="1" showErrorMessage="1" error="Value must be a Date" sqref="K2:K1048576">
      <formula1>1</formula1>
    </dataValidation>
    <dataValidation type="custom" allowBlank="1" showInputMessage="1" showErrorMessage="1" error="Column Headers are read-only" sqref="K1">
      <formula1>FALSE</formula1>
    </dataValidation>
    <dataValidation type="custom" allowBlank="1" showInputMessage="1" showErrorMessage="1" error="Column Headers are read-only" sqref="A1">
      <formula1>FALSE</formula1>
    </dataValidation>
  </dataValidations>
  <hyperlinks>
    <hyperlink ref="A2" tooltip="macro:RefreshSheet" display="Load"/>
    <hyperlink ref="A3" tooltip="macro:SaveActiveSheet" display="Save"/>
    <hyperlink ref="A4" tooltip="macro:AddNextToSheet" display="Next"/>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I22"/>
  <sheetViews>
    <sheetView workbookViewId="0"/>
  </sheetViews>
  <sheetFormatPr baseColWidth="10" defaultRowHeight="15" x14ac:dyDescent="0.25"/>
  <cols>
    <col min="4" max="6" width="11.42578125" style="3"/>
    <col min="7" max="7" width="11.42578125" style="5"/>
    <col min="8" max="8" width="11.42578125" style="3"/>
    <col min="9" max="9" width="11.42578125" style="9"/>
  </cols>
  <sheetData>
    <row r="1" spans="1:9" x14ac:dyDescent="0.25">
      <c r="A1" s="1" t="s">
        <v>0</v>
      </c>
      <c r="C1" s="1" t="s">
        <v>16</v>
      </c>
      <c r="D1" s="4" t="s">
        <v>17</v>
      </c>
      <c r="E1" s="4" t="s">
        <v>2679</v>
      </c>
      <c r="F1" s="4" t="s">
        <v>2680</v>
      </c>
      <c r="G1" s="6" t="s">
        <v>18</v>
      </c>
      <c r="H1" s="4" t="s">
        <v>23</v>
      </c>
      <c r="I1" s="10" t="s">
        <v>24</v>
      </c>
    </row>
    <row r="2" spans="1:9" x14ac:dyDescent="0.25">
      <c r="A2" s="2" t="s">
        <v>619</v>
      </c>
      <c r="C2" t="str">
        <f>IF(COUNTBLANK(E2:I2) = 5,"",IF(AND(NOT(ISBLANK(G2)),COUNTBLANK(E2:I2) = 4),"3 Delete",IF(ISBLANK(G2),"2 Add",IF(SHA1Range(E2:I2) = "fb3341c53b48d9f7d83982bd2a7f6d41daf39a0d","0 Original","1 Modify"))))</f>
        <v>0 Original</v>
      </c>
      <c r="D2" s="3" t="s">
        <v>2681</v>
      </c>
      <c r="E2" s="3" t="s">
        <v>371</v>
      </c>
      <c r="F2" s="3" t="s">
        <v>2682</v>
      </c>
      <c r="G2" s="5">
        <v>1</v>
      </c>
      <c r="H2" s="3" t="s">
        <v>29</v>
      </c>
      <c r="I2" s="9">
        <v>42491.666932870372</v>
      </c>
    </row>
    <row r="3" spans="1:9" x14ac:dyDescent="0.25">
      <c r="A3" s="2" t="s">
        <v>620</v>
      </c>
      <c r="C3" t="str">
        <f>IF(COUNTBLANK(E3:I3) = 5,"",IF(AND(NOT(ISBLANK(G3)),COUNTBLANK(E3:I3) = 4),"3 Delete",IF(ISBLANK(G3),"2 Add",IF(SHA1Range(E3:I3) = "dfaa394ddceda571111cc781b9824b7bf7fad080","0 Original","1 Modify"))))</f>
        <v>0 Original</v>
      </c>
      <c r="D3" s="3" t="s">
        <v>2683</v>
      </c>
      <c r="E3" s="3" t="s">
        <v>371</v>
      </c>
      <c r="F3" s="3" t="s">
        <v>2684</v>
      </c>
      <c r="G3" s="5">
        <v>2</v>
      </c>
      <c r="H3" s="3" t="s">
        <v>29</v>
      </c>
      <c r="I3" s="9">
        <v>42491.666932870372</v>
      </c>
    </row>
    <row r="4" spans="1:9" x14ac:dyDescent="0.25">
      <c r="C4" t="str">
        <f>IF(COUNTBLANK(E4:I4) = 5,"",IF(AND(NOT(ISBLANK(G4)),COUNTBLANK(E4:I4) = 4),"3 Delete",IF(ISBLANK(G4),"2 Add",IF(SHA1Range(E4:I4) = "556ef72033409a133118ec01a3b997c033908542","0 Original","1 Modify"))))</f>
        <v>0 Original</v>
      </c>
      <c r="D4" s="3" t="s">
        <v>2685</v>
      </c>
      <c r="E4" s="3" t="s">
        <v>2686</v>
      </c>
      <c r="F4" s="3" t="s">
        <v>2687</v>
      </c>
      <c r="G4" s="5">
        <v>3</v>
      </c>
      <c r="H4" s="3" t="s">
        <v>29</v>
      </c>
      <c r="I4" s="9">
        <v>42491.666932870372</v>
      </c>
    </row>
    <row r="5" spans="1:9" x14ac:dyDescent="0.25">
      <c r="C5" t="str">
        <f>IF(COUNTBLANK(E5:I5) = 5,"",IF(AND(NOT(ISBLANK(G5)),COUNTBLANK(E5:I5) = 4),"3 Delete",IF(ISBLANK(G5),"2 Add",IF(SHA1Range(E5:I5) = "a26e5fcfdc8ed532eced4272ac43eba07bd76bd7","0 Original","1 Modify"))))</f>
        <v>0 Original</v>
      </c>
      <c r="D5" s="3" t="s">
        <v>2688</v>
      </c>
      <c r="E5" s="3" t="s">
        <v>80</v>
      </c>
      <c r="F5" s="3" t="s">
        <v>2689</v>
      </c>
      <c r="G5" s="5">
        <v>4</v>
      </c>
      <c r="H5" s="3" t="s">
        <v>29</v>
      </c>
      <c r="I5" s="9">
        <v>42491.666932870372</v>
      </c>
    </row>
    <row r="6" spans="1:9" x14ac:dyDescent="0.25">
      <c r="C6" t="str">
        <f>IF(COUNTBLANK(E6:I6) = 5,"",IF(AND(NOT(ISBLANK(G6)),COUNTBLANK(E6:I6) = 4),"3 Delete",IF(ISBLANK(G6),"2 Add",IF(SHA1Range(E6:I6) = "70f35fa2444674bf40e9a94f3a131dec53c91a45","0 Original","1 Modify"))))</f>
        <v>0 Original</v>
      </c>
      <c r="D6" s="3" t="s">
        <v>2690</v>
      </c>
      <c r="E6" s="3" t="s">
        <v>2686</v>
      </c>
      <c r="F6" s="3" t="s">
        <v>2691</v>
      </c>
      <c r="G6" s="5">
        <v>5</v>
      </c>
      <c r="H6" s="3" t="s">
        <v>29</v>
      </c>
      <c r="I6" s="9">
        <v>42491.666932870372</v>
      </c>
    </row>
    <row r="7" spans="1:9" x14ac:dyDescent="0.25">
      <c r="C7" t="str">
        <f>IF(COUNTBLANK(E7:I7) = 5,"",IF(AND(NOT(ISBLANK(G7)),COUNTBLANK(E7:I7) = 4),"3 Delete",IF(ISBLANK(G7),"2 Add",IF(SHA1Range(E7:I7) = "fd5eca02aa7657559a729af41c89b7e5de54e4de","0 Original","1 Modify"))))</f>
        <v>0 Original</v>
      </c>
      <c r="D7" s="3" t="s">
        <v>2692</v>
      </c>
      <c r="E7" s="3" t="s">
        <v>2686</v>
      </c>
      <c r="F7" s="3" t="s">
        <v>2693</v>
      </c>
      <c r="G7" s="5">
        <v>6</v>
      </c>
      <c r="H7" s="3" t="s">
        <v>29</v>
      </c>
      <c r="I7" s="9">
        <v>42491.666932870372</v>
      </c>
    </row>
    <row r="8" spans="1:9" x14ac:dyDescent="0.25">
      <c r="C8" t="str">
        <f>IF(COUNTBLANK(E8:I8) = 5,"",IF(AND(NOT(ISBLANK(G8)),COUNTBLANK(E8:I8) = 4),"3 Delete",IF(ISBLANK(G8),"2 Add",IF(SHA1Range(E8:I8) = "a4bae4555320d63cd4e74ec770d76eca1c7ce3ed","0 Original","1 Modify"))))</f>
        <v>0 Original</v>
      </c>
      <c r="D8" s="3" t="s">
        <v>2694</v>
      </c>
      <c r="E8" s="3" t="s">
        <v>2686</v>
      </c>
      <c r="F8" s="3" t="s">
        <v>2695</v>
      </c>
      <c r="G8" s="5">
        <v>7</v>
      </c>
      <c r="H8" s="3" t="s">
        <v>29</v>
      </c>
      <c r="I8" s="9">
        <v>42491.666932870372</v>
      </c>
    </row>
    <row r="9" spans="1:9" x14ac:dyDescent="0.25">
      <c r="C9" t="str">
        <f>IF(COUNTBLANK(E9:I9) = 5,"",IF(AND(NOT(ISBLANK(G9)),COUNTBLANK(E9:I9) = 4),"3 Delete",IF(ISBLANK(G9),"2 Add",IF(SHA1Range(E9:I9) = "021e7e15ab121e98b1cb28a1991c06b3f86b857f","0 Original","1 Modify"))))</f>
        <v>0 Original</v>
      </c>
      <c r="D9" s="3" t="s">
        <v>2696</v>
      </c>
      <c r="E9" s="3" t="s">
        <v>2686</v>
      </c>
      <c r="F9" s="3" t="s">
        <v>2697</v>
      </c>
      <c r="G9" s="5">
        <v>8</v>
      </c>
      <c r="H9" s="3" t="s">
        <v>29</v>
      </c>
      <c r="I9" s="9">
        <v>42491.666932870372</v>
      </c>
    </row>
    <row r="10" spans="1:9" x14ac:dyDescent="0.25">
      <c r="C10" t="str">
        <f>IF(COUNTBLANK(E10:I10) = 5,"",IF(AND(NOT(ISBLANK(G10)),COUNTBLANK(E10:I10) = 4),"3 Delete",IF(ISBLANK(G10),"2 Add",IF(SHA1Range(E10:I10) = "bd9326caa608be8f67be6a09379f6143feeb0702","0 Original","1 Modify"))))</f>
        <v>0 Original</v>
      </c>
      <c r="D10" s="3" t="s">
        <v>2698</v>
      </c>
      <c r="E10" s="3" t="s">
        <v>162</v>
      </c>
      <c r="F10" s="3" t="s">
        <v>2699</v>
      </c>
      <c r="G10" s="5">
        <v>9</v>
      </c>
      <c r="H10" s="3" t="s">
        <v>29</v>
      </c>
      <c r="I10" s="9">
        <v>42491.666932870372</v>
      </c>
    </row>
    <row r="11" spans="1:9" x14ac:dyDescent="0.25">
      <c r="C11" t="str">
        <f>IF(COUNTBLANK(E11:I11) = 5,"",IF(AND(NOT(ISBLANK(G11)),COUNTBLANK(E11:I11) = 4),"3 Delete",IF(ISBLANK(G11),"2 Add",IF(SHA1Range(E11:I11) = "dc81189fe9c85c1d980937640a35050c702e1152","0 Original","1 Modify"))))</f>
        <v>0 Original</v>
      </c>
      <c r="D11" s="3" t="s">
        <v>2700</v>
      </c>
      <c r="E11" s="3" t="s">
        <v>162</v>
      </c>
      <c r="F11" s="3" t="s">
        <v>2701</v>
      </c>
      <c r="G11" s="5">
        <v>10</v>
      </c>
      <c r="H11" s="3" t="s">
        <v>29</v>
      </c>
      <c r="I11" s="9">
        <v>42491.666932870372</v>
      </c>
    </row>
    <row r="12" spans="1:9" x14ac:dyDescent="0.25">
      <c r="C12" t="str">
        <f>IF(COUNTBLANK(E12:I12) = 5,"",IF(AND(NOT(ISBLANK(G12)),COUNTBLANK(E12:I12) = 4),"3 Delete",IF(ISBLANK(G12),"2 Add",IF(SHA1Range(E12:I12) = "94f93d1b73035b58e5e80ee8cefead08b0b321d8","0 Original","1 Modify"))))</f>
        <v>0 Original</v>
      </c>
      <c r="D12" s="3" t="s">
        <v>2702</v>
      </c>
      <c r="E12" s="3" t="s">
        <v>80</v>
      </c>
      <c r="F12" s="3" t="s">
        <v>2703</v>
      </c>
      <c r="G12" s="5">
        <v>11</v>
      </c>
      <c r="H12" s="3" t="s">
        <v>29</v>
      </c>
      <c r="I12" s="9">
        <v>42491.666932870372</v>
      </c>
    </row>
    <row r="13" spans="1:9" x14ac:dyDescent="0.25">
      <c r="C13" t="str">
        <f>IF(COUNTBLANK(E13:I13) = 5,"",IF(AND(NOT(ISBLANK(G13)),COUNTBLANK(E13:I13) = 4),"3 Delete",IF(ISBLANK(G13),"2 Add",IF(SHA1Range(E13:I13) = "ed20dba8eb7b0ab67a59ed5f445628bc5366151a","0 Original","1 Modify"))))</f>
        <v>0 Original</v>
      </c>
      <c r="D13" s="3" t="s">
        <v>2704</v>
      </c>
      <c r="E13" s="3" t="s">
        <v>148</v>
      </c>
      <c r="F13" s="3" t="s">
        <v>2705</v>
      </c>
      <c r="G13" s="5">
        <v>12</v>
      </c>
      <c r="H13" s="3" t="s">
        <v>29</v>
      </c>
      <c r="I13" s="9">
        <v>42491.666932870372</v>
      </c>
    </row>
    <row r="14" spans="1:9" x14ac:dyDescent="0.25">
      <c r="C14" t="str">
        <f>IF(COUNTBLANK(E14:I14) = 5,"",IF(AND(NOT(ISBLANK(G14)),COUNTBLANK(E14:I14) = 4),"3 Delete",IF(ISBLANK(G14),"2 Add",IF(SHA1Range(E14:I14) = "9fb04eb9037ac0d17a8297261d78a7c443c91931","0 Original","1 Modify"))))</f>
        <v>0 Original</v>
      </c>
      <c r="D14" s="3" t="s">
        <v>2706</v>
      </c>
      <c r="E14" s="3" t="s">
        <v>2686</v>
      </c>
      <c r="F14" s="3" t="s">
        <v>2707</v>
      </c>
      <c r="G14" s="5">
        <v>13</v>
      </c>
      <c r="H14" s="3" t="s">
        <v>29</v>
      </c>
      <c r="I14" s="9">
        <v>42491.666932870372</v>
      </c>
    </row>
    <row r="15" spans="1:9" x14ac:dyDescent="0.25">
      <c r="C15" t="str">
        <f>IF(COUNTBLANK(E15:I15) = 5,"",IF(AND(NOT(ISBLANK(G15)),COUNTBLANK(E15:I15) = 4),"3 Delete",IF(ISBLANK(G15),"2 Add",IF(SHA1Range(E15:I15) = "77c71acea1a7f3b4ab79bec708a7b74cc3f6111a","0 Original","1 Modify"))))</f>
        <v>0 Original</v>
      </c>
      <c r="D15" s="3" t="s">
        <v>2708</v>
      </c>
      <c r="E15" s="3" t="s">
        <v>80</v>
      </c>
      <c r="F15" s="3" t="s">
        <v>2709</v>
      </c>
      <c r="G15" s="5">
        <v>14</v>
      </c>
      <c r="H15" s="3" t="s">
        <v>29</v>
      </c>
      <c r="I15" s="9">
        <v>42491.666932870372</v>
      </c>
    </row>
    <row r="16" spans="1:9" x14ac:dyDescent="0.25">
      <c r="C16" t="str">
        <f>IF(COUNTBLANK(E16:I16) = 5,"",IF(AND(NOT(ISBLANK(G16)),COUNTBLANK(E16:I16) = 4),"3 Delete",IF(ISBLANK(G16),"2 Add",IF(SHA1Range(E16:I16) = "e78c98f5218336da813f4fbbc090b0766daeb34c","0 Original","1 Modify"))))</f>
        <v>0 Original</v>
      </c>
      <c r="D16" s="3" t="s">
        <v>2710</v>
      </c>
      <c r="E16" s="3" t="s">
        <v>162</v>
      </c>
      <c r="F16" s="3" t="s">
        <v>2711</v>
      </c>
      <c r="G16" s="5">
        <v>15</v>
      </c>
      <c r="H16" s="3" t="s">
        <v>29</v>
      </c>
      <c r="I16" s="9">
        <v>42491.666932870372</v>
      </c>
    </row>
    <row r="17" spans="3:9" x14ac:dyDescent="0.25">
      <c r="C17" t="str">
        <f>IF(COUNTBLANK(E17:I17) = 5,"",IF(AND(NOT(ISBLANK(G17)),COUNTBLANK(E17:I17) = 4),"3 Delete",IF(ISBLANK(G17),"2 Add",IF(SHA1Range(E17:I17) = "1d2dc26a623a105014c875caf44036a1b9a9f0eb","0 Original","1 Modify"))))</f>
        <v>0 Original</v>
      </c>
      <c r="D17" s="3" t="s">
        <v>2712</v>
      </c>
      <c r="E17" s="3" t="s">
        <v>371</v>
      </c>
      <c r="F17" s="3" t="s">
        <v>2713</v>
      </c>
      <c r="G17" s="5">
        <v>16</v>
      </c>
      <c r="H17" s="3" t="s">
        <v>29</v>
      </c>
      <c r="I17" s="9">
        <v>42491.666932870372</v>
      </c>
    </row>
    <row r="18" spans="3:9" x14ac:dyDescent="0.25">
      <c r="C18" t="str">
        <f>IF(COUNTBLANK(E18:I18) = 5,"",IF(AND(NOT(ISBLANK(G18)),COUNTBLANK(E18:I18) = 4),"3 Delete",IF(ISBLANK(G18),"2 Add",IF(SHA1Range(E18:I18) = "72862c6d5ac8c7cb595e82d3e4319600830de756","0 Original","1 Modify"))))</f>
        <v>0 Original</v>
      </c>
      <c r="D18" s="3" t="s">
        <v>2714</v>
      </c>
      <c r="E18" s="3" t="s">
        <v>162</v>
      </c>
      <c r="F18" s="3" t="s">
        <v>2715</v>
      </c>
      <c r="G18" s="5">
        <v>17</v>
      </c>
      <c r="H18" s="3" t="s">
        <v>29</v>
      </c>
      <c r="I18" s="9">
        <v>42491.666932870372</v>
      </c>
    </row>
    <row r="19" spans="3:9" x14ac:dyDescent="0.25">
      <c r="C19" t="str">
        <f>IF(COUNTBLANK(E19:I19) = 5,"",IF(AND(NOT(ISBLANK(G19)),COUNTBLANK(E19:I19) = 4),"3 Delete",IF(ISBLANK(G19),"2 Add",IF(SHA1Range(E19:I19) = "a128179030635646162ab90a78c9b876b8eec8b5","0 Original","1 Modify"))))</f>
        <v>0 Original</v>
      </c>
      <c r="D19" s="3" t="s">
        <v>2716</v>
      </c>
      <c r="E19" s="3" t="s">
        <v>2686</v>
      </c>
      <c r="F19" s="3" t="s">
        <v>2717</v>
      </c>
      <c r="G19" s="5">
        <v>18</v>
      </c>
      <c r="H19" s="3" t="s">
        <v>29</v>
      </c>
      <c r="I19" s="9">
        <v>42491.666932870372</v>
      </c>
    </row>
    <row r="20" spans="3:9" x14ac:dyDescent="0.25">
      <c r="C20" t="str">
        <f>IF(COUNTBLANK(E20:I20) = 5,"",IF(AND(NOT(ISBLANK(G20)),COUNTBLANK(E20:I20) = 4),"3 Delete",IF(ISBLANK(G20),"2 Add",IF(SHA1Range(E20:I20) = "95114893b6ef623fb293403f176c3806ca8a5af1","0 Original","1 Modify"))))</f>
        <v>0 Original</v>
      </c>
      <c r="D20" s="3" t="s">
        <v>2718</v>
      </c>
      <c r="E20" s="3" t="s">
        <v>2686</v>
      </c>
      <c r="F20" s="3" t="s">
        <v>2719</v>
      </c>
      <c r="G20" s="5">
        <v>19</v>
      </c>
      <c r="H20" s="3" t="s">
        <v>29</v>
      </c>
      <c r="I20" s="9">
        <v>42491.666932870372</v>
      </c>
    </row>
    <row r="21" spans="3:9" x14ac:dyDescent="0.25">
      <c r="C21" t="str">
        <f>IF(COUNTBLANK(E21:I21) = 5,"",IF(AND(NOT(ISBLANK(G21)),COUNTBLANK(E21:I21) = 4),"3 Delete",IF(ISBLANK(G21),"2 Add",IF(SHA1Range(E21:I21) = "84dc006f276ad7a144cc84c59945cd077ede8c07","0 Original","1 Modify"))))</f>
        <v>0 Original</v>
      </c>
      <c r="D21" s="3" t="s">
        <v>2720</v>
      </c>
      <c r="E21" s="3" t="s">
        <v>175</v>
      </c>
      <c r="F21" s="3" t="s">
        <v>2721</v>
      </c>
      <c r="G21" s="5">
        <v>20</v>
      </c>
      <c r="H21" s="3" t="s">
        <v>29</v>
      </c>
      <c r="I21" s="9">
        <v>42491.666932870372</v>
      </c>
    </row>
    <row r="22" spans="3:9" x14ac:dyDescent="0.25">
      <c r="C22" t="str">
        <f>IF(COUNTBLANK(E22:I22) = 5,"",IF(AND(NOT(ISBLANK(G22)),COUNTBLANK(E22:I22) = 4),"3 Delete",IF(ISBLANK(G22),"2 Add",IF(SHA1Range(E22:I22) = "b858cb282617fb0956d960215c8e84d1ccf909c6","0 Original","1 Modify"))))</f>
        <v/>
      </c>
    </row>
  </sheetData>
  <conditionalFormatting sqref="C2">
    <cfRule type="cellIs" dxfId="86" priority="1" stopIfTrue="1" operator="equal">
      <formula>"1 Modify"</formula>
    </cfRule>
    <cfRule type="cellIs" dxfId="85" priority="2" stopIfTrue="1" operator="equal">
      <formula>"2 Add"</formula>
    </cfRule>
    <cfRule type="cellIs" dxfId="84" priority="3" stopIfTrue="1" operator="equal">
      <formula>"3 Delete"</formula>
    </cfRule>
  </conditionalFormatting>
  <conditionalFormatting sqref="C3">
    <cfRule type="cellIs" dxfId="83" priority="4" stopIfTrue="1" operator="equal">
      <formula>"1 Modify"</formula>
    </cfRule>
    <cfRule type="cellIs" dxfId="82" priority="5" stopIfTrue="1" operator="equal">
      <formula>"2 Add"</formula>
    </cfRule>
    <cfRule type="cellIs" dxfId="81" priority="6" stopIfTrue="1" operator="equal">
      <formula>"3 Delete"</formula>
    </cfRule>
  </conditionalFormatting>
  <conditionalFormatting sqref="C4">
    <cfRule type="cellIs" dxfId="80" priority="7" stopIfTrue="1" operator="equal">
      <formula>"1 Modify"</formula>
    </cfRule>
    <cfRule type="cellIs" dxfId="79" priority="8" stopIfTrue="1" operator="equal">
      <formula>"2 Add"</formula>
    </cfRule>
    <cfRule type="cellIs" dxfId="78" priority="9" stopIfTrue="1" operator="equal">
      <formula>"3 Delete"</formula>
    </cfRule>
  </conditionalFormatting>
  <conditionalFormatting sqref="C5">
    <cfRule type="cellIs" dxfId="77" priority="10" stopIfTrue="1" operator="equal">
      <formula>"1 Modify"</formula>
    </cfRule>
    <cfRule type="cellIs" dxfId="76" priority="11" stopIfTrue="1" operator="equal">
      <formula>"2 Add"</formula>
    </cfRule>
    <cfRule type="cellIs" dxfId="75" priority="12" stopIfTrue="1" operator="equal">
      <formula>"3 Delete"</formula>
    </cfRule>
  </conditionalFormatting>
  <conditionalFormatting sqref="C6">
    <cfRule type="cellIs" dxfId="74" priority="13" stopIfTrue="1" operator="equal">
      <formula>"1 Modify"</formula>
    </cfRule>
    <cfRule type="cellIs" dxfId="73" priority="14" stopIfTrue="1" operator="equal">
      <formula>"2 Add"</formula>
    </cfRule>
    <cfRule type="cellIs" dxfId="72" priority="15" stopIfTrue="1" operator="equal">
      <formula>"3 Delete"</formula>
    </cfRule>
  </conditionalFormatting>
  <conditionalFormatting sqref="C7">
    <cfRule type="cellIs" dxfId="71" priority="16" stopIfTrue="1" operator="equal">
      <formula>"1 Modify"</formula>
    </cfRule>
    <cfRule type="cellIs" dxfId="70" priority="17" stopIfTrue="1" operator="equal">
      <formula>"2 Add"</formula>
    </cfRule>
    <cfRule type="cellIs" dxfId="69" priority="18" stopIfTrue="1" operator="equal">
      <formula>"3 Delete"</formula>
    </cfRule>
  </conditionalFormatting>
  <conditionalFormatting sqref="C8">
    <cfRule type="cellIs" dxfId="68" priority="19" stopIfTrue="1" operator="equal">
      <formula>"1 Modify"</formula>
    </cfRule>
    <cfRule type="cellIs" dxfId="67" priority="20" stopIfTrue="1" operator="equal">
      <formula>"2 Add"</formula>
    </cfRule>
    <cfRule type="cellIs" dxfId="66" priority="21" stopIfTrue="1" operator="equal">
      <formula>"3 Delete"</formula>
    </cfRule>
  </conditionalFormatting>
  <conditionalFormatting sqref="C9">
    <cfRule type="cellIs" dxfId="65" priority="22" stopIfTrue="1" operator="equal">
      <formula>"1 Modify"</formula>
    </cfRule>
    <cfRule type="cellIs" dxfId="64" priority="23" stopIfTrue="1" operator="equal">
      <formula>"2 Add"</formula>
    </cfRule>
    <cfRule type="cellIs" dxfId="63" priority="24" stopIfTrue="1" operator="equal">
      <formula>"3 Delete"</formula>
    </cfRule>
  </conditionalFormatting>
  <conditionalFormatting sqref="C10">
    <cfRule type="cellIs" dxfId="62" priority="25" stopIfTrue="1" operator="equal">
      <formula>"1 Modify"</formula>
    </cfRule>
    <cfRule type="cellIs" dxfId="61" priority="26" stopIfTrue="1" operator="equal">
      <formula>"2 Add"</formula>
    </cfRule>
    <cfRule type="cellIs" dxfId="60" priority="27" stopIfTrue="1" operator="equal">
      <formula>"3 Delete"</formula>
    </cfRule>
  </conditionalFormatting>
  <conditionalFormatting sqref="C11">
    <cfRule type="cellIs" dxfId="59" priority="28" stopIfTrue="1" operator="equal">
      <formula>"1 Modify"</formula>
    </cfRule>
    <cfRule type="cellIs" dxfId="58" priority="29" stopIfTrue="1" operator="equal">
      <formula>"2 Add"</formula>
    </cfRule>
    <cfRule type="cellIs" dxfId="57" priority="30" stopIfTrue="1" operator="equal">
      <formula>"3 Delete"</formula>
    </cfRule>
  </conditionalFormatting>
  <conditionalFormatting sqref="C12">
    <cfRule type="cellIs" dxfId="56" priority="31" stopIfTrue="1" operator="equal">
      <formula>"1 Modify"</formula>
    </cfRule>
    <cfRule type="cellIs" dxfId="55" priority="32" stopIfTrue="1" operator="equal">
      <formula>"2 Add"</formula>
    </cfRule>
    <cfRule type="cellIs" dxfId="54" priority="33" stopIfTrue="1" operator="equal">
      <formula>"3 Delete"</formula>
    </cfRule>
  </conditionalFormatting>
  <conditionalFormatting sqref="C13">
    <cfRule type="cellIs" dxfId="53" priority="34" stopIfTrue="1" operator="equal">
      <formula>"1 Modify"</formula>
    </cfRule>
    <cfRule type="cellIs" dxfId="52" priority="35" stopIfTrue="1" operator="equal">
      <formula>"2 Add"</formula>
    </cfRule>
    <cfRule type="cellIs" dxfId="51" priority="36" stopIfTrue="1" operator="equal">
      <formula>"3 Delete"</formula>
    </cfRule>
  </conditionalFormatting>
  <conditionalFormatting sqref="C14">
    <cfRule type="cellIs" dxfId="50" priority="37" stopIfTrue="1" operator="equal">
      <formula>"1 Modify"</formula>
    </cfRule>
    <cfRule type="cellIs" dxfId="49" priority="38" stopIfTrue="1" operator="equal">
      <formula>"2 Add"</formula>
    </cfRule>
    <cfRule type="cellIs" dxfId="48" priority="39" stopIfTrue="1" operator="equal">
      <formula>"3 Delete"</formula>
    </cfRule>
  </conditionalFormatting>
  <conditionalFormatting sqref="C15">
    <cfRule type="cellIs" dxfId="47" priority="40" stopIfTrue="1" operator="equal">
      <formula>"1 Modify"</formula>
    </cfRule>
    <cfRule type="cellIs" dxfId="46" priority="41" stopIfTrue="1" operator="equal">
      <formula>"2 Add"</formula>
    </cfRule>
    <cfRule type="cellIs" dxfId="45" priority="42" stopIfTrue="1" operator="equal">
      <formula>"3 Delete"</formula>
    </cfRule>
  </conditionalFormatting>
  <conditionalFormatting sqref="C16">
    <cfRule type="cellIs" dxfId="44" priority="43" stopIfTrue="1" operator="equal">
      <formula>"1 Modify"</formula>
    </cfRule>
    <cfRule type="cellIs" dxfId="43" priority="44" stopIfTrue="1" operator="equal">
      <formula>"2 Add"</formula>
    </cfRule>
    <cfRule type="cellIs" dxfId="42" priority="45" stopIfTrue="1" operator="equal">
      <formula>"3 Delete"</formula>
    </cfRule>
  </conditionalFormatting>
  <conditionalFormatting sqref="C17">
    <cfRule type="cellIs" dxfId="41" priority="46" stopIfTrue="1" operator="equal">
      <formula>"1 Modify"</formula>
    </cfRule>
    <cfRule type="cellIs" dxfId="40" priority="47" stopIfTrue="1" operator="equal">
      <formula>"2 Add"</formula>
    </cfRule>
    <cfRule type="cellIs" dxfId="39" priority="48" stopIfTrue="1" operator="equal">
      <formula>"3 Delete"</formula>
    </cfRule>
  </conditionalFormatting>
  <conditionalFormatting sqref="C18">
    <cfRule type="cellIs" dxfId="38" priority="49" stopIfTrue="1" operator="equal">
      <formula>"1 Modify"</formula>
    </cfRule>
    <cfRule type="cellIs" dxfId="37" priority="50" stopIfTrue="1" operator="equal">
      <formula>"2 Add"</formula>
    </cfRule>
    <cfRule type="cellIs" dxfId="36" priority="51" stopIfTrue="1" operator="equal">
      <formula>"3 Delete"</formula>
    </cfRule>
  </conditionalFormatting>
  <conditionalFormatting sqref="C19">
    <cfRule type="cellIs" dxfId="35" priority="52" stopIfTrue="1" operator="equal">
      <formula>"1 Modify"</formula>
    </cfRule>
    <cfRule type="cellIs" dxfId="34" priority="53" stopIfTrue="1" operator="equal">
      <formula>"2 Add"</formula>
    </cfRule>
    <cfRule type="cellIs" dxfId="33" priority="54" stopIfTrue="1" operator="equal">
      <formula>"3 Delete"</formula>
    </cfRule>
  </conditionalFormatting>
  <conditionalFormatting sqref="C20">
    <cfRule type="cellIs" dxfId="32" priority="55" stopIfTrue="1" operator="equal">
      <formula>"1 Modify"</formula>
    </cfRule>
    <cfRule type="cellIs" dxfId="31" priority="56" stopIfTrue="1" operator="equal">
      <formula>"2 Add"</formula>
    </cfRule>
    <cfRule type="cellIs" dxfId="30" priority="57" stopIfTrue="1" operator="equal">
      <formula>"3 Delete"</formula>
    </cfRule>
  </conditionalFormatting>
  <conditionalFormatting sqref="C21">
    <cfRule type="cellIs" dxfId="29" priority="58" stopIfTrue="1" operator="equal">
      <formula>"1 Modify"</formula>
    </cfRule>
    <cfRule type="cellIs" dxfId="28" priority="59" stopIfTrue="1" operator="equal">
      <formula>"2 Add"</formula>
    </cfRule>
    <cfRule type="cellIs" dxfId="27" priority="60" stopIfTrue="1" operator="equal">
      <formula>"3 Delete"</formula>
    </cfRule>
  </conditionalFormatting>
  <conditionalFormatting sqref="C22">
    <cfRule type="cellIs" dxfId="26" priority="61" stopIfTrue="1" operator="equal">
      <formula>"1 Modify"</formula>
    </cfRule>
  </conditionalFormatting>
  <conditionalFormatting sqref="C22">
    <cfRule type="cellIs" dxfId="25" priority="62" stopIfTrue="1" operator="equal">
      <formula>"2 Add"</formula>
    </cfRule>
  </conditionalFormatting>
  <conditionalFormatting sqref="C22">
    <cfRule type="cellIs" dxfId="24" priority="63" stopIfTrue="1" operator="equal">
      <formula>"3 Delete"</formula>
    </cfRule>
  </conditionalFormatting>
  <dataValidations count="12">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custom" allowBlank="1" showInputMessage="1" showErrorMessage="1" error="Column is read-only" sqref="G2:G1048576">
      <formula1>FALSE</formula1>
    </dataValidation>
    <dataValidation type="custom" allowBlank="1" showInputMessage="1" showErrorMessage="1" error="Column Headers are read-only" sqref="G1">
      <formula1>FALSE</formula1>
    </dataValidation>
    <dataValidation type="custom" allowBlank="1" showInputMessage="1" showErrorMessage="1" error="Column Headers are read-only" sqref="H1">
      <formula1>FALSE</formula1>
    </dataValidation>
    <dataValidation type="date" operator="greaterThan" allowBlank="1" showInputMessage="1" showErrorMessage="1" error="Value must be a Date" sqref="I2:I1048576">
      <formula1>1</formula1>
    </dataValidation>
    <dataValidation type="custom" allowBlank="1" showInputMessage="1" showErrorMessage="1" error="Column Headers are read-only" sqref="I1">
      <formula1>FALSE</formula1>
    </dataValidation>
    <dataValidation type="custom" allowBlank="1" showInputMessage="1" showErrorMessage="1" error="Column Headers are read-only" sqref="A1">
      <formula1>FALSE</formula1>
    </dataValidation>
  </dataValidations>
  <hyperlinks>
    <hyperlink ref="A2" tooltip="macro:RefreshSheet" display="Load"/>
    <hyperlink ref="A3" tooltip="macro:SaveActiveSheet" display="Save"/>
  </hyperlink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L9"/>
  <sheetViews>
    <sheetView workbookViewId="0">
      <selection activeCell="I4" sqref="I4"/>
    </sheetView>
  </sheetViews>
  <sheetFormatPr baseColWidth="10" defaultRowHeight="15" x14ac:dyDescent="0.25"/>
  <cols>
    <col min="4" max="4" width="11.42578125" style="3"/>
    <col min="5" max="5" width="11.42578125" style="11"/>
    <col min="6" max="6" width="11.42578125" style="3"/>
    <col min="10" max="10" width="11.42578125" style="5"/>
    <col min="11" max="11" width="11.42578125" style="3"/>
    <col min="12" max="12" width="11.42578125" style="9"/>
  </cols>
  <sheetData>
    <row r="1" spans="1:12" x14ac:dyDescent="0.25">
      <c r="A1" s="1" t="s">
        <v>0</v>
      </c>
      <c r="C1" s="1" t="s">
        <v>16</v>
      </c>
      <c r="D1" s="4" t="s">
        <v>17</v>
      </c>
      <c r="E1" s="12" t="s">
        <v>2722</v>
      </c>
      <c r="F1" s="4" t="s">
        <v>2723</v>
      </c>
      <c r="G1" s="1" t="s">
        <v>2724</v>
      </c>
      <c r="H1" s="1" t="s">
        <v>2725</v>
      </c>
      <c r="I1" s="1" t="s">
        <v>2726</v>
      </c>
      <c r="J1" s="6" t="s">
        <v>18</v>
      </c>
      <c r="K1" s="4" t="s">
        <v>23</v>
      </c>
      <c r="L1" s="10" t="s">
        <v>24</v>
      </c>
    </row>
    <row r="2" spans="1:12" x14ac:dyDescent="0.25">
      <c r="A2" s="2" t="s">
        <v>619</v>
      </c>
      <c r="C2" t="str">
        <f>IF(COUNTBLANK(E2:L2) = 8,"",IF(AND(NOT(ISBLANK(J2)),COUNTBLANK(E2:L2) = 7),"3 Delete",IF(ISBLANK(J2),"2 Add",IF(SHA1Range(E2:L2) = "8a4078145cce0aa8976fe742a28363dd997f154e","0 Original","1 Modify"))))</f>
        <v>0 Original</v>
      </c>
      <c r="D2" s="3" t="s">
        <v>2727</v>
      </c>
      <c r="E2" s="11">
        <v>42523</v>
      </c>
      <c r="F2" s="3" t="s">
        <v>2728</v>
      </c>
      <c r="G2" t="s">
        <v>2683</v>
      </c>
      <c r="H2" t="s">
        <v>2688</v>
      </c>
      <c r="I2">
        <v>1</v>
      </c>
      <c r="J2" s="5">
        <v>1</v>
      </c>
      <c r="K2" s="3" t="s">
        <v>29</v>
      </c>
      <c r="L2" s="9">
        <v>42491.667743055557</v>
      </c>
    </row>
    <row r="3" spans="1:12" x14ac:dyDescent="0.25">
      <c r="A3" s="2" t="s">
        <v>620</v>
      </c>
      <c r="C3" t="str">
        <f>IF(COUNTBLANK(E3:L3) = 8,"",IF(AND(NOT(ISBLANK(J3)),COUNTBLANK(E3:L3) = 7),"3 Delete",IF(ISBLANK(J3),"2 Add",IF(SHA1Range(E3:L3) = "616b6be7f14798897df0073750ca3a6b8177244b","0 Original","1 Modify"))))</f>
        <v>0 Original</v>
      </c>
      <c r="D3" s="3" t="s">
        <v>2729</v>
      </c>
      <c r="E3" s="11">
        <v>42523</v>
      </c>
      <c r="F3" s="3" t="s">
        <v>2730</v>
      </c>
      <c r="G3" t="s">
        <v>2710</v>
      </c>
      <c r="H3" t="s">
        <v>2704</v>
      </c>
      <c r="I3">
        <v>2</v>
      </c>
      <c r="J3" s="5">
        <v>2</v>
      </c>
      <c r="K3" s="3" t="s">
        <v>29</v>
      </c>
      <c r="L3" s="9">
        <v>42491.667743055557</v>
      </c>
    </row>
    <row r="4" spans="1:12" x14ac:dyDescent="0.25">
      <c r="C4" t="str">
        <f>IF(COUNTBLANK(E4:L4) = 8,"",IF(AND(NOT(ISBLANK(J4)),COUNTBLANK(E4:L4) = 7),"3 Delete",IF(ISBLANK(J4),"2 Add",IF(SHA1Range(E4:L4) = "97ddcbceaf24fc46c6e521ffc1300f02534b4353","0 Original","1 Modify"))))</f>
        <v>0 Original</v>
      </c>
      <c r="D4" s="3" t="s">
        <v>2731</v>
      </c>
      <c r="E4" s="11">
        <v>42524</v>
      </c>
      <c r="F4" s="3" t="s">
        <v>2736</v>
      </c>
      <c r="G4" t="s">
        <v>2690</v>
      </c>
      <c r="H4" t="s">
        <v>2712</v>
      </c>
      <c r="I4">
        <v>3</v>
      </c>
      <c r="J4" s="5">
        <v>3</v>
      </c>
      <c r="K4" s="3" t="s">
        <v>2737</v>
      </c>
      <c r="L4" s="9">
        <v>42572.132511574076</v>
      </c>
    </row>
    <row r="5" spans="1:12" x14ac:dyDescent="0.25">
      <c r="C5" t="str">
        <f>IF(COUNTBLANK(E5:L5) = 8,"",IF(AND(NOT(ISBLANK(J5)),COUNTBLANK(E5:L5) = 7),"3 Delete",IF(ISBLANK(J5),"2 Add",IF(SHA1Range(E5:L5) = "3ce9eec1df0e383f72eff4f5918d30b9b6aeab78","0 Original","1 Modify"))))</f>
        <v>0 Original</v>
      </c>
      <c r="D5" s="3" t="s">
        <v>2732</v>
      </c>
      <c r="E5" s="11">
        <v>42524</v>
      </c>
      <c r="F5" s="3" t="s">
        <v>2730</v>
      </c>
      <c r="G5" t="s">
        <v>2698</v>
      </c>
      <c r="H5" t="s">
        <v>2696</v>
      </c>
      <c r="I5">
        <v>4</v>
      </c>
      <c r="J5" s="5">
        <v>4</v>
      </c>
      <c r="K5" s="3" t="s">
        <v>29</v>
      </c>
      <c r="L5" s="9">
        <v>42491.667743055557</v>
      </c>
    </row>
    <row r="6" spans="1:12" x14ac:dyDescent="0.25">
      <c r="C6" t="str">
        <f>IF(COUNTBLANK(E6:L6) = 8,"",IF(AND(NOT(ISBLANK(J6)),COUNTBLANK(E6:L6) = 7),"3 Delete",IF(ISBLANK(J6),"2 Add",IF(SHA1Range(E6:L6) = "e3d16c1ee9c1924a35502d89cab6fa82b40845c1","0 Original","1 Modify"))))</f>
        <v>0 Original</v>
      </c>
      <c r="D6" s="3" t="s">
        <v>2733</v>
      </c>
      <c r="E6" s="11">
        <v>42530</v>
      </c>
      <c r="F6" s="3" t="s">
        <v>2728</v>
      </c>
      <c r="G6" t="s">
        <v>2683</v>
      </c>
      <c r="H6" t="s">
        <v>2710</v>
      </c>
      <c r="I6">
        <v>5</v>
      </c>
      <c r="J6" s="5">
        <v>5</v>
      </c>
      <c r="K6" s="3" t="s">
        <v>29</v>
      </c>
      <c r="L6" s="9">
        <v>42491.667743055557</v>
      </c>
    </row>
    <row r="7" spans="1:12" x14ac:dyDescent="0.25">
      <c r="C7" t="str">
        <f>IF(COUNTBLANK(E7:L7) = 8,"",IF(AND(NOT(ISBLANK(J7)),COUNTBLANK(E7:L7) = 7),"3 Delete",IF(ISBLANK(J7),"2 Add",IF(SHA1Range(E7:L7) = "79e9b8ed12cc417ae7c10e55454aef33700137ed","0 Original","1 Modify"))))</f>
        <v>0 Original</v>
      </c>
      <c r="D7" s="3" t="s">
        <v>2734</v>
      </c>
      <c r="E7" s="11">
        <v>42530</v>
      </c>
      <c r="F7" s="3" t="s">
        <v>2730</v>
      </c>
      <c r="G7" t="s">
        <v>2690</v>
      </c>
      <c r="H7" t="s">
        <v>2698</v>
      </c>
      <c r="I7">
        <v>6</v>
      </c>
      <c r="J7" s="5">
        <v>6</v>
      </c>
      <c r="K7" s="3" t="s">
        <v>29</v>
      </c>
      <c r="L7" s="9">
        <v>42491.667743055557</v>
      </c>
    </row>
    <row r="8" spans="1:12" x14ac:dyDescent="0.25">
      <c r="C8" t="str">
        <f>IF(COUNTBLANK(E8:L8) = 8,"",IF(AND(NOT(ISBLANK(J8)),COUNTBLANK(E8:L8) = 7),"3 Delete",IF(ISBLANK(J8),"2 Add",IF(SHA1Range(E8:L8) = "ab8882057607bfc83e99c2a2a0c7d7c11f14f9ff","0 Original","1 Modify"))))</f>
        <v>0 Original</v>
      </c>
      <c r="D8" s="3" t="s">
        <v>2735</v>
      </c>
      <c r="E8" s="11">
        <v>42537</v>
      </c>
      <c r="F8" s="3" t="s">
        <v>2728</v>
      </c>
      <c r="G8" t="s">
        <v>2683</v>
      </c>
      <c r="H8" t="s">
        <v>2690</v>
      </c>
      <c r="I8">
        <v>7</v>
      </c>
      <c r="J8" s="5">
        <v>7</v>
      </c>
      <c r="K8" s="3" t="s">
        <v>29</v>
      </c>
      <c r="L8" s="9">
        <v>42491.667743055557</v>
      </c>
    </row>
    <row r="9" spans="1:12" x14ac:dyDescent="0.25">
      <c r="C9" t="str">
        <f>IF(COUNTBLANK(E9:L9) = 8,"",IF(AND(NOT(ISBLANK(J9)),COUNTBLANK(E9:L9) = 7),"3 Delete",IF(ISBLANK(J9),"2 Add",IF(SHA1Range(E9:L9) = "b858cb282617fb0956d960215c8e84d1ccf909c6","0 Original","1 Modify"))))</f>
        <v/>
      </c>
    </row>
  </sheetData>
  <conditionalFormatting sqref="C2">
    <cfRule type="cellIs" dxfId="23" priority="1" stopIfTrue="1" operator="equal">
      <formula>"1 Modify"</formula>
    </cfRule>
    <cfRule type="cellIs" dxfId="22" priority="2" stopIfTrue="1" operator="equal">
      <formula>"2 Add"</formula>
    </cfRule>
    <cfRule type="cellIs" dxfId="21" priority="3" stopIfTrue="1" operator="equal">
      <formula>"3 Delete"</formula>
    </cfRule>
  </conditionalFormatting>
  <conditionalFormatting sqref="C3">
    <cfRule type="cellIs" dxfId="20" priority="4" stopIfTrue="1" operator="equal">
      <formula>"1 Modify"</formula>
    </cfRule>
    <cfRule type="cellIs" dxfId="19" priority="5" stopIfTrue="1" operator="equal">
      <formula>"2 Add"</formula>
    </cfRule>
    <cfRule type="cellIs" dxfId="18" priority="6" stopIfTrue="1" operator="equal">
      <formula>"3 Delete"</formula>
    </cfRule>
  </conditionalFormatting>
  <conditionalFormatting sqref="C4">
    <cfRule type="cellIs" dxfId="2" priority="7" stopIfTrue="1" operator="equal">
      <formula>"1 Modify"</formula>
    </cfRule>
    <cfRule type="cellIs" dxfId="1" priority="8" stopIfTrue="1" operator="equal">
      <formula>"2 Add"</formula>
    </cfRule>
    <cfRule type="cellIs" dxfId="0" priority="9" stopIfTrue="1" operator="equal">
      <formula>"3 Delete"</formula>
    </cfRule>
    <cfRule type="cellIs" priority="25" stopIfTrue="1" operator="equal">
      <formula>"1 Modify"</formula>
    </cfRule>
    <cfRule type="cellIs" priority="26" stopIfTrue="1" operator="equal">
      <formula>"2 Add"</formula>
    </cfRule>
    <cfRule type="cellIs" priority="27" stopIfTrue="1" operator="equal">
      <formula>"3 Delete"</formula>
    </cfRule>
  </conditionalFormatting>
  <conditionalFormatting sqref="C5">
    <cfRule type="cellIs" dxfId="17" priority="10" stopIfTrue="1" operator="equal">
      <formula>"1 Modify"</formula>
    </cfRule>
    <cfRule type="cellIs" dxfId="16" priority="11" stopIfTrue="1" operator="equal">
      <formula>"2 Add"</formula>
    </cfRule>
    <cfRule type="cellIs" dxfId="15" priority="12" stopIfTrue="1" operator="equal">
      <formula>"3 Delete"</formula>
    </cfRule>
  </conditionalFormatting>
  <conditionalFormatting sqref="C6">
    <cfRule type="cellIs" dxfId="14" priority="13" stopIfTrue="1" operator="equal">
      <formula>"1 Modify"</formula>
    </cfRule>
    <cfRule type="cellIs" dxfId="13" priority="14" stopIfTrue="1" operator="equal">
      <formula>"2 Add"</formula>
    </cfRule>
    <cfRule type="cellIs" dxfId="12" priority="15" stopIfTrue="1" operator="equal">
      <formula>"3 Delete"</formula>
    </cfRule>
  </conditionalFormatting>
  <conditionalFormatting sqref="C7">
    <cfRule type="cellIs" dxfId="11" priority="16" stopIfTrue="1" operator="equal">
      <formula>"1 Modify"</formula>
    </cfRule>
    <cfRule type="cellIs" dxfId="10" priority="17" stopIfTrue="1" operator="equal">
      <formula>"2 Add"</formula>
    </cfRule>
    <cfRule type="cellIs" dxfId="9" priority="18" stopIfTrue="1" operator="equal">
      <formula>"3 Delete"</formula>
    </cfRule>
  </conditionalFormatting>
  <conditionalFormatting sqref="C8">
    <cfRule type="cellIs" dxfId="8" priority="19" stopIfTrue="1" operator="equal">
      <formula>"1 Modify"</formula>
    </cfRule>
    <cfRule type="cellIs" dxfId="7" priority="20" stopIfTrue="1" operator="equal">
      <formula>"2 Add"</formula>
    </cfRule>
    <cfRule type="cellIs" dxfId="6" priority="21" stopIfTrue="1" operator="equal">
      <formula>"3 Delete"</formula>
    </cfRule>
  </conditionalFormatting>
  <conditionalFormatting sqref="C9">
    <cfRule type="cellIs" dxfId="5" priority="22" stopIfTrue="1" operator="equal">
      <formula>"1 Modify"</formula>
    </cfRule>
    <cfRule type="cellIs" dxfId="4" priority="23" stopIfTrue="1" operator="equal">
      <formula>"2 Add"</formula>
    </cfRule>
    <cfRule type="cellIs" dxfId="3" priority="24" stopIfTrue="1" operator="equal">
      <formula>"3 Delete"</formula>
    </cfRule>
  </conditionalFormatting>
  <dataValidations count="18">
    <dataValidation type="custom" allowBlank="1" showInputMessage="1" showErrorMessage="1" error="Column is read-only" sqref="C2:C1048576">
      <formula1>FALSE</formula1>
    </dataValidation>
    <dataValidation type="custom" allowBlank="1" showInputMessage="1" showErrorMessage="1" error="Column Headers are read-only" sqref="C1">
      <formula1>FALSE</formula1>
    </dataValidation>
    <dataValidation type="custom" allowBlank="1" showInputMessage="1" showErrorMessage="1" error="Column is read-only" sqref="D2:D1048576">
      <formula1>FALSE</formula1>
    </dataValidation>
    <dataValidation type="custom" allowBlank="1" showInputMessage="1" showErrorMessage="1" error="Column Headers are read-only" sqref="D1">
      <formula1>FALSE</formula1>
    </dataValidation>
    <dataValidation type="date" operator="greaterThan" allowBlank="1" showInputMessage="1" showErrorMessage="1" error="Value must be a Date" sqref="E2:E1048576">
      <formula1>1</formula1>
    </dataValidation>
    <dataValidation type="custom" allowBlank="1" showInputMessage="1" showErrorMessage="1" error="Column Headers are read-only" sqref="E1">
      <formula1>FALSE</formula1>
    </dataValidation>
    <dataValidation type="custom" allowBlank="1" showInputMessage="1" showErrorMessage="1" error="Column Headers are read-only" sqref="F1">
      <formula1>FALSE</formula1>
    </dataValidation>
    <dataValidation type="list" allowBlank="1" showInputMessage="1" showErrorMessage="1" error="Value is a foreign key" sqref="G2:G1048576">
      <formula1>Options__Team1_id</formula1>
    </dataValidation>
    <dataValidation type="custom" allowBlank="1" showInputMessage="1" showErrorMessage="1" error="Column Headers are read-only" sqref="G1">
      <formula1>FALSE</formula1>
    </dataValidation>
    <dataValidation type="list" allowBlank="1" showInputMessage="1" showErrorMessage="1" error="Value is a foreign key" sqref="H2:H1048576">
      <formula1>Options__Team2_id</formula1>
    </dataValidation>
    <dataValidation type="custom" allowBlank="1" showInputMessage="1" showErrorMessage="1" error="Column Headers are read-only" sqref="H1">
      <formula1>FALSE</formula1>
    </dataValidation>
    <dataValidation type="custom" allowBlank="1" showInputMessage="1" showErrorMessage="1" error="Column Headers are read-only" sqref="I1">
      <formula1>FALSE</formula1>
    </dataValidation>
    <dataValidation type="custom" allowBlank="1" showInputMessage="1" showErrorMessage="1" error="Column is read-only" sqref="J2:J1048576">
      <formula1>FALSE</formula1>
    </dataValidation>
    <dataValidation type="custom" allowBlank="1" showInputMessage="1" showErrorMessage="1" error="Column Headers are read-only" sqref="J1">
      <formula1>FALSE</formula1>
    </dataValidation>
    <dataValidation type="custom" allowBlank="1" showInputMessage="1" showErrorMessage="1" error="Column Headers are read-only" sqref="K1">
      <formula1>FALSE</formula1>
    </dataValidation>
    <dataValidation type="date" operator="greaterThan" allowBlank="1" showInputMessage="1" showErrorMessage="1" error="Value must be a Date" sqref="L2:L1048576">
      <formula1>1</formula1>
    </dataValidation>
    <dataValidation type="custom" allowBlank="1" showInputMessage="1" showErrorMessage="1" error="Column Headers are read-only" sqref="L1">
      <formula1>FALSE</formula1>
    </dataValidation>
    <dataValidation type="custom" allowBlank="1" showInputMessage="1" showErrorMessage="1" error="Column Headers are read-only" sqref="A1">
      <formula1>FALSE</formula1>
    </dataValidation>
  </dataValidations>
  <hyperlinks>
    <hyperlink ref="A2" tooltip="macro:RefreshSheet" display="Load"/>
    <hyperlink ref="A3" tooltip="macro:SaveActiveSheet" display="Save"/>
  </hyperlink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14</vt:i4>
      </vt:variant>
    </vt:vector>
  </HeadingPairs>
  <TitlesOfParts>
    <vt:vector size="19" baseType="lpstr">
      <vt:lpstr>Schema</vt:lpstr>
      <vt:lpstr>sandwiches.rows</vt:lpstr>
      <vt:lpstr>order_items.rows</vt:lpstr>
      <vt:lpstr>Team.rows</vt:lpstr>
      <vt:lpstr>Game.rows</vt:lpstr>
      <vt:lpstr>Game.rows!Column__id</vt:lpstr>
      <vt:lpstr>order_items.rows!Column__id</vt:lpstr>
      <vt:lpstr>sandwiches.rows!Column__id</vt:lpstr>
      <vt:lpstr>Team.rows!Column__id</vt:lpstr>
      <vt:lpstr>Game.rows!Column__mod_by</vt:lpstr>
      <vt:lpstr>Game.rows!Column__mod_on</vt:lpstr>
      <vt:lpstr>Game.rows!Column__ref</vt:lpstr>
      <vt:lpstr>order_items.rows!Column__ref</vt:lpstr>
      <vt:lpstr>sandwiches.rows!Column__ref</vt:lpstr>
      <vt:lpstr>Team.rows!Column__ref</vt:lpstr>
      <vt:lpstr>Game.rows!Column__status</vt:lpstr>
      <vt:lpstr>order_items.rows!Column__status</vt:lpstr>
      <vt:lpstr>sandwiches.rows!Column__status</vt:lpstr>
      <vt:lpstr>Team.rows!Column__status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Kottow</dc:creator>
  <cp:keywords/>
  <dc:description>based on Tim Hall's awesome REST library</dc:description>
  <cp:lastModifiedBy>daniel kottow</cp:lastModifiedBy>
  <cp:revision/>
  <dcterms:created xsi:type="dcterms:W3CDTF">2011-08-25T14:29:57Z</dcterms:created>
  <dcterms:modified xsi:type="dcterms:W3CDTF">2016-07-21T03:22:10Z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aseUrl">
    <vt:lpwstr>http://api.donkeylift.com/</vt:lpwstr>
  </property>
</Properties>
</file>